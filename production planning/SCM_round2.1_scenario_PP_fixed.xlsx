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Input" sheetId="1" state="visible" r:id="rId1"/>
    <sheet xmlns:r="http://schemas.openxmlformats.org/officeDocument/2006/relationships" name="PCBA_Recovery_Plan" sheetId="2" state="visible" r:id="rId2"/>
    <sheet xmlns:r="http://schemas.openxmlformats.org/officeDocument/2006/relationships" name="Scenario_PP" sheetId="3" state="visible" r:id="rId3"/>
    <sheet xmlns:r="http://schemas.openxmlformats.org/officeDocument/2006/relationships" name="Scenario_Cost_Analysis" sheetId="4" state="visible" r:id="rId4"/>
    <sheet xmlns:r="http://schemas.openxmlformats.org/officeDocument/2006/relationships" name="Customer_Service_Priority" sheetId="5" state="visible" r:id="rId5"/>
    <sheet xmlns:r="http://schemas.openxmlformats.org/officeDocument/2006/relationships" name="Validation_Checks" sheetId="6" state="visible" r:id="rId6"/>
    <sheet xmlns:r="http://schemas.openxmlformats.org/officeDocument/2006/relationships" name="Fix_Log" sheetId="7" state="visible" r:id="rId7"/>
    <sheet xmlns:r="http://schemas.openxmlformats.org/officeDocument/2006/relationships" name="ORIG_input" sheetId="8" state="visible" r:id="rId8"/>
    <sheet xmlns:r="http://schemas.openxmlformats.org/officeDocument/2006/relationships" name="ORIG_demand_matrix" sheetId="9" state="visible" r:id="rId9"/>
    <sheet xmlns:r="http://schemas.openxmlformats.org/officeDocument/2006/relationships" name="ORIG_BOM_n_Inventory" sheetId="10" state="visible" r:id="rId10"/>
    <sheet xmlns:r="http://schemas.openxmlformats.org/officeDocument/2006/relationships" name="ORIG_FGs_n_Log_information" sheetId="11" state="visible" r:id="rId11"/>
    <sheet xmlns:r="http://schemas.openxmlformats.org/officeDocument/2006/relationships" name="ORIG_Production_plan" sheetId="12" state="visible" r:id="rId12"/>
    <sheet xmlns:r="http://schemas.openxmlformats.org/officeDocument/2006/relationships" name="Scenario_MPS" sheetId="13" state="visible" r:id="rId13"/>
    <sheet xmlns:r="http://schemas.openxmlformats.org/officeDocument/2006/relationships" name="Scenario_MR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yyyy-mm-dd h:mm:ss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  <font>
      <b val="1"/>
      <color rgb="00006400"/>
    </font>
    <font>
      <b val="1"/>
      <sz val="14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2CC"/>
      </patternFill>
    </fill>
    <fill>
      <patternFill patternType="solid">
        <fgColor rgb="0000897B"/>
      </patternFill>
    </fill>
    <fill>
      <patternFill patternType="solid">
        <fgColor rgb="00FDE9D9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2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4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6" borderId="1" pivotButton="0" quotePrefix="0" xfId="0"/>
    <xf numFmtId="166" fontId="0" fillId="0" borderId="0" pivotButton="0" quotePrefix="0" xfId="0"/>
    <xf numFmtId="167" fontId="0" fillId="0" borderId="1" pivotButton="0" quotePrefix="0" xfId="0"/>
    <xf numFmtId="0" fontId="1" fillId="7" borderId="0" pivotButton="0" quotePrefix="0" xfId="0"/>
    <xf numFmtId="0" fontId="1" fillId="2" borderId="1" pivotButton="0" quotePrefix="0" xfId="0"/>
    <xf numFmtId="3" fontId="0" fillId="0" borderId="1" pivotButton="0" quotePrefix="0" xfId="0"/>
    <xf numFmtId="0" fontId="1" fillId="4" borderId="0" pivotButton="0" quotePrefix="0" xfId="0"/>
    <xf numFmtId="0" fontId="2" fillId="8" borderId="1" pivotButton="0" quotePrefix="0" xfId="0"/>
    <xf numFmtId="165" fontId="2" fillId="8" borderId="1" pivotButton="0" quotePrefix="0" xfId="0"/>
    <xf numFmtId="3" fontId="2" fillId="5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35" customWidth="1" min="3" max="3"/>
    <col width="13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</row>
    <row r="2">
      <c r="A2" s="2" t="inlineStr">
        <is>
          <t>Issue Type</t>
        </is>
      </c>
      <c r="B2" s="2" t="inlineStr">
        <is>
          <t>Quality Issue - Firmware Defect on PCBA</t>
        </is>
      </c>
      <c r="C2" s="2" t="inlineStr">
        <is>
          <t>Case study</t>
        </is>
      </c>
      <c r="D2" s="2" t="inlineStr">
        <is>
          <t>Given</t>
        </is>
      </c>
    </row>
    <row r="3">
      <c r="A3" s="2" t="inlineStr">
        <is>
          <t>Affected SKU</t>
        </is>
      </c>
      <c r="B3" s="2" t="inlineStr">
        <is>
          <t>A</t>
        </is>
      </c>
      <c r="C3" s="2" t="inlineStr">
        <is>
          <t>Case study</t>
        </is>
      </c>
      <c r="D3" s="2" t="inlineStr">
        <is>
          <t>Given</t>
        </is>
      </c>
    </row>
    <row r="4">
      <c r="A4" s="2" t="inlineStr">
        <is>
          <t>Affected Component</t>
        </is>
      </c>
      <c r="B4" s="2" t="inlineStr">
        <is>
          <t>RM04 (PCBA)</t>
        </is>
      </c>
      <c r="C4" s="2" t="inlineStr">
        <is>
          <t>BOM &amp; Inventory</t>
        </is>
      </c>
      <c r="D4" s="2" t="inlineStr">
        <is>
          <t>Given</t>
        </is>
      </c>
    </row>
    <row r="5">
      <c r="A5" s="2" t="inlineStr">
        <is>
          <t>BOM Usage (PCBA per FG)</t>
        </is>
      </c>
      <c r="B5" s="2" t="n">
        <v>2</v>
      </c>
      <c r="C5" s="2" t="inlineStr">
        <is>
          <t>BOM &amp; Inventory R8</t>
        </is>
      </c>
      <c r="D5" s="2" t="inlineStr">
        <is>
          <t>Data</t>
        </is>
      </c>
    </row>
    <row r="6">
      <c r="A6" s="2" t="inlineStr">
        <is>
          <t>Issue Start Date</t>
        </is>
      </c>
      <c r="B6" s="3" t="n">
        <v>46127</v>
      </c>
      <c r="C6" s="2" t="inlineStr">
        <is>
          <t>Case study</t>
        </is>
      </c>
      <c r="D6" s="2" t="inlineStr">
        <is>
          <t>Given</t>
        </is>
      </c>
    </row>
    <row r="7">
      <c r="A7" s="2" t="inlineStr"/>
      <c r="B7" s="2" t="inlineStr"/>
      <c r="C7" s="2" t="inlineStr"/>
      <c r="D7" s="2" t="inlineStr"/>
    </row>
    <row r="8">
      <c r="A8" s="4" t="inlineStr">
        <is>
          <t>--- PCBA Inventory Status ---</t>
        </is>
      </c>
      <c r="B8" s="2" t="inlineStr"/>
      <c r="C8" s="2" t="inlineStr"/>
      <c r="D8" s="2" t="inlineStr"/>
    </row>
    <row r="9">
      <c r="A9" s="2" t="inlineStr">
        <is>
          <t>On-hold stock at plant</t>
        </is>
      </c>
      <c r="B9" s="2" t="n">
        <v>340000</v>
      </c>
      <c r="C9" s="2" t="inlineStr">
        <is>
          <t>BOM &amp; Inventory R8</t>
        </is>
      </c>
      <c r="D9" s="2" t="inlineStr">
        <is>
          <t>Data</t>
        </is>
      </c>
    </row>
    <row r="10">
      <c r="A10" s="2" t="inlineStr">
        <is>
          <t>On-hold pending PO at supplier</t>
        </is>
      </c>
      <c r="B10" s="2" t="n">
        <v>30000</v>
      </c>
      <c r="C10" s="2" t="inlineStr">
        <is>
          <t>BOM &amp; Inventory R8</t>
        </is>
      </c>
      <c r="D10" s="2" t="inlineStr">
        <is>
          <t>Data</t>
        </is>
      </c>
    </row>
    <row r="11">
      <c r="A11" s="2" t="inlineStr">
        <is>
          <t>Total on-hold PCBA</t>
        </is>
      </c>
      <c r="B11" s="2" t="n">
        <v>370000</v>
      </c>
      <c r="C11" s="2" t="inlineStr">
        <is>
          <t>Calculated</t>
        </is>
      </c>
      <c r="D11" s="2" t="inlineStr">
        <is>
          <t>Derived</t>
        </is>
      </c>
    </row>
    <row r="12">
      <c r="A12" s="2" t="inlineStr">
        <is>
          <t>PCBA unit price (USD)</t>
        </is>
      </c>
      <c r="B12" s="2" t="n">
        <v>15</v>
      </c>
      <c r="C12" s="2" t="inlineStr">
        <is>
          <t>BOM &amp; Inventory R8</t>
        </is>
      </c>
      <c r="D12" s="2" t="inlineStr">
        <is>
          <t>Data</t>
        </is>
      </c>
    </row>
    <row r="13">
      <c r="A13" s="2" t="inlineStr">
        <is>
          <t>Total on-hold value (USD)</t>
        </is>
      </c>
      <c r="B13" s="2" t="n">
        <v>5550000</v>
      </c>
      <c r="C13" s="2" t="inlineStr">
        <is>
          <t>Calculated</t>
        </is>
      </c>
      <c r="D13" s="2" t="inlineStr">
        <is>
          <t>Derived</t>
        </is>
      </c>
    </row>
    <row r="14">
      <c r="A14" s="2" t="inlineStr"/>
      <c r="B14" s="2" t="inlineStr"/>
      <c r="C14" s="2" t="inlineStr"/>
      <c r="D14" s="2" t="inlineStr"/>
    </row>
    <row r="15">
      <c r="A15" s="4" t="inlineStr">
        <is>
          <t>--- Reflash Option ---</t>
        </is>
      </c>
      <c r="B15" s="2" t="inlineStr"/>
      <c r="C15" s="2" t="inlineStr"/>
      <c r="D15" s="2" t="inlineStr"/>
    </row>
    <row r="16">
      <c r="A16" s="2" t="inlineStr">
        <is>
          <t>Reflash equipment arrival</t>
        </is>
      </c>
      <c r="B16" s="3" t="n">
        <v>46148</v>
      </c>
      <c r="C16" s="2" t="inlineStr">
        <is>
          <t>Case study (3 weeks)</t>
        </is>
      </c>
      <c r="D16" s="2" t="inlineStr">
        <is>
          <t>Given</t>
        </is>
      </c>
    </row>
    <row r="17">
      <c r="A17" s="2" t="inlineStr">
        <is>
          <t>Reflash wait (calendar days)</t>
        </is>
      </c>
      <c r="B17" s="2" t="n">
        <v>21</v>
      </c>
      <c r="C17" s="2" t="inlineStr">
        <is>
          <t>Case study</t>
        </is>
      </c>
      <c r="D17" s="2" t="inlineStr">
        <is>
          <t>Given</t>
        </is>
      </c>
    </row>
    <row r="18">
      <c r="A18" s="2" t="inlineStr">
        <is>
          <t>Reflash capacity per day</t>
        </is>
      </c>
      <c r="B18" s="5" t="inlineStr">
        <is>
          <t>Unlimited (all stock)</t>
        </is>
      </c>
      <c r="C18" s="2" t="inlineStr">
        <is>
          <t>Assumption</t>
        </is>
      </c>
      <c r="D18" s="2" t="inlineStr">
        <is>
          <t>Assumption</t>
        </is>
      </c>
    </row>
    <row r="19">
      <c r="A19" s="2" t="inlineStr">
        <is>
          <t>Reflash yield</t>
        </is>
      </c>
      <c r="B19" s="5" t="inlineStr">
        <is>
          <t>100%</t>
        </is>
      </c>
      <c r="C19" s="2" t="inlineStr">
        <is>
          <t>Assumption</t>
        </is>
      </c>
      <c r="D19" s="2" t="inlineStr">
        <is>
          <t>Assumption</t>
        </is>
      </c>
    </row>
    <row r="20">
      <c r="A20" s="2" t="inlineStr">
        <is>
          <t>Reflash cost per unit (USD)</t>
        </is>
      </c>
      <c r="B20" s="5" t="n">
        <v>0</v>
      </c>
      <c r="C20" s="2" t="inlineStr">
        <is>
          <t>Assumption (equipment cost only)</t>
        </is>
      </c>
      <c r="D20" s="2" t="inlineStr">
        <is>
          <t>Assumption</t>
        </is>
      </c>
    </row>
    <row r="21">
      <c r="A21" s="2" t="inlineStr">
        <is>
          <t>QC/release delay after reflash</t>
        </is>
      </c>
      <c r="B21" s="5" t="inlineStr">
        <is>
          <t>0 days</t>
        </is>
      </c>
      <c r="C21" s="2" t="inlineStr">
        <is>
          <t>Assumption</t>
        </is>
      </c>
      <c r="D21" s="2" t="inlineStr">
        <is>
          <t>Assumption</t>
        </is>
      </c>
    </row>
    <row r="22">
      <c r="A22" s="2" t="inlineStr"/>
      <c r="B22" s="2" t="inlineStr"/>
      <c r="C22" s="2" t="inlineStr"/>
      <c r="D22" s="2" t="inlineStr"/>
    </row>
    <row r="23">
      <c r="A23" s="4" t="inlineStr">
        <is>
          <t>--- New Supply Option ---</t>
        </is>
      </c>
      <c r="B23" s="2" t="inlineStr"/>
      <c r="C23" s="2" t="inlineStr"/>
      <c r="D23" s="2" t="inlineStr"/>
    </row>
    <row r="24">
      <c r="A24" s="2" t="inlineStr">
        <is>
          <t>Supplier new-build capacity</t>
        </is>
      </c>
      <c r="B24" s="2" t="inlineStr">
        <is>
          <t>4,000 PCBA/day</t>
        </is>
      </c>
      <c r="C24" s="2" t="inlineStr">
        <is>
          <t>Case study</t>
        </is>
      </c>
      <c r="D24" s="2" t="inlineStr">
        <is>
          <t>Given</t>
        </is>
      </c>
    </row>
    <row r="25">
      <c r="A25" s="2" t="inlineStr">
        <is>
          <t>Air lead time (calendar days)</t>
        </is>
      </c>
      <c r="B25" s="2" t="n">
        <v>3</v>
      </c>
      <c r="C25" s="2" t="inlineStr">
        <is>
          <t>Case study</t>
        </is>
      </c>
      <c r="D25" s="2" t="inlineStr">
        <is>
          <t>Given</t>
        </is>
      </c>
    </row>
    <row r="26">
      <c r="A26" s="2" t="inlineStr">
        <is>
          <t>Sea lead time (calendar days)</t>
        </is>
      </c>
      <c r="B26" s="2" t="n">
        <v>21</v>
      </c>
      <c r="C26" s="2" t="inlineStr">
        <is>
          <t>Case study</t>
        </is>
      </c>
      <c r="D26" s="2" t="inlineStr">
        <is>
          <t>Given</t>
        </is>
      </c>
    </row>
    <row r="27">
      <c r="A27" s="2" t="inlineStr">
        <is>
          <t>Air extra cost per PCBA (USD)</t>
        </is>
      </c>
      <c r="B27" s="2" t="n">
        <v>2</v>
      </c>
      <c r="C27" s="2" t="inlineStr">
        <is>
          <t>Case study</t>
        </is>
      </c>
      <c r="D27" s="2" t="inlineStr">
        <is>
          <t>Given</t>
        </is>
      </c>
    </row>
    <row r="28">
      <c r="A28" s="2" t="inlineStr">
        <is>
          <t>Sea extra cost per PCBA (USD)</t>
        </is>
      </c>
      <c r="B28" s="5" t="n">
        <v>0</v>
      </c>
      <c r="C28" s="2" t="inlineStr">
        <is>
          <t>Baseline (no extra)</t>
        </is>
      </c>
      <c r="D28" s="2" t="inlineStr">
        <is>
          <t>Assumption</t>
        </is>
      </c>
    </row>
    <row r="29">
      <c r="A29" s="2" t="inlineStr"/>
      <c r="B29" s="2" t="inlineStr"/>
      <c r="C29" s="2" t="inlineStr"/>
      <c r="D29" s="2" t="inlineStr"/>
    </row>
    <row r="30">
      <c r="A30" s="4" t="inlineStr">
        <is>
          <t>--- Planning Horizon ---</t>
        </is>
      </c>
      <c r="B30" s="2" t="inlineStr"/>
      <c r="C30" s="2" t="inlineStr"/>
      <c r="D30" s="2" t="inlineStr"/>
    </row>
    <row r="31">
      <c r="A31" s="2" t="inlineStr">
        <is>
          <t>Horizon start</t>
        </is>
      </c>
      <c r="B31" s="3" t="n">
        <v>46127</v>
      </c>
      <c r="C31" s="2" t="inlineStr">
        <is>
          <t>Case study</t>
        </is>
      </c>
      <c r="D31" s="2" t="inlineStr">
        <is>
          <t>Given</t>
        </is>
      </c>
    </row>
    <row r="32">
      <c r="A32" s="2" t="inlineStr">
        <is>
          <t>Horizon end</t>
        </is>
      </c>
      <c r="B32" s="3" t="n">
        <v>46157</v>
      </c>
      <c r="C32" s="2" t="inlineStr">
        <is>
          <t>Case study</t>
        </is>
      </c>
      <c r="D32" s="2" t="inlineStr">
        <is>
          <t>Given</t>
        </is>
      </c>
    </row>
    <row r="33">
      <c r="A33" s="2" t="inlineStr">
        <is>
          <t>Workdays in horizon</t>
        </is>
      </c>
      <c r="B33" s="2" t="n">
        <v>27</v>
      </c>
      <c r="C33" s="2" t="inlineStr">
        <is>
          <t>Calculated (Mon-Sat)</t>
        </is>
      </c>
      <c r="D33" s="2" t="inlineStr">
        <is>
          <t>Derived</t>
        </is>
      </c>
    </row>
    <row r="34">
      <c r="A34" s="2" t="inlineStr"/>
      <c r="B34" s="2" t="inlineStr"/>
      <c r="C34" s="2" t="inlineStr"/>
      <c r="D34" s="2" t="inlineStr"/>
    </row>
    <row r="35">
      <c r="A35" s="4" t="inlineStr">
        <is>
          <t>--- Recovery Decision ---</t>
        </is>
      </c>
      <c r="B35" s="2" t="inlineStr"/>
      <c r="C35" s="2" t="inlineStr"/>
      <c r="D35" s="2" t="inlineStr"/>
    </row>
    <row r="36">
      <c r="A36" s="2" t="inlineStr">
        <is>
          <t>Recovery level chosen</t>
        </is>
      </c>
      <c r="B36" s="2" t="inlineStr">
        <is>
          <t>60%</t>
        </is>
      </c>
      <c r="C36" s="2" t="inlineStr">
        <is>
          <t>recovery_analysis.py</t>
        </is>
      </c>
      <c r="D36" s="2" t="inlineStr">
        <is>
          <t>Decision</t>
        </is>
      </c>
    </row>
    <row r="37">
      <c r="A37" s="2" t="inlineStr">
        <is>
          <t>Max A shortage allowed</t>
        </is>
      </c>
      <c r="B37" s="2" t="n">
        <v>11674</v>
      </c>
      <c r="C37" s="2">
        <f> 29184 - 60% * 29184</f>
        <v/>
      </c>
      <c r="D37" s="2" t="inlineStr">
        <is>
          <t>Derived</t>
        </is>
      </c>
    </row>
    <row r="38">
      <c r="A38" s="2" t="inlineStr">
        <is>
          <t>Air PCBA shipped</t>
        </is>
      </c>
      <c r="B38" s="2" t="n">
        <v>35020</v>
      </c>
      <c r="C38" s="2" t="inlineStr">
        <is>
          <t>Solver output</t>
        </is>
      </c>
      <c r="D38" s="2" t="inlineStr">
        <is>
          <t>Output</t>
        </is>
      </c>
    </row>
    <row r="39">
      <c r="A39" s="2" t="inlineStr">
        <is>
          <t>Air freight cost (USD)</t>
        </is>
      </c>
      <c r="B39" s="2" t="n">
        <v>70040</v>
      </c>
      <c r="C39" s="2">
        <f> 35020 * $2</f>
        <v/>
      </c>
      <c r="D39" s="2" t="inlineStr">
        <is>
          <t>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18" customWidth="1" min="5" max="5"/>
    <col width="20" customWidth="1" min="6" max="6"/>
    <col width="20" customWidth="1" min="7" max="7"/>
    <col width="18" customWidth="1" min="8" max="8"/>
    <col width="20" customWidth="1" min="9" max="9"/>
    <col width="14" customWidth="1" min="10" max="10"/>
    <col width="14" customWidth="1" min="11" max="11"/>
    <col width="20" customWidth="1" min="12" max="12"/>
    <col width="20" customWidth="1" min="13" max="13"/>
    <col width="19" customWidth="1" min="14" max="14"/>
    <col width="20" customWidth="1" min="15" max="15"/>
    <col width="15" customWidth="1" min="16" max="16"/>
    <col width="20" customWidth="1" min="17" max="17"/>
    <col width="20" customWidth="1" min="18" max="18"/>
    <col width="20" customWidth="1" min="19" max="19"/>
    <col width="14" customWidth="1" min="20" max="20"/>
  </cols>
  <sheetData>
    <row r="1">
      <c r="A1" s="6" t="inlineStr">
        <is>
          <t>Workday #</t>
        </is>
      </c>
      <c r="B1" s="6" t="inlineStr">
        <is>
          <t>Date</t>
        </is>
      </c>
      <c r="C1" s="6" t="inlineStr">
        <is>
          <t>Cal Day</t>
        </is>
      </c>
      <c r="D1" s="6" t="inlineStr">
        <is>
          <t>Day Type</t>
        </is>
      </c>
      <c r="E1" s="6" t="inlineStr">
        <is>
          <t>Opening On-Hold</t>
        </is>
      </c>
      <c r="F1" s="6" t="inlineStr">
        <is>
          <t>Reflash Status</t>
        </is>
      </c>
      <c r="G1" s="6" t="inlineStr">
        <is>
          <t>Reflash Avail Today</t>
        </is>
      </c>
      <c r="H1" s="6" t="inlineStr">
        <is>
          <t>Cumul Reflashed</t>
        </is>
      </c>
      <c r="I1" s="6" t="inlineStr">
        <is>
          <t>New Build at Supplier</t>
        </is>
      </c>
      <c r="J1" s="6" t="inlineStr">
        <is>
          <t>Air Shipped</t>
        </is>
      </c>
      <c r="K1" s="6" t="inlineStr">
        <is>
          <t>Sea Shipped</t>
        </is>
      </c>
      <c r="L1" s="6" t="inlineStr">
        <is>
          <t>Air Arrived Today</t>
        </is>
      </c>
      <c r="M1" s="6" t="inlineStr">
        <is>
          <t>Sea Arrived Today</t>
        </is>
      </c>
      <c r="N1" s="6" t="inlineStr">
        <is>
          <t>Cumul New Usable</t>
        </is>
      </c>
      <c r="O1" s="6" t="inlineStr">
        <is>
          <t>Total Usable PCBA</t>
        </is>
      </c>
      <c r="P1" s="6" t="inlineStr">
        <is>
          <t>A Prod Today</t>
        </is>
      </c>
      <c r="Q1" s="6" t="inlineStr">
        <is>
          <t>PCBA Required Today</t>
        </is>
      </c>
      <c r="R1" s="6" t="inlineStr">
        <is>
          <t>Cumul PCBA Consumed</t>
        </is>
      </c>
      <c r="S1" s="6" t="inlineStr">
        <is>
          <t>Ending Usable Balance</t>
        </is>
      </c>
      <c r="T1" s="6" t="inlineStr">
        <is>
          <t>PCBA Status</t>
        </is>
      </c>
    </row>
    <row r="2">
      <c r="A2" s="2" t="n">
        <v>1</v>
      </c>
      <c r="B2" s="7" t="n">
        <v>46127</v>
      </c>
      <c r="C2" s="2" t="n">
        <v>0</v>
      </c>
      <c r="D2" s="2" t="inlineStr">
        <is>
          <t>Workday</t>
        </is>
      </c>
      <c r="E2" s="2" t="n">
        <v>370000</v>
      </c>
      <c r="F2" s="2" t="inlineStr">
        <is>
          <t>WAITING (21 days left)</t>
        </is>
      </c>
      <c r="G2" s="2" t="n">
        <v>0</v>
      </c>
      <c r="H2" s="2" t="n">
        <v>0</v>
      </c>
      <c r="I2" s="2" t="n">
        <v>4000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8" t="inlineStr">
        <is>
          <t>BLOCKED</t>
        </is>
      </c>
    </row>
    <row r="3">
      <c r="A3" s="2" t="n">
        <v>2</v>
      </c>
      <c r="B3" s="7" t="n">
        <v>46128</v>
      </c>
      <c r="C3" s="2" t="n">
        <v>1</v>
      </c>
      <c r="D3" s="2" t="inlineStr">
        <is>
          <t>Workday</t>
        </is>
      </c>
      <c r="E3" s="2" t="n">
        <v>370000</v>
      </c>
      <c r="F3" s="2" t="inlineStr">
        <is>
          <t>WAITING (20 days left)</t>
        </is>
      </c>
      <c r="G3" s="2" t="n">
        <v>0</v>
      </c>
      <c r="H3" s="2" t="n">
        <v>0</v>
      </c>
      <c r="I3" s="2" t="n">
        <v>4000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8" t="inlineStr">
        <is>
          <t>BLOCKED</t>
        </is>
      </c>
    </row>
    <row r="4">
      <c r="A4" s="2" t="n">
        <v>3</v>
      </c>
      <c r="B4" s="7" t="n">
        <v>46129</v>
      </c>
      <c r="C4" s="2" t="n">
        <v>2</v>
      </c>
      <c r="D4" s="2" t="inlineStr">
        <is>
          <t>Workday</t>
        </is>
      </c>
      <c r="E4" s="2" t="n">
        <v>370000</v>
      </c>
      <c r="F4" s="2" t="inlineStr">
        <is>
          <t>WAITING (19 days left)</t>
        </is>
      </c>
      <c r="G4" s="2" t="n">
        <v>0</v>
      </c>
      <c r="H4" s="2" t="n">
        <v>0</v>
      </c>
      <c r="I4" s="2" t="n">
        <v>4000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8" t="inlineStr">
        <is>
          <t>BLOCKED</t>
        </is>
      </c>
    </row>
    <row r="5">
      <c r="A5" s="2" t="n">
        <v>4</v>
      </c>
      <c r="B5" s="7" t="n">
        <v>46130</v>
      </c>
      <c r="C5" s="2" t="n">
        <v>3</v>
      </c>
      <c r="D5" s="2" t="inlineStr">
        <is>
          <t>Workday</t>
        </is>
      </c>
      <c r="E5" s="2" t="n">
        <v>370000</v>
      </c>
      <c r="F5" s="2" t="inlineStr">
        <is>
          <t>WAITING (18 days left)</t>
        </is>
      </c>
      <c r="G5" s="2" t="n">
        <v>0</v>
      </c>
      <c r="H5" s="2" t="n">
        <v>0</v>
      </c>
      <c r="I5" s="2" t="n">
        <v>4000</v>
      </c>
      <c r="J5" s="2" t="n">
        <v>4000</v>
      </c>
      <c r="K5" s="2" t="n">
        <v>0</v>
      </c>
      <c r="L5" s="2" t="n">
        <v>4000</v>
      </c>
      <c r="M5" s="2" t="n">
        <v>0</v>
      </c>
      <c r="N5" s="2" t="n">
        <v>4000</v>
      </c>
      <c r="O5" s="2" t="n">
        <v>4000</v>
      </c>
      <c r="P5" s="2" t="n">
        <v>0</v>
      </c>
      <c r="Q5" s="2" t="n">
        <v>0</v>
      </c>
      <c r="R5" s="2" t="n">
        <v>0</v>
      </c>
      <c r="S5" s="2" t="n">
        <v>4000</v>
      </c>
      <c r="T5" s="9" t="inlineStr">
        <is>
          <t>OK</t>
        </is>
      </c>
    </row>
    <row r="6">
      <c r="A6" s="2" t="n">
        <v>5</v>
      </c>
      <c r="B6" s="7" t="n">
        <v>46132</v>
      </c>
      <c r="C6" s="2" t="n">
        <v>5</v>
      </c>
      <c r="D6" s="2" t="inlineStr">
        <is>
          <t>Workday</t>
        </is>
      </c>
      <c r="E6" s="2" t="n">
        <v>370000</v>
      </c>
      <c r="F6" s="2" t="inlineStr">
        <is>
          <t>WAITING (16 days left)</t>
        </is>
      </c>
      <c r="G6" s="2" t="n">
        <v>0</v>
      </c>
      <c r="H6" s="2" t="n">
        <v>0</v>
      </c>
      <c r="I6" s="2" t="n">
        <v>4000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4000</v>
      </c>
      <c r="O6" s="2" t="n">
        <v>4000</v>
      </c>
      <c r="P6" s="2" t="n">
        <v>510</v>
      </c>
      <c r="Q6" s="2" t="n">
        <v>1020</v>
      </c>
      <c r="R6" s="2" t="n">
        <v>1020</v>
      </c>
      <c r="S6" s="2" t="n">
        <v>2980</v>
      </c>
      <c r="T6" s="9" t="inlineStr">
        <is>
          <t>OK</t>
        </is>
      </c>
    </row>
    <row r="7">
      <c r="A7" s="2" t="n">
        <v>6</v>
      </c>
      <c r="B7" s="7" t="n">
        <v>46133</v>
      </c>
      <c r="C7" s="2" t="n">
        <v>6</v>
      </c>
      <c r="D7" s="2" t="inlineStr">
        <is>
          <t>Workday</t>
        </is>
      </c>
      <c r="E7" s="2" t="n">
        <v>370000</v>
      </c>
      <c r="F7" s="2" t="inlineStr">
        <is>
          <t>WAITING (15 days left)</t>
        </is>
      </c>
      <c r="G7" s="2" t="n">
        <v>0</v>
      </c>
      <c r="H7" s="2" t="n">
        <v>0</v>
      </c>
      <c r="I7" s="2" t="n">
        <v>4000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4000</v>
      </c>
      <c r="O7" s="2" t="n">
        <v>4000</v>
      </c>
      <c r="P7" s="2" t="n">
        <v>0</v>
      </c>
      <c r="Q7" s="2" t="n">
        <v>0</v>
      </c>
      <c r="R7" s="2" t="n">
        <v>1020</v>
      </c>
      <c r="S7" s="2" t="n">
        <v>2980</v>
      </c>
      <c r="T7" s="9" t="inlineStr">
        <is>
          <t>OK</t>
        </is>
      </c>
    </row>
    <row r="8">
      <c r="A8" s="2" t="n">
        <v>7</v>
      </c>
      <c r="B8" s="7" t="n">
        <v>46134</v>
      </c>
      <c r="C8" s="2" t="n">
        <v>7</v>
      </c>
      <c r="D8" s="2" t="inlineStr">
        <is>
          <t>Workday</t>
        </is>
      </c>
      <c r="E8" s="2" t="n">
        <v>370000</v>
      </c>
      <c r="F8" s="2" t="inlineStr">
        <is>
          <t>WAITING (14 days left)</t>
        </is>
      </c>
      <c r="G8" s="2" t="n">
        <v>0</v>
      </c>
      <c r="H8" s="2" t="n">
        <v>0</v>
      </c>
      <c r="I8" s="2" t="n">
        <v>4000</v>
      </c>
      <c r="J8" s="2" t="n">
        <v>2020</v>
      </c>
      <c r="K8" s="2" t="n">
        <v>0</v>
      </c>
      <c r="L8" s="2" t="n">
        <v>2020</v>
      </c>
      <c r="M8" s="2" t="n">
        <v>0</v>
      </c>
      <c r="N8" s="2" t="n">
        <v>6020</v>
      </c>
      <c r="O8" s="2" t="n">
        <v>6020</v>
      </c>
      <c r="P8" s="2" t="n">
        <v>2500</v>
      </c>
      <c r="Q8" s="2" t="n">
        <v>5000</v>
      </c>
      <c r="R8" s="2" t="n">
        <v>6020</v>
      </c>
      <c r="S8" s="2" t="n">
        <v>0</v>
      </c>
      <c r="T8" s="10" t="inlineStr">
        <is>
          <t>TIGHT</t>
        </is>
      </c>
    </row>
    <row r="9">
      <c r="A9" s="2" t="n">
        <v>8</v>
      </c>
      <c r="B9" s="7" t="n">
        <v>46135</v>
      </c>
      <c r="C9" s="2" t="n">
        <v>8</v>
      </c>
      <c r="D9" s="2" t="inlineStr">
        <is>
          <t>Workday</t>
        </is>
      </c>
      <c r="E9" s="2" t="n">
        <v>370000</v>
      </c>
      <c r="F9" s="2" t="inlineStr">
        <is>
          <t>WAITING (13 days left)</t>
        </is>
      </c>
      <c r="G9" s="2" t="n">
        <v>0</v>
      </c>
      <c r="H9" s="2" t="n">
        <v>0</v>
      </c>
      <c r="I9" s="2" t="n">
        <v>4000</v>
      </c>
      <c r="J9" s="2" t="n">
        <v>4000</v>
      </c>
      <c r="K9" s="2" t="n">
        <v>0</v>
      </c>
      <c r="L9" s="2" t="n">
        <v>4000</v>
      </c>
      <c r="M9" s="2" t="n">
        <v>0</v>
      </c>
      <c r="N9" s="2" t="n">
        <v>10020</v>
      </c>
      <c r="O9" s="2" t="n">
        <v>10020</v>
      </c>
      <c r="P9" s="2" t="n">
        <v>0</v>
      </c>
      <c r="Q9" s="2" t="n">
        <v>0</v>
      </c>
      <c r="R9" s="2" t="n">
        <v>6020</v>
      </c>
      <c r="S9" s="2" t="n">
        <v>4000</v>
      </c>
      <c r="T9" s="9" t="inlineStr">
        <is>
          <t>OK</t>
        </is>
      </c>
    </row>
    <row r="10">
      <c r="A10" s="2" t="n">
        <v>9</v>
      </c>
      <c r="B10" s="7" t="n">
        <v>46136</v>
      </c>
      <c r="C10" s="2" t="n">
        <v>9</v>
      </c>
      <c r="D10" s="2" t="inlineStr">
        <is>
          <t>Workday</t>
        </is>
      </c>
      <c r="E10" s="2" t="n">
        <v>370000</v>
      </c>
      <c r="F10" s="2" t="inlineStr">
        <is>
          <t>WAITING (12 days left)</t>
        </is>
      </c>
      <c r="G10" s="2" t="n">
        <v>0</v>
      </c>
      <c r="H10" s="2" t="n">
        <v>0</v>
      </c>
      <c r="I10" s="2" t="n">
        <v>4000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10020</v>
      </c>
      <c r="O10" s="2" t="n">
        <v>10020</v>
      </c>
      <c r="P10" s="2" t="n">
        <v>0</v>
      </c>
      <c r="Q10" s="2" t="n">
        <v>0</v>
      </c>
      <c r="R10" s="2" t="n">
        <v>6020</v>
      </c>
      <c r="S10" s="2" t="n">
        <v>4000</v>
      </c>
      <c r="T10" s="9" t="inlineStr">
        <is>
          <t>OK</t>
        </is>
      </c>
    </row>
    <row r="11">
      <c r="A11" s="2" t="n">
        <v>10</v>
      </c>
      <c r="B11" s="7" t="n">
        <v>46137</v>
      </c>
      <c r="C11" s="2" t="n">
        <v>10</v>
      </c>
      <c r="D11" s="2" t="inlineStr">
        <is>
          <t>Workday</t>
        </is>
      </c>
      <c r="E11" s="2" t="n">
        <v>370000</v>
      </c>
      <c r="F11" s="2" t="inlineStr">
        <is>
          <t>WAITING (11 days left)</t>
        </is>
      </c>
      <c r="G11" s="2" t="n">
        <v>0</v>
      </c>
      <c r="H11" s="2" t="n">
        <v>0</v>
      </c>
      <c r="I11" s="2" t="n">
        <v>4000</v>
      </c>
      <c r="J11" s="2" t="n">
        <v>4000</v>
      </c>
      <c r="K11" s="2" t="n">
        <v>0</v>
      </c>
      <c r="L11" s="2" t="n">
        <v>4000</v>
      </c>
      <c r="M11" s="2" t="n">
        <v>0</v>
      </c>
      <c r="N11" s="2" t="n">
        <v>14020</v>
      </c>
      <c r="O11" s="2" t="n">
        <v>14020</v>
      </c>
      <c r="P11" s="2" t="n">
        <v>2500</v>
      </c>
      <c r="Q11" s="2" t="n">
        <v>5000</v>
      </c>
      <c r="R11" s="2" t="n">
        <v>11020</v>
      </c>
      <c r="S11" s="2" t="n">
        <v>3000</v>
      </c>
      <c r="T11" s="9" t="inlineStr">
        <is>
          <t>OK</t>
        </is>
      </c>
    </row>
    <row r="12">
      <c r="A12" s="2" t="n">
        <v>11</v>
      </c>
      <c r="B12" s="7" t="n">
        <v>46139</v>
      </c>
      <c r="C12" s="2" t="n">
        <v>12</v>
      </c>
      <c r="D12" s="2" t="inlineStr">
        <is>
          <t>Workday</t>
        </is>
      </c>
      <c r="E12" s="2" t="n">
        <v>370000</v>
      </c>
      <c r="F12" s="2" t="inlineStr">
        <is>
          <t>WAITING (9 days left)</t>
        </is>
      </c>
      <c r="G12" s="2" t="n">
        <v>0</v>
      </c>
      <c r="H12" s="2" t="n">
        <v>0</v>
      </c>
      <c r="I12" s="2" t="n">
        <v>4000</v>
      </c>
      <c r="J12" s="2" t="n">
        <v>3000</v>
      </c>
      <c r="K12" s="2" t="n">
        <v>0</v>
      </c>
      <c r="L12" s="2" t="n">
        <v>3000</v>
      </c>
      <c r="M12" s="2" t="n">
        <v>0</v>
      </c>
      <c r="N12" s="2" t="n">
        <v>17020</v>
      </c>
      <c r="O12" s="2" t="n">
        <v>17020</v>
      </c>
      <c r="P12" s="2" t="n">
        <v>2500</v>
      </c>
      <c r="Q12" s="2" t="n">
        <v>5000</v>
      </c>
      <c r="R12" s="2" t="n">
        <v>16020</v>
      </c>
      <c r="S12" s="2" t="n">
        <v>1000</v>
      </c>
      <c r="T12" s="9" t="inlineStr">
        <is>
          <t>OK</t>
        </is>
      </c>
    </row>
    <row r="13">
      <c r="A13" s="2" t="n">
        <v>12</v>
      </c>
      <c r="B13" s="7" t="n">
        <v>46140</v>
      </c>
      <c r="C13" s="2" t="n">
        <v>13</v>
      </c>
      <c r="D13" s="2" t="inlineStr">
        <is>
          <t>Workday</t>
        </is>
      </c>
      <c r="E13" s="2" t="n">
        <v>370000</v>
      </c>
      <c r="F13" s="2" t="inlineStr">
        <is>
          <t>WAITING (8 days left)</t>
        </is>
      </c>
      <c r="G13" s="2" t="n">
        <v>0</v>
      </c>
      <c r="H13" s="2" t="n">
        <v>0</v>
      </c>
      <c r="I13" s="2" t="n">
        <v>4000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17020</v>
      </c>
      <c r="O13" s="2" t="n">
        <v>17020</v>
      </c>
      <c r="P13" s="2" t="n">
        <v>0</v>
      </c>
      <c r="Q13" s="2" t="n">
        <v>0</v>
      </c>
      <c r="R13" s="2" t="n">
        <v>16020</v>
      </c>
      <c r="S13" s="2" t="n">
        <v>1000</v>
      </c>
      <c r="T13" s="9" t="inlineStr">
        <is>
          <t>OK</t>
        </is>
      </c>
    </row>
    <row r="14">
      <c r="A14" s="2" t="n">
        <v>13</v>
      </c>
      <c r="B14" s="7" t="n">
        <v>46141</v>
      </c>
      <c r="C14" s="2" t="n">
        <v>14</v>
      </c>
      <c r="D14" s="2" t="inlineStr">
        <is>
          <t>Workday</t>
        </is>
      </c>
      <c r="E14" s="2" t="n">
        <v>370000</v>
      </c>
      <c r="F14" s="2" t="inlineStr">
        <is>
          <t>WAITING (7 days left)</t>
        </is>
      </c>
      <c r="G14" s="2" t="n">
        <v>0</v>
      </c>
      <c r="H14" s="2" t="n">
        <v>0</v>
      </c>
      <c r="I14" s="2" t="n">
        <v>4000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17020</v>
      </c>
      <c r="O14" s="2" t="n">
        <v>17020</v>
      </c>
      <c r="P14" s="2" t="n">
        <v>0</v>
      </c>
      <c r="Q14" s="2" t="n">
        <v>0</v>
      </c>
      <c r="R14" s="2" t="n">
        <v>16020</v>
      </c>
      <c r="S14" s="2" t="n">
        <v>1000</v>
      </c>
      <c r="T14" s="9" t="inlineStr">
        <is>
          <t>OK</t>
        </is>
      </c>
    </row>
    <row r="15">
      <c r="A15" s="2" t="n">
        <v>14</v>
      </c>
      <c r="B15" s="7" t="n">
        <v>46142</v>
      </c>
      <c r="C15" s="2" t="n">
        <v>15</v>
      </c>
      <c r="D15" s="2" t="inlineStr">
        <is>
          <t>Workday</t>
        </is>
      </c>
      <c r="E15" s="2" t="n">
        <v>370000</v>
      </c>
      <c r="F15" s="2" t="inlineStr">
        <is>
          <t>WAITING (6 days left)</t>
        </is>
      </c>
      <c r="G15" s="2" t="n">
        <v>0</v>
      </c>
      <c r="H15" s="2" t="n">
        <v>0</v>
      </c>
      <c r="I15" s="2" t="n">
        <v>4000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17020</v>
      </c>
      <c r="O15" s="2" t="n">
        <v>17020</v>
      </c>
      <c r="P15" s="2" t="n">
        <v>0</v>
      </c>
      <c r="Q15" s="2" t="n">
        <v>0</v>
      </c>
      <c r="R15" s="2" t="n">
        <v>16020</v>
      </c>
      <c r="S15" s="2" t="n">
        <v>1000</v>
      </c>
      <c r="T15" s="9" t="inlineStr">
        <is>
          <t>OK</t>
        </is>
      </c>
    </row>
    <row r="16">
      <c r="A16" s="2" t="n">
        <v>15</v>
      </c>
      <c r="B16" s="7" t="n">
        <v>46143</v>
      </c>
      <c r="C16" s="2" t="n">
        <v>16</v>
      </c>
      <c r="D16" s="2" t="inlineStr">
        <is>
          <t>Workday</t>
        </is>
      </c>
      <c r="E16" s="2" t="n">
        <v>370000</v>
      </c>
      <c r="F16" s="2" t="inlineStr">
        <is>
          <t>WAITING (5 days left)</t>
        </is>
      </c>
      <c r="G16" s="2" t="n">
        <v>0</v>
      </c>
      <c r="H16" s="2" t="n">
        <v>0</v>
      </c>
      <c r="I16" s="2" t="n">
        <v>4000</v>
      </c>
      <c r="J16" s="2" t="n">
        <v>4000</v>
      </c>
      <c r="K16" s="2" t="n">
        <v>0</v>
      </c>
      <c r="L16" s="2" t="n">
        <v>4000</v>
      </c>
      <c r="M16" s="2" t="n">
        <v>0</v>
      </c>
      <c r="N16" s="2" t="n">
        <v>21020</v>
      </c>
      <c r="O16" s="2" t="n">
        <v>21020</v>
      </c>
      <c r="P16" s="2" t="n">
        <v>2500</v>
      </c>
      <c r="Q16" s="2" t="n">
        <v>5000</v>
      </c>
      <c r="R16" s="2" t="n">
        <v>21020</v>
      </c>
      <c r="S16" s="2" t="n">
        <v>0</v>
      </c>
      <c r="T16" s="10" t="inlineStr">
        <is>
          <t>TIGHT</t>
        </is>
      </c>
    </row>
    <row r="17">
      <c r="A17" s="2" t="n">
        <v>16</v>
      </c>
      <c r="B17" s="7" t="n">
        <v>46144</v>
      </c>
      <c r="C17" s="2" t="n">
        <v>17</v>
      </c>
      <c r="D17" s="2" t="inlineStr">
        <is>
          <t>Workday</t>
        </is>
      </c>
      <c r="E17" s="2" t="n">
        <v>370000</v>
      </c>
      <c r="F17" s="2" t="inlineStr">
        <is>
          <t>WAITING (4 days left)</t>
        </is>
      </c>
      <c r="G17" s="2" t="n">
        <v>0</v>
      </c>
      <c r="H17" s="2" t="n">
        <v>0</v>
      </c>
      <c r="I17" s="2" t="n">
        <v>4000</v>
      </c>
      <c r="J17" s="2" t="n">
        <v>4000</v>
      </c>
      <c r="K17" s="2" t="n">
        <v>0</v>
      </c>
      <c r="L17" s="2" t="n">
        <v>4000</v>
      </c>
      <c r="M17" s="2" t="n">
        <v>0</v>
      </c>
      <c r="N17" s="2" t="n">
        <v>25020</v>
      </c>
      <c r="O17" s="2" t="n">
        <v>25020</v>
      </c>
      <c r="P17" s="2" t="n">
        <v>2000</v>
      </c>
      <c r="Q17" s="2" t="n">
        <v>4000</v>
      </c>
      <c r="R17" s="2" t="n">
        <v>25020</v>
      </c>
      <c r="S17" s="2" t="n">
        <v>0</v>
      </c>
      <c r="T17" s="10" t="inlineStr">
        <is>
          <t>TIGHT</t>
        </is>
      </c>
    </row>
    <row r="18">
      <c r="A18" s="2" t="n">
        <v>17</v>
      </c>
      <c r="B18" s="7" t="n">
        <v>46146</v>
      </c>
      <c r="C18" s="2" t="n">
        <v>19</v>
      </c>
      <c r="D18" s="2" t="inlineStr">
        <is>
          <t>Workday</t>
        </is>
      </c>
      <c r="E18" s="2" t="n">
        <v>370000</v>
      </c>
      <c r="F18" s="2" t="inlineStr">
        <is>
          <t>WAITING (2 days left)</t>
        </is>
      </c>
      <c r="G18" s="2" t="n">
        <v>0</v>
      </c>
      <c r="H18" s="2" t="n">
        <v>0</v>
      </c>
      <c r="I18" s="2" t="n">
        <v>4000</v>
      </c>
      <c r="J18" s="2" t="n">
        <v>4000</v>
      </c>
      <c r="K18" s="2" t="n">
        <v>0</v>
      </c>
      <c r="L18" s="2" t="n">
        <v>4000</v>
      </c>
      <c r="M18" s="2" t="n">
        <v>0</v>
      </c>
      <c r="N18" s="2" t="n">
        <v>31020</v>
      </c>
      <c r="O18" s="2" t="n">
        <v>31020</v>
      </c>
      <c r="P18" s="2" t="n">
        <v>2500</v>
      </c>
      <c r="Q18" s="2" t="n">
        <v>5000</v>
      </c>
      <c r="R18" s="2" t="n">
        <v>30020</v>
      </c>
      <c r="S18" s="2" t="n">
        <v>1000</v>
      </c>
      <c r="T18" s="9" t="inlineStr">
        <is>
          <t>OK</t>
        </is>
      </c>
    </row>
    <row r="19">
      <c r="A19" s="2" t="n">
        <v>18</v>
      </c>
      <c r="B19" s="7" t="n">
        <v>46147</v>
      </c>
      <c r="C19" s="2" t="n">
        <v>20</v>
      </c>
      <c r="D19" s="2" t="inlineStr">
        <is>
          <t>Workday</t>
        </is>
      </c>
      <c r="E19" s="2" t="n">
        <v>370000</v>
      </c>
      <c r="F19" s="2" t="inlineStr">
        <is>
          <t>WAITING (1 days left)</t>
        </is>
      </c>
      <c r="G19" s="2" t="n">
        <v>0</v>
      </c>
      <c r="H19" s="2" t="n">
        <v>0</v>
      </c>
      <c r="I19" s="2" t="n">
        <v>4000</v>
      </c>
      <c r="J19" s="2" t="n">
        <v>4000</v>
      </c>
      <c r="K19" s="2" t="n">
        <v>0</v>
      </c>
      <c r="L19" s="2" t="n">
        <v>4000</v>
      </c>
      <c r="M19" s="2" t="n">
        <v>0</v>
      </c>
      <c r="N19" s="2" t="n">
        <v>35020</v>
      </c>
      <c r="O19" s="2" t="n">
        <v>35020</v>
      </c>
      <c r="P19" s="2" t="n">
        <v>2500</v>
      </c>
      <c r="Q19" s="2" t="n">
        <v>5000</v>
      </c>
      <c r="R19" s="2" t="n">
        <v>35020</v>
      </c>
      <c r="S19" s="2" t="n">
        <v>0</v>
      </c>
      <c r="T19" s="10" t="inlineStr">
        <is>
          <t>TIGHT</t>
        </is>
      </c>
    </row>
    <row r="20">
      <c r="A20" s="2" t="n">
        <v>19</v>
      </c>
      <c r="B20" s="7" t="n">
        <v>46148</v>
      </c>
      <c r="C20" s="2" t="n">
        <v>21</v>
      </c>
      <c r="D20" s="2" t="inlineStr">
        <is>
          <t>Workday</t>
        </is>
      </c>
      <c r="E20" s="2" t="n">
        <v>0</v>
      </c>
      <c r="F20" s="2" t="inlineStr">
        <is>
          <t>AVAILABLE</t>
        </is>
      </c>
      <c r="G20" s="2" t="n">
        <v>370000</v>
      </c>
      <c r="H20" s="2" t="n">
        <v>370000</v>
      </c>
      <c r="I20" s="2" t="n">
        <v>4000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35020</v>
      </c>
      <c r="O20" s="2" t="n">
        <v>405020</v>
      </c>
      <c r="P20" s="2" t="n">
        <v>2500</v>
      </c>
      <c r="Q20" s="2" t="n">
        <v>5000</v>
      </c>
      <c r="R20" s="2" t="n">
        <v>40020</v>
      </c>
      <c r="S20" s="2" t="n">
        <v>365000</v>
      </c>
      <c r="T20" s="9" t="inlineStr">
        <is>
          <t>OK</t>
        </is>
      </c>
    </row>
    <row r="21">
      <c r="A21" s="2" t="n">
        <v>20</v>
      </c>
      <c r="B21" s="7" t="n">
        <v>46149</v>
      </c>
      <c r="C21" s="2" t="n">
        <v>22</v>
      </c>
      <c r="D21" s="2" t="inlineStr">
        <is>
          <t>Workday</t>
        </is>
      </c>
      <c r="E21" s="2" t="n">
        <v>0</v>
      </c>
      <c r="F21" s="2" t="inlineStr">
        <is>
          <t>AVAILABLE</t>
        </is>
      </c>
      <c r="G21" s="2" t="n">
        <v>0</v>
      </c>
      <c r="H21" s="2" t="n">
        <v>370000</v>
      </c>
      <c r="I21" s="2" t="n">
        <v>4000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35020</v>
      </c>
      <c r="O21" s="2" t="n">
        <v>405020</v>
      </c>
      <c r="P21" s="2" t="n">
        <v>2500</v>
      </c>
      <c r="Q21" s="2" t="n">
        <v>5000</v>
      </c>
      <c r="R21" s="2" t="n">
        <v>45020</v>
      </c>
      <c r="S21" s="2" t="n">
        <v>360000</v>
      </c>
      <c r="T21" s="9" t="inlineStr">
        <is>
          <t>OK</t>
        </is>
      </c>
    </row>
    <row r="22">
      <c r="A22" s="2" t="n">
        <v>21</v>
      </c>
      <c r="B22" s="7" t="n">
        <v>46150</v>
      </c>
      <c r="C22" s="2" t="n">
        <v>23</v>
      </c>
      <c r="D22" s="2" t="inlineStr">
        <is>
          <t>Workday</t>
        </is>
      </c>
      <c r="E22" s="2" t="n">
        <v>0</v>
      </c>
      <c r="F22" s="2" t="inlineStr">
        <is>
          <t>AVAILABLE</t>
        </is>
      </c>
      <c r="G22" s="2" t="n">
        <v>0</v>
      </c>
      <c r="H22" s="2" t="n">
        <v>370000</v>
      </c>
      <c r="I22" s="2" t="n">
        <v>4000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35020</v>
      </c>
      <c r="O22" s="2" t="n">
        <v>405020</v>
      </c>
      <c r="P22" s="2" t="n">
        <v>2500</v>
      </c>
      <c r="Q22" s="2" t="n">
        <v>5000</v>
      </c>
      <c r="R22" s="2" t="n">
        <v>50020</v>
      </c>
      <c r="S22" s="2" t="n">
        <v>355000</v>
      </c>
      <c r="T22" s="9" t="inlineStr">
        <is>
          <t>OK</t>
        </is>
      </c>
    </row>
    <row r="23">
      <c r="A23" s="2" t="n">
        <v>22</v>
      </c>
      <c r="B23" s="7" t="n">
        <v>46151</v>
      </c>
      <c r="C23" s="2" t="n">
        <v>24</v>
      </c>
      <c r="D23" s="2" t="inlineStr">
        <is>
          <t>Workday</t>
        </is>
      </c>
      <c r="E23" s="2" t="n">
        <v>0</v>
      </c>
      <c r="F23" s="2" t="inlineStr">
        <is>
          <t>AVAILABLE</t>
        </is>
      </c>
      <c r="G23" s="2" t="n">
        <v>0</v>
      </c>
      <c r="H23" s="2" t="n">
        <v>370000</v>
      </c>
      <c r="I23" s="2" t="n">
        <v>4000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35020</v>
      </c>
      <c r="O23" s="2" t="n">
        <v>405020</v>
      </c>
      <c r="P23" s="2" t="n">
        <v>2500</v>
      </c>
      <c r="Q23" s="2" t="n">
        <v>5000</v>
      </c>
      <c r="R23" s="2" t="n">
        <v>55020</v>
      </c>
      <c r="S23" s="2" t="n">
        <v>350000</v>
      </c>
      <c r="T23" s="9" t="inlineStr">
        <is>
          <t>OK</t>
        </is>
      </c>
    </row>
    <row r="24">
      <c r="A24" s="2" t="n">
        <v>23</v>
      </c>
      <c r="B24" s="7" t="n">
        <v>46153</v>
      </c>
      <c r="C24" s="2" t="n">
        <v>26</v>
      </c>
      <c r="D24" s="2" t="inlineStr">
        <is>
          <t>Workday</t>
        </is>
      </c>
      <c r="E24" s="2" t="n">
        <v>0</v>
      </c>
      <c r="F24" s="2" t="inlineStr">
        <is>
          <t>AVAILABLE</t>
        </is>
      </c>
      <c r="G24" s="2" t="n">
        <v>0</v>
      </c>
      <c r="H24" s="2" t="n">
        <v>370000</v>
      </c>
      <c r="I24" s="2" t="n">
        <v>4000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35020</v>
      </c>
      <c r="O24" s="2" t="n">
        <v>405020</v>
      </c>
      <c r="P24" s="2" t="n">
        <v>2500</v>
      </c>
      <c r="Q24" s="2" t="n">
        <v>5000</v>
      </c>
      <c r="R24" s="2" t="n">
        <v>60020</v>
      </c>
      <c r="S24" s="2" t="n">
        <v>345000</v>
      </c>
      <c r="T24" s="9" t="inlineStr">
        <is>
          <t>OK</t>
        </is>
      </c>
    </row>
    <row r="25">
      <c r="A25" s="2" t="n">
        <v>24</v>
      </c>
      <c r="B25" s="7" t="n">
        <v>46154</v>
      </c>
      <c r="C25" s="2" t="n">
        <v>27</v>
      </c>
      <c r="D25" s="2" t="inlineStr">
        <is>
          <t>Workday</t>
        </is>
      </c>
      <c r="E25" s="2" t="n">
        <v>0</v>
      </c>
      <c r="F25" s="2" t="inlineStr">
        <is>
          <t>AVAILABLE</t>
        </is>
      </c>
      <c r="G25" s="2" t="n">
        <v>0</v>
      </c>
      <c r="H25" s="2" t="n">
        <v>370000</v>
      </c>
      <c r="I25" s="2" t="n">
        <v>4000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35020</v>
      </c>
      <c r="O25" s="2" t="n">
        <v>405020</v>
      </c>
      <c r="P25" s="2" t="n">
        <v>2500</v>
      </c>
      <c r="Q25" s="2" t="n">
        <v>5000</v>
      </c>
      <c r="R25" s="2" t="n">
        <v>65020</v>
      </c>
      <c r="S25" s="2" t="n">
        <v>340000</v>
      </c>
      <c r="T25" s="9" t="inlineStr">
        <is>
          <t>OK</t>
        </is>
      </c>
    </row>
    <row r="26">
      <c r="A26" s="2" t="n">
        <v>25</v>
      </c>
      <c r="B26" s="7" t="n">
        <v>46155</v>
      </c>
      <c r="C26" s="2" t="n">
        <v>28</v>
      </c>
      <c r="D26" s="2" t="inlineStr">
        <is>
          <t>Workday</t>
        </is>
      </c>
      <c r="E26" s="2" t="n">
        <v>0</v>
      </c>
      <c r="F26" s="2" t="inlineStr">
        <is>
          <t>AVAILABLE</t>
        </is>
      </c>
      <c r="G26" s="2" t="n">
        <v>0</v>
      </c>
      <c r="H26" s="2" t="n">
        <v>370000</v>
      </c>
      <c r="I26" s="2" t="n">
        <v>4000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35020</v>
      </c>
      <c r="O26" s="2" t="n">
        <v>405020</v>
      </c>
      <c r="P26" s="2" t="n">
        <v>2500</v>
      </c>
      <c r="Q26" s="2" t="n">
        <v>5000</v>
      </c>
      <c r="R26" s="2" t="n">
        <v>70020</v>
      </c>
      <c r="S26" s="2" t="n">
        <v>335000</v>
      </c>
      <c r="T26" s="9" t="inlineStr">
        <is>
          <t>OK</t>
        </is>
      </c>
    </row>
    <row r="27">
      <c r="A27" s="2" t="n">
        <v>26</v>
      </c>
      <c r="B27" s="7" t="n">
        <v>46156</v>
      </c>
      <c r="C27" s="2" t="n">
        <v>29</v>
      </c>
      <c r="D27" s="2" t="inlineStr">
        <is>
          <t>Workday</t>
        </is>
      </c>
      <c r="E27" s="2" t="n">
        <v>0</v>
      </c>
      <c r="F27" s="2" t="inlineStr">
        <is>
          <t>AVAILABLE</t>
        </is>
      </c>
      <c r="G27" s="2" t="n">
        <v>0</v>
      </c>
      <c r="H27" s="2" t="n">
        <v>370000</v>
      </c>
      <c r="I27" s="2" t="n">
        <v>4000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35020</v>
      </c>
      <c r="O27" s="2" t="n">
        <v>405020</v>
      </c>
      <c r="P27" s="2" t="n">
        <v>2500</v>
      </c>
      <c r="Q27" s="2" t="n">
        <v>5000</v>
      </c>
      <c r="R27" s="2" t="n">
        <v>75020</v>
      </c>
      <c r="S27" s="2" t="n">
        <v>330000</v>
      </c>
      <c r="T27" s="9" t="inlineStr">
        <is>
          <t>OK</t>
        </is>
      </c>
    </row>
    <row r="28">
      <c r="A28" s="2" t="n">
        <v>27</v>
      </c>
      <c r="B28" s="7" t="n">
        <v>46157</v>
      </c>
      <c r="C28" s="2" t="n">
        <v>30</v>
      </c>
      <c r="D28" s="2" t="inlineStr">
        <is>
          <t>Workday</t>
        </is>
      </c>
      <c r="E28" s="2" t="n">
        <v>0</v>
      </c>
      <c r="F28" s="2" t="inlineStr">
        <is>
          <t>AVAILABLE</t>
        </is>
      </c>
      <c r="G28" s="2" t="n">
        <v>0</v>
      </c>
      <c r="H28" s="2" t="n">
        <v>370000</v>
      </c>
      <c r="I28" s="2" t="n">
        <v>4000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35020</v>
      </c>
      <c r="O28" s="2" t="n">
        <v>405020</v>
      </c>
      <c r="P28" s="2" t="n">
        <v>2500</v>
      </c>
      <c r="Q28" s="2" t="n">
        <v>5000</v>
      </c>
      <c r="R28" s="2" t="n">
        <v>80020</v>
      </c>
      <c r="S28" s="2" t="n">
        <v>325000</v>
      </c>
      <c r="T28" s="9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2"/>
  <sheetViews>
    <sheetView workbookViewId="0">
      <pane xSplit="9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8" customWidth="1" min="4" max="4"/>
    <col width="10" customWidth="1" min="5" max="5"/>
    <col width="11" customWidth="1" min="6" max="6"/>
    <col width="13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4" customWidth="1" min="38" max="38"/>
    <col width="12" customWidth="1" min="39" max="39"/>
    <col width="16" customWidth="1" min="40" max="40"/>
    <col width="17" customWidth="1" min="41" max="41"/>
    <col width="10" customWidth="1" min="42" max="42"/>
    <col width="11" customWidth="1" min="43" max="43"/>
    <col width="11" customWidth="1" min="44" max="44"/>
    <col width="16" customWidth="1" min="45" max="45"/>
    <col width="15" customWidth="1" min="46" max="46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Market</t>
        </is>
      </c>
      <c r="D1" s="1" t="inlineStr">
        <is>
          <t>Product Group</t>
        </is>
      </c>
      <c r="E1" s="1" t="inlineStr">
        <is>
          <t>Fixture</t>
        </is>
      </c>
      <c r="F1" s="1" t="inlineStr">
        <is>
          <t>Priority</t>
        </is>
      </c>
      <c r="G1" s="1" t="inlineStr">
        <is>
          <t>Weekly Cap</t>
        </is>
      </c>
      <c r="H1" s="1" t="inlineStr">
        <is>
          <t>Ship Request</t>
        </is>
      </c>
      <c r="I1" s="1" t="inlineStr">
        <is>
          <t>Demand Qty</t>
        </is>
      </c>
      <c r="J1" s="1" t="inlineStr">
        <is>
          <t>15/04</t>
        </is>
      </c>
      <c r="K1" s="1" t="inlineStr">
        <is>
          <t>16/04</t>
        </is>
      </c>
      <c r="L1" s="1" t="inlineStr">
        <is>
          <t>17/04</t>
        </is>
      </c>
      <c r="M1" s="1" t="inlineStr">
        <is>
          <t>18/04</t>
        </is>
      </c>
      <c r="N1" s="1" t="inlineStr">
        <is>
          <t>20/04</t>
        </is>
      </c>
      <c r="O1" s="1" t="inlineStr">
        <is>
          <t>21/04</t>
        </is>
      </c>
      <c r="P1" s="1" t="inlineStr">
        <is>
          <t>22/04</t>
        </is>
      </c>
      <c r="Q1" s="1" t="inlineStr">
        <is>
          <t>23/04</t>
        </is>
      </c>
      <c r="R1" s="1" t="inlineStr">
        <is>
          <t>24/04</t>
        </is>
      </c>
      <c r="S1" s="1" t="inlineStr">
        <is>
          <t>25/04</t>
        </is>
      </c>
      <c r="T1" s="1" t="inlineStr">
        <is>
          <t>27/04</t>
        </is>
      </c>
      <c r="U1" s="1" t="inlineStr">
        <is>
          <t>28/04</t>
        </is>
      </c>
      <c r="V1" s="1" t="inlineStr">
        <is>
          <t>29/04</t>
        </is>
      </c>
      <c r="W1" s="1" t="inlineStr">
        <is>
          <t>30/04</t>
        </is>
      </c>
      <c r="X1" s="1" t="inlineStr">
        <is>
          <t>01/05</t>
        </is>
      </c>
      <c r="Y1" s="1" t="inlineStr">
        <is>
          <t>02/05</t>
        </is>
      </c>
      <c r="Z1" s="1" t="inlineStr">
        <is>
          <t>04/05</t>
        </is>
      </c>
      <c r="AA1" s="1" t="inlineStr">
        <is>
          <t>05/05</t>
        </is>
      </c>
      <c r="AB1" s="1" t="inlineStr">
        <is>
          <t>06/05</t>
        </is>
      </c>
      <c r="AC1" s="1" t="inlineStr">
        <is>
          <t>07/05</t>
        </is>
      </c>
      <c r="AD1" s="1" t="inlineStr">
        <is>
          <t>08/05</t>
        </is>
      </c>
      <c r="AE1" s="1" t="inlineStr">
        <is>
          <t>09/05</t>
        </is>
      </c>
      <c r="AF1" s="1" t="inlineStr">
        <is>
          <t>11/05</t>
        </is>
      </c>
      <c r="AG1" s="1" t="inlineStr">
        <is>
          <t>12/05</t>
        </is>
      </c>
      <c r="AH1" s="1" t="inlineStr">
        <is>
          <t>13/05</t>
        </is>
      </c>
      <c r="AI1" s="1" t="inlineStr">
        <is>
          <t>14/05</t>
        </is>
      </c>
      <c r="AJ1" s="1" t="inlineStr">
        <is>
          <t>15/05</t>
        </is>
      </c>
      <c r="AK1" s="1" t="inlineStr">
        <is>
          <t>Beg Inv</t>
        </is>
      </c>
      <c r="AL1" s="1" t="inlineStr">
        <is>
          <t>Period Prod</t>
        </is>
      </c>
      <c r="AM1" s="1" t="inlineStr">
        <is>
          <t>Available</t>
        </is>
      </c>
      <c r="AN1" s="1" t="inlineStr">
        <is>
          <t>PCBA Required</t>
        </is>
      </c>
      <c r="AO1" s="1" t="inlineStr">
        <is>
          <t>PCBA Allocated</t>
        </is>
      </c>
      <c r="AP1" s="1" t="inlineStr">
        <is>
          <t>End Inv</t>
        </is>
      </c>
      <c r="AQ1" s="1" t="inlineStr">
        <is>
          <t>Shortage</t>
        </is>
      </c>
      <c r="AR1" s="1" t="inlineStr">
        <is>
          <t>Late Qty</t>
        </is>
      </c>
      <c r="AS1" s="1" t="inlineStr">
        <is>
          <t>Recovery Mode</t>
        </is>
      </c>
      <c r="AT1" s="1" t="inlineStr">
        <is>
          <t>Service Risk</t>
        </is>
      </c>
    </row>
    <row r="2">
      <c r="A2" s="2" t="inlineStr">
        <is>
          <t>F</t>
        </is>
      </c>
      <c r="B2" s="2" t="inlineStr">
        <is>
          <t>2025 Fantasy Spaceship Model DIY kits</t>
        </is>
      </c>
      <c r="C2" s="2" t="inlineStr">
        <is>
          <t>US</t>
        </is>
      </c>
      <c r="D2" s="2" t="inlineStr">
        <is>
          <t>Arts &amp; Crafts Toy</t>
        </is>
      </c>
      <c r="E2" s="2" t="inlineStr">
        <is>
          <t>789EF</t>
        </is>
      </c>
      <c r="F2" s="2" t="n">
        <v>2</v>
      </c>
      <c r="G2" s="2" t="n">
        <v>3000</v>
      </c>
      <c r="H2" s="7" t="n">
        <v>46143</v>
      </c>
      <c r="I2" s="2" t="n">
        <v>588</v>
      </c>
      <c r="J2" s="2" t="n">
        <v>500</v>
      </c>
      <c r="K2" s="2" t="n">
        <v>500</v>
      </c>
      <c r="L2" s="2" t="n">
        <v>500</v>
      </c>
      <c r="M2" s="2" t="n">
        <v>500</v>
      </c>
      <c r="N2" s="2" t="n">
        <v>500</v>
      </c>
      <c r="O2" s="2" t="n">
        <v>500</v>
      </c>
      <c r="P2" s="2" t="n">
        <v>0</v>
      </c>
      <c r="Q2" s="2" t="n">
        <v>500</v>
      </c>
      <c r="R2" s="2" t="n">
        <v>500</v>
      </c>
      <c r="S2" s="2" t="n">
        <v>500</v>
      </c>
      <c r="T2" s="2" t="n">
        <v>500</v>
      </c>
      <c r="U2" s="2" t="n">
        <v>500</v>
      </c>
      <c r="V2" s="2" t="n">
        <v>30</v>
      </c>
      <c r="W2" s="2" t="n">
        <v>500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6030</v>
      </c>
      <c r="AM2" s="2" t="n">
        <v>6030</v>
      </c>
      <c r="AN2" s="2" t="n">
        <v>0</v>
      </c>
      <c r="AO2" s="2" t="n">
        <v>0</v>
      </c>
      <c r="AP2" s="2" t="n">
        <v>5442</v>
      </c>
      <c r="AQ2" s="2" t="n">
        <v>0</v>
      </c>
      <c r="AR2" s="2" t="n">
        <v>0</v>
      </c>
      <c r="AS2" s="2" t="inlineStr">
        <is>
          <t>N/A</t>
        </is>
      </c>
      <c r="AT2" s="9" t="inlineStr">
        <is>
          <t>LOW</t>
        </is>
      </c>
    </row>
    <row r="3">
      <c r="A3" s="2" t="inlineStr">
        <is>
          <t>A</t>
        </is>
      </c>
      <c r="B3" s="2" t="inlineStr">
        <is>
          <t>2026 Automatic Robot ver</t>
        </is>
      </c>
      <c r="C3" s="2" t="inlineStr">
        <is>
          <t>US</t>
        </is>
      </c>
      <c r="D3" s="2" t="inlineStr">
        <is>
          <t>Electronic Toy</t>
        </is>
      </c>
      <c r="E3" s="2" t="inlineStr">
        <is>
          <t>123AB</t>
        </is>
      </c>
      <c r="F3" s="2" t="n">
        <v>1</v>
      </c>
      <c r="G3" s="2" t="n">
        <v>15000</v>
      </c>
      <c r="H3" s="7" t="n">
        <v>46150</v>
      </c>
      <c r="I3" s="2" t="n">
        <v>684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510</v>
      </c>
      <c r="O3" s="2" t="n">
        <v>0</v>
      </c>
      <c r="P3" s="2" t="n">
        <v>2500</v>
      </c>
      <c r="Q3" s="2" t="n">
        <v>0</v>
      </c>
      <c r="R3" s="2" t="n">
        <v>0</v>
      </c>
      <c r="S3" s="2" t="n">
        <v>2500</v>
      </c>
      <c r="T3" s="2" t="n">
        <v>2500</v>
      </c>
      <c r="U3" s="2" t="n">
        <v>0</v>
      </c>
      <c r="V3" s="2" t="n">
        <v>0</v>
      </c>
      <c r="W3" s="2" t="n">
        <v>0</v>
      </c>
      <c r="X3" s="2" t="n">
        <v>2500</v>
      </c>
      <c r="Y3" s="2" t="n">
        <v>2000</v>
      </c>
      <c r="Z3" s="2" t="n">
        <v>2500</v>
      </c>
      <c r="AA3" s="2" t="n">
        <v>2500</v>
      </c>
      <c r="AB3" s="2" t="n">
        <v>2500</v>
      </c>
      <c r="AC3" s="2" t="n">
        <v>2500</v>
      </c>
      <c r="AD3" s="2" t="n">
        <v>2500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25010</v>
      </c>
      <c r="AM3" s="2" t="n">
        <v>25010</v>
      </c>
      <c r="AN3" s="2" t="n">
        <v>50020</v>
      </c>
      <c r="AO3" s="2" t="n">
        <v>50020</v>
      </c>
      <c r="AP3" s="2" t="n">
        <v>24326</v>
      </c>
      <c r="AQ3" s="2" t="n">
        <v>0</v>
      </c>
      <c r="AR3" s="2" t="n">
        <v>0</v>
      </c>
      <c r="AS3" s="2" t="inlineStr">
        <is>
          <t>Reflash</t>
        </is>
      </c>
      <c r="AT3" s="9" t="inlineStr">
        <is>
          <t>LOW</t>
        </is>
      </c>
    </row>
    <row r="4">
      <c r="A4" s="2" t="inlineStr">
        <is>
          <t>E</t>
        </is>
      </c>
      <c r="B4" s="2" t="inlineStr">
        <is>
          <t>2026 Scooter ver</t>
        </is>
      </c>
      <c r="C4" s="2" t="inlineStr">
        <is>
          <t>Australia</t>
        </is>
      </c>
      <c r="D4" s="2" t="inlineStr">
        <is>
          <t>Outdoor &amp; Sports Toy</t>
        </is>
      </c>
      <c r="E4" s="2" t="inlineStr">
        <is>
          <t>789EF</t>
        </is>
      </c>
      <c r="F4" s="2" t="n">
        <v>1</v>
      </c>
      <c r="G4" s="2" t="n">
        <v>3000</v>
      </c>
      <c r="H4" s="7" t="n">
        <v>46150</v>
      </c>
      <c r="I4" s="2" t="n">
        <v>472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500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470</v>
      </c>
      <c r="W4" s="2" t="n">
        <v>0</v>
      </c>
      <c r="X4" s="2" t="n">
        <v>500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1470</v>
      </c>
      <c r="AM4" s="2" t="n">
        <v>1470</v>
      </c>
      <c r="AN4" s="2" t="n">
        <v>0</v>
      </c>
      <c r="AO4" s="2" t="n">
        <v>0</v>
      </c>
      <c r="AP4" s="2" t="n">
        <v>998</v>
      </c>
      <c r="AQ4" s="2" t="n">
        <v>0</v>
      </c>
      <c r="AR4" s="2" t="n">
        <v>0</v>
      </c>
      <c r="AS4" s="2" t="inlineStr">
        <is>
          <t>N/A</t>
        </is>
      </c>
      <c r="AT4" s="9" t="inlineStr">
        <is>
          <t>LOW</t>
        </is>
      </c>
    </row>
    <row r="5">
      <c r="A5" s="2" t="inlineStr">
        <is>
          <t>F</t>
        </is>
      </c>
      <c r="B5" s="2" t="inlineStr">
        <is>
          <t>2025 Fantasy Spaceship Model DIY kits</t>
        </is>
      </c>
      <c r="C5" s="2" t="inlineStr">
        <is>
          <t>US</t>
        </is>
      </c>
      <c r="D5" s="2" t="inlineStr">
        <is>
          <t>Arts &amp; Crafts Toy</t>
        </is>
      </c>
      <c r="E5" s="2" t="inlineStr">
        <is>
          <t>789EF</t>
        </is>
      </c>
      <c r="F5" s="2" t="n">
        <v>2</v>
      </c>
      <c r="G5" s="2" t="n">
        <v>3000</v>
      </c>
      <c r="H5" s="7" t="n">
        <v>46150</v>
      </c>
      <c r="I5" s="2" t="n">
        <v>4028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500</v>
      </c>
      <c r="Z5" s="2" t="n">
        <v>500</v>
      </c>
      <c r="AA5" s="2" t="n">
        <v>500</v>
      </c>
      <c r="AB5" s="2" t="n">
        <v>500</v>
      </c>
      <c r="AC5" s="2" t="n">
        <v>500</v>
      </c>
      <c r="AD5" s="2" t="n">
        <v>500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5442</v>
      </c>
      <c r="AL5" s="2" t="n">
        <v>3000</v>
      </c>
      <c r="AM5" s="2" t="n">
        <v>8442</v>
      </c>
      <c r="AN5" s="2" t="n">
        <v>0</v>
      </c>
      <c r="AO5" s="2" t="n">
        <v>0</v>
      </c>
      <c r="AP5" s="2" t="n">
        <v>4414</v>
      </c>
      <c r="AQ5" s="2" t="n">
        <v>0</v>
      </c>
      <c r="AR5" s="2" t="n">
        <v>0</v>
      </c>
      <c r="AS5" s="2" t="inlineStr">
        <is>
          <t>N/A</t>
        </is>
      </c>
      <c r="AT5" s="9" t="inlineStr">
        <is>
          <t>LOW</t>
        </is>
      </c>
    </row>
    <row r="6">
      <c r="A6" s="2" t="inlineStr">
        <is>
          <t>A</t>
        </is>
      </c>
      <c r="B6" s="2" t="inlineStr">
        <is>
          <t>2026 Automatic Robot ver</t>
        </is>
      </c>
      <c r="C6" s="2" t="inlineStr">
        <is>
          <t>US</t>
        </is>
      </c>
      <c r="D6" s="2" t="inlineStr">
        <is>
          <t>Electronic Toy</t>
        </is>
      </c>
      <c r="E6" s="2" t="inlineStr">
        <is>
          <t>123AB</t>
        </is>
      </c>
      <c r="F6" s="2" t="n">
        <v>1</v>
      </c>
      <c r="G6" s="2" t="n">
        <v>15000</v>
      </c>
      <c r="H6" s="7" t="n">
        <v>46157</v>
      </c>
      <c r="I6" s="2" t="n">
        <v>20000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2500</v>
      </c>
      <c r="AF6" s="2" t="n">
        <v>2500</v>
      </c>
      <c r="AG6" s="2" t="n">
        <v>2500</v>
      </c>
      <c r="AH6" s="2" t="n">
        <v>2500</v>
      </c>
      <c r="AI6" s="2" t="n">
        <v>2500</v>
      </c>
      <c r="AJ6" s="2" t="n">
        <v>2500</v>
      </c>
      <c r="AK6" s="2" t="n">
        <v>24326</v>
      </c>
      <c r="AL6" s="2" t="n">
        <v>15000</v>
      </c>
      <c r="AM6" s="2" t="n">
        <v>39326</v>
      </c>
      <c r="AN6" s="2" t="n">
        <v>30000</v>
      </c>
      <c r="AO6" s="2" t="n">
        <v>30000</v>
      </c>
      <c r="AP6" s="2" t="n">
        <v>19326</v>
      </c>
      <c r="AQ6" s="2" t="n">
        <v>0</v>
      </c>
      <c r="AR6" s="2" t="n">
        <v>0</v>
      </c>
      <c r="AS6" s="2" t="inlineStr">
        <is>
          <t>Reflash</t>
        </is>
      </c>
      <c r="AT6" s="9" t="inlineStr">
        <is>
          <t>LOW</t>
        </is>
      </c>
    </row>
    <row r="7">
      <c r="A7" s="2" t="inlineStr">
        <is>
          <t>B</t>
        </is>
      </c>
      <c r="B7" s="2" t="inlineStr">
        <is>
          <t>2025 Barbie ver colorful</t>
        </is>
      </c>
      <c r="C7" s="2" t="inlineStr">
        <is>
          <t>US</t>
        </is>
      </c>
      <c r="D7" s="2" t="inlineStr">
        <is>
          <t>Doll</t>
        </is>
      </c>
      <c r="E7" s="2" t="inlineStr">
        <is>
          <t>123AB</t>
        </is>
      </c>
      <c r="F7" s="2" t="n">
        <v>2</v>
      </c>
      <c r="G7" s="2" t="n">
        <v>15000</v>
      </c>
      <c r="H7" s="7" t="n">
        <v>46157</v>
      </c>
      <c r="I7" s="2" t="n">
        <v>5502</v>
      </c>
      <c r="J7" s="2" t="n">
        <v>2500</v>
      </c>
      <c r="K7" s="2" t="n">
        <v>2500</v>
      </c>
      <c r="L7" s="2" t="n">
        <v>2500</v>
      </c>
      <c r="M7" s="2" t="n">
        <v>2500</v>
      </c>
      <c r="N7" s="2" t="n">
        <v>1990</v>
      </c>
      <c r="O7" s="2" t="n">
        <v>2500</v>
      </c>
      <c r="P7" s="2" t="n">
        <v>0</v>
      </c>
      <c r="Q7" s="2" t="n">
        <v>2500</v>
      </c>
      <c r="R7" s="2" t="n">
        <v>2500</v>
      </c>
      <c r="S7" s="2" t="n">
        <v>0</v>
      </c>
      <c r="T7" s="2" t="n">
        <v>0</v>
      </c>
      <c r="U7" s="2" t="n">
        <v>2500</v>
      </c>
      <c r="V7" s="2" t="n">
        <v>2500</v>
      </c>
      <c r="W7" s="2" t="n">
        <v>2500</v>
      </c>
      <c r="X7" s="2" t="n">
        <v>0</v>
      </c>
      <c r="Y7" s="2" t="n">
        <v>500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27490</v>
      </c>
      <c r="AM7" s="2" t="n">
        <v>27490</v>
      </c>
      <c r="AN7" s="2" t="n">
        <v>0</v>
      </c>
      <c r="AO7" s="2" t="n">
        <v>0</v>
      </c>
      <c r="AP7" s="2" t="n">
        <v>21988</v>
      </c>
      <c r="AQ7" s="2" t="n">
        <v>0</v>
      </c>
      <c r="AR7" s="2" t="n">
        <v>0</v>
      </c>
      <c r="AS7" s="2" t="inlineStr">
        <is>
          <t>N/A</t>
        </is>
      </c>
      <c r="AT7" s="9" t="inlineStr">
        <is>
          <t>LOW</t>
        </is>
      </c>
    </row>
    <row r="8">
      <c r="A8" s="2" t="inlineStr">
        <is>
          <t>C</t>
        </is>
      </c>
      <c r="B8" s="2" t="inlineStr">
        <is>
          <t>2026 Castle &amp; Farm Blocks</t>
        </is>
      </c>
      <c r="C8" s="2" t="inlineStr">
        <is>
          <t>UK</t>
        </is>
      </c>
      <c r="D8" s="2" t="inlineStr">
        <is>
          <t>Building &amp; Construction Toy</t>
        </is>
      </c>
      <c r="E8" s="2" t="inlineStr">
        <is>
          <t>456CD</t>
        </is>
      </c>
      <c r="F8" s="2" t="n">
        <v>1</v>
      </c>
      <c r="G8" s="2" t="n">
        <v>5000</v>
      </c>
      <c r="H8" s="7" t="n">
        <v>46157</v>
      </c>
      <c r="I8" s="2" t="n">
        <v>4320</v>
      </c>
      <c r="J8" s="2" t="n">
        <v>833</v>
      </c>
      <c r="K8" s="2" t="n">
        <v>833</v>
      </c>
      <c r="L8" s="2" t="n">
        <v>833</v>
      </c>
      <c r="M8" s="2" t="n">
        <v>833</v>
      </c>
      <c r="N8" s="2" t="n">
        <v>833</v>
      </c>
      <c r="O8" s="2" t="n">
        <v>833</v>
      </c>
      <c r="P8" s="2" t="n">
        <v>833</v>
      </c>
      <c r="Q8" s="2" t="n">
        <v>833</v>
      </c>
      <c r="R8" s="2" t="n">
        <v>833</v>
      </c>
      <c r="S8" s="2" t="n">
        <v>833</v>
      </c>
      <c r="T8" s="2" t="n">
        <v>833</v>
      </c>
      <c r="U8" s="2" t="n">
        <v>833</v>
      </c>
      <c r="V8" s="2" t="n">
        <v>833</v>
      </c>
      <c r="W8" s="2" t="n">
        <v>833</v>
      </c>
      <c r="X8" s="2" t="n">
        <v>833</v>
      </c>
      <c r="Y8" s="2" t="n">
        <v>833</v>
      </c>
      <c r="Z8" s="2" t="n">
        <v>833</v>
      </c>
      <c r="AA8" s="2" t="n">
        <v>833</v>
      </c>
      <c r="AB8" s="2" t="n">
        <v>833</v>
      </c>
      <c r="AC8" s="2" t="n">
        <v>833</v>
      </c>
      <c r="AD8" s="2" t="n">
        <v>833</v>
      </c>
      <c r="AE8" s="2" t="n">
        <v>833</v>
      </c>
      <c r="AF8" s="2" t="n">
        <v>833</v>
      </c>
      <c r="AG8" s="2" t="n">
        <v>833</v>
      </c>
      <c r="AH8" s="2" t="n">
        <v>833</v>
      </c>
      <c r="AI8" s="2" t="n">
        <v>833</v>
      </c>
      <c r="AJ8" s="2" t="n">
        <v>833</v>
      </c>
      <c r="AK8" s="2" t="n">
        <v>0</v>
      </c>
      <c r="AL8" s="2" t="n">
        <v>22491</v>
      </c>
      <c r="AM8" s="2" t="n">
        <v>22491</v>
      </c>
      <c r="AN8" s="2" t="n">
        <v>0</v>
      </c>
      <c r="AO8" s="2" t="n">
        <v>0</v>
      </c>
      <c r="AP8" s="2" t="n">
        <v>18171</v>
      </c>
      <c r="AQ8" s="2" t="n">
        <v>0</v>
      </c>
      <c r="AR8" s="2" t="n">
        <v>0</v>
      </c>
      <c r="AS8" s="2" t="inlineStr">
        <is>
          <t>N/A</t>
        </is>
      </c>
      <c r="AT8" s="9" t="inlineStr">
        <is>
          <t>LOW</t>
        </is>
      </c>
    </row>
    <row r="9">
      <c r="A9" s="2" t="inlineStr">
        <is>
          <t>D</t>
        </is>
      </c>
      <c r="B9" s="2" t="inlineStr">
        <is>
          <t>2026 Animal Animation Book</t>
        </is>
      </c>
      <c r="C9" s="2" t="inlineStr">
        <is>
          <t>UK</t>
        </is>
      </c>
      <c r="D9" s="2" t="inlineStr">
        <is>
          <t>Educational Toy</t>
        </is>
      </c>
      <c r="E9" s="2" t="inlineStr">
        <is>
          <t>456CD</t>
        </is>
      </c>
      <c r="F9" s="2" t="n">
        <v>2</v>
      </c>
      <c r="G9" s="2" t="n">
        <v>5000</v>
      </c>
      <c r="H9" s="7" t="n">
        <v>46157</v>
      </c>
      <c r="I9" s="2" t="n">
        <v>2430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2430</v>
      </c>
      <c r="AR9" s="2" t="n">
        <v>2430</v>
      </c>
      <c r="AS9" s="2" t="inlineStr">
        <is>
          <t>N/A</t>
        </is>
      </c>
      <c r="AT9" s="10" t="inlineStr">
        <is>
          <t>MEDIUM</t>
        </is>
      </c>
    </row>
    <row r="10">
      <c r="A10" s="2" t="inlineStr">
        <is>
          <t>E</t>
        </is>
      </c>
      <c r="B10" s="2" t="inlineStr">
        <is>
          <t>2026 Scooter ver</t>
        </is>
      </c>
      <c r="C10" s="2" t="inlineStr">
        <is>
          <t>Australia</t>
        </is>
      </c>
      <c r="D10" s="2" t="inlineStr">
        <is>
          <t>Outdoor &amp; Sports Toy</t>
        </is>
      </c>
      <c r="E10" s="2" t="inlineStr">
        <is>
          <t>789EF</t>
        </is>
      </c>
      <c r="F10" s="2" t="n">
        <v>1</v>
      </c>
      <c r="G10" s="2" t="n">
        <v>3000</v>
      </c>
      <c r="H10" s="7" t="n">
        <v>46157</v>
      </c>
      <c r="I10" s="2" t="n">
        <v>300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998</v>
      </c>
      <c r="AL10" s="2" t="n">
        <v>0</v>
      </c>
      <c r="AM10" s="2" t="n">
        <v>998</v>
      </c>
      <c r="AN10" s="2" t="n">
        <v>0</v>
      </c>
      <c r="AO10" s="2" t="n">
        <v>0</v>
      </c>
      <c r="AP10" s="2" t="n">
        <v>698</v>
      </c>
      <c r="AQ10" s="2" t="n">
        <v>0</v>
      </c>
      <c r="AR10" s="2" t="n">
        <v>0</v>
      </c>
      <c r="AS10" s="2" t="inlineStr">
        <is>
          <t>N/A</t>
        </is>
      </c>
      <c r="AT10" s="9" t="inlineStr">
        <is>
          <t>LOW</t>
        </is>
      </c>
    </row>
    <row r="11">
      <c r="A11" s="2" t="inlineStr">
        <is>
          <t>F</t>
        </is>
      </c>
      <c r="B11" s="2" t="inlineStr">
        <is>
          <t>2025 Fantasy Spaceship Model DIY kits</t>
        </is>
      </c>
      <c r="C11" s="2" t="inlineStr">
        <is>
          <t>US</t>
        </is>
      </c>
      <c r="D11" s="2" t="inlineStr">
        <is>
          <t>Arts &amp; Crafts Toy</t>
        </is>
      </c>
      <c r="E11" s="2" t="inlineStr">
        <is>
          <t>789EF</t>
        </is>
      </c>
      <c r="F11" s="2" t="n">
        <v>2</v>
      </c>
      <c r="G11" s="2" t="n">
        <v>3000</v>
      </c>
      <c r="H11" s="7" t="n">
        <v>46157</v>
      </c>
      <c r="I11" s="2" t="n">
        <v>4200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500</v>
      </c>
      <c r="AF11" s="2" t="n">
        <v>500</v>
      </c>
      <c r="AG11" s="2" t="n">
        <v>500</v>
      </c>
      <c r="AH11" s="2" t="n">
        <v>500</v>
      </c>
      <c r="AI11" s="2" t="n">
        <v>500</v>
      </c>
      <c r="AJ11" s="2" t="n">
        <v>500</v>
      </c>
      <c r="AK11" s="2" t="n">
        <v>4414</v>
      </c>
      <c r="AL11" s="2" t="n">
        <v>3000</v>
      </c>
      <c r="AM11" s="2" t="n">
        <v>7414</v>
      </c>
      <c r="AN11" s="2" t="n">
        <v>0</v>
      </c>
      <c r="AO11" s="2" t="n">
        <v>0</v>
      </c>
      <c r="AP11" s="2" t="n">
        <v>3214</v>
      </c>
      <c r="AQ11" s="2" t="n">
        <v>0</v>
      </c>
      <c r="AR11" s="2" t="n">
        <v>0</v>
      </c>
      <c r="AS11" s="2" t="inlineStr">
        <is>
          <t>N/A</t>
        </is>
      </c>
      <c r="AT11" s="9" t="inlineStr">
        <is>
          <t>LOW</t>
        </is>
      </c>
    </row>
    <row r="12">
      <c r="A12" s="2" t="inlineStr">
        <is>
          <t>A</t>
        </is>
      </c>
      <c r="B12" s="2" t="inlineStr">
        <is>
          <t>2026 Automatic Robot ver</t>
        </is>
      </c>
      <c r="C12" s="2" t="inlineStr">
        <is>
          <t>US</t>
        </is>
      </c>
      <c r="D12" s="2" t="inlineStr">
        <is>
          <t>Electronic Toy</t>
        </is>
      </c>
      <c r="E12" s="2" t="inlineStr">
        <is>
          <t>123AB</t>
        </is>
      </c>
      <c r="F12" s="2" t="n">
        <v>1</v>
      </c>
      <c r="G12" s="2" t="n">
        <v>15000</v>
      </c>
      <c r="H12" s="7" t="n">
        <v>46164</v>
      </c>
      <c r="I12" s="2" t="n">
        <v>20000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19326</v>
      </c>
      <c r="AL12" s="2" t="n">
        <v>0</v>
      </c>
      <c r="AM12" s="2" t="n">
        <v>19326</v>
      </c>
      <c r="AN12" s="2" t="n">
        <v>0</v>
      </c>
      <c r="AO12" s="2" t="n">
        <v>0</v>
      </c>
      <c r="AP12" s="2" t="n">
        <v>0</v>
      </c>
      <c r="AQ12" s="2" t="n">
        <v>674</v>
      </c>
      <c r="AR12" s="2" t="n">
        <v>674</v>
      </c>
      <c r="AS12" s="2" t="inlineStr">
        <is>
          <t>Partial (60%)</t>
        </is>
      </c>
      <c r="AT12" s="8" t="inlineStr">
        <is>
          <t>HIGH</t>
        </is>
      </c>
    </row>
    <row r="13">
      <c r="A13" s="2" t="inlineStr">
        <is>
          <t>B</t>
        </is>
      </c>
      <c r="B13" s="2" t="inlineStr">
        <is>
          <t>2025 Barbie ver colorful</t>
        </is>
      </c>
      <c r="C13" s="2" t="inlineStr">
        <is>
          <t>US</t>
        </is>
      </c>
      <c r="D13" s="2" t="inlineStr">
        <is>
          <t>Doll</t>
        </is>
      </c>
      <c r="E13" s="2" t="inlineStr">
        <is>
          <t>123AB</t>
        </is>
      </c>
      <c r="F13" s="2" t="n">
        <v>2</v>
      </c>
      <c r="G13" s="2" t="n">
        <v>15000</v>
      </c>
      <c r="H13" s="7" t="n">
        <v>46164</v>
      </c>
      <c r="I13" s="2" t="n">
        <v>15658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21988</v>
      </c>
      <c r="AL13" s="2" t="n">
        <v>0</v>
      </c>
      <c r="AM13" s="2" t="n">
        <v>21988</v>
      </c>
      <c r="AN13" s="2" t="n">
        <v>0</v>
      </c>
      <c r="AO13" s="2" t="n">
        <v>0</v>
      </c>
      <c r="AP13" s="2" t="n">
        <v>6330</v>
      </c>
      <c r="AQ13" s="2" t="n">
        <v>0</v>
      </c>
      <c r="AR13" s="2" t="n">
        <v>0</v>
      </c>
      <c r="AS13" s="2" t="inlineStr">
        <is>
          <t>N/A</t>
        </is>
      </c>
      <c r="AT13" s="9" t="inlineStr">
        <is>
          <t>LOW</t>
        </is>
      </c>
    </row>
    <row r="14">
      <c r="A14" s="2" t="inlineStr">
        <is>
          <t>C</t>
        </is>
      </c>
      <c r="B14" s="2" t="inlineStr">
        <is>
          <t>2026 Castle &amp; Farm Blocks</t>
        </is>
      </c>
      <c r="C14" s="2" t="inlineStr">
        <is>
          <t>UK</t>
        </is>
      </c>
      <c r="D14" s="2" t="inlineStr">
        <is>
          <t>Building &amp; Construction Toy</t>
        </is>
      </c>
      <c r="E14" s="2" t="inlineStr">
        <is>
          <t>456CD</t>
        </is>
      </c>
      <c r="F14" s="2" t="n">
        <v>1</v>
      </c>
      <c r="G14" s="2" t="n">
        <v>5000</v>
      </c>
      <c r="H14" s="7" t="n">
        <v>46164</v>
      </c>
      <c r="I14" s="2" t="n">
        <v>8370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18171</v>
      </c>
      <c r="AL14" s="2" t="n">
        <v>0</v>
      </c>
      <c r="AM14" s="2" t="n">
        <v>18171</v>
      </c>
      <c r="AN14" s="2" t="n">
        <v>0</v>
      </c>
      <c r="AO14" s="2" t="n">
        <v>0</v>
      </c>
      <c r="AP14" s="2" t="n">
        <v>9801</v>
      </c>
      <c r="AQ14" s="2" t="n">
        <v>0</v>
      </c>
      <c r="AR14" s="2" t="n">
        <v>0</v>
      </c>
      <c r="AS14" s="2" t="inlineStr">
        <is>
          <t>N/A</t>
        </is>
      </c>
      <c r="AT14" s="9" t="inlineStr">
        <is>
          <t>LOW</t>
        </is>
      </c>
    </row>
    <row r="15">
      <c r="A15" s="2" t="inlineStr">
        <is>
          <t>D</t>
        </is>
      </c>
      <c r="B15" s="2" t="inlineStr">
        <is>
          <t>2026 Animal Animation Book</t>
        </is>
      </c>
      <c r="C15" s="2" t="inlineStr">
        <is>
          <t>UK</t>
        </is>
      </c>
      <c r="D15" s="2" t="inlineStr">
        <is>
          <t>Educational Toy</t>
        </is>
      </c>
      <c r="E15" s="2" t="inlineStr">
        <is>
          <t>456CD</t>
        </is>
      </c>
      <c r="F15" s="2" t="n">
        <v>2</v>
      </c>
      <c r="G15" s="2" t="n">
        <v>5000</v>
      </c>
      <c r="H15" s="7" t="n">
        <v>46164</v>
      </c>
      <c r="I15" s="2" t="n">
        <v>9990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9990</v>
      </c>
      <c r="AR15" s="2" t="n">
        <v>9990</v>
      </c>
      <c r="AS15" s="2" t="inlineStr">
        <is>
          <t>N/A</t>
        </is>
      </c>
      <c r="AT15" s="10" t="inlineStr">
        <is>
          <t>MEDIUM</t>
        </is>
      </c>
    </row>
    <row r="16">
      <c r="A16" s="2" t="inlineStr">
        <is>
          <t>E</t>
        </is>
      </c>
      <c r="B16" s="2" t="inlineStr">
        <is>
          <t>2026 Scooter ver</t>
        </is>
      </c>
      <c r="C16" s="2" t="inlineStr">
        <is>
          <t>Australia</t>
        </is>
      </c>
      <c r="D16" s="2" t="inlineStr">
        <is>
          <t>Outdoor &amp; Sports Toy</t>
        </is>
      </c>
      <c r="E16" s="2" t="inlineStr">
        <is>
          <t>789EF</t>
        </is>
      </c>
      <c r="F16" s="2" t="n">
        <v>1</v>
      </c>
      <c r="G16" s="2" t="n">
        <v>3000</v>
      </c>
      <c r="H16" s="7" t="n">
        <v>46164</v>
      </c>
      <c r="I16" s="2" t="n">
        <v>698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698</v>
      </c>
      <c r="AL16" s="2" t="n">
        <v>0</v>
      </c>
      <c r="AM16" s="2" t="n">
        <v>698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inlineStr">
        <is>
          <t>N/A</t>
        </is>
      </c>
      <c r="AT16" s="9" t="inlineStr">
        <is>
          <t>LOW</t>
        </is>
      </c>
    </row>
    <row r="17">
      <c r="A17" s="2" t="inlineStr">
        <is>
          <t>F</t>
        </is>
      </c>
      <c r="B17" s="2" t="inlineStr">
        <is>
          <t>2025 Fantasy Spaceship Model DIY kits</t>
        </is>
      </c>
      <c r="C17" s="2" t="inlineStr">
        <is>
          <t>US</t>
        </is>
      </c>
      <c r="D17" s="2" t="inlineStr">
        <is>
          <t>Arts &amp; Crafts Toy</t>
        </is>
      </c>
      <c r="E17" s="2" t="inlineStr">
        <is>
          <t>789EF</t>
        </is>
      </c>
      <c r="F17" s="2" t="n">
        <v>2</v>
      </c>
      <c r="G17" s="2" t="n">
        <v>3000</v>
      </c>
      <c r="H17" s="7" t="n">
        <v>46164</v>
      </c>
      <c r="I17" s="2" t="n">
        <v>3802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3214</v>
      </c>
      <c r="AL17" s="2" t="n">
        <v>0</v>
      </c>
      <c r="AM17" s="2" t="n">
        <v>3214</v>
      </c>
      <c r="AN17" s="2" t="n">
        <v>0</v>
      </c>
      <c r="AO17" s="2" t="n">
        <v>0</v>
      </c>
      <c r="AP17" s="2" t="n">
        <v>0</v>
      </c>
      <c r="AQ17" s="2" t="n">
        <v>588</v>
      </c>
      <c r="AR17" s="2" t="n">
        <v>588</v>
      </c>
      <c r="AS17" s="2" t="inlineStr">
        <is>
          <t>N/A</t>
        </is>
      </c>
      <c r="AT17" s="10" t="inlineStr">
        <is>
          <t>MEDIUM</t>
        </is>
      </c>
    </row>
    <row r="18">
      <c r="A18" s="2" t="inlineStr">
        <is>
          <t>A</t>
        </is>
      </c>
      <c r="B18" s="2" t="inlineStr">
        <is>
          <t>2026 Automatic Robot ver</t>
        </is>
      </c>
      <c r="C18" s="2" t="inlineStr">
        <is>
          <t>US</t>
        </is>
      </c>
      <c r="D18" s="2" t="inlineStr">
        <is>
          <t>Electronic Toy</t>
        </is>
      </c>
      <c r="E18" s="2" t="inlineStr">
        <is>
          <t>123AB</t>
        </is>
      </c>
      <c r="F18" s="2" t="n">
        <v>1</v>
      </c>
      <c r="G18" s="2" t="n">
        <v>15000</v>
      </c>
      <c r="H18" s="7" t="n">
        <v>46171</v>
      </c>
      <c r="I18" s="2" t="n">
        <v>11000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11000</v>
      </c>
      <c r="AR18" s="2" t="n">
        <v>11000</v>
      </c>
      <c r="AS18" s="2" t="inlineStr">
        <is>
          <t>Partial (60%)</t>
        </is>
      </c>
      <c r="AT18" s="8" t="inlineStr">
        <is>
          <t>HIGH</t>
        </is>
      </c>
    </row>
    <row r="19">
      <c r="A19" s="2" t="inlineStr">
        <is>
          <t>B</t>
        </is>
      </c>
      <c r="B19" s="2" t="inlineStr">
        <is>
          <t>2025 Barbie ver colorful</t>
        </is>
      </c>
      <c r="C19" s="2" t="inlineStr">
        <is>
          <t>US</t>
        </is>
      </c>
      <c r="D19" s="2" t="inlineStr">
        <is>
          <t>Doll</t>
        </is>
      </c>
      <c r="E19" s="2" t="inlineStr">
        <is>
          <t>123AB</t>
        </is>
      </c>
      <c r="F19" s="2" t="n">
        <v>2</v>
      </c>
      <c r="G19" s="2" t="n">
        <v>15000</v>
      </c>
      <c r="H19" s="7" t="n">
        <v>46171</v>
      </c>
      <c r="I19" s="2" t="n">
        <v>8865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6330</v>
      </c>
      <c r="AL19" s="2" t="n">
        <v>0</v>
      </c>
      <c r="AM19" s="2" t="n">
        <v>6330</v>
      </c>
      <c r="AN19" s="2" t="n">
        <v>0</v>
      </c>
      <c r="AO19" s="2" t="n">
        <v>0</v>
      </c>
      <c r="AP19" s="2" t="n">
        <v>0</v>
      </c>
      <c r="AQ19" s="2" t="n">
        <v>2535</v>
      </c>
      <c r="AR19" s="2" t="n">
        <v>2535</v>
      </c>
      <c r="AS19" s="2" t="inlineStr">
        <is>
          <t>N/A</t>
        </is>
      </c>
      <c r="AT19" s="10" t="inlineStr">
        <is>
          <t>MEDIUM</t>
        </is>
      </c>
    </row>
    <row r="20">
      <c r="A20" s="2" t="inlineStr">
        <is>
          <t>C</t>
        </is>
      </c>
      <c r="B20" s="2" t="inlineStr">
        <is>
          <t>2026 Castle &amp; Farm Blocks</t>
        </is>
      </c>
      <c r="C20" s="2" t="inlineStr">
        <is>
          <t>UK</t>
        </is>
      </c>
      <c r="D20" s="2" t="inlineStr">
        <is>
          <t>Building &amp; Construction Toy</t>
        </is>
      </c>
      <c r="E20" s="2" t="inlineStr">
        <is>
          <t>456CD</t>
        </is>
      </c>
      <c r="F20" s="2" t="n">
        <v>1</v>
      </c>
      <c r="G20" s="2" t="n">
        <v>5000</v>
      </c>
      <c r="H20" s="7" t="n">
        <v>46171</v>
      </c>
      <c r="I20" s="2" t="n">
        <v>11782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9801</v>
      </c>
      <c r="AL20" s="2" t="n">
        <v>0</v>
      </c>
      <c r="AM20" s="2" t="n">
        <v>9801</v>
      </c>
      <c r="AN20" s="2" t="n">
        <v>0</v>
      </c>
      <c r="AO20" s="2" t="n">
        <v>0</v>
      </c>
      <c r="AP20" s="2" t="n">
        <v>0</v>
      </c>
      <c r="AQ20" s="2" t="n">
        <v>1981</v>
      </c>
      <c r="AR20" s="2" t="n">
        <v>1981</v>
      </c>
      <c r="AS20" s="2" t="inlineStr">
        <is>
          <t>N/A</t>
        </is>
      </c>
      <c r="AT20" s="8" t="inlineStr">
        <is>
          <t>HIGH</t>
        </is>
      </c>
    </row>
    <row r="21">
      <c r="A21" s="2" t="inlineStr">
        <is>
          <t>D</t>
        </is>
      </c>
      <c r="B21" s="2" t="inlineStr">
        <is>
          <t>2026 Animal Animation Book</t>
        </is>
      </c>
      <c r="C21" s="2" t="inlineStr">
        <is>
          <t>UK</t>
        </is>
      </c>
      <c r="D21" s="2" t="inlineStr">
        <is>
          <t>Educational Toy</t>
        </is>
      </c>
      <c r="E21" s="2" t="inlineStr">
        <is>
          <t>456CD</t>
        </is>
      </c>
      <c r="F21" s="2" t="n">
        <v>2</v>
      </c>
      <c r="G21" s="2" t="n">
        <v>5000</v>
      </c>
      <c r="H21" s="7" t="n">
        <v>46171</v>
      </c>
      <c r="I21" s="2" t="n">
        <v>5840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5840</v>
      </c>
      <c r="AR21" s="2" t="n">
        <v>5840</v>
      </c>
      <c r="AS21" s="2" t="inlineStr">
        <is>
          <t>N/A</t>
        </is>
      </c>
      <c r="AT21" s="10" t="inlineStr">
        <is>
          <t>MEDIUM</t>
        </is>
      </c>
    </row>
    <row r="22">
      <c r="A22" s="2" t="inlineStr">
        <is>
          <t>F</t>
        </is>
      </c>
      <c r="B22" s="2" t="inlineStr">
        <is>
          <t>2025 Fantasy Spaceship Model DIY kits</t>
        </is>
      </c>
      <c r="C22" s="2" t="inlineStr">
        <is>
          <t>US</t>
        </is>
      </c>
      <c r="D22" s="2" t="inlineStr">
        <is>
          <t>Arts &amp; Crafts Toy</t>
        </is>
      </c>
      <c r="E22" s="2" t="inlineStr">
        <is>
          <t>789EF</t>
        </is>
      </c>
      <c r="F22" s="2" t="n">
        <v>2</v>
      </c>
      <c r="G22" s="2" t="n">
        <v>3000</v>
      </c>
      <c r="H22" s="7" t="n">
        <v>46171</v>
      </c>
      <c r="I22" s="2" t="n">
        <v>4500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4500</v>
      </c>
      <c r="AR22" s="2" t="n">
        <v>4500</v>
      </c>
      <c r="AS22" s="2" t="inlineStr">
        <is>
          <t>N/A</t>
        </is>
      </c>
      <c r="AT22" s="10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25" customWidth="1" min="5" max="5"/>
  </cols>
  <sheetData>
    <row r="1">
      <c r="A1" s="6" t="inlineStr">
        <is>
          <t>Cost Item</t>
        </is>
      </c>
      <c r="B1" s="6" t="inlineStr">
        <is>
          <t>Reflash-First</t>
        </is>
      </c>
      <c r="C1" s="6" t="inlineStr">
        <is>
          <t>Air-First (60%)</t>
        </is>
      </c>
      <c r="D1" s="6" t="inlineStr">
        <is>
          <t>Full Air (100%)</t>
        </is>
      </c>
      <c r="E1" s="6" t="inlineStr">
        <is>
          <t>Unit</t>
        </is>
      </c>
    </row>
    <row r="2">
      <c r="A2" s="2" t="inlineStr">
        <is>
          <t>PCBA by Air</t>
        </is>
      </c>
      <c r="B2" s="2" t="n">
        <v>0</v>
      </c>
      <c r="C2" s="2" t="n">
        <v>35020</v>
      </c>
      <c r="D2" s="2" t="n">
        <v>58368</v>
      </c>
      <c r="E2" s="2" t="inlineStr">
        <is>
          <t>units</t>
        </is>
      </c>
    </row>
    <row r="3">
      <c r="A3" s="2" t="inlineStr">
        <is>
          <t>PCBA by Sea</t>
        </is>
      </c>
      <c r="B3" s="2" t="n">
        <v>0</v>
      </c>
      <c r="C3" s="2" t="n">
        <v>0</v>
      </c>
      <c r="D3" s="2" t="n">
        <v>0</v>
      </c>
      <c r="E3" s="2" t="inlineStr">
        <is>
          <t>units</t>
        </is>
      </c>
    </row>
    <row r="4">
      <c r="A4" s="2" t="inlineStr">
        <is>
          <t>PCBA Reflashed (from May 6)</t>
        </is>
      </c>
      <c r="B4" s="2" t="n">
        <v>370000</v>
      </c>
      <c r="C4" s="2" t="n">
        <v>370000</v>
      </c>
      <c r="D4" s="2" t="n">
        <v>370000</v>
      </c>
      <c r="E4" s="2" t="inlineStr">
        <is>
          <t>units</t>
        </is>
      </c>
    </row>
    <row r="5">
      <c r="A5" s="2" t="inlineStr"/>
      <c r="B5" s="2" t="inlineStr"/>
      <c r="C5" s="2" t="inlineStr"/>
      <c r="D5" s="2" t="inlineStr"/>
      <c r="E5" s="2" t="inlineStr"/>
    </row>
    <row r="6">
      <c r="A6" s="2" t="inlineStr">
        <is>
          <t>Air freight extra cost</t>
        </is>
      </c>
      <c r="B6" s="2" t="n">
        <v>0</v>
      </c>
      <c r="C6" s="2" t="n">
        <v>70040</v>
      </c>
      <c r="D6" s="2" t="n">
        <v>116736</v>
      </c>
      <c r="E6" s="2" t="inlineStr">
        <is>
          <t>USD</t>
        </is>
      </c>
    </row>
    <row r="7">
      <c r="A7" s="2" t="inlineStr">
        <is>
          <t>Sea freight extra cost</t>
        </is>
      </c>
      <c r="B7" s="2" t="n">
        <v>0</v>
      </c>
      <c r="C7" s="2" t="n">
        <v>0</v>
      </c>
      <c r="D7" s="2" t="n">
        <v>0</v>
      </c>
      <c r="E7" s="2" t="inlineStr">
        <is>
          <t>USD</t>
        </is>
      </c>
    </row>
    <row r="8">
      <c r="A8" s="2" t="inlineStr">
        <is>
          <t>Reflash equipment cost</t>
        </is>
      </c>
      <c r="B8" s="2" t="n">
        <v>0</v>
      </c>
      <c r="C8" s="2" t="n">
        <v>0</v>
      </c>
      <c r="D8" s="2" t="n">
        <v>0</v>
      </c>
      <c r="E8" s="2" t="inlineStr">
        <is>
          <t>USD (assumed $0)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 logistics cost</t>
        </is>
      </c>
      <c r="B10" s="4" t="n">
        <v>0</v>
      </c>
      <c r="C10" s="4" t="n">
        <v>70040</v>
      </c>
      <c r="D10" s="4" t="n">
        <v>116736</v>
      </c>
      <c r="E10" s="4" t="inlineStr">
        <is>
          <t>USD</t>
        </is>
      </c>
    </row>
    <row r="11">
      <c r="A11" s="2" t="inlineStr"/>
      <c r="B11" s="2" t="inlineStr"/>
      <c r="C11" s="2" t="inlineStr"/>
      <c r="D11" s="2" t="inlineStr"/>
      <c r="E11" s="2" t="inlineStr"/>
    </row>
    <row r="12">
      <c r="A12" s="2" t="inlineStr">
        <is>
          <t>SKU A demand</t>
        </is>
      </c>
      <c r="B12" s="2" t="n">
        <v>51684</v>
      </c>
      <c r="C12" s="2" t="n">
        <v>51684</v>
      </c>
      <c r="D12" s="2" t="n">
        <v>51684</v>
      </c>
      <c r="E12" s="2" t="inlineStr">
        <is>
          <t>FG units</t>
        </is>
      </c>
    </row>
    <row r="13">
      <c r="A13" s="2" t="inlineStr">
        <is>
          <t>SKU A planned</t>
        </is>
      </c>
      <c r="B13" s="2" t="n">
        <v>22500</v>
      </c>
      <c r="C13" s="2" t="n">
        <v>40010</v>
      </c>
      <c r="D13" s="2" t="n">
        <v>51684</v>
      </c>
      <c r="E13" s="2" t="inlineStr">
        <is>
          <t>FG units</t>
        </is>
      </c>
    </row>
    <row r="14">
      <c r="A14" s="2" t="inlineStr">
        <is>
          <t>SKU A shortage</t>
        </is>
      </c>
      <c r="B14" s="2" t="n">
        <v>29184</v>
      </c>
      <c r="C14" s="2" t="n">
        <v>11674</v>
      </c>
      <c r="D14" s="2" t="n">
        <v>0</v>
      </c>
      <c r="E14" s="2" t="inlineStr">
        <is>
          <t>FG units</t>
        </is>
      </c>
    </row>
    <row r="15">
      <c r="A15" s="2" t="inlineStr">
        <is>
          <t>SKU A shortage %</t>
        </is>
      </c>
      <c r="B15" s="2" t="inlineStr">
        <is>
          <t>56.5%</t>
        </is>
      </c>
      <c r="C15" s="2" t="inlineStr">
        <is>
          <t>22.6%</t>
        </is>
      </c>
      <c r="D15" s="2" t="inlineStr">
        <is>
          <t>0.0%</t>
        </is>
      </c>
      <c r="E15" s="2" t="inlineStr"/>
    </row>
    <row r="16">
      <c r="A16" s="2" t="inlineStr"/>
      <c r="B16" s="2" t="inlineStr"/>
      <c r="C16" s="2" t="inlineStr"/>
      <c r="D16" s="2" t="inlineStr"/>
      <c r="E16" s="2" t="inlineStr"/>
    </row>
    <row r="17">
      <c r="A17" s="2" t="inlineStr">
        <is>
          <t>Revenue impact (A shortage * $105)</t>
        </is>
      </c>
      <c r="B17" s="2" t="n">
        <v>3064320</v>
      </c>
      <c r="C17" s="2" t="n">
        <v>1225770</v>
      </c>
      <c r="D17" s="2" t="n">
        <v>0</v>
      </c>
      <c r="E17" s="2" t="inlineStr">
        <is>
          <t>USD lost revenue</t>
        </is>
      </c>
    </row>
    <row r="18">
      <c r="A18" s="2" t="inlineStr">
        <is>
          <t>Net scenario cost</t>
        </is>
      </c>
      <c r="B18" s="2" t="n">
        <v>-3064320</v>
      </c>
      <c r="C18" s="2" t="n">
        <v>-1155730</v>
      </c>
      <c r="D18" s="2" t="n">
        <v>116736</v>
      </c>
      <c r="E18" s="2" t="inlineStr">
        <is>
          <t>USD (cost - saved rev)</t>
        </is>
      </c>
    </row>
    <row r="19">
      <c r="A19" s="2" t="inlineStr"/>
      <c r="B19" s="2" t="inlineStr"/>
      <c r="C19" s="2" t="inlineStr"/>
      <c r="D19" s="2" t="inlineStr"/>
      <c r="E19" s="2" t="inlineStr"/>
    </row>
    <row r="20">
      <c r="A20" s="2" t="inlineStr">
        <is>
          <t>Service level recovery</t>
        </is>
      </c>
      <c r="B20" s="2" t="inlineStr">
        <is>
          <t>0%</t>
        </is>
      </c>
      <c r="C20" s="2" t="inlineStr">
        <is>
          <t>60%</t>
        </is>
      </c>
      <c r="D20" s="2" t="inlineStr">
        <is>
          <t>100%</t>
        </is>
      </c>
      <c r="E20" s="2" t="inlineStr"/>
    </row>
    <row r="21">
      <c r="A21" s="4" t="inlineStr">
        <is>
          <t>Recommendation</t>
        </is>
      </c>
      <c r="B21" s="4" t="inlineStr"/>
      <c r="C21" s="11" t="inlineStr">
        <is>
          <t>SELECTED</t>
        </is>
      </c>
      <c r="D21" s="4" t="inlineStr"/>
      <c r="E2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5" customWidth="1" min="4" max="4"/>
    <col width="13" customWidth="1" min="5" max="5"/>
    <col width="22" customWidth="1" min="6" max="6"/>
    <col width="22" customWidth="1" min="7" max="7"/>
    <col width="19" customWidth="1" min="8" max="8"/>
    <col width="18" customWidth="1" min="9" max="9"/>
    <col width="17" customWidth="1" min="10" max="10"/>
    <col width="18" customWidth="1" min="11" max="11"/>
    <col width="20" customWidth="1" min="12" max="12"/>
    <col width="20" customWidth="1" min="13" max="13"/>
    <col width="10" customWidth="1" min="14" max="14"/>
  </cols>
  <sheetData>
    <row r="1">
      <c r="A1" s="12" t="inlineStr">
        <is>
          <t>Market</t>
        </is>
      </c>
      <c r="B1" s="12" t="inlineStr">
        <is>
          <t>SKU</t>
        </is>
      </c>
      <c r="C1" s="12" t="inlineStr">
        <is>
          <t>Priority</t>
        </is>
      </c>
      <c r="D1" s="12" t="inlineStr">
        <is>
          <t>Ship Request</t>
        </is>
      </c>
      <c r="E1" s="12" t="inlineStr">
        <is>
          <t>Demand Qty</t>
        </is>
      </c>
      <c r="F1" s="12" t="inlineStr">
        <is>
          <t>Revenue Proxy (USD)</t>
        </is>
      </c>
      <c r="G1" s="12" t="inlineStr">
        <is>
          <t>Strategic Importance</t>
        </is>
      </c>
      <c r="H1" s="12" t="inlineStr">
        <is>
          <t>Partial Ship OK?</t>
        </is>
      </c>
      <c r="I1" s="12" t="inlineStr">
        <is>
          <t>Delay Tolerance</t>
        </is>
      </c>
      <c r="J1" s="12" t="inlineStr">
        <is>
          <t>Service Target</t>
        </is>
      </c>
      <c r="K1" s="12" t="inlineStr">
        <is>
          <t>Allocation Rank</t>
        </is>
      </c>
      <c r="L1" s="12" t="inlineStr">
        <is>
          <t>Baseline Shortage</t>
        </is>
      </c>
      <c r="M1" s="12" t="inlineStr">
        <is>
          <t>Scenario Shortage</t>
        </is>
      </c>
      <c r="N1" s="12" t="inlineStr">
        <is>
          <t>Impact</t>
        </is>
      </c>
    </row>
    <row r="2">
      <c r="A2" s="2" t="inlineStr">
        <is>
          <t>US</t>
        </is>
      </c>
      <c r="B2" s="2" t="inlineStr">
        <is>
          <t>F</t>
        </is>
      </c>
      <c r="C2" s="2" t="n">
        <v>2</v>
      </c>
      <c r="D2" s="7" t="n">
        <v>46143</v>
      </c>
      <c r="E2" s="2" t="n">
        <v>588</v>
      </c>
      <c r="F2" s="2" t="n">
        <v>52920</v>
      </c>
      <c r="G2" s="2" t="inlineStr">
        <is>
          <t>MEDIUM</t>
        </is>
      </c>
      <c r="H2" s="2" t="inlineStr">
        <is>
          <t>Yes</t>
        </is>
      </c>
      <c r="I2" s="2" t="inlineStr">
        <is>
          <t>Medium</t>
        </is>
      </c>
      <c r="J2" s="2" t="inlineStr">
        <is>
          <t>Best effort</t>
        </is>
      </c>
      <c r="K2" s="2" t="n">
        <v>1</v>
      </c>
      <c r="L2" s="2" t="n">
        <v>0</v>
      </c>
      <c r="M2" s="2" t="n">
        <v>0</v>
      </c>
      <c r="N2" s="2" t="inlineStr">
        <is>
          <t>SAME</t>
        </is>
      </c>
    </row>
    <row r="3">
      <c r="A3" s="2" t="inlineStr">
        <is>
          <t>US</t>
        </is>
      </c>
      <c r="B3" s="2" t="inlineStr">
        <is>
          <t>A</t>
        </is>
      </c>
      <c r="C3" s="2" t="n">
        <v>1</v>
      </c>
      <c r="D3" s="7" t="n">
        <v>46150</v>
      </c>
      <c r="E3" s="2" t="n">
        <v>684</v>
      </c>
      <c r="F3" s="2" t="n">
        <v>71820</v>
      </c>
      <c r="G3" s="2" t="inlineStr">
        <is>
          <t>HIGH</t>
        </is>
      </c>
      <c r="H3" s="2" t="inlineStr">
        <is>
          <t>Limited</t>
        </is>
      </c>
      <c r="I3" s="2" t="inlineStr">
        <is>
          <t>Low</t>
        </is>
      </c>
      <c r="J3" s="2" t="inlineStr">
        <is>
          <t>On-time</t>
        </is>
      </c>
      <c r="K3" s="2" t="n">
        <v>2</v>
      </c>
      <c r="L3" s="2" t="n">
        <v>11000</v>
      </c>
      <c r="M3" s="2" t="n">
        <v>0</v>
      </c>
      <c r="N3" s="9" t="inlineStr">
        <is>
          <t>BETTER</t>
        </is>
      </c>
    </row>
    <row r="4">
      <c r="A4" s="2" t="inlineStr">
        <is>
          <t>Australia</t>
        </is>
      </c>
      <c r="B4" s="2" t="inlineStr">
        <is>
          <t>E</t>
        </is>
      </c>
      <c r="C4" s="2" t="n">
        <v>1</v>
      </c>
      <c r="D4" s="7" t="n">
        <v>46150</v>
      </c>
      <c r="E4" s="2" t="n">
        <v>472</v>
      </c>
      <c r="F4" s="2" t="n">
        <v>14160</v>
      </c>
      <c r="G4" s="2" t="inlineStr">
        <is>
          <t>HIGH</t>
        </is>
      </c>
      <c r="H4" s="2" t="inlineStr">
        <is>
          <t>Limited</t>
        </is>
      </c>
      <c r="I4" s="2" t="inlineStr">
        <is>
          <t>Low</t>
        </is>
      </c>
      <c r="J4" s="2" t="inlineStr">
        <is>
          <t>On-time</t>
        </is>
      </c>
      <c r="K4" s="2" t="n">
        <v>3</v>
      </c>
      <c r="L4" s="2" t="n">
        <v>698</v>
      </c>
      <c r="M4" s="2" t="n">
        <v>0</v>
      </c>
      <c r="N4" s="9" t="inlineStr">
        <is>
          <t>BETTER</t>
        </is>
      </c>
    </row>
    <row r="5">
      <c r="A5" s="2" t="inlineStr">
        <is>
          <t>US</t>
        </is>
      </c>
      <c r="B5" s="2" t="inlineStr">
        <is>
          <t>F</t>
        </is>
      </c>
      <c r="C5" s="2" t="n">
        <v>2</v>
      </c>
      <c r="D5" s="7" t="n">
        <v>46150</v>
      </c>
      <c r="E5" s="2" t="n">
        <v>4028</v>
      </c>
      <c r="F5" s="2" t="n">
        <v>362520</v>
      </c>
      <c r="G5" s="2" t="inlineStr">
        <is>
          <t>MEDIUM</t>
        </is>
      </c>
      <c r="H5" s="2" t="inlineStr">
        <is>
          <t>Yes</t>
        </is>
      </c>
      <c r="I5" s="2" t="inlineStr">
        <is>
          <t>Medium</t>
        </is>
      </c>
      <c r="J5" s="2" t="inlineStr">
        <is>
          <t>Best effort</t>
        </is>
      </c>
      <c r="K5" s="2" t="n">
        <v>4</v>
      </c>
      <c r="L5" s="2" t="n">
        <v>4500</v>
      </c>
      <c r="M5" s="2" t="n">
        <v>0</v>
      </c>
      <c r="N5" s="9" t="inlineStr">
        <is>
          <t>BETTER</t>
        </is>
      </c>
    </row>
    <row r="6">
      <c r="A6" s="2" t="inlineStr">
        <is>
          <t>US</t>
        </is>
      </c>
      <c r="B6" s="2" t="inlineStr">
        <is>
          <t>A</t>
        </is>
      </c>
      <c r="C6" s="2" t="n">
        <v>1</v>
      </c>
      <c r="D6" s="7" t="n">
        <v>46157</v>
      </c>
      <c r="E6" s="2" t="n">
        <v>20000</v>
      </c>
      <c r="F6" s="2" t="n">
        <v>2100000</v>
      </c>
      <c r="G6" s="2" t="inlineStr">
        <is>
          <t>HIGH</t>
        </is>
      </c>
      <c r="H6" s="2" t="inlineStr">
        <is>
          <t>Limited</t>
        </is>
      </c>
      <c r="I6" s="2" t="inlineStr">
        <is>
          <t>Low</t>
        </is>
      </c>
      <c r="J6" s="2" t="inlineStr">
        <is>
          <t>On-time</t>
        </is>
      </c>
      <c r="K6" s="2" t="n">
        <v>5</v>
      </c>
      <c r="L6" s="2" t="n">
        <v>0</v>
      </c>
      <c r="M6" s="2" t="n">
        <v>0</v>
      </c>
      <c r="N6" s="2" t="inlineStr">
        <is>
          <t>SAME</t>
        </is>
      </c>
    </row>
    <row r="7">
      <c r="A7" s="2" t="inlineStr">
        <is>
          <t>US</t>
        </is>
      </c>
      <c r="B7" s="2" t="inlineStr">
        <is>
          <t>B</t>
        </is>
      </c>
      <c r="C7" s="2" t="n">
        <v>2</v>
      </c>
      <c r="D7" s="7" t="n">
        <v>46157</v>
      </c>
      <c r="E7" s="2" t="n">
        <v>5502</v>
      </c>
      <c r="F7" s="2" t="n">
        <v>302610</v>
      </c>
      <c r="G7" s="2" t="inlineStr">
        <is>
          <t>MEDIUM</t>
        </is>
      </c>
      <c r="H7" s="2" t="inlineStr">
        <is>
          <t>Yes</t>
        </is>
      </c>
      <c r="I7" s="2" t="inlineStr">
        <is>
          <t>Medium</t>
        </is>
      </c>
      <c r="J7" s="2" t="inlineStr">
        <is>
          <t>Best effort</t>
        </is>
      </c>
      <c r="K7" s="2" t="n">
        <v>6</v>
      </c>
      <c r="L7" s="2" t="n">
        <v>0</v>
      </c>
      <c r="M7" s="2" t="n">
        <v>0</v>
      </c>
      <c r="N7" s="2" t="inlineStr">
        <is>
          <t>SAME</t>
        </is>
      </c>
    </row>
    <row r="8">
      <c r="A8" s="2" t="inlineStr">
        <is>
          <t>UK</t>
        </is>
      </c>
      <c r="B8" s="2" t="inlineStr">
        <is>
          <t>C</t>
        </is>
      </c>
      <c r="C8" s="2" t="n">
        <v>1</v>
      </c>
      <c r="D8" s="7" t="n">
        <v>46157</v>
      </c>
      <c r="E8" s="2" t="n">
        <v>4320</v>
      </c>
      <c r="F8" s="2" t="n">
        <v>345600</v>
      </c>
      <c r="G8" s="2" t="inlineStr">
        <is>
          <t>HIGH</t>
        </is>
      </c>
      <c r="H8" s="2" t="inlineStr">
        <is>
          <t>Limited</t>
        </is>
      </c>
      <c r="I8" s="2" t="inlineStr">
        <is>
          <t>Low</t>
        </is>
      </c>
      <c r="J8" s="2" t="inlineStr">
        <is>
          <t>On-time</t>
        </is>
      </c>
      <c r="K8" s="2" t="n">
        <v>7</v>
      </c>
      <c r="L8" s="2" t="n">
        <v>11782</v>
      </c>
      <c r="M8" s="2" t="n">
        <v>0</v>
      </c>
      <c r="N8" s="9" t="inlineStr">
        <is>
          <t>BETTER</t>
        </is>
      </c>
    </row>
    <row r="9">
      <c r="A9" s="2" t="inlineStr">
        <is>
          <t>UK</t>
        </is>
      </c>
      <c r="B9" s="2" t="inlineStr">
        <is>
          <t>D</t>
        </is>
      </c>
      <c r="C9" s="2" t="n">
        <v>2</v>
      </c>
      <c r="D9" s="7" t="n">
        <v>46157</v>
      </c>
      <c r="E9" s="2" t="n">
        <v>2430</v>
      </c>
      <c r="F9" s="2" t="n">
        <v>97200</v>
      </c>
      <c r="G9" s="2" t="inlineStr">
        <is>
          <t>MEDIUM</t>
        </is>
      </c>
      <c r="H9" s="2" t="inlineStr">
        <is>
          <t>Yes</t>
        </is>
      </c>
      <c r="I9" s="2" t="inlineStr">
        <is>
          <t>Medium</t>
        </is>
      </c>
      <c r="J9" s="2" t="inlineStr">
        <is>
          <t>Best effort</t>
        </is>
      </c>
      <c r="K9" s="2" t="n">
        <v>8</v>
      </c>
      <c r="L9" s="2" t="n">
        <v>0</v>
      </c>
      <c r="M9" s="2" t="n">
        <v>2430</v>
      </c>
      <c r="N9" s="8" t="inlineStr">
        <is>
          <t>WORSE</t>
        </is>
      </c>
    </row>
    <row r="10">
      <c r="A10" s="2" t="inlineStr">
        <is>
          <t>Australia</t>
        </is>
      </c>
      <c r="B10" s="2" t="inlineStr">
        <is>
          <t>E</t>
        </is>
      </c>
      <c r="C10" s="2" t="n">
        <v>1</v>
      </c>
      <c r="D10" s="7" t="n">
        <v>46157</v>
      </c>
      <c r="E10" s="2" t="n">
        <v>300</v>
      </c>
      <c r="F10" s="2" t="n">
        <v>9000</v>
      </c>
      <c r="G10" s="2" t="inlineStr">
        <is>
          <t>HIGH</t>
        </is>
      </c>
      <c r="H10" s="2" t="inlineStr">
        <is>
          <t>Limited</t>
        </is>
      </c>
      <c r="I10" s="2" t="inlineStr">
        <is>
          <t>Low</t>
        </is>
      </c>
      <c r="J10" s="2" t="inlineStr">
        <is>
          <t>On-time</t>
        </is>
      </c>
      <c r="K10" s="2" t="n">
        <v>9</v>
      </c>
      <c r="L10" s="2" t="n">
        <v>0</v>
      </c>
      <c r="M10" s="2" t="n">
        <v>0</v>
      </c>
      <c r="N10" s="2" t="inlineStr">
        <is>
          <t>SAME</t>
        </is>
      </c>
    </row>
    <row r="11">
      <c r="A11" s="2" t="inlineStr">
        <is>
          <t>US</t>
        </is>
      </c>
      <c r="B11" s="2" t="inlineStr">
        <is>
          <t>F</t>
        </is>
      </c>
      <c r="C11" s="2" t="n">
        <v>2</v>
      </c>
      <c r="D11" s="7" t="n">
        <v>46157</v>
      </c>
      <c r="E11" s="2" t="n">
        <v>4200</v>
      </c>
      <c r="F11" s="2" t="n">
        <v>378000</v>
      </c>
      <c r="G11" s="2" t="inlineStr">
        <is>
          <t>MEDIUM</t>
        </is>
      </c>
      <c r="H11" s="2" t="inlineStr">
        <is>
          <t>Yes</t>
        </is>
      </c>
      <c r="I11" s="2" t="inlineStr">
        <is>
          <t>Medium</t>
        </is>
      </c>
      <c r="J11" s="2" t="inlineStr">
        <is>
          <t>Best effort</t>
        </is>
      </c>
      <c r="K11" s="2" t="n">
        <v>10</v>
      </c>
      <c r="L11" s="2" t="n">
        <v>0</v>
      </c>
      <c r="M11" s="2" t="n">
        <v>0</v>
      </c>
      <c r="N11" s="2" t="inlineStr">
        <is>
          <t>SAME</t>
        </is>
      </c>
    </row>
    <row r="12">
      <c r="A12" s="2" t="inlineStr">
        <is>
          <t>US</t>
        </is>
      </c>
      <c r="B12" s="2" t="inlineStr">
        <is>
          <t>A</t>
        </is>
      </c>
      <c r="C12" s="2" t="n">
        <v>1</v>
      </c>
      <c r="D12" s="7" t="n">
        <v>46164</v>
      </c>
      <c r="E12" s="2" t="n">
        <v>20000</v>
      </c>
      <c r="F12" s="2" t="n">
        <v>2100000</v>
      </c>
      <c r="G12" s="2" t="inlineStr">
        <is>
          <t>HIGH</t>
        </is>
      </c>
      <c r="H12" s="2" t="inlineStr">
        <is>
          <t>Limited</t>
        </is>
      </c>
      <c r="I12" s="2" t="inlineStr">
        <is>
          <t>Low</t>
        </is>
      </c>
      <c r="J12" s="2" t="inlineStr">
        <is>
          <t>On-time</t>
        </is>
      </c>
      <c r="K12" s="2" t="n">
        <v>11</v>
      </c>
      <c r="L12" s="2" t="n">
        <v>0</v>
      </c>
      <c r="M12" s="2" t="n">
        <v>674</v>
      </c>
      <c r="N12" s="8" t="inlineStr">
        <is>
          <t>WORSE</t>
        </is>
      </c>
    </row>
    <row r="13">
      <c r="A13" s="2" t="inlineStr">
        <is>
          <t>US</t>
        </is>
      </c>
      <c r="B13" s="2" t="inlineStr">
        <is>
          <t>B</t>
        </is>
      </c>
      <c r="C13" s="2" t="n">
        <v>2</v>
      </c>
      <c r="D13" s="7" t="n">
        <v>46164</v>
      </c>
      <c r="E13" s="2" t="n">
        <v>15658</v>
      </c>
      <c r="F13" s="2" t="n">
        <v>861190</v>
      </c>
      <c r="G13" s="2" t="inlineStr">
        <is>
          <t>MEDIUM</t>
        </is>
      </c>
      <c r="H13" s="2" t="inlineStr">
        <is>
          <t>Yes</t>
        </is>
      </c>
      <c r="I13" s="2" t="inlineStr">
        <is>
          <t>Medium</t>
        </is>
      </c>
      <c r="J13" s="2" t="inlineStr">
        <is>
          <t>Best effort</t>
        </is>
      </c>
      <c r="K13" s="2" t="n">
        <v>12</v>
      </c>
      <c r="L13" s="2" t="n">
        <v>8865</v>
      </c>
      <c r="M13" s="2" t="n">
        <v>0</v>
      </c>
      <c r="N13" s="9" t="inlineStr">
        <is>
          <t>BETTER</t>
        </is>
      </c>
    </row>
    <row r="14">
      <c r="A14" s="2" t="inlineStr">
        <is>
          <t>UK</t>
        </is>
      </c>
      <c r="B14" s="2" t="inlineStr">
        <is>
          <t>C</t>
        </is>
      </c>
      <c r="C14" s="2" t="n">
        <v>1</v>
      </c>
      <c r="D14" s="7" t="n">
        <v>46164</v>
      </c>
      <c r="E14" s="2" t="n">
        <v>8370</v>
      </c>
      <c r="F14" s="2" t="n">
        <v>669600</v>
      </c>
      <c r="G14" s="2" t="inlineStr">
        <is>
          <t>HIGH</t>
        </is>
      </c>
      <c r="H14" s="2" t="inlineStr">
        <is>
          <t>Limited</t>
        </is>
      </c>
      <c r="I14" s="2" t="inlineStr">
        <is>
          <t>Low</t>
        </is>
      </c>
      <c r="J14" s="2" t="inlineStr">
        <is>
          <t>On-time</t>
        </is>
      </c>
      <c r="K14" s="2" t="n">
        <v>13</v>
      </c>
      <c r="L14" s="2" t="n">
        <v>0</v>
      </c>
      <c r="M14" s="2" t="n">
        <v>0</v>
      </c>
      <c r="N14" s="2" t="inlineStr">
        <is>
          <t>SAME</t>
        </is>
      </c>
    </row>
    <row r="15">
      <c r="A15" s="2" t="inlineStr">
        <is>
          <t>UK</t>
        </is>
      </c>
      <c r="B15" s="2" t="inlineStr">
        <is>
          <t>D</t>
        </is>
      </c>
      <c r="C15" s="2" t="n">
        <v>2</v>
      </c>
      <c r="D15" s="7" t="n">
        <v>46164</v>
      </c>
      <c r="E15" s="2" t="n">
        <v>9990</v>
      </c>
      <c r="F15" s="2" t="n">
        <v>399600</v>
      </c>
      <c r="G15" s="2" t="inlineStr">
        <is>
          <t>MEDIUM</t>
        </is>
      </c>
      <c r="H15" s="2" t="inlineStr">
        <is>
          <t>Yes</t>
        </is>
      </c>
      <c r="I15" s="2" t="inlineStr">
        <is>
          <t>Medium</t>
        </is>
      </c>
      <c r="J15" s="2" t="inlineStr">
        <is>
          <t>Best effort</t>
        </is>
      </c>
      <c r="K15" s="2" t="n">
        <v>14</v>
      </c>
      <c r="L15" s="2" t="n">
        <v>5840</v>
      </c>
      <c r="M15" s="2" t="n">
        <v>9990</v>
      </c>
      <c r="N15" s="8" t="inlineStr">
        <is>
          <t>WORSE</t>
        </is>
      </c>
    </row>
    <row r="16">
      <c r="A16" s="2" t="inlineStr">
        <is>
          <t>Australia</t>
        </is>
      </c>
      <c r="B16" s="2" t="inlineStr">
        <is>
          <t>E</t>
        </is>
      </c>
      <c r="C16" s="2" t="n">
        <v>1</v>
      </c>
      <c r="D16" s="7" t="n">
        <v>46164</v>
      </c>
      <c r="E16" s="2" t="n">
        <v>698</v>
      </c>
      <c r="F16" s="2" t="n">
        <v>20940</v>
      </c>
      <c r="G16" s="2" t="inlineStr">
        <is>
          <t>HIGH</t>
        </is>
      </c>
      <c r="H16" s="2" t="inlineStr">
        <is>
          <t>Limited</t>
        </is>
      </c>
      <c r="I16" s="2" t="inlineStr">
        <is>
          <t>Low</t>
        </is>
      </c>
      <c r="J16" s="2" t="inlineStr">
        <is>
          <t>On-time</t>
        </is>
      </c>
      <c r="K16" s="2" t="n">
        <v>15</v>
      </c>
      <c r="L16" s="2" t="n">
        <v>0</v>
      </c>
      <c r="M16" s="2" t="n">
        <v>0</v>
      </c>
      <c r="N16" s="2" t="inlineStr">
        <is>
          <t>SAME</t>
        </is>
      </c>
    </row>
    <row r="17">
      <c r="A17" s="2" t="inlineStr">
        <is>
          <t>US</t>
        </is>
      </c>
      <c r="B17" s="2" t="inlineStr">
        <is>
          <t>F</t>
        </is>
      </c>
      <c r="C17" s="2" t="n">
        <v>2</v>
      </c>
      <c r="D17" s="7" t="n">
        <v>46164</v>
      </c>
      <c r="E17" s="2" t="n">
        <v>3802</v>
      </c>
      <c r="F17" s="2" t="n">
        <v>342180</v>
      </c>
      <c r="G17" s="2" t="inlineStr">
        <is>
          <t>MEDIUM</t>
        </is>
      </c>
      <c r="H17" s="2" t="inlineStr">
        <is>
          <t>Yes</t>
        </is>
      </c>
      <c r="I17" s="2" t="inlineStr">
        <is>
          <t>Medium</t>
        </is>
      </c>
      <c r="J17" s="2" t="inlineStr">
        <is>
          <t>Best effort</t>
        </is>
      </c>
      <c r="K17" s="2" t="n">
        <v>16</v>
      </c>
      <c r="L17" s="2" t="n">
        <v>0</v>
      </c>
      <c r="M17" s="2" t="n">
        <v>588</v>
      </c>
      <c r="N17" s="8" t="inlineStr">
        <is>
          <t>WORSE</t>
        </is>
      </c>
    </row>
    <row r="18">
      <c r="A18" s="2" t="inlineStr">
        <is>
          <t>US</t>
        </is>
      </c>
      <c r="B18" s="2" t="inlineStr">
        <is>
          <t>A</t>
        </is>
      </c>
      <c r="C18" s="2" t="n">
        <v>1</v>
      </c>
      <c r="D18" s="7" t="n">
        <v>46171</v>
      </c>
      <c r="E18" s="2" t="n">
        <v>11000</v>
      </c>
      <c r="F18" s="2" t="n">
        <v>1155000</v>
      </c>
      <c r="G18" s="2" t="inlineStr">
        <is>
          <t>HIGH</t>
        </is>
      </c>
      <c r="H18" s="2" t="inlineStr">
        <is>
          <t>Limited</t>
        </is>
      </c>
      <c r="I18" s="2" t="inlineStr">
        <is>
          <t>Low</t>
        </is>
      </c>
      <c r="J18" s="2" t="inlineStr">
        <is>
          <t>On-time</t>
        </is>
      </c>
      <c r="K18" s="2" t="n">
        <v>17</v>
      </c>
      <c r="L18" s="2" t="n">
        <v>0</v>
      </c>
      <c r="M18" s="2" t="n">
        <v>11000</v>
      </c>
      <c r="N18" s="8" t="inlineStr">
        <is>
          <t>WORSE</t>
        </is>
      </c>
    </row>
    <row r="19">
      <c r="A19" s="2" t="inlineStr">
        <is>
          <t>US</t>
        </is>
      </c>
      <c r="B19" s="2" t="inlineStr">
        <is>
          <t>B</t>
        </is>
      </c>
      <c r="C19" s="2" t="n">
        <v>2</v>
      </c>
      <c r="D19" s="7" t="n">
        <v>46171</v>
      </c>
      <c r="E19" s="2" t="n">
        <v>8865</v>
      </c>
      <c r="F19" s="2" t="n">
        <v>487575</v>
      </c>
      <c r="G19" s="2" t="inlineStr">
        <is>
          <t>MEDIUM</t>
        </is>
      </c>
      <c r="H19" s="2" t="inlineStr">
        <is>
          <t>Yes</t>
        </is>
      </c>
      <c r="I19" s="2" t="inlineStr">
        <is>
          <t>Medium</t>
        </is>
      </c>
      <c r="J19" s="2" t="inlineStr">
        <is>
          <t>Best effort</t>
        </is>
      </c>
      <c r="K19" s="2" t="n">
        <v>18</v>
      </c>
      <c r="L19" s="2" t="n">
        <v>0</v>
      </c>
      <c r="M19" s="2" t="n">
        <v>2535</v>
      </c>
      <c r="N19" s="8" t="inlineStr">
        <is>
          <t>WORSE</t>
        </is>
      </c>
    </row>
    <row r="20">
      <c r="A20" s="2" t="inlineStr">
        <is>
          <t>UK</t>
        </is>
      </c>
      <c r="B20" s="2" t="inlineStr">
        <is>
          <t>C</t>
        </is>
      </c>
      <c r="C20" s="2" t="n">
        <v>1</v>
      </c>
      <c r="D20" s="7" t="n">
        <v>46171</v>
      </c>
      <c r="E20" s="2" t="n">
        <v>11782</v>
      </c>
      <c r="F20" s="2" t="n">
        <v>942560</v>
      </c>
      <c r="G20" s="2" t="inlineStr">
        <is>
          <t>HIGH</t>
        </is>
      </c>
      <c r="H20" s="2" t="inlineStr">
        <is>
          <t>Limited</t>
        </is>
      </c>
      <c r="I20" s="2" t="inlineStr">
        <is>
          <t>Low</t>
        </is>
      </c>
      <c r="J20" s="2" t="inlineStr">
        <is>
          <t>On-time</t>
        </is>
      </c>
      <c r="K20" s="2" t="n">
        <v>19</v>
      </c>
      <c r="L20" s="2" t="n">
        <v>0</v>
      </c>
      <c r="M20" s="2" t="n">
        <v>1981</v>
      </c>
      <c r="N20" s="8" t="inlineStr">
        <is>
          <t>WORSE</t>
        </is>
      </c>
    </row>
    <row r="21">
      <c r="A21" s="2" t="inlineStr">
        <is>
          <t>UK</t>
        </is>
      </c>
      <c r="B21" s="2" t="inlineStr">
        <is>
          <t>D</t>
        </is>
      </c>
      <c r="C21" s="2" t="n">
        <v>2</v>
      </c>
      <c r="D21" s="7" t="n">
        <v>46171</v>
      </c>
      <c r="E21" s="2" t="n">
        <v>5840</v>
      </c>
      <c r="F21" s="2" t="n">
        <v>233600</v>
      </c>
      <c r="G21" s="2" t="inlineStr">
        <is>
          <t>MEDIUM</t>
        </is>
      </c>
      <c r="H21" s="2" t="inlineStr">
        <is>
          <t>Yes</t>
        </is>
      </c>
      <c r="I21" s="2" t="inlineStr">
        <is>
          <t>Medium</t>
        </is>
      </c>
      <c r="J21" s="2" t="inlineStr">
        <is>
          <t>Best effort</t>
        </is>
      </c>
      <c r="K21" s="2" t="n">
        <v>20</v>
      </c>
      <c r="L21" s="2" t="n">
        <v>0</v>
      </c>
      <c r="M21" s="2" t="n">
        <v>5840</v>
      </c>
      <c r="N21" s="8" t="inlineStr">
        <is>
          <t>WORSE</t>
        </is>
      </c>
    </row>
    <row r="22">
      <c r="A22" s="2" t="inlineStr">
        <is>
          <t>US</t>
        </is>
      </c>
      <c r="B22" s="2" t="inlineStr">
        <is>
          <t>F</t>
        </is>
      </c>
      <c r="C22" s="2" t="n">
        <v>2</v>
      </c>
      <c r="D22" s="7" t="n">
        <v>46171</v>
      </c>
      <c r="E22" s="2" t="n">
        <v>4500</v>
      </c>
      <c r="F22" s="2" t="n">
        <v>405000</v>
      </c>
      <c r="G22" s="2" t="inlineStr">
        <is>
          <t>MEDIUM</t>
        </is>
      </c>
      <c r="H22" s="2" t="inlineStr">
        <is>
          <t>Yes</t>
        </is>
      </c>
      <c r="I22" s="2" t="inlineStr">
        <is>
          <t>Medium</t>
        </is>
      </c>
      <c r="J22" s="2" t="inlineStr">
        <is>
          <t>Best effort</t>
        </is>
      </c>
      <c r="K22" s="2" t="n">
        <v>21</v>
      </c>
      <c r="L22" s="2" t="n">
        <v>0</v>
      </c>
      <c r="M22" s="2" t="n">
        <v>4500</v>
      </c>
      <c r="N22" s="8" t="inlineStr">
        <is>
          <t>WORSE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7" customWidth="1" min="3" max="3"/>
    <col width="40" customWidth="1" min="4" max="4"/>
    <col width="10" customWidth="1" min="5" max="5"/>
  </cols>
  <sheetData>
    <row r="1">
      <c r="A1" s="6" t="inlineStr">
        <is>
          <t>Check #</t>
        </is>
      </c>
      <c r="B1" s="6" t="inlineStr">
        <is>
          <t>Description</t>
        </is>
      </c>
      <c r="C1" s="6" t="inlineStr">
        <is>
          <t>Expected</t>
        </is>
      </c>
      <c r="D1" s="6" t="inlineStr">
        <is>
          <t>Actual</t>
        </is>
      </c>
      <c r="E1" s="6" t="inlineStr">
        <is>
          <t>Status</t>
        </is>
      </c>
    </row>
    <row r="2">
      <c r="A2" s="2" t="n">
        <v>1</v>
      </c>
      <c r="B2" s="2" t="inlineStr">
        <is>
          <t>A production * 2 &lt;= total usable PCBA</t>
        </is>
      </c>
      <c r="C2" s="2" t="inlineStr">
        <is>
          <t>&lt;= 405,020</t>
        </is>
      </c>
      <c r="D2" s="2" t="inlineStr">
        <is>
          <t>80,020</t>
        </is>
      </c>
      <c r="E2" s="13" t="inlineStr">
        <is>
          <t>PASS</t>
        </is>
      </c>
    </row>
    <row r="3">
      <c r="A3" s="2" t="n">
        <v>2</v>
      </c>
      <c r="B3" s="2" t="inlineStr">
        <is>
          <t>No negative usable PCBA balance</t>
        </is>
      </c>
      <c r="C3" s="2" t="inlineStr">
        <is>
          <t>0 violations</t>
        </is>
      </c>
      <c r="D3" s="2" t="inlineStr">
        <is>
          <t>0 violations</t>
        </is>
      </c>
      <c r="E3" s="13" t="inlineStr">
        <is>
          <t>PASS</t>
        </is>
      </c>
    </row>
    <row r="4">
      <c r="A4" s="2" t="n">
        <v>3</v>
      </c>
      <c r="B4" s="2" t="inlineStr">
        <is>
          <t>No fixture overload per day</t>
        </is>
      </c>
      <c r="C4" s="2" t="inlineStr">
        <is>
          <t>0 overloads</t>
        </is>
      </c>
      <c r="D4" s="2" t="inlineStr">
        <is>
          <t>0 overloads</t>
        </is>
      </c>
      <c r="E4" s="13" t="inlineStr">
        <is>
          <t>PASS</t>
        </is>
      </c>
    </row>
    <row r="5">
      <c r="A5" s="2" t="n">
        <v>4</v>
      </c>
      <c r="B5" s="2" t="inlineStr">
        <is>
          <t>Inventory continuity (EndInv[t-1] = BegInv[t])</t>
        </is>
      </c>
      <c r="C5" s="2" t="inlineStr">
        <is>
          <t>All match</t>
        </is>
      </c>
      <c r="D5" s="2" t="inlineStr">
        <is>
          <t>Checked</t>
        </is>
      </c>
      <c r="E5" s="13" t="inlineStr">
        <is>
          <t>PASS</t>
        </is>
      </c>
    </row>
    <row r="6">
      <c r="A6" s="2" t="n">
        <v>5</v>
      </c>
      <c r="B6" s="2" t="inlineStr">
        <is>
          <t>Shortage = Demand - Planned (net of inventory)</t>
        </is>
      </c>
      <c r="C6" s="2" t="inlineStr">
        <is>
          <t>Consistent</t>
        </is>
      </c>
      <c r="D6" s="2" t="inlineStr">
        <is>
          <t>Tot dem=143,029 plan=103,491 short=39,538</t>
        </is>
      </c>
      <c r="E6" s="13" t="inlineStr">
        <is>
          <t>PASS</t>
        </is>
      </c>
    </row>
    <row r="7">
      <c r="A7" s="2" t="n">
        <v>6</v>
      </c>
      <c r="B7" s="2" t="inlineStr">
        <is>
          <t>Horizon = 15/04/2026 to 15/05/2026</t>
        </is>
      </c>
      <c r="C7" s="2" t="inlineStr">
        <is>
          <t>2026-04-15 to 2026-05-15</t>
        </is>
      </c>
      <c r="D7" s="2" t="inlineStr">
        <is>
          <t>2026-04-15 to 2026-05-15</t>
        </is>
      </c>
      <c r="E7" s="13" t="inlineStr">
        <is>
          <t>PASS</t>
        </is>
      </c>
    </row>
    <row r="8">
      <c r="A8" s="2" t="n">
        <v>7</v>
      </c>
      <c r="B8" s="2" t="inlineStr">
        <is>
          <t>A shortage &lt;= 11674 (60% recovery cap)</t>
        </is>
      </c>
      <c r="C8" s="2" t="inlineStr">
        <is>
          <t>&lt;= 11,674</t>
        </is>
      </c>
      <c r="D8" s="2" t="inlineStr">
        <is>
          <t>11,674</t>
        </is>
      </c>
      <c r="E8" s="13" t="inlineStr">
        <is>
          <t>PASS</t>
        </is>
      </c>
    </row>
    <row r="9">
      <c r="A9" s="2" t="n">
        <v>8</v>
      </c>
      <c r="B9" s="2" t="inlineStr">
        <is>
          <t>No external links in this workbook</t>
        </is>
      </c>
      <c r="C9" s="2" t="inlineStr">
        <is>
          <t>0</t>
        </is>
      </c>
      <c r="D9" s="2" t="inlineStr">
        <is>
          <t>0 (new build)</t>
        </is>
      </c>
      <c r="E9" s="13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33" customWidth="1" min="4" max="4"/>
  </cols>
  <sheetData>
    <row r="1">
      <c r="A1" s="12" t="inlineStr">
        <is>
          <t>#</t>
        </is>
      </c>
      <c r="B1" s="12" t="inlineStr">
        <is>
          <t>Action</t>
        </is>
      </c>
      <c r="C1" s="12" t="inlineStr">
        <is>
          <t>Detail</t>
        </is>
      </c>
      <c r="D1" s="12" t="inlineStr">
        <is>
          <t>Source</t>
        </is>
      </c>
    </row>
    <row r="2">
      <c r="A2" s="2" t="n">
        <v>1</v>
      </c>
      <c r="B2" s="2" t="inlineStr">
        <is>
          <t>NEW SHEET: Scenario_Input</t>
        </is>
      </c>
      <c r="C2" s="2" t="inlineStr">
        <is>
          <t>All scenario assumptions in one place</t>
        </is>
      </c>
      <c r="D2" s="2" t="inlineStr">
        <is>
          <t>Case study + BOM sheet</t>
        </is>
      </c>
    </row>
    <row r="3">
      <c r="A3" s="2" t="n">
        <v>2</v>
      </c>
      <c r="B3" s="2" t="inlineStr">
        <is>
          <t>NEW SHEET: PCBA_Recovery_Plan</t>
        </is>
      </c>
      <c r="C3" s="2" t="inlineStr">
        <is>
          <t>Daily PCBA availability timeline with air/reflash/sea</t>
        </is>
      </c>
      <c r="D3" s="2" t="inlineStr">
        <is>
          <t>Solver output</t>
        </is>
      </c>
    </row>
    <row r="4">
      <c r="A4" s="2" t="n">
        <v>3</v>
      </c>
      <c r="B4" s="2" t="inlineStr">
        <is>
          <t>NEW SHEET: Scenario_PP</t>
        </is>
      </c>
      <c r="C4" s="2" t="inlineStr">
        <is>
          <t>Full production plan with PCBA gating + inventory continuity</t>
        </is>
      </c>
      <c r="D4" s="2" t="inlineStr">
        <is>
          <t>LP solver (PuLP)</t>
        </is>
      </c>
    </row>
    <row r="5">
      <c r="A5" s="2" t="n">
        <v>4</v>
      </c>
      <c r="B5" s="2" t="inlineStr">
        <is>
          <t>NEW SHEET: Scenario_Cost_Analysis</t>
        </is>
      </c>
      <c r="C5" s="2" t="inlineStr">
        <is>
          <t>3-way cost comparison: Reflash-first vs Air-60% vs Full Air</t>
        </is>
      </c>
      <c r="D5" s="2" t="inlineStr">
        <is>
          <t>Solver + assumptions</t>
        </is>
      </c>
    </row>
    <row r="6">
      <c r="A6" s="2" t="n">
        <v>5</v>
      </c>
      <c r="B6" s="2" t="inlineStr">
        <is>
          <t>NEW SHEET: Customer_Service_Priority</t>
        </is>
      </c>
      <c r="C6" s="2" t="inlineStr">
        <is>
          <t>Market/SKU priority allocation under shortage</t>
        </is>
      </c>
      <c r="D6" s="2" t="inlineStr">
        <is>
          <t>Input sheet priorities</t>
        </is>
      </c>
    </row>
    <row r="7">
      <c r="A7" s="2" t="n">
        <v>6</v>
      </c>
      <c r="B7" s="2" t="inlineStr">
        <is>
          <t>NEW SHEET: Validation_Checks</t>
        </is>
      </c>
      <c r="C7" s="2" t="inlineStr">
        <is>
          <t>8 automated checks on PP integrity</t>
        </is>
      </c>
      <c r="D7" s="2" t="inlineStr">
        <is>
          <t>Calculated</t>
        </is>
      </c>
    </row>
    <row r="8">
      <c r="A8" s="2" t="n">
        <v>7</v>
      </c>
      <c r="B8" s="2" t="inlineStr">
        <is>
          <t>NEW SHEET: Fix_Log</t>
        </is>
      </c>
      <c r="C8" s="2" t="inlineStr">
        <is>
          <t>This change log</t>
        </is>
      </c>
      <c r="D8" s="2" t="inlineStr"/>
    </row>
    <row r="9">
      <c r="A9" s="2" t="n">
        <v>8</v>
      </c>
      <c r="B9" s="2" t="inlineStr">
        <is>
          <t>COPIED: Original sheets preserved</t>
        </is>
      </c>
      <c r="C9" s="2" t="inlineStr">
        <is>
          <t>All original sheets from raw file copied as-is</t>
        </is>
      </c>
      <c r="D9" s="2" t="inlineStr">
        <is>
          <t>SCM_round2.1_new.xlsx</t>
        </is>
      </c>
    </row>
    <row r="10">
      <c r="A10" s="2" t="n">
        <v>9</v>
      </c>
      <c r="B10" s="2" t="inlineStr">
        <is>
          <t>REMOVED: External links</t>
        </is>
      </c>
      <c r="C10" s="2" t="inlineStr">
        <is>
          <t>New workbook built from scratch; no external links possible</t>
        </is>
      </c>
      <c r="D10" s="2" t="inlineStr"/>
    </row>
    <row r="11">
      <c r="A11" s="2" t="n">
        <v>10</v>
      </c>
      <c r="B11" s="2" t="inlineStr">
        <is>
          <t>ASSUMPTION: Reflash capacity</t>
        </is>
      </c>
      <c r="C11" s="2" t="inlineStr">
        <is>
          <t>Unlimited once equipment arrives (all 370K available)</t>
        </is>
      </c>
      <c r="D11" s="2" t="inlineStr">
        <is>
          <t>Reasonable: 370K &gt;&gt; 45K needed</t>
        </is>
      </c>
    </row>
    <row r="12">
      <c r="A12" s="2" t="n">
        <v>11</v>
      </c>
      <c r="B12" s="2" t="inlineStr">
        <is>
          <t>ASSUMPTION: Reflash cost</t>
        </is>
      </c>
      <c r="C12" s="2" t="inlineStr">
        <is>
          <t>$0 extra (equipment cost not quantified)</t>
        </is>
      </c>
      <c r="D12" s="2" t="inlineStr">
        <is>
          <t>Case study silent on cost</t>
        </is>
      </c>
    </row>
    <row r="13">
      <c r="A13" s="2" t="n">
        <v>12</v>
      </c>
      <c r="B13" s="2" t="inlineStr">
        <is>
          <t>ASSUMPTION: Sea extra cost</t>
        </is>
      </c>
      <c r="C13" s="2" t="inlineStr">
        <is>
          <t>$0 (baseline shipping)</t>
        </is>
      </c>
      <c r="D13" s="2" t="inlineStr">
        <is>
          <t>Only air has +$2 premium</t>
        </is>
      </c>
    </row>
    <row r="14">
      <c r="A14" s="2" t="n">
        <v>13</v>
      </c>
      <c r="B14" s="2" t="inlineStr">
        <is>
          <t>ASSUMPTION: Opening FG inventory</t>
        </is>
      </c>
      <c r="C14" s="2" t="inlineStr">
        <is>
          <t>0 for all SKUs</t>
        </is>
      </c>
      <c r="D14" s="2" t="inlineStr">
        <is>
          <t>Input sheet row 5</t>
        </is>
      </c>
    </row>
    <row r="15">
      <c r="A15" s="2" t="n">
        <v>14</v>
      </c>
      <c r="B15" s="2" t="inlineStr">
        <is>
          <t>DATA: BOM usage A-&gt;RM04</t>
        </is>
      </c>
      <c r="C15" s="2" t="inlineStr">
        <is>
          <t>2 PCBA per FG</t>
        </is>
      </c>
      <c r="D15" s="2" t="inlineStr">
        <is>
          <t>BOM &amp; Inventory R8</t>
        </is>
      </c>
    </row>
    <row r="16">
      <c r="A16" s="2" t="n">
        <v>15</v>
      </c>
      <c r="B16" s="2" t="inlineStr">
        <is>
          <t>DATA: PCBA stock</t>
        </is>
      </c>
      <c r="C16" s="2" t="inlineStr">
        <is>
          <t>340,000 + 30,000 PO = 370,000 on hold</t>
        </is>
      </c>
      <c r="D16" s="2" t="inlineStr">
        <is>
          <t>BOM &amp; Inventory R8</t>
        </is>
      </c>
    </row>
    <row r="17">
      <c r="A17" s="2" t="n">
        <v>16</v>
      </c>
      <c r="B17" s="2" t="inlineStr">
        <is>
          <t>DATA: SKU priorities</t>
        </is>
      </c>
      <c r="C17" s="2" t="inlineStr">
        <is>
          <t>A&gt;B (P1&gt;P2), C&gt;D, E&gt;F</t>
        </is>
      </c>
      <c r="D17" s="2" t="inlineStr">
        <is>
          <t>Input sheet col G</t>
        </is>
      </c>
    </row>
    <row r="18">
      <c r="A18" s="2" t="n">
        <v>17</v>
      </c>
      <c r="B18" s="2" t="inlineStr">
        <is>
          <t>DATA: Fixture caps</t>
        </is>
      </c>
      <c r="C18" s="2" t="inlineStr">
        <is>
          <t>123AB=15000/wk, 456CD=5000/wk, 789EF=3000/wk</t>
        </is>
      </c>
      <c r="D18" s="2" t="inlineStr">
        <is>
          <t>Input sheet col D</t>
        </is>
      </c>
    </row>
    <row r="19">
      <c r="A19" s="2" t="n">
        <v>18</v>
      </c>
      <c r="B19" s="2" t="inlineStr">
        <is>
          <t>LIMITATION: No detailed customer data</t>
        </is>
      </c>
      <c r="C19" s="2" t="inlineStr">
        <is>
          <t>Service priority by market/SKU, not individual customer</t>
        </is>
      </c>
      <c r="D19" s="2" t="inlineStr">
        <is>
          <t>Data not available</t>
        </is>
      </c>
    </row>
    <row r="20">
      <c r="A20" s="2" t="n">
        <v>19</v>
      </c>
      <c r="B20" s="2" t="inlineStr">
        <is>
          <t>LIMITATION: Reflash rate unknown</t>
        </is>
      </c>
      <c r="C20" s="2" t="inlineStr">
        <is>
          <t>Assumed instant; real rate may reduce Phase 2 capacity</t>
        </is>
      </c>
      <c r="D20" s="2" t="inlineStr">
        <is>
          <t>Not specified in case</t>
        </is>
      </c>
    </row>
    <row r="21">
      <c r="A21" s="2" t="n">
        <v>20</v>
      </c>
      <c r="B21" s="2" t="inlineStr">
        <is>
          <t>DECISION: 60% recovery chosen</t>
        </is>
      </c>
      <c r="C21" s="2" t="inlineStr">
        <is>
          <t>A shortage capped at 11,674; air cost = $70,040</t>
        </is>
      </c>
      <c r="D21" s="2" t="inlineStr">
        <is>
          <t>recovery_analysis.py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Backward MPS Input</t>
        </is>
      </c>
    </row>
    <row r="3">
      <c r="A3" t="inlineStr">
        <is>
          <t>Planning logic</t>
        </is>
      </c>
      <c r="B3" t="inlineStr">
        <is>
          <t>Backward scheduling with shared fixture cap lock by fixture-week</t>
        </is>
      </c>
    </row>
    <row r="4">
      <c r="A4" t="inlineStr">
        <is>
          <t>Production can start from</t>
        </is>
      </c>
      <c r="B4" s="14" t="n">
        <v>46125</v>
      </c>
    </row>
    <row r="5">
      <c r="A5" t="inlineStr">
        <is>
          <t>Demand source</t>
        </is>
      </c>
      <c r="B5" t="inlineStr">
        <is>
          <t>SCM_round2.1.xlsx / demand_matrix</t>
        </is>
      </c>
    </row>
    <row r="6">
      <c r="A6" t="inlineStr">
        <is>
          <t>Opening FG assumption</t>
        </is>
      </c>
      <c r="B6" t="n">
        <v>0</v>
      </c>
    </row>
    <row r="7">
      <c r="A7" t="inlineStr">
        <is>
          <t>Shortage rule</t>
        </is>
      </c>
      <c r="B7" t="inlineStr">
        <is>
          <t>Allowed; not forced to zero; capacity shared by fixture-week with priority A&gt;B, C&gt;D, E&gt;F</t>
        </is>
      </c>
    </row>
    <row r="9">
      <c r="A9" t="inlineStr">
        <is>
          <t>SKU</t>
        </is>
      </c>
      <c r="B9" t="inlineStr">
        <is>
          <t>Description</t>
        </is>
      </c>
      <c r="C9" t="inlineStr">
        <is>
          <t>Fixture</t>
        </is>
      </c>
      <c r="D9" t="inlineStr">
        <is>
          <t>Weekly Capacity</t>
        </is>
      </c>
      <c r="E9" t="inlineStr">
        <is>
          <t>Opening FG</t>
        </is>
      </c>
      <c r="F9" t="inlineStr">
        <is>
          <t>Storage Cap</t>
        </is>
      </c>
      <c r="G9" t="inlineStr">
        <is>
          <t>Priority</t>
        </is>
      </c>
      <c r="H9" t="inlineStr">
        <is>
          <t>Week</t>
        </is>
      </c>
      <c r="I9" t="inlineStr">
        <is>
          <t>A</t>
        </is>
      </c>
      <c r="J9" t="inlineStr">
        <is>
          <t>B</t>
        </is>
      </c>
      <c r="K9" t="inlineStr">
        <is>
          <t>C</t>
        </is>
      </c>
      <c r="L9" t="inlineStr">
        <is>
          <t>D</t>
        </is>
      </c>
      <c r="M9" t="inlineStr">
        <is>
          <t>E</t>
        </is>
      </c>
      <c r="N9" t="inlineStr">
        <is>
          <t>F</t>
        </is>
      </c>
    </row>
    <row r="10">
      <c r="A10" t="inlineStr">
        <is>
          <t>A</t>
        </is>
      </c>
      <c r="B10" t="inlineStr">
        <is>
          <t>2026 Automatic Robot ver</t>
        </is>
      </c>
      <c r="C10" t="inlineStr">
        <is>
          <t>123AB</t>
        </is>
      </c>
      <c r="D10" t="n">
        <v>15000</v>
      </c>
      <c r="E10" t="n">
        <v>0</v>
      </c>
      <c r="F10" t="n">
        <v>15000</v>
      </c>
      <c r="G10" t="n">
        <v>1</v>
      </c>
      <c r="H10" s="14" t="n">
        <v>46125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</t>
        </is>
      </c>
      <c r="B11" t="inlineStr">
        <is>
          <t>2025 Barbie ver colorful</t>
        </is>
      </c>
      <c r="C11" t="inlineStr">
        <is>
          <t>123AB</t>
        </is>
      </c>
      <c r="D11" t="n">
        <v>15000</v>
      </c>
      <c r="E11" t="n">
        <v>0</v>
      </c>
      <c r="F11" t="n">
        <v>15000</v>
      </c>
      <c r="G11" t="n">
        <v>2</v>
      </c>
      <c r="H11" s="14" t="n">
        <v>46132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588</v>
      </c>
    </row>
    <row r="12">
      <c r="A12" t="inlineStr">
        <is>
          <t>C</t>
        </is>
      </c>
      <c r="B12" t="inlineStr">
        <is>
          <t>2026 Castle &amp; Farm Blocks</t>
        </is>
      </c>
      <c r="C12" t="inlineStr">
        <is>
          <t>456CD</t>
        </is>
      </c>
      <c r="D12" t="n">
        <v>5000</v>
      </c>
      <c r="E12" t="n">
        <v>0</v>
      </c>
      <c r="F12" t="n">
        <v>5000</v>
      </c>
      <c r="G12" t="n">
        <v>1</v>
      </c>
      <c r="H12" s="14" t="n">
        <v>46139</v>
      </c>
      <c r="I12" t="n">
        <v>684</v>
      </c>
      <c r="J12" t="n">
        <v>0</v>
      </c>
      <c r="K12" t="n">
        <v>0</v>
      </c>
      <c r="L12" t="n">
        <v>0</v>
      </c>
      <c r="M12" t="n">
        <v>472</v>
      </c>
      <c r="N12" t="n">
        <v>4028</v>
      </c>
    </row>
    <row r="13">
      <c r="A13" t="inlineStr">
        <is>
          <t>D</t>
        </is>
      </c>
      <c r="B13" t="inlineStr">
        <is>
          <t>2026 Animal Animation Book</t>
        </is>
      </c>
      <c r="C13" t="inlineStr">
        <is>
          <t>456CD</t>
        </is>
      </c>
      <c r="D13" t="n">
        <v>5000</v>
      </c>
      <c r="E13" t="n">
        <v>0</v>
      </c>
      <c r="F13" t="n">
        <v>5000</v>
      </c>
      <c r="G13" t="n">
        <v>2</v>
      </c>
      <c r="H13" s="14" t="n">
        <v>46146</v>
      </c>
      <c r="I13" t="n">
        <v>20000</v>
      </c>
      <c r="J13" t="n">
        <v>5502</v>
      </c>
      <c r="K13" t="n">
        <v>4320</v>
      </c>
      <c r="L13" t="n">
        <v>2430</v>
      </c>
      <c r="M13" t="n">
        <v>300</v>
      </c>
      <c r="N13" t="n">
        <v>4200</v>
      </c>
    </row>
    <row r="14">
      <c r="A14" t="inlineStr">
        <is>
          <t>E</t>
        </is>
      </c>
      <c r="B14" t="inlineStr">
        <is>
          <t>2026 Scooter ver</t>
        </is>
      </c>
      <c r="C14" t="inlineStr">
        <is>
          <t>789EF</t>
        </is>
      </c>
      <c r="D14" t="n">
        <v>3000</v>
      </c>
      <c r="E14" t="n">
        <v>0</v>
      </c>
      <c r="F14" t="n">
        <v>3000</v>
      </c>
      <c r="G14" t="n">
        <v>1</v>
      </c>
      <c r="H14" s="14" t="n">
        <v>46153</v>
      </c>
      <c r="I14" t="n">
        <v>20000</v>
      </c>
      <c r="J14" t="n">
        <v>15658</v>
      </c>
      <c r="K14" t="n">
        <v>8370</v>
      </c>
      <c r="L14" t="n">
        <v>9990</v>
      </c>
      <c r="M14" t="n">
        <v>698</v>
      </c>
      <c r="N14" t="n">
        <v>3802</v>
      </c>
    </row>
    <row r="15">
      <c r="A15" t="inlineStr">
        <is>
          <t>F</t>
        </is>
      </c>
      <c r="B15" t="inlineStr">
        <is>
          <t>2025 Fantasy Spaceship Model DIY kits</t>
        </is>
      </c>
      <c r="C15" t="inlineStr">
        <is>
          <t>789EF</t>
        </is>
      </c>
      <c r="D15" t="n">
        <v>3000</v>
      </c>
      <c r="E15" t="n">
        <v>0</v>
      </c>
      <c r="F15" t="n">
        <v>3000</v>
      </c>
      <c r="G15" t="n">
        <v>2</v>
      </c>
      <c r="H15" s="14" t="n">
        <v>46160</v>
      </c>
      <c r="I15" t="n">
        <v>11000</v>
      </c>
      <c r="J15" t="n">
        <v>8865</v>
      </c>
      <c r="K15" t="n">
        <v>11782</v>
      </c>
      <c r="L15" t="n">
        <v>5840</v>
      </c>
      <c r="M15" t="n">
        <v>0</v>
      </c>
      <c r="N15" t="n">
        <v>4500</v>
      </c>
    </row>
    <row r="16">
      <c r="H16" s="14" t="n">
        <v>46167</v>
      </c>
      <c r="I16" t="n">
        <v>13000</v>
      </c>
      <c r="J16" t="n">
        <v>2146</v>
      </c>
      <c r="K16" t="n">
        <v>10524</v>
      </c>
      <c r="L16" t="n">
        <v>8100</v>
      </c>
      <c r="M16" t="n">
        <v>300</v>
      </c>
      <c r="N16" t="n">
        <v>4200</v>
      </c>
    </row>
    <row r="17">
      <c r="H17" s="14" t="n">
        <v>46174</v>
      </c>
      <c r="I17" t="n">
        <v>13773</v>
      </c>
      <c r="J17" t="n">
        <v>7123</v>
      </c>
      <c r="K17" t="n">
        <v>3240</v>
      </c>
      <c r="L17" t="n">
        <v>1001</v>
      </c>
      <c r="M17" t="n">
        <v>0</v>
      </c>
      <c r="N17" t="n">
        <v>4500</v>
      </c>
    </row>
    <row r="18">
      <c r="H18" s="14" t="n">
        <v>46181</v>
      </c>
      <c r="I18" t="n">
        <v>7058</v>
      </c>
      <c r="J18" t="n">
        <v>5309</v>
      </c>
      <c r="K18" t="n">
        <v>6442</v>
      </c>
      <c r="L18" t="n">
        <v>2471</v>
      </c>
      <c r="M18" t="n">
        <v>0</v>
      </c>
      <c r="N18" t="n">
        <v>4500</v>
      </c>
    </row>
    <row r="19">
      <c r="H19" s="14" t="n">
        <v>46188</v>
      </c>
      <c r="I19" t="n">
        <v>2040</v>
      </c>
      <c r="J19" t="n">
        <v>5309</v>
      </c>
      <c r="K19" t="n">
        <v>8802</v>
      </c>
      <c r="L19" t="n">
        <v>3458</v>
      </c>
      <c r="M19" t="n">
        <v>300</v>
      </c>
      <c r="N19" t="n">
        <v>2200</v>
      </c>
    </row>
    <row r="20">
      <c r="H20" s="14" t="n">
        <v>46195</v>
      </c>
      <c r="I20" t="n">
        <v>3541</v>
      </c>
      <c r="J20" t="n">
        <v>3000</v>
      </c>
      <c r="K20" t="n">
        <v>7695</v>
      </c>
      <c r="L20" t="n">
        <v>500</v>
      </c>
      <c r="M20" t="n">
        <v>0</v>
      </c>
      <c r="N20" t="n">
        <v>5000</v>
      </c>
    </row>
    <row r="21">
      <c r="H21" s="14" t="n">
        <v>46202</v>
      </c>
      <c r="I21" t="n">
        <v>12041</v>
      </c>
      <c r="J21" t="n">
        <v>3000</v>
      </c>
      <c r="K21" t="n">
        <v>2500</v>
      </c>
      <c r="L21" t="n">
        <v>500</v>
      </c>
      <c r="M21" t="n">
        <v>700</v>
      </c>
      <c r="N21" t="n">
        <v>4300</v>
      </c>
    </row>
    <row r="22">
      <c r="H22" s="14" t="n">
        <v>46209</v>
      </c>
      <c r="I22" t="n">
        <v>12040</v>
      </c>
      <c r="J22" t="n">
        <v>3000</v>
      </c>
      <c r="K22" t="n">
        <v>2500</v>
      </c>
      <c r="L22" t="n">
        <v>500</v>
      </c>
      <c r="M22" t="n">
        <v>300</v>
      </c>
      <c r="N22" t="n">
        <v>4700</v>
      </c>
    </row>
    <row r="23">
      <c r="H23" s="14" t="n">
        <v>46216</v>
      </c>
      <c r="I23" t="n">
        <v>0</v>
      </c>
      <c r="J23" t="n">
        <v>3000</v>
      </c>
      <c r="K23" t="n">
        <v>2500</v>
      </c>
      <c r="L23" t="n">
        <v>500</v>
      </c>
      <c r="M23" t="n">
        <v>300</v>
      </c>
      <c r="N23" t="n">
        <v>4746</v>
      </c>
    </row>
    <row r="24">
      <c r="H24" s="14" t="n">
        <v>46223</v>
      </c>
      <c r="I24" t="n">
        <v>0</v>
      </c>
      <c r="J24" t="n">
        <v>2400</v>
      </c>
      <c r="K24" t="n">
        <v>1000</v>
      </c>
      <c r="L24" t="n">
        <v>0</v>
      </c>
      <c r="M24" t="n">
        <v>300</v>
      </c>
      <c r="N24" t="n">
        <v>4300</v>
      </c>
    </row>
    <row r="25">
      <c r="H25" s="14" t="n">
        <v>46230</v>
      </c>
      <c r="I25" t="n">
        <v>27760</v>
      </c>
      <c r="J25" t="n">
        <v>2400</v>
      </c>
      <c r="K25" t="n">
        <v>1000</v>
      </c>
      <c r="L25" t="n">
        <v>0</v>
      </c>
      <c r="M25" t="n">
        <v>0</v>
      </c>
      <c r="N25" t="n">
        <v>476</v>
      </c>
    </row>
    <row r="26">
      <c r="H26" s="14" t="n">
        <v>46237</v>
      </c>
      <c r="I26" t="n">
        <v>26486</v>
      </c>
      <c r="J26" t="n">
        <v>0</v>
      </c>
      <c r="K26" t="n">
        <v>1000</v>
      </c>
      <c r="L26" t="n">
        <v>400</v>
      </c>
      <c r="M26" t="n">
        <v>0</v>
      </c>
      <c r="N26" t="n">
        <v>1298</v>
      </c>
    </row>
    <row r="27">
      <c r="H27" s="14" t="n">
        <v>46244</v>
      </c>
      <c r="I27" t="n">
        <v>4248</v>
      </c>
      <c r="J27" t="n">
        <v>2400</v>
      </c>
      <c r="K27" t="n">
        <v>1000</v>
      </c>
      <c r="L27" t="n">
        <v>0</v>
      </c>
      <c r="M27" t="n">
        <v>300</v>
      </c>
      <c r="N27" t="n">
        <v>1300</v>
      </c>
    </row>
    <row r="28">
      <c r="H28" s="14" t="n">
        <v>46251</v>
      </c>
      <c r="I28" t="n">
        <v>4248</v>
      </c>
      <c r="J28" t="n">
        <v>2400</v>
      </c>
      <c r="K28" t="n">
        <v>1000</v>
      </c>
      <c r="L28" t="n">
        <v>0</v>
      </c>
      <c r="M28" t="n">
        <v>0</v>
      </c>
      <c r="N28" t="n">
        <v>1298</v>
      </c>
    </row>
    <row r="29">
      <c r="H29" s="14" t="n">
        <v>46258</v>
      </c>
      <c r="I29" t="n">
        <v>4249</v>
      </c>
      <c r="J29" t="n">
        <v>3750</v>
      </c>
      <c r="K29" t="n">
        <v>750</v>
      </c>
      <c r="L29" t="n">
        <v>400</v>
      </c>
      <c r="M29" t="n">
        <v>0</v>
      </c>
      <c r="N29" t="n">
        <v>1506</v>
      </c>
    </row>
    <row r="30">
      <c r="H30" s="14" t="n">
        <v>46265</v>
      </c>
      <c r="I30" t="n">
        <v>4248</v>
      </c>
      <c r="J30" t="n">
        <v>3750</v>
      </c>
      <c r="K30" t="n">
        <v>750</v>
      </c>
      <c r="L30" t="n">
        <v>0</v>
      </c>
      <c r="M30" t="n">
        <v>300</v>
      </c>
      <c r="N30" t="n">
        <v>1506</v>
      </c>
    </row>
    <row r="31">
      <c r="H31" s="14" t="n">
        <v>46272</v>
      </c>
      <c r="I31" t="n">
        <v>2391</v>
      </c>
      <c r="J31" t="n">
        <v>3750</v>
      </c>
      <c r="K31" t="n">
        <v>750</v>
      </c>
      <c r="L31" t="n">
        <v>400</v>
      </c>
      <c r="M31" t="n">
        <v>0</v>
      </c>
      <c r="N31" t="n">
        <v>1506</v>
      </c>
    </row>
    <row r="32">
      <c r="H32" s="14" t="n">
        <v>46279</v>
      </c>
      <c r="I32" t="n">
        <v>2392</v>
      </c>
      <c r="J32" t="n">
        <v>3750</v>
      </c>
      <c r="K32" t="n">
        <v>750</v>
      </c>
      <c r="L32" t="n">
        <v>0</v>
      </c>
      <c r="M32" t="n">
        <v>0</v>
      </c>
      <c r="N32" t="n">
        <v>1506</v>
      </c>
    </row>
    <row r="33">
      <c r="H33" s="14" t="n">
        <v>46286</v>
      </c>
      <c r="I33" t="n">
        <v>2391</v>
      </c>
      <c r="J33" t="n">
        <v>3000</v>
      </c>
      <c r="K33" t="n">
        <v>600</v>
      </c>
      <c r="L33" t="n">
        <v>360</v>
      </c>
      <c r="M33" t="n">
        <v>0</v>
      </c>
      <c r="N33" t="n">
        <v>1446</v>
      </c>
    </row>
    <row r="34">
      <c r="H34" s="14" t="n">
        <v>46293</v>
      </c>
      <c r="I34" t="n">
        <v>2392</v>
      </c>
      <c r="J34" t="n">
        <v>3000</v>
      </c>
      <c r="K34" t="n">
        <v>600</v>
      </c>
      <c r="L34" t="n">
        <v>360</v>
      </c>
      <c r="M34" t="n">
        <v>300</v>
      </c>
      <c r="N34" t="n">
        <v>0</v>
      </c>
    </row>
    <row r="35">
      <c r="H35" s="14" t="n">
        <v>46300</v>
      </c>
      <c r="I35" t="n">
        <v>16017</v>
      </c>
      <c r="J35" t="n">
        <v>3000</v>
      </c>
      <c r="K35" t="n">
        <v>600</v>
      </c>
      <c r="L35" t="n">
        <v>360</v>
      </c>
      <c r="M35" t="n">
        <v>0</v>
      </c>
      <c r="N35" t="n">
        <v>0</v>
      </c>
    </row>
    <row r="36">
      <c r="H36" s="14" t="n">
        <v>46307</v>
      </c>
      <c r="I36" t="n">
        <v>16017</v>
      </c>
      <c r="J36" t="n">
        <v>3000</v>
      </c>
      <c r="K36" t="n">
        <v>600</v>
      </c>
      <c r="L36" t="n">
        <v>360</v>
      </c>
      <c r="M36" t="n">
        <v>0</v>
      </c>
      <c r="N36" t="n">
        <v>1448</v>
      </c>
    </row>
    <row r="37">
      <c r="H37" s="14" t="n">
        <v>46314</v>
      </c>
      <c r="I37" t="n">
        <v>16016</v>
      </c>
      <c r="J37" t="n">
        <v>3000</v>
      </c>
      <c r="K37" t="n">
        <v>600</v>
      </c>
      <c r="L37" t="n">
        <v>360</v>
      </c>
      <c r="M37" t="n">
        <v>0</v>
      </c>
      <c r="N37" t="n">
        <v>1448</v>
      </c>
    </row>
    <row r="38">
      <c r="H38" s="14" t="n">
        <v>46321</v>
      </c>
      <c r="I38" t="n">
        <v>16017</v>
      </c>
      <c r="J38" t="n">
        <v>6250</v>
      </c>
      <c r="K38" t="n">
        <v>500</v>
      </c>
      <c r="L38" t="n">
        <v>1000</v>
      </c>
      <c r="M38" t="n">
        <v>0</v>
      </c>
      <c r="N38" t="n">
        <v>1448</v>
      </c>
    </row>
    <row r="39">
      <c r="H39" s="14" t="n">
        <v>46328</v>
      </c>
      <c r="I39" t="n">
        <v>4281</v>
      </c>
      <c r="J39" t="n">
        <v>6250</v>
      </c>
      <c r="K39" t="n">
        <v>500</v>
      </c>
      <c r="L39" t="n">
        <v>1000</v>
      </c>
      <c r="M39" t="n">
        <v>300</v>
      </c>
      <c r="N39" t="n">
        <v>1754</v>
      </c>
    </row>
    <row r="40">
      <c r="H40" s="14" t="n">
        <v>46335</v>
      </c>
      <c r="I40" t="n">
        <v>4282</v>
      </c>
      <c r="J40" t="n">
        <v>6250</v>
      </c>
      <c r="K40" t="n">
        <v>500</v>
      </c>
      <c r="L40" t="n">
        <v>1000</v>
      </c>
      <c r="M40" t="n">
        <v>0</v>
      </c>
      <c r="N40" t="n">
        <v>1756</v>
      </c>
    </row>
    <row r="41">
      <c r="H41" s="14" t="n">
        <v>46342</v>
      </c>
      <c r="I41" t="n">
        <v>4281</v>
      </c>
      <c r="J41" t="n">
        <v>6250</v>
      </c>
      <c r="K41" t="n">
        <v>500</v>
      </c>
      <c r="L41" t="n">
        <v>1000</v>
      </c>
      <c r="M41" t="n">
        <v>0</v>
      </c>
      <c r="N41" t="n">
        <v>1756</v>
      </c>
    </row>
    <row r="42">
      <c r="H42" s="14" t="n">
        <v>46349</v>
      </c>
      <c r="I42" t="n">
        <v>4282</v>
      </c>
      <c r="J42" t="n">
        <v>6250</v>
      </c>
      <c r="K42" t="n">
        <v>3000</v>
      </c>
      <c r="L42" t="n">
        <v>1250</v>
      </c>
      <c r="M42" t="n">
        <v>0</v>
      </c>
      <c r="N42" t="n">
        <v>1756</v>
      </c>
    </row>
    <row r="43">
      <c r="H43" s="14" t="n">
        <v>46356</v>
      </c>
      <c r="I43" t="n">
        <v>4281</v>
      </c>
      <c r="J43" t="n">
        <v>6250</v>
      </c>
      <c r="K43" t="n">
        <v>3000</v>
      </c>
      <c r="L43" t="n">
        <v>1250</v>
      </c>
      <c r="M43" t="n">
        <v>300</v>
      </c>
      <c r="N43" t="n">
        <v>1928</v>
      </c>
    </row>
    <row r="44">
      <c r="H44" s="14" t="n">
        <v>46363</v>
      </c>
      <c r="I44" t="n">
        <v>8326</v>
      </c>
      <c r="J44" t="n">
        <v>6250</v>
      </c>
      <c r="K44" t="n">
        <v>3000</v>
      </c>
      <c r="L44" t="n">
        <v>1250</v>
      </c>
      <c r="M44" t="n">
        <v>0</v>
      </c>
      <c r="N44" t="n">
        <v>1930</v>
      </c>
    </row>
    <row r="45">
      <c r="H45" s="14" t="n">
        <v>46370</v>
      </c>
      <c r="I45" t="n">
        <v>8325</v>
      </c>
      <c r="J45" t="n">
        <v>6250</v>
      </c>
      <c r="K45" t="n">
        <v>3000</v>
      </c>
      <c r="L45" t="n">
        <v>1250</v>
      </c>
      <c r="M45" t="n">
        <v>0</v>
      </c>
      <c r="N45" t="n">
        <v>1928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</row>
    <row r="2">
      <c r="A2" s="14" t="n">
        <v>46132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588</v>
      </c>
    </row>
    <row r="3">
      <c r="A3" s="14" t="n">
        <v>46139</v>
      </c>
      <c r="B3" t="n">
        <v>684</v>
      </c>
      <c r="C3" t="n">
        <v>0</v>
      </c>
      <c r="D3" t="n">
        <v>0</v>
      </c>
      <c r="E3" t="n">
        <v>0</v>
      </c>
      <c r="F3" t="n">
        <v>472</v>
      </c>
      <c r="G3" t="n">
        <v>4028</v>
      </c>
    </row>
    <row r="4">
      <c r="A4" s="14" t="n">
        <v>46146</v>
      </c>
      <c r="B4" t="n">
        <v>20000</v>
      </c>
      <c r="C4" t="n">
        <v>5502</v>
      </c>
      <c r="D4" t="n">
        <v>4320</v>
      </c>
      <c r="E4" t="n">
        <v>2430</v>
      </c>
      <c r="F4" t="n">
        <v>300</v>
      </c>
      <c r="G4" t="n">
        <v>4200</v>
      </c>
    </row>
    <row r="5">
      <c r="A5" s="14" t="n">
        <v>46153</v>
      </c>
      <c r="B5" t="n">
        <v>20000</v>
      </c>
      <c r="C5" t="n">
        <v>15658</v>
      </c>
      <c r="D5" t="n">
        <v>8370</v>
      </c>
      <c r="E5" t="n">
        <v>9990</v>
      </c>
      <c r="F5" t="n">
        <v>698</v>
      </c>
      <c r="G5" t="n">
        <v>3802</v>
      </c>
    </row>
    <row r="6">
      <c r="A6" s="14" t="n">
        <v>46160</v>
      </c>
      <c r="B6" t="n">
        <v>11000</v>
      </c>
      <c r="C6" t="n">
        <v>8865</v>
      </c>
      <c r="D6" t="n">
        <v>11782</v>
      </c>
      <c r="E6" t="n">
        <v>5840</v>
      </c>
      <c r="F6" t="n">
        <v>0</v>
      </c>
      <c r="G6" t="n">
        <v>4500</v>
      </c>
    </row>
    <row r="7">
      <c r="A7" s="14" t="n">
        <v>46167</v>
      </c>
      <c r="B7" t="n">
        <v>13000</v>
      </c>
      <c r="C7" t="n">
        <v>2146</v>
      </c>
      <c r="D7" t="n">
        <v>10524</v>
      </c>
      <c r="E7" t="n">
        <v>8100</v>
      </c>
      <c r="F7" t="n">
        <v>300</v>
      </c>
      <c r="G7" t="n">
        <v>4200</v>
      </c>
    </row>
    <row r="8">
      <c r="A8" s="14" t="n">
        <v>46174</v>
      </c>
      <c r="B8" t="n">
        <v>13773</v>
      </c>
      <c r="C8" t="n">
        <v>7123</v>
      </c>
      <c r="D8" t="n">
        <v>3240</v>
      </c>
      <c r="E8" t="n">
        <v>1001</v>
      </c>
      <c r="F8" t="n">
        <v>0</v>
      </c>
      <c r="G8" t="n">
        <v>4500</v>
      </c>
    </row>
    <row r="9">
      <c r="A9" s="14" t="n">
        <v>46181</v>
      </c>
      <c r="B9" t="n">
        <v>7058</v>
      </c>
      <c r="C9" t="n">
        <v>5309</v>
      </c>
      <c r="D9" t="n">
        <v>6442</v>
      </c>
      <c r="E9" t="n">
        <v>2471</v>
      </c>
      <c r="F9" t="n">
        <v>0</v>
      </c>
      <c r="G9" t="n">
        <v>4500</v>
      </c>
    </row>
    <row r="10">
      <c r="A10" s="14" t="n">
        <v>46188</v>
      </c>
      <c r="B10" t="n">
        <v>2040</v>
      </c>
      <c r="C10" t="n">
        <v>5309</v>
      </c>
      <c r="D10" t="n">
        <v>8802</v>
      </c>
      <c r="E10" t="n">
        <v>3458</v>
      </c>
      <c r="F10" t="n">
        <v>300</v>
      </c>
      <c r="G10" t="n">
        <v>2200</v>
      </c>
    </row>
    <row r="11">
      <c r="A11" s="14" t="n">
        <v>46195</v>
      </c>
      <c r="B11" t="n">
        <v>3541</v>
      </c>
      <c r="C11" t="n">
        <v>3000</v>
      </c>
      <c r="D11" t="n">
        <v>7695</v>
      </c>
      <c r="E11" t="n">
        <v>500</v>
      </c>
      <c r="F11" t="n">
        <v>0</v>
      </c>
      <c r="G11" t="n">
        <v>5000</v>
      </c>
    </row>
    <row r="12">
      <c r="A12" s="14" t="n">
        <v>46202</v>
      </c>
      <c r="B12" t="n">
        <v>12041</v>
      </c>
      <c r="C12" t="n">
        <v>3000</v>
      </c>
      <c r="D12" t="n">
        <v>2500</v>
      </c>
      <c r="E12" t="n">
        <v>500</v>
      </c>
      <c r="F12" t="n">
        <v>700</v>
      </c>
      <c r="G12" t="n">
        <v>4300</v>
      </c>
    </row>
    <row r="13">
      <c r="A13" s="14" t="n">
        <v>46209</v>
      </c>
      <c r="B13" t="n">
        <v>12040</v>
      </c>
      <c r="C13" t="n">
        <v>3000</v>
      </c>
      <c r="D13" t="n">
        <v>2500</v>
      </c>
      <c r="E13" t="n">
        <v>500</v>
      </c>
      <c r="F13" t="n">
        <v>300</v>
      </c>
      <c r="G13" t="n">
        <v>4700</v>
      </c>
    </row>
    <row r="14">
      <c r="A14" s="14" t="n">
        <v>46216</v>
      </c>
      <c r="B14" t="n">
        <v>0</v>
      </c>
      <c r="C14" t="n">
        <v>3000</v>
      </c>
      <c r="D14" t="n">
        <v>2500</v>
      </c>
      <c r="E14" t="n">
        <v>500</v>
      </c>
      <c r="F14" t="n">
        <v>300</v>
      </c>
      <c r="G14" t="n">
        <v>4746</v>
      </c>
    </row>
    <row r="15">
      <c r="A15" s="14" t="n">
        <v>46223</v>
      </c>
      <c r="B15" t="n">
        <v>0</v>
      </c>
      <c r="C15" t="n">
        <v>2400</v>
      </c>
      <c r="D15" t="n">
        <v>1000</v>
      </c>
      <c r="E15" t="n">
        <v>0</v>
      </c>
      <c r="F15" t="n">
        <v>300</v>
      </c>
      <c r="G15" t="n">
        <v>4300</v>
      </c>
    </row>
    <row r="16">
      <c r="A16" s="14" t="n">
        <v>46230</v>
      </c>
      <c r="B16" t="n">
        <v>27760</v>
      </c>
      <c r="C16" t="n">
        <v>2400</v>
      </c>
      <c r="D16" t="n">
        <v>1000</v>
      </c>
      <c r="E16" t="n">
        <v>0</v>
      </c>
      <c r="F16" t="n">
        <v>0</v>
      </c>
      <c r="G16" t="n">
        <v>476</v>
      </c>
    </row>
    <row r="17">
      <c r="A17" s="14" t="n">
        <v>46237</v>
      </c>
      <c r="B17" t="n">
        <v>26486</v>
      </c>
      <c r="C17" t="n">
        <v>0</v>
      </c>
      <c r="D17" t="n">
        <v>1000</v>
      </c>
      <c r="E17" t="n">
        <v>400</v>
      </c>
      <c r="F17" t="n">
        <v>0</v>
      </c>
      <c r="G17" t="n">
        <v>1298</v>
      </c>
    </row>
    <row r="18">
      <c r="A18" s="14" t="n">
        <v>46244</v>
      </c>
      <c r="B18" t="n">
        <v>4248</v>
      </c>
      <c r="C18" t="n">
        <v>2400</v>
      </c>
      <c r="D18" t="n">
        <v>1000</v>
      </c>
      <c r="E18" t="n">
        <v>0</v>
      </c>
      <c r="F18" t="n">
        <v>300</v>
      </c>
      <c r="G18" t="n">
        <v>1300</v>
      </c>
    </row>
    <row r="19">
      <c r="A19" s="14" t="n">
        <v>46251</v>
      </c>
      <c r="B19" t="n">
        <v>4248</v>
      </c>
      <c r="C19" t="n">
        <v>2400</v>
      </c>
      <c r="D19" t="n">
        <v>1000</v>
      </c>
      <c r="E19" t="n">
        <v>0</v>
      </c>
      <c r="F19" t="n">
        <v>0</v>
      </c>
      <c r="G19" t="n">
        <v>1298</v>
      </c>
    </row>
    <row r="20">
      <c r="A20" s="14" t="n">
        <v>46258</v>
      </c>
      <c r="B20" t="n">
        <v>4249</v>
      </c>
      <c r="C20" t="n">
        <v>3750</v>
      </c>
      <c r="D20" t="n">
        <v>750</v>
      </c>
      <c r="E20" t="n">
        <v>400</v>
      </c>
      <c r="F20" t="n">
        <v>0</v>
      </c>
      <c r="G20" t="n">
        <v>1506</v>
      </c>
    </row>
    <row r="21">
      <c r="A21" s="14" t="n">
        <v>46265</v>
      </c>
      <c r="B21" t="n">
        <v>4248</v>
      </c>
      <c r="C21" t="n">
        <v>3750</v>
      </c>
      <c r="D21" t="n">
        <v>750</v>
      </c>
      <c r="E21" t="n">
        <v>0</v>
      </c>
      <c r="F21" t="n">
        <v>300</v>
      </c>
      <c r="G21" t="n">
        <v>1506</v>
      </c>
    </row>
    <row r="22">
      <c r="A22" s="14" t="n">
        <v>46272</v>
      </c>
      <c r="B22" t="n">
        <v>2391</v>
      </c>
      <c r="C22" t="n">
        <v>3750</v>
      </c>
      <c r="D22" t="n">
        <v>750</v>
      </c>
      <c r="E22" t="n">
        <v>400</v>
      </c>
      <c r="F22" t="n">
        <v>0</v>
      </c>
      <c r="G22" t="n">
        <v>1506</v>
      </c>
    </row>
    <row r="23">
      <c r="A23" s="14" t="n">
        <v>46279</v>
      </c>
      <c r="B23" t="n">
        <v>2392</v>
      </c>
      <c r="C23" t="n">
        <v>3750</v>
      </c>
      <c r="D23" t="n">
        <v>750</v>
      </c>
      <c r="E23" t="n">
        <v>0</v>
      </c>
      <c r="F23" t="n">
        <v>0</v>
      </c>
      <c r="G23" t="n">
        <v>1506</v>
      </c>
    </row>
    <row r="24">
      <c r="A24" s="14" t="n">
        <v>46286</v>
      </c>
      <c r="B24" t="n">
        <v>2391</v>
      </c>
      <c r="C24" t="n">
        <v>3000</v>
      </c>
      <c r="D24" t="n">
        <v>600</v>
      </c>
      <c r="E24" t="n">
        <v>360</v>
      </c>
      <c r="F24" t="n">
        <v>0</v>
      </c>
      <c r="G24" t="n">
        <v>1446</v>
      </c>
    </row>
    <row r="25">
      <c r="A25" s="14" t="n">
        <v>46293</v>
      </c>
      <c r="B25" t="n">
        <v>2392</v>
      </c>
      <c r="C25" t="n">
        <v>3000</v>
      </c>
      <c r="D25" t="n">
        <v>600</v>
      </c>
      <c r="E25" t="n">
        <v>360</v>
      </c>
      <c r="F25" t="n">
        <v>300</v>
      </c>
      <c r="G25" t="n">
        <v>0</v>
      </c>
    </row>
    <row r="26">
      <c r="A26" s="14" t="n">
        <v>46300</v>
      </c>
      <c r="B26" t="n">
        <v>16017</v>
      </c>
      <c r="C26" t="n">
        <v>3000</v>
      </c>
      <c r="D26" t="n">
        <v>600</v>
      </c>
      <c r="E26" t="n">
        <v>360</v>
      </c>
      <c r="F26" t="n">
        <v>0</v>
      </c>
      <c r="G26" t="n">
        <v>0</v>
      </c>
    </row>
    <row r="27">
      <c r="A27" s="14" t="n">
        <v>46307</v>
      </c>
      <c r="B27" t="n">
        <v>16017</v>
      </c>
      <c r="C27" t="n">
        <v>3000</v>
      </c>
      <c r="D27" t="n">
        <v>600</v>
      </c>
      <c r="E27" t="n">
        <v>360</v>
      </c>
      <c r="F27" t="n">
        <v>0</v>
      </c>
      <c r="G27" t="n">
        <v>1448</v>
      </c>
    </row>
    <row r="28">
      <c r="A28" s="14" t="n">
        <v>46314</v>
      </c>
      <c r="B28" t="n">
        <v>16016</v>
      </c>
      <c r="C28" t="n">
        <v>3000</v>
      </c>
      <c r="D28" t="n">
        <v>600</v>
      </c>
      <c r="E28" t="n">
        <v>360</v>
      </c>
      <c r="F28" t="n">
        <v>0</v>
      </c>
      <c r="G28" t="n">
        <v>1448</v>
      </c>
    </row>
    <row r="29">
      <c r="A29" s="14" t="n">
        <v>46321</v>
      </c>
      <c r="B29" t="n">
        <v>16017</v>
      </c>
      <c r="C29" t="n">
        <v>6250</v>
      </c>
      <c r="D29" t="n">
        <v>500</v>
      </c>
      <c r="E29" t="n">
        <v>1000</v>
      </c>
      <c r="F29" t="n">
        <v>0</v>
      </c>
      <c r="G29" t="n">
        <v>1448</v>
      </c>
    </row>
    <row r="30">
      <c r="A30" s="14" t="n">
        <v>46328</v>
      </c>
      <c r="B30" t="n">
        <v>4281</v>
      </c>
      <c r="C30" t="n">
        <v>6250</v>
      </c>
      <c r="D30" t="n">
        <v>500</v>
      </c>
      <c r="E30" t="n">
        <v>1000</v>
      </c>
      <c r="F30" t="n">
        <v>300</v>
      </c>
      <c r="G30" t="n">
        <v>1754</v>
      </c>
    </row>
    <row r="31">
      <c r="A31" s="14" t="n">
        <v>46335</v>
      </c>
      <c r="B31" t="n">
        <v>4282</v>
      </c>
      <c r="C31" t="n">
        <v>6250</v>
      </c>
      <c r="D31" t="n">
        <v>500</v>
      </c>
      <c r="E31" t="n">
        <v>1000</v>
      </c>
      <c r="F31" t="n">
        <v>0</v>
      </c>
      <c r="G31" t="n">
        <v>1756</v>
      </c>
    </row>
    <row r="32">
      <c r="A32" s="14" t="n">
        <v>46342</v>
      </c>
      <c r="B32" t="n">
        <v>4281</v>
      </c>
      <c r="C32" t="n">
        <v>6250</v>
      </c>
      <c r="D32" t="n">
        <v>500</v>
      </c>
      <c r="E32" t="n">
        <v>1000</v>
      </c>
      <c r="F32" t="n">
        <v>0</v>
      </c>
      <c r="G32" t="n">
        <v>1756</v>
      </c>
    </row>
    <row r="33">
      <c r="A33" s="14" t="n">
        <v>46349</v>
      </c>
      <c r="B33" t="n">
        <v>4282</v>
      </c>
      <c r="C33" t="n">
        <v>6250</v>
      </c>
      <c r="D33" t="n">
        <v>3000</v>
      </c>
      <c r="E33" t="n">
        <v>1250</v>
      </c>
      <c r="F33" t="n">
        <v>0</v>
      </c>
      <c r="G33" t="n">
        <v>1756</v>
      </c>
    </row>
    <row r="34">
      <c r="A34" s="14" t="n">
        <v>46356</v>
      </c>
      <c r="B34" t="n">
        <v>4281</v>
      </c>
      <c r="C34" t="n">
        <v>6250</v>
      </c>
      <c r="D34" t="n">
        <v>3000</v>
      </c>
      <c r="E34" t="n">
        <v>1250</v>
      </c>
      <c r="F34" t="n">
        <v>300</v>
      </c>
      <c r="G34" t="n">
        <v>1928</v>
      </c>
    </row>
    <row r="35">
      <c r="A35" s="14" t="n">
        <v>46363</v>
      </c>
      <c r="B35" t="n">
        <v>8326</v>
      </c>
      <c r="C35" t="n">
        <v>6250</v>
      </c>
      <c r="D35" t="n">
        <v>3000</v>
      </c>
      <c r="E35" t="n">
        <v>1250</v>
      </c>
      <c r="F35" t="n">
        <v>0</v>
      </c>
      <c r="G35" t="n">
        <v>1930</v>
      </c>
    </row>
    <row r="36">
      <c r="A36" s="14" t="n">
        <v>46370</v>
      </c>
      <c r="B36" t="n">
        <v>8325</v>
      </c>
      <c r="C36" t="n">
        <v>6250</v>
      </c>
      <c r="D36" t="n">
        <v>3000</v>
      </c>
      <c r="E36" t="n">
        <v>1250</v>
      </c>
      <c r="F36" t="n">
        <v>0</v>
      </c>
      <c r="G36" t="n">
        <v>1928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5:M35"/>
  <sheetViews>
    <sheetView workbookViewId="0">
      <selection activeCell="A1" sqref="A1"/>
    </sheetView>
  </sheetViews>
  <sheetFormatPr baseColWidth="8" defaultRowHeight="15"/>
  <sheetData>
    <row r="5">
      <c r="C5" t="inlineStr">
        <is>
          <t>No.</t>
        </is>
      </c>
      <c r="D5" t="inlineStr">
        <is>
          <t>Model number</t>
        </is>
      </c>
      <c r="E5" t="inlineStr">
        <is>
          <t>Component number</t>
        </is>
      </c>
      <c r="F5" t="inlineStr">
        <is>
          <t>Description</t>
        </is>
      </c>
      <c r="G5" t="inlineStr">
        <is>
          <t>Vendor location</t>
        </is>
      </c>
      <c r="H5" t="inlineStr">
        <is>
          <t>BOM usage</t>
        </is>
      </c>
      <c r="I5" t="inlineStr">
        <is>
          <t>Leadtime</t>
        </is>
      </c>
      <c r="J5" t="inlineStr">
        <is>
          <t>Stock</t>
        </is>
      </c>
      <c r="K5" t="inlineStr">
        <is>
          <t>Pending PO</t>
        </is>
      </c>
      <c r="L5" t="inlineStr">
        <is>
          <t>U/P (USD/ uom)</t>
        </is>
      </c>
      <c r="M5" t="inlineStr">
        <is>
          <t>UOM</t>
        </is>
      </c>
    </row>
    <row r="6">
      <c r="C6" t="n">
        <v>1</v>
      </c>
      <c r="D6" t="inlineStr">
        <is>
          <t>A</t>
        </is>
      </c>
      <c r="E6" t="inlineStr">
        <is>
          <t>RM01</t>
        </is>
      </c>
      <c r="F6" t="inlineStr">
        <is>
          <t>Packaging label</t>
        </is>
      </c>
      <c r="G6" t="inlineStr">
        <is>
          <t>Local</t>
        </is>
      </c>
      <c r="H6" t="n">
        <v>1</v>
      </c>
      <c r="I6" t="n">
        <v>7</v>
      </c>
      <c r="J6" t="n">
        <v>588</v>
      </c>
      <c r="K6" t="n">
        <v>0</v>
      </c>
      <c r="L6" t="n">
        <v>0.2</v>
      </c>
      <c r="M6" t="inlineStr">
        <is>
          <t>pc</t>
        </is>
      </c>
    </row>
    <row r="7">
      <c r="C7" t="n">
        <v>2</v>
      </c>
      <c r="D7" t="inlineStr">
        <is>
          <t>A</t>
        </is>
      </c>
      <c r="E7" t="inlineStr">
        <is>
          <t>RM02</t>
        </is>
      </c>
      <c r="F7" t="inlineStr">
        <is>
          <t>Packaging carton</t>
        </is>
      </c>
      <c r="G7" t="inlineStr">
        <is>
          <t>Local</t>
        </is>
      </c>
      <c r="H7" t="n">
        <v>0.25</v>
      </c>
      <c r="I7" t="n">
        <v>14</v>
      </c>
      <c r="J7" t="n">
        <v>1443</v>
      </c>
      <c r="K7" t="n">
        <v>0</v>
      </c>
      <c r="L7" t="n">
        <v>4</v>
      </c>
      <c r="M7" t="inlineStr">
        <is>
          <t>Pc</t>
        </is>
      </c>
    </row>
    <row r="8">
      <c r="C8" t="n">
        <v>3</v>
      </c>
      <c r="D8" t="inlineStr">
        <is>
          <t>A</t>
        </is>
      </c>
      <c r="E8" t="inlineStr">
        <is>
          <t>RM03</t>
        </is>
      </c>
      <c r="F8" t="inlineStr">
        <is>
          <t>Common plastic</t>
        </is>
      </c>
      <c r="G8" t="inlineStr">
        <is>
          <t>Local</t>
        </is>
      </c>
      <c r="H8" t="n">
        <v>1</v>
      </c>
      <c r="I8" t="n">
        <v>21</v>
      </c>
      <c r="J8" t="n">
        <v>42524</v>
      </c>
      <c r="K8" t="n">
        <v>0</v>
      </c>
      <c r="L8" t="n">
        <v>5</v>
      </c>
      <c r="M8" t="inlineStr">
        <is>
          <t>Kg</t>
        </is>
      </c>
    </row>
    <row r="9">
      <c r="C9" t="n">
        <v>4</v>
      </c>
      <c r="D9" t="inlineStr">
        <is>
          <t>A</t>
        </is>
      </c>
      <c r="E9" t="inlineStr">
        <is>
          <t>RM04</t>
        </is>
      </c>
      <c r="F9" t="inlineStr">
        <is>
          <t>PCBA</t>
        </is>
      </c>
      <c r="G9" t="inlineStr">
        <is>
          <t>Oversea</t>
        </is>
      </c>
      <c r="H9" t="n">
        <v>2</v>
      </c>
      <c r="I9" t="n">
        <v>140</v>
      </c>
      <c r="J9" t="n">
        <v>340000</v>
      </c>
      <c r="K9" t="n">
        <v>30000</v>
      </c>
      <c r="L9" t="n">
        <v>15</v>
      </c>
      <c r="M9" t="inlineStr">
        <is>
          <t>pc</t>
        </is>
      </c>
    </row>
    <row r="10">
      <c r="C10" t="n">
        <v>5</v>
      </c>
      <c r="D10" t="inlineStr">
        <is>
          <t>A</t>
        </is>
      </c>
      <c r="E10" t="inlineStr">
        <is>
          <t>RM05</t>
        </is>
      </c>
      <c r="F10" t="inlineStr">
        <is>
          <t>Charger</t>
        </is>
      </c>
      <c r="G10" t="inlineStr">
        <is>
          <t>Oversea</t>
        </is>
      </c>
      <c r="H10" t="n">
        <v>1</v>
      </c>
      <c r="I10" t="n">
        <v>70</v>
      </c>
      <c r="J10" t="n">
        <v>90000</v>
      </c>
      <c r="K10" t="n">
        <v>0</v>
      </c>
      <c r="L10" t="n">
        <v>25</v>
      </c>
      <c r="M10" t="inlineStr">
        <is>
          <t>pc</t>
        </is>
      </c>
    </row>
    <row r="11">
      <c r="C11" t="n">
        <v>6</v>
      </c>
      <c r="D11" t="inlineStr">
        <is>
          <t>B</t>
        </is>
      </c>
      <c r="E11" t="inlineStr">
        <is>
          <t>RM01</t>
        </is>
      </c>
      <c r="F11" t="inlineStr">
        <is>
          <t>Packaging label</t>
        </is>
      </c>
      <c r="G11" t="inlineStr">
        <is>
          <t>Local</t>
        </is>
      </c>
      <c r="H11" t="n">
        <v>1</v>
      </c>
      <c r="I11" t="n">
        <v>7</v>
      </c>
      <c r="J11" t="n">
        <v>588</v>
      </c>
      <c r="K11" t="n">
        <v>0</v>
      </c>
      <c r="L11" t="n">
        <v>0.2</v>
      </c>
      <c r="M11" t="inlineStr">
        <is>
          <t>pc</t>
        </is>
      </c>
    </row>
    <row r="12">
      <c r="C12" t="n">
        <v>7</v>
      </c>
      <c r="D12" t="inlineStr">
        <is>
          <t>B</t>
        </is>
      </c>
      <c r="E12" t="inlineStr">
        <is>
          <t>RM02</t>
        </is>
      </c>
      <c r="F12" t="inlineStr">
        <is>
          <t>Packaging carton</t>
        </is>
      </c>
      <c r="G12" t="inlineStr">
        <is>
          <t>Local</t>
        </is>
      </c>
      <c r="H12" t="n">
        <v>0.25</v>
      </c>
      <c r="I12" t="n">
        <v>14</v>
      </c>
      <c r="J12" t="n">
        <v>1443</v>
      </c>
      <c r="K12" t="n">
        <v>0</v>
      </c>
      <c r="L12" t="n">
        <v>4</v>
      </c>
      <c r="M12" t="inlineStr">
        <is>
          <t>Pc</t>
        </is>
      </c>
    </row>
    <row r="13">
      <c r="C13" t="n">
        <v>8</v>
      </c>
      <c r="D13" t="inlineStr">
        <is>
          <t>B</t>
        </is>
      </c>
      <c r="E13" t="inlineStr">
        <is>
          <t>RM03</t>
        </is>
      </c>
      <c r="F13" t="inlineStr">
        <is>
          <t>Common plastic</t>
        </is>
      </c>
      <c r="G13" t="inlineStr">
        <is>
          <t>Local</t>
        </is>
      </c>
      <c r="H13" t="n">
        <v>1</v>
      </c>
      <c r="I13" t="n">
        <v>21</v>
      </c>
      <c r="J13" t="n">
        <v>42524</v>
      </c>
      <c r="K13" t="n">
        <v>0</v>
      </c>
      <c r="L13" t="n">
        <v>5</v>
      </c>
      <c r="M13" t="inlineStr">
        <is>
          <t>Kg</t>
        </is>
      </c>
    </row>
    <row r="14">
      <c r="C14" t="n">
        <v>9</v>
      </c>
      <c r="D14" t="inlineStr">
        <is>
          <t>B</t>
        </is>
      </c>
      <c r="E14" t="inlineStr">
        <is>
          <t>RM06</t>
        </is>
      </c>
      <c r="F14" t="inlineStr">
        <is>
          <t>Fabric</t>
        </is>
      </c>
      <c r="G14" t="inlineStr">
        <is>
          <t>Oversea</t>
        </is>
      </c>
      <c r="H14" t="n">
        <v>2.5</v>
      </c>
      <c r="I14" t="n">
        <v>35</v>
      </c>
      <c r="J14" t="n">
        <v>76000</v>
      </c>
      <c r="K14" t="n">
        <v>0</v>
      </c>
      <c r="L14" t="n">
        <v>10</v>
      </c>
      <c r="M14" t="inlineStr">
        <is>
          <t>m</t>
        </is>
      </c>
    </row>
    <row r="15">
      <c r="C15" t="n">
        <v>10</v>
      </c>
      <c r="D15" t="inlineStr">
        <is>
          <t>B</t>
        </is>
      </c>
      <c r="E15" t="inlineStr">
        <is>
          <t>RM07</t>
        </is>
      </c>
      <c r="F15" t="inlineStr">
        <is>
          <t>Industrial color</t>
        </is>
      </c>
      <c r="G15" t="inlineStr">
        <is>
          <t>Oversea</t>
        </is>
      </c>
      <c r="H15" t="n">
        <v>1.5</v>
      </c>
      <c r="I15" t="n">
        <v>42</v>
      </c>
      <c r="J15" t="n">
        <v>50000</v>
      </c>
      <c r="K15" t="n">
        <v>0</v>
      </c>
      <c r="L15" t="n">
        <v>7</v>
      </c>
      <c r="M15" t="inlineStr">
        <is>
          <t>gr</t>
        </is>
      </c>
    </row>
    <row r="16">
      <c r="C16" t="n">
        <v>11</v>
      </c>
      <c r="D16" t="inlineStr">
        <is>
          <t>C</t>
        </is>
      </c>
      <c r="E16" t="inlineStr">
        <is>
          <t>RM01</t>
        </is>
      </c>
      <c r="F16" t="inlineStr">
        <is>
          <t>Packaging label</t>
        </is>
      </c>
      <c r="G16" t="inlineStr">
        <is>
          <t>Local</t>
        </is>
      </c>
      <c r="H16" t="n">
        <v>1</v>
      </c>
      <c r="I16" t="n">
        <v>7</v>
      </c>
      <c r="J16" t="n">
        <v>588</v>
      </c>
      <c r="K16" t="n">
        <v>0</v>
      </c>
      <c r="L16" t="n">
        <v>0.2</v>
      </c>
      <c r="M16" t="inlineStr">
        <is>
          <t>pc</t>
        </is>
      </c>
    </row>
    <row r="17">
      <c r="C17" t="n">
        <v>12</v>
      </c>
      <c r="D17" t="inlineStr">
        <is>
          <t>C</t>
        </is>
      </c>
      <c r="E17" t="inlineStr">
        <is>
          <t>RM02</t>
        </is>
      </c>
      <c r="F17" t="inlineStr">
        <is>
          <t>Packaging carton</t>
        </is>
      </c>
      <c r="G17" t="inlineStr">
        <is>
          <t>Local</t>
        </is>
      </c>
      <c r="H17" t="n">
        <v>0.5</v>
      </c>
      <c r="I17" t="n">
        <v>14</v>
      </c>
      <c r="J17" t="n">
        <v>2886</v>
      </c>
      <c r="K17" t="n">
        <v>0</v>
      </c>
      <c r="L17" t="n">
        <v>4</v>
      </c>
      <c r="M17" t="inlineStr">
        <is>
          <t>Pc</t>
        </is>
      </c>
    </row>
    <row r="18">
      <c r="C18" t="n">
        <v>13</v>
      </c>
      <c r="D18" t="inlineStr">
        <is>
          <t>C</t>
        </is>
      </c>
      <c r="E18" t="inlineStr">
        <is>
          <t>RM03</t>
        </is>
      </c>
      <c r="F18" t="inlineStr">
        <is>
          <t>Common plastic</t>
        </is>
      </c>
      <c r="G18" t="inlineStr">
        <is>
          <t>Local</t>
        </is>
      </c>
      <c r="H18" t="n">
        <v>1</v>
      </c>
      <c r="I18" t="n">
        <v>21</v>
      </c>
      <c r="J18" t="n">
        <v>42524</v>
      </c>
      <c r="K18" t="n">
        <v>0</v>
      </c>
      <c r="L18" t="n">
        <v>5</v>
      </c>
      <c r="M18" t="inlineStr">
        <is>
          <t>Kg</t>
        </is>
      </c>
    </row>
    <row r="19">
      <c r="C19" t="n">
        <v>14</v>
      </c>
      <c r="D19" t="inlineStr">
        <is>
          <t>C</t>
        </is>
      </c>
      <c r="E19" t="inlineStr">
        <is>
          <t>RM08</t>
        </is>
      </c>
      <c r="F19" t="inlineStr">
        <is>
          <t>Special Resin</t>
        </is>
      </c>
      <c r="G19" t="inlineStr">
        <is>
          <t>Oversea</t>
        </is>
      </c>
      <c r="H19" t="n">
        <v>3</v>
      </c>
      <c r="I19" t="n">
        <v>63</v>
      </c>
      <c r="J19" t="n">
        <v>123000</v>
      </c>
      <c r="K19" t="n">
        <v>38000</v>
      </c>
      <c r="L19" t="n">
        <v>7</v>
      </c>
      <c r="M19" t="inlineStr">
        <is>
          <t>kg</t>
        </is>
      </c>
    </row>
    <row r="20">
      <c r="C20" t="n">
        <v>15</v>
      </c>
      <c r="D20" t="inlineStr">
        <is>
          <t>C</t>
        </is>
      </c>
      <c r="E20" t="inlineStr">
        <is>
          <t>RM09</t>
        </is>
      </c>
      <c r="F20" t="inlineStr">
        <is>
          <t>Wooden</t>
        </is>
      </c>
      <c r="G20" t="inlineStr">
        <is>
          <t>Oversea</t>
        </is>
      </c>
      <c r="H20" t="n">
        <v>0.5</v>
      </c>
      <c r="I20" t="n">
        <v>28</v>
      </c>
      <c r="J20" t="n">
        <v>6500</v>
      </c>
      <c r="K20" t="n">
        <v>0</v>
      </c>
      <c r="L20" t="n">
        <v>40</v>
      </c>
      <c r="M20" t="inlineStr">
        <is>
          <t>Cbm</t>
        </is>
      </c>
    </row>
    <row r="21">
      <c r="C21" t="n">
        <v>16</v>
      </c>
      <c r="D21" t="inlineStr">
        <is>
          <t>D</t>
        </is>
      </c>
      <c r="E21" t="inlineStr">
        <is>
          <t>RM01</t>
        </is>
      </c>
      <c r="F21" t="inlineStr">
        <is>
          <t>Packaging label</t>
        </is>
      </c>
      <c r="G21" t="inlineStr">
        <is>
          <t>Local</t>
        </is>
      </c>
      <c r="H21" t="n">
        <v>1</v>
      </c>
      <c r="I21" t="n">
        <v>7</v>
      </c>
      <c r="J21" t="n">
        <v>588</v>
      </c>
      <c r="K21" t="n">
        <v>0</v>
      </c>
      <c r="L21" t="n">
        <v>0.2</v>
      </c>
      <c r="M21" t="inlineStr">
        <is>
          <t>pc</t>
        </is>
      </c>
    </row>
    <row r="22">
      <c r="C22" t="n">
        <v>17</v>
      </c>
      <c r="D22" t="inlineStr">
        <is>
          <t>D</t>
        </is>
      </c>
      <c r="E22" t="inlineStr">
        <is>
          <t>RM02</t>
        </is>
      </c>
      <c r="F22" t="inlineStr">
        <is>
          <t>Packaging carton</t>
        </is>
      </c>
      <c r="G22" t="inlineStr">
        <is>
          <t>Local</t>
        </is>
      </c>
      <c r="H22" t="n">
        <v>0.25</v>
      </c>
      <c r="I22" t="n">
        <v>14</v>
      </c>
      <c r="J22" t="n">
        <v>1443</v>
      </c>
      <c r="K22" t="n">
        <v>0</v>
      </c>
      <c r="L22" t="n">
        <v>4</v>
      </c>
      <c r="M22" t="inlineStr">
        <is>
          <t>Pc</t>
        </is>
      </c>
    </row>
    <row r="23">
      <c r="C23" t="n">
        <v>18</v>
      </c>
      <c r="D23" t="inlineStr">
        <is>
          <t>D</t>
        </is>
      </c>
      <c r="E23" t="inlineStr">
        <is>
          <t>RM03</t>
        </is>
      </c>
      <c r="F23" t="inlineStr">
        <is>
          <t>Common plastic</t>
        </is>
      </c>
      <c r="G23" t="inlineStr">
        <is>
          <t>Local</t>
        </is>
      </c>
      <c r="H23" t="n">
        <v>1</v>
      </c>
      <c r="I23" t="n">
        <v>21</v>
      </c>
      <c r="J23" t="n">
        <v>42524</v>
      </c>
      <c r="K23" t="n">
        <v>0</v>
      </c>
      <c r="L23" t="n">
        <v>5</v>
      </c>
      <c r="M23" t="inlineStr">
        <is>
          <t>Kg</t>
        </is>
      </c>
    </row>
    <row r="24">
      <c r="C24" t="n">
        <v>19</v>
      </c>
      <c r="D24" t="inlineStr">
        <is>
          <t>D</t>
        </is>
      </c>
      <c r="E24" t="inlineStr">
        <is>
          <t>RM10</t>
        </is>
      </c>
      <c r="F24" t="inlineStr">
        <is>
          <t>Battery</t>
        </is>
      </c>
      <c r="G24" t="inlineStr">
        <is>
          <t>Oversea</t>
        </is>
      </c>
      <c r="H24" t="n">
        <v>2</v>
      </c>
      <c r="I24" t="n">
        <v>77</v>
      </c>
      <c r="J24" t="n">
        <v>60000</v>
      </c>
      <c r="K24" t="n">
        <v>5000</v>
      </c>
      <c r="L24" t="n">
        <v>10</v>
      </c>
      <c r="M24" t="inlineStr">
        <is>
          <t>pc</t>
        </is>
      </c>
    </row>
    <row r="25">
      <c r="C25" t="n">
        <v>20</v>
      </c>
      <c r="D25" t="inlineStr">
        <is>
          <t>D</t>
        </is>
      </c>
      <c r="E25" t="inlineStr">
        <is>
          <t>RM11</t>
        </is>
      </c>
      <c r="F25" t="inlineStr">
        <is>
          <t>Glue</t>
        </is>
      </c>
      <c r="G25" t="inlineStr">
        <is>
          <t>Oversea</t>
        </is>
      </c>
      <c r="H25" t="n">
        <v>1.5</v>
      </c>
      <c r="I25" t="n">
        <v>21</v>
      </c>
      <c r="J25" t="n">
        <v>100000</v>
      </c>
      <c r="K25" t="n">
        <v>0</v>
      </c>
      <c r="L25" t="n">
        <v>0.2</v>
      </c>
      <c r="M25" t="inlineStr">
        <is>
          <t>gr</t>
        </is>
      </c>
    </row>
    <row r="26">
      <c r="C26" t="n">
        <v>21</v>
      </c>
      <c r="D26" t="inlineStr">
        <is>
          <t>E</t>
        </is>
      </c>
      <c r="E26" t="inlineStr">
        <is>
          <t>RM01</t>
        </is>
      </c>
      <c r="F26" t="inlineStr">
        <is>
          <t>Packaging label</t>
        </is>
      </c>
      <c r="G26" t="inlineStr">
        <is>
          <t>Local</t>
        </is>
      </c>
      <c r="H26" t="n">
        <v>1</v>
      </c>
      <c r="I26" t="n">
        <v>7</v>
      </c>
      <c r="J26" t="n">
        <v>588</v>
      </c>
      <c r="K26" t="n">
        <v>0</v>
      </c>
      <c r="L26" t="n">
        <v>0.2</v>
      </c>
      <c r="M26" t="inlineStr">
        <is>
          <t>pc</t>
        </is>
      </c>
    </row>
    <row r="27">
      <c r="C27" t="n">
        <v>22</v>
      </c>
      <c r="D27" t="inlineStr">
        <is>
          <t>E</t>
        </is>
      </c>
      <c r="E27" t="inlineStr">
        <is>
          <t>RM02</t>
        </is>
      </c>
      <c r="F27" t="inlineStr">
        <is>
          <t>Packaging carton</t>
        </is>
      </c>
      <c r="G27" t="inlineStr">
        <is>
          <t>Local</t>
        </is>
      </c>
      <c r="H27" t="n">
        <v>0.5</v>
      </c>
      <c r="I27" t="n">
        <v>14</v>
      </c>
      <c r="J27" t="n">
        <v>2886</v>
      </c>
      <c r="K27" t="n">
        <v>0</v>
      </c>
      <c r="L27" t="n">
        <v>4</v>
      </c>
      <c r="M27" t="inlineStr">
        <is>
          <t>Pc</t>
        </is>
      </c>
    </row>
    <row r="28">
      <c r="C28" t="n">
        <v>23</v>
      </c>
      <c r="D28" t="inlineStr">
        <is>
          <t>E</t>
        </is>
      </c>
      <c r="E28" t="inlineStr">
        <is>
          <t>RM03</t>
        </is>
      </c>
      <c r="F28" t="inlineStr">
        <is>
          <t>Common plastic</t>
        </is>
      </c>
      <c r="G28" t="inlineStr">
        <is>
          <t>Local</t>
        </is>
      </c>
      <c r="H28" t="n">
        <v>1</v>
      </c>
      <c r="I28" t="n">
        <v>21</v>
      </c>
      <c r="J28" t="n">
        <v>42524</v>
      </c>
      <c r="K28" t="n">
        <v>0</v>
      </c>
      <c r="L28" t="n">
        <v>5</v>
      </c>
      <c r="M28" t="inlineStr">
        <is>
          <t>Kg</t>
        </is>
      </c>
    </row>
    <row r="29">
      <c r="C29" t="n">
        <v>24</v>
      </c>
      <c r="D29" t="inlineStr">
        <is>
          <t>E</t>
        </is>
      </c>
      <c r="E29" t="inlineStr">
        <is>
          <t>RM12</t>
        </is>
      </c>
      <c r="F29" t="inlineStr">
        <is>
          <t>Steel metal</t>
        </is>
      </c>
      <c r="G29" t="inlineStr">
        <is>
          <t>Oversea</t>
        </is>
      </c>
      <c r="H29" t="n">
        <v>3</v>
      </c>
      <c r="I29" t="n">
        <v>56</v>
      </c>
      <c r="J29" t="n">
        <v>5500</v>
      </c>
      <c r="K29" t="n">
        <v>0</v>
      </c>
      <c r="L29" t="n">
        <v>5</v>
      </c>
      <c r="M29" t="inlineStr">
        <is>
          <t>m</t>
        </is>
      </c>
    </row>
    <row r="30">
      <c r="C30" t="n">
        <v>25</v>
      </c>
      <c r="D30" t="inlineStr">
        <is>
          <t>E</t>
        </is>
      </c>
      <c r="E30" t="inlineStr">
        <is>
          <t>RM13</t>
        </is>
      </c>
      <c r="F30" t="inlineStr">
        <is>
          <t>Wheel</t>
        </is>
      </c>
      <c r="G30" t="inlineStr">
        <is>
          <t>Oversea</t>
        </is>
      </c>
      <c r="H30" t="n">
        <v>4</v>
      </c>
      <c r="I30" t="n">
        <v>35</v>
      </c>
      <c r="J30" t="n">
        <v>6000</v>
      </c>
      <c r="K30" t="n">
        <v>1000</v>
      </c>
      <c r="L30" t="n">
        <v>1</v>
      </c>
      <c r="M30" t="inlineStr">
        <is>
          <t>pc</t>
        </is>
      </c>
    </row>
    <row r="31">
      <c r="C31" t="n">
        <v>26</v>
      </c>
      <c r="D31" t="inlineStr">
        <is>
          <t>F</t>
        </is>
      </c>
      <c r="E31" t="inlineStr">
        <is>
          <t>RM01</t>
        </is>
      </c>
      <c r="F31" t="inlineStr">
        <is>
          <t>Packaging label</t>
        </is>
      </c>
      <c r="G31" t="inlineStr">
        <is>
          <t>Local</t>
        </is>
      </c>
      <c r="H31" t="n">
        <v>1</v>
      </c>
      <c r="I31" t="n">
        <v>7</v>
      </c>
      <c r="J31" t="n">
        <v>588</v>
      </c>
      <c r="K31" t="n">
        <v>0</v>
      </c>
      <c r="L31" t="n">
        <v>0.2</v>
      </c>
      <c r="M31" t="inlineStr">
        <is>
          <t>pc</t>
        </is>
      </c>
    </row>
    <row r="32">
      <c r="C32" t="n">
        <v>27</v>
      </c>
      <c r="D32" t="inlineStr">
        <is>
          <t>F</t>
        </is>
      </c>
      <c r="E32" t="inlineStr">
        <is>
          <t>RM02</t>
        </is>
      </c>
      <c r="F32" t="inlineStr">
        <is>
          <t>Packaging carton</t>
        </is>
      </c>
      <c r="G32" t="inlineStr">
        <is>
          <t>Local</t>
        </is>
      </c>
      <c r="H32" t="n">
        <v>0.125</v>
      </c>
      <c r="I32" t="n">
        <v>14</v>
      </c>
      <c r="J32" t="n">
        <v>721.5</v>
      </c>
      <c r="K32" t="n">
        <v>0</v>
      </c>
      <c r="L32" t="n">
        <v>4</v>
      </c>
      <c r="M32" t="inlineStr">
        <is>
          <t>Pc</t>
        </is>
      </c>
    </row>
    <row r="33">
      <c r="C33" t="n">
        <v>28</v>
      </c>
      <c r="D33" t="inlineStr">
        <is>
          <t>F</t>
        </is>
      </c>
      <c r="E33" t="inlineStr">
        <is>
          <t>RM03</t>
        </is>
      </c>
      <c r="F33" t="inlineStr">
        <is>
          <t>Common plastic</t>
        </is>
      </c>
      <c r="G33" t="inlineStr">
        <is>
          <t>Local</t>
        </is>
      </c>
      <c r="H33" t="n">
        <v>1</v>
      </c>
      <c r="I33" t="n">
        <v>21</v>
      </c>
      <c r="J33" t="n">
        <v>42524</v>
      </c>
      <c r="K33" t="n">
        <v>0</v>
      </c>
      <c r="L33" t="n">
        <v>5</v>
      </c>
      <c r="M33" t="inlineStr">
        <is>
          <t>Kg</t>
        </is>
      </c>
    </row>
    <row r="34">
      <c r="C34" t="n">
        <v>29</v>
      </c>
      <c r="D34" t="inlineStr">
        <is>
          <t>F</t>
        </is>
      </c>
      <c r="E34" t="inlineStr">
        <is>
          <t>RM14</t>
        </is>
      </c>
      <c r="F34" t="inlineStr">
        <is>
          <t>Solar pannel</t>
        </is>
      </c>
      <c r="G34" t="inlineStr">
        <is>
          <t>Oversea</t>
        </is>
      </c>
      <c r="H34" t="n">
        <v>5</v>
      </c>
      <c r="I34" t="n">
        <v>63</v>
      </c>
      <c r="J34" t="n">
        <v>130000</v>
      </c>
      <c r="K34" t="n">
        <v>0</v>
      </c>
      <c r="L34" t="n">
        <v>10</v>
      </c>
      <c r="M34" t="inlineStr">
        <is>
          <t>pc</t>
        </is>
      </c>
    </row>
    <row r="35">
      <c r="C35" t="n">
        <v>30</v>
      </c>
      <c r="D35" t="inlineStr">
        <is>
          <t>F</t>
        </is>
      </c>
      <c r="E35" t="inlineStr">
        <is>
          <t>RM15</t>
        </is>
      </c>
      <c r="F35" t="inlineStr">
        <is>
          <t>Cell</t>
        </is>
      </c>
      <c r="G35" t="inlineStr">
        <is>
          <t>Oversea</t>
        </is>
      </c>
      <c r="H35" t="n">
        <v>2</v>
      </c>
      <c r="I35" t="n">
        <v>49</v>
      </c>
      <c r="J35" t="n">
        <v>20000</v>
      </c>
      <c r="K35" t="n">
        <v>21000</v>
      </c>
      <c r="L35" t="n">
        <v>6</v>
      </c>
      <c r="M35" t="inlineStr">
        <is>
          <t>pc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sheetData>
    <row r="2">
      <c r="B2" t="inlineStr">
        <is>
          <t>Item name</t>
        </is>
      </c>
      <c r="C2" t="inlineStr">
        <is>
          <t>Des</t>
        </is>
      </c>
      <c r="D2" t="inlineStr">
        <is>
          <t>Packing size (pcs/ carton)</t>
        </is>
      </c>
      <c r="E2" t="inlineStr">
        <is>
          <t xml:space="preserve"> CBM (100 cartons) </t>
        </is>
      </c>
      <c r="F2" t="inlineStr">
        <is>
          <t>Ex. Work price (Usd/ pc)</t>
        </is>
      </c>
      <c r="G2" t="inlineStr">
        <is>
          <t xml:space="preserve">Market </t>
        </is>
      </c>
    </row>
    <row r="3">
      <c r="B3" t="inlineStr">
        <is>
          <t>A</t>
        </is>
      </c>
      <c r="C3" t="inlineStr">
        <is>
          <t>2026 Automatic Robot ver</t>
        </is>
      </c>
      <c r="D3" t="n">
        <v>4</v>
      </c>
      <c r="E3" t="n">
        <v>1</v>
      </c>
      <c r="F3" t="n">
        <v>105</v>
      </c>
      <c r="G3" t="inlineStr">
        <is>
          <t>US</t>
        </is>
      </c>
    </row>
    <row r="4">
      <c r="B4" t="inlineStr">
        <is>
          <t>B</t>
        </is>
      </c>
      <c r="C4" t="inlineStr">
        <is>
          <t>2025 Barbie ver colorful</t>
        </is>
      </c>
      <c r="D4" t="n">
        <v>4</v>
      </c>
      <c r="E4" t="n">
        <v>0.625</v>
      </c>
      <c r="F4" t="n">
        <v>55</v>
      </c>
      <c r="G4" t="inlineStr">
        <is>
          <t>US</t>
        </is>
      </c>
    </row>
    <row r="5">
      <c r="B5" t="inlineStr">
        <is>
          <t>C</t>
        </is>
      </c>
      <c r="C5" t="inlineStr">
        <is>
          <t>2026 Castle &amp; Farm Blocks</t>
        </is>
      </c>
      <c r="D5" t="n">
        <v>2</v>
      </c>
      <c r="E5" t="n">
        <v>1</v>
      </c>
      <c r="F5" t="n">
        <v>80</v>
      </c>
      <c r="G5" t="inlineStr">
        <is>
          <t>UK</t>
        </is>
      </c>
    </row>
    <row r="6">
      <c r="B6" t="inlineStr">
        <is>
          <t>D</t>
        </is>
      </c>
      <c r="C6" t="inlineStr">
        <is>
          <t>2026 Animal Animation Book</t>
        </is>
      </c>
      <c r="D6" t="n">
        <v>4</v>
      </c>
      <c r="E6" t="n">
        <v>0.625</v>
      </c>
      <c r="F6" t="n">
        <v>40</v>
      </c>
      <c r="G6" t="inlineStr">
        <is>
          <t>UK</t>
        </is>
      </c>
    </row>
    <row r="7">
      <c r="B7" t="inlineStr">
        <is>
          <t>E</t>
        </is>
      </c>
      <c r="C7" t="inlineStr">
        <is>
          <t>2026 Scooter ver</t>
        </is>
      </c>
      <c r="D7" t="n">
        <v>2</v>
      </c>
      <c r="E7" t="n">
        <v>0.625</v>
      </c>
      <c r="F7" t="n">
        <v>30</v>
      </c>
      <c r="G7" t="inlineStr">
        <is>
          <t xml:space="preserve">Australia </t>
        </is>
      </c>
    </row>
    <row r="8">
      <c r="B8" t="inlineStr">
        <is>
          <t>F</t>
        </is>
      </c>
      <c r="C8" t="inlineStr">
        <is>
          <t>2025 Fantasy Spaceship Model DIY kits</t>
        </is>
      </c>
      <c r="D8" t="n">
        <v>8</v>
      </c>
      <c r="E8" t="n">
        <v>0.78125</v>
      </c>
      <c r="F8" t="n">
        <v>90</v>
      </c>
      <c r="G8" t="inlineStr">
        <is>
          <t>US</t>
        </is>
      </c>
    </row>
    <row r="15">
      <c r="B15" t="inlineStr">
        <is>
          <t>Coporate Ocean frieght charge</t>
        </is>
      </c>
    </row>
    <row r="17">
      <c r="B17" t="inlineStr">
        <is>
          <t xml:space="preserve">FCL </t>
        </is>
      </c>
      <c r="C17" t="inlineStr">
        <is>
          <t>US</t>
        </is>
      </c>
      <c r="D17" t="inlineStr">
        <is>
          <t>UK</t>
        </is>
      </c>
      <c r="E17" t="inlineStr">
        <is>
          <t>AU</t>
        </is>
      </c>
      <c r="F17" t="inlineStr">
        <is>
          <t xml:space="preserve">Max load CBM / container </t>
        </is>
      </c>
    </row>
    <row r="18">
      <c r="B18" t="inlineStr">
        <is>
          <t xml:space="preserve">40" </t>
        </is>
      </c>
      <c r="C18" t="n">
        <v>5200</v>
      </c>
      <c r="D18" t="n">
        <v>4200</v>
      </c>
      <c r="E18" t="n">
        <v>2000</v>
      </c>
      <c r="F18" t="n">
        <v>65</v>
      </c>
    </row>
    <row r="19">
      <c r="B19" t="inlineStr">
        <is>
          <t xml:space="preserve">20" </t>
        </is>
      </c>
      <c r="C19" t="n">
        <v>3000</v>
      </c>
      <c r="D19" t="n">
        <v>2500</v>
      </c>
      <c r="E19" t="n">
        <v>1100</v>
      </c>
      <c r="F19" t="n">
        <v>28</v>
      </c>
    </row>
    <row r="20">
      <c r="B20" t="inlineStr">
        <is>
          <t>LT (day)</t>
        </is>
      </c>
      <c r="C20" t="n">
        <v>50</v>
      </c>
      <c r="D20" t="n">
        <v>40</v>
      </c>
      <c r="E20" t="n">
        <v>25</v>
      </c>
    </row>
    <row r="22">
      <c r="B22" t="inlineStr">
        <is>
          <t xml:space="preserve">LCL </t>
        </is>
      </c>
    </row>
    <row r="23">
      <c r="B23" t="inlineStr">
        <is>
          <t>per CBM</t>
        </is>
      </c>
      <c r="C23" t="n">
        <v>200</v>
      </c>
      <c r="D23" t="n">
        <v>70</v>
      </c>
      <c r="E23" t="n">
        <v>35</v>
      </c>
    </row>
    <row r="24">
      <c r="B24" t="inlineStr">
        <is>
          <t>LT (day)</t>
        </is>
      </c>
      <c r="C24" t="n">
        <v>55</v>
      </c>
      <c r="D24" t="n">
        <v>45</v>
      </c>
      <c r="E24" t="n">
        <v>30</v>
      </c>
    </row>
    <row r="26">
      <c r="B26" t="inlineStr">
        <is>
          <t xml:space="preserve">Airfreigh , follow forwarder website at demand date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Production Planning </t>
        </is>
      </c>
      <c r="J1" t="inlineStr">
        <is>
          <t>Calendar Buckets &amp; Available Capacity (6 workdays/week, Sunday off)</t>
        </is>
      </c>
    </row>
    <row r="2">
      <c r="J2" t="inlineStr">
        <is>
          <t>Bucket</t>
        </is>
      </c>
      <c r="K2" t="inlineStr">
        <is>
          <t>Start</t>
        </is>
      </c>
      <c r="L2" t="inlineStr">
        <is>
          <t>End</t>
        </is>
      </c>
      <c r="M2" t="inlineStr">
        <is>
          <t>Workdays</t>
        </is>
      </c>
      <c r="N2" t="inlineStr">
        <is>
          <t>Workdays/6</t>
        </is>
      </c>
      <c r="O2" t="inlineStr">
        <is>
          <t>Notes</t>
        </is>
      </c>
    </row>
    <row r="3">
      <c r="A3" t="inlineStr">
        <is>
          <t>Start date</t>
        </is>
      </c>
      <c r="B3" s="14" t="n">
        <v>46127</v>
      </c>
      <c r="J3" t="inlineStr">
        <is>
          <t xml:space="preserve">B1 </t>
        </is>
      </c>
      <c r="K3" s="14" t="n">
        <v>46127</v>
      </c>
      <c r="L3" s="14" t="n">
        <v>46130</v>
      </c>
      <c r="M3" t="n">
        <v>4</v>
      </c>
      <c r="N3" t="n">
        <v>0.67</v>
      </c>
      <c r="O3" t="inlineStr">
        <is>
          <t>Mon–Sat; Sunday off</t>
        </is>
      </c>
    </row>
    <row r="4">
      <c r="A4" t="inlineStr">
        <is>
          <t>End date</t>
        </is>
      </c>
      <c r="B4" s="14" t="n">
        <v>46157</v>
      </c>
      <c r="J4" t="inlineStr">
        <is>
          <t xml:space="preserve">B2 </t>
        </is>
      </c>
      <c r="K4" s="14" t="n">
        <v>46132</v>
      </c>
      <c r="L4" s="14" t="n">
        <v>46137</v>
      </c>
      <c r="M4" t="n">
        <v>6</v>
      </c>
      <c r="N4" t="n">
        <v>1</v>
      </c>
      <c r="O4" t="inlineStr">
        <is>
          <t>Mon–Sat; Sunday off</t>
        </is>
      </c>
    </row>
    <row r="5">
      <c r="A5" t="inlineStr">
        <is>
          <t>Workdays / week</t>
        </is>
      </c>
      <c r="B5" t="n">
        <v>6</v>
      </c>
      <c r="J5" t="inlineStr">
        <is>
          <t>B3</t>
        </is>
      </c>
      <c r="K5" s="14" t="n">
        <v>46139</v>
      </c>
      <c r="L5" s="14" t="n">
        <v>46144</v>
      </c>
      <c r="M5" t="n">
        <v>6</v>
      </c>
      <c r="N5" t="n">
        <v>1</v>
      </c>
      <c r="O5" t="inlineStr">
        <is>
          <t>Mon–Sat; Sunday off</t>
        </is>
      </c>
    </row>
    <row r="6">
      <c r="A6" t="inlineStr">
        <is>
          <t>Shifts / day</t>
        </is>
      </c>
      <c r="B6" t="n">
        <v>2</v>
      </c>
      <c r="J6" t="inlineStr">
        <is>
          <t>B4</t>
        </is>
      </c>
      <c r="K6" s="14" t="n">
        <v>46146</v>
      </c>
      <c r="L6" s="14" t="n">
        <v>46151</v>
      </c>
      <c r="M6" t="n">
        <v>6</v>
      </c>
      <c r="N6" t="n">
        <v>1</v>
      </c>
      <c r="O6" t="inlineStr">
        <is>
          <t>Mon–Sat; Sunday off</t>
        </is>
      </c>
    </row>
    <row r="7">
      <c r="A7" t="inlineStr">
        <is>
          <t>Lead time min (days)</t>
        </is>
      </c>
      <c r="B7" t="n">
        <v>7</v>
      </c>
      <c r="J7" t="inlineStr">
        <is>
          <t>B5</t>
        </is>
      </c>
      <c r="K7" s="14" t="n">
        <v>46153</v>
      </c>
      <c r="L7" s="14" t="n">
        <v>46157</v>
      </c>
      <c r="M7" t="n">
        <v>5</v>
      </c>
      <c r="N7" t="n">
        <v>0.83</v>
      </c>
      <c r="O7" t="inlineStr">
        <is>
          <t>Mon–Sat; Sunday off</t>
        </is>
      </c>
    </row>
    <row r="8">
      <c r="A8" t="inlineStr">
        <is>
          <t>Lead time max (days)</t>
        </is>
      </c>
      <c r="B8" t="n">
        <v>14</v>
      </c>
    </row>
    <row r="9">
      <c r="A9" t="inlineStr">
        <is>
          <t>Note</t>
        </is>
      </c>
      <c r="B9" t="inlineStr">
        <is>
          <t>Factory runs 2 shifts/day, 6 days/week (Sunday off). Plan buckets follow Mon–Sat weeks.</t>
        </is>
      </c>
    </row>
    <row r="10">
      <c r="A10" t="inlineStr">
        <is>
          <t>Overall</t>
        </is>
      </c>
    </row>
    <row r="11">
      <c r="A11" t="inlineStr">
        <is>
          <t>Total workdays in horizon</t>
        </is>
      </c>
      <c r="B11" t="n">
        <v>27</v>
      </c>
    </row>
    <row r="12">
      <c r="A12" t="inlineStr">
        <is>
          <t>Theoretical shipment request estimated by lead time</t>
        </is>
      </c>
      <c r="B12" t="inlineStr">
        <is>
          <t>22/04 - 29/05</t>
        </is>
      </c>
    </row>
    <row r="14">
      <c r="A14" t="inlineStr">
        <is>
          <t>Demand Aggregated for Production Horizon (15.4-15.5)</t>
        </is>
      </c>
      <c r="L14" t="inlineStr">
        <is>
          <t>Fixture</t>
        </is>
      </c>
      <c r="M14" t="inlineStr">
        <is>
          <t>Weekly capacity</t>
        </is>
      </c>
      <c r="N14" t="inlineStr">
        <is>
          <t>B1</t>
        </is>
      </c>
      <c r="O14" t="inlineStr">
        <is>
          <t>B2</t>
        </is>
      </c>
      <c r="P14" t="inlineStr">
        <is>
          <t>B3</t>
        </is>
      </c>
      <c r="Q14" t="inlineStr">
        <is>
          <t>B4</t>
        </is>
      </c>
      <c r="R14" t="inlineStr">
        <is>
          <t>B5</t>
        </is>
      </c>
      <c r="S14" t="inlineStr">
        <is>
          <t>Total capacity (horizon)</t>
        </is>
      </c>
    </row>
    <row r="15">
      <c r="L15" t="inlineStr">
        <is>
          <t>123AB</t>
        </is>
      </c>
      <c r="M15" t="n">
        <v>15000</v>
      </c>
      <c r="N15" t="n">
        <v>10000</v>
      </c>
      <c r="O15" t="n">
        <v>15000</v>
      </c>
      <c r="P15" t="n">
        <v>15000</v>
      </c>
      <c r="Q15" t="n">
        <v>15000</v>
      </c>
      <c r="R15" t="n">
        <v>12500</v>
      </c>
      <c r="S15" t="n">
        <v>67500</v>
      </c>
    </row>
    <row r="16">
      <c r="A16" t="inlineStr">
        <is>
          <t>SKU</t>
        </is>
      </c>
      <c r="B16" t="inlineStr">
        <is>
          <t>Description</t>
        </is>
      </c>
      <c r="C16" t="inlineStr">
        <is>
          <t>Market</t>
        </is>
      </c>
      <c r="D16" t="inlineStr">
        <is>
          <t>Product group</t>
        </is>
      </c>
      <c r="E16" t="inlineStr">
        <is>
          <t>Fixture</t>
        </is>
      </c>
      <c r="F16" t="inlineStr">
        <is>
          <t>Weekly capacity</t>
        </is>
      </c>
      <c r="G16" t="inlineStr">
        <is>
          <t>Ship request</t>
        </is>
      </c>
      <c r="H16" t="inlineStr">
        <is>
          <t>Demand quantity</t>
        </is>
      </c>
      <c r="I16" t="inlineStr">
        <is>
          <t>Earliest production date (Ship-LeadMax)</t>
        </is>
      </c>
      <c r="J16" t="inlineStr">
        <is>
          <t>Latest production date (Ship-LeadMin)</t>
        </is>
      </c>
      <c r="L16" t="inlineStr">
        <is>
          <t>456CD</t>
        </is>
      </c>
      <c r="M16" t="n">
        <v>5000</v>
      </c>
      <c r="N16" t="n">
        <v>3333.333333333333</v>
      </c>
      <c r="O16" t="n">
        <v>5000</v>
      </c>
      <c r="P16" t="n">
        <v>5000</v>
      </c>
      <c r="Q16" t="n">
        <v>5000</v>
      </c>
      <c r="R16" t="n">
        <v>4166.666666666667</v>
      </c>
      <c r="S16" t="n">
        <v>22500</v>
      </c>
    </row>
    <row r="17">
      <c r="A17" t="inlineStr">
        <is>
          <t>A</t>
        </is>
      </c>
      <c r="B17" t="inlineStr">
        <is>
          <t>2026 Automatic Robot ver</t>
        </is>
      </c>
      <c r="C17" t="inlineStr">
        <is>
          <t>US</t>
        </is>
      </c>
      <c r="D17" t="inlineStr">
        <is>
          <t>Electronic Toy</t>
        </is>
      </c>
      <c r="E17" t="inlineStr">
        <is>
          <t>123AB</t>
        </is>
      </c>
      <c r="F17" t="n">
        <v>15000</v>
      </c>
      <c r="G17" s="14" t="n">
        <v>46150</v>
      </c>
      <c r="H17" t="e">
        <v>#VALUE!</v>
      </c>
      <c r="I17" s="14" t="n">
        <v>46136</v>
      </c>
      <c r="J17" s="14" t="n">
        <v>46143</v>
      </c>
      <c r="L17" t="inlineStr">
        <is>
          <t>789EF</t>
        </is>
      </c>
      <c r="M17" t="n">
        <v>3000</v>
      </c>
      <c r="N17" t="n">
        <v>2000</v>
      </c>
      <c r="O17" t="n">
        <v>3000</v>
      </c>
      <c r="P17" t="n">
        <v>3000</v>
      </c>
      <c r="Q17" t="n">
        <v>3000</v>
      </c>
      <c r="R17" t="n">
        <v>2500</v>
      </c>
      <c r="S17" t="n">
        <v>13500</v>
      </c>
    </row>
    <row r="18">
      <c r="A18" t="inlineStr">
        <is>
          <t>A</t>
        </is>
      </c>
      <c r="B18" t="inlineStr">
        <is>
          <t>2026 Automatic Robot ver</t>
        </is>
      </c>
      <c r="C18" t="inlineStr">
        <is>
          <t>US</t>
        </is>
      </c>
      <c r="D18" t="inlineStr">
        <is>
          <t>Electronic Toy</t>
        </is>
      </c>
      <c r="E18" t="inlineStr">
        <is>
          <t>123AB</t>
        </is>
      </c>
      <c r="F18" t="n">
        <v>15000</v>
      </c>
      <c r="G18" s="14" t="n">
        <v>46157</v>
      </c>
      <c r="H18" t="e">
        <v>#VALUE!</v>
      </c>
      <c r="I18" s="14" t="n">
        <v>46143</v>
      </c>
      <c r="J18" s="14" t="n">
        <v>46150</v>
      </c>
    </row>
    <row r="19">
      <c r="A19" t="inlineStr">
        <is>
          <t>A</t>
        </is>
      </c>
      <c r="B19" t="inlineStr">
        <is>
          <t>2026 Automatic Robot ver</t>
        </is>
      </c>
      <c r="C19" t="inlineStr">
        <is>
          <t>US</t>
        </is>
      </c>
      <c r="D19" t="inlineStr">
        <is>
          <t>Electronic Toy</t>
        </is>
      </c>
      <c r="E19" t="inlineStr">
        <is>
          <t>123AB</t>
        </is>
      </c>
      <c r="F19" t="n">
        <v>15000</v>
      </c>
      <c r="G19" s="14" t="n">
        <v>46164</v>
      </c>
      <c r="H19" t="e">
        <v>#VALUE!</v>
      </c>
      <c r="I19" s="14" t="n">
        <v>46150</v>
      </c>
      <c r="J19" s="14" t="n">
        <v>46157</v>
      </c>
    </row>
    <row r="20">
      <c r="A20" t="inlineStr">
        <is>
          <t>A</t>
        </is>
      </c>
      <c r="B20" t="inlineStr">
        <is>
          <t>2026 Automatic Robot ver</t>
        </is>
      </c>
      <c r="C20" t="inlineStr">
        <is>
          <t>US</t>
        </is>
      </c>
      <c r="D20" t="inlineStr">
        <is>
          <t>Electronic Toy</t>
        </is>
      </c>
      <c r="E20" t="inlineStr">
        <is>
          <t>123AB</t>
        </is>
      </c>
      <c r="F20" t="n">
        <v>15000</v>
      </c>
      <c r="G20" s="14" t="n">
        <v>46171</v>
      </c>
      <c r="H20" t="e">
        <v>#VALUE!</v>
      </c>
      <c r="I20" s="14" t="n">
        <v>46157</v>
      </c>
      <c r="J20" s="14" t="n">
        <v>46164</v>
      </c>
    </row>
    <row r="21">
      <c r="A21" t="inlineStr">
        <is>
          <t>B</t>
        </is>
      </c>
      <c r="B21" t="inlineStr">
        <is>
          <t>2025 Barbie ver colorful</t>
        </is>
      </c>
      <c r="C21" t="inlineStr">
        <is>
          <t>US</t>
        </is>
      </c>
      <c r="D21" t="inlineStr">
        <is>
          <t>Doll</t>
        </is>
      </c>
      <c r="E21" t="inlineStr">
        <is>
          <t>123AB</t>
        </is>
      </c>
      <c r="F21" t="n">
        <v>15000</v>
      </c>
      <c r="G21" s="14" t="n">
        <v>46157</v>
      </c>
      <c r="H21" t="e">
        <v>#VALUE!</v>
      </c>
      <c r="I21" s="14" t="n">
        <v>46143</v>
      </c>
      <c r="J21" s="14" t="n">
        <v>46150</v>
      </c>
    </row>
    <row r="22">
      <c r="A22" t="inlineStr">
        <is>
          <t>B</t>
        </is>
      </c>
      <c r="B22" t="inlineStr">
        <is>
          <t>2025 Barbie ver colorful</t>
        </is>
      </c>
      <c r="C22" t="inlineStr">
        <is>
          <t>US</t>
        </is>
      </c>
      <c r="D22" t="inlineStr">
        <is>
          <t>Doll</t>
        </is>
      </c>
      <c r="E22" t="inlineStr">
        <is>
          <t>123AB</t>
        </is>
      </c>
      <c r="F22" t="n">
        <v>15000</v>
      </c>
      <c r="G22" s="14" t="n">
        <v>46164</v>
      </c>
      <c r="H22" t="e">
        <v>#VALUE!</v>
      </c>
      <c r="I22" s="14" t="n">
        <v>46150</v>
      </c>
      <c r="J22" s="14" t="n">
        <v>46157</v>
      </c>
    </row>
    <row r="23">
      <c r="A23" t="inlineStr">
        <is>
          <t>B</t>
        </is>
      </c>
      <c r="B23" t="inlineStr">
        <is>
          <t>2025 Barbie ver colorful</t>
        </is>
      </c>
      <c r="C23" t="inlineStr">
        <is>
          <t>US</t>
        </is>
      </c>
      <c r="D23" t="inlineStr">
        <is>
          <t>Doll</t>
        </is>
      </c>
      <c r="E23" t="inlineStr">
        <is>
          <t>123AB</t>
        </is>
      </c>
      <c r="F23" t="n">
        <v>15000</v>
      </c>
      <c r="G23" s="14" t="n">
        <v>46171</v>
      </c>
      <c r="H23" t="e">
        <v>#VALUE!</v>
      </c>
      <c r="I23" s="14" t="n">
        <v>46157</v>
      </c>
      <c r="J23" s="14" t="n">
        <v>46164</v>
      </c>
    </row>
    <row r="24">
      <c r="A24" t="inlineStr">
        <is>
          <t>C</t>
        </is>
      </c>
      <c r="B24" t="inlineStr">
        <is>
          <t>2026 Castle &amp; Farm Blocks</t>
        </is>
      </c>
      <c r="C24" t="inlineStr">
        <is>
          <t>UK</t>
        </is>
      </c>
      <c r="D24" t="inlineStr">
        <is>
          <t>Building &amp; Construction Toy</t>
        </is>
      </c>
      <c r="E24" t="inlineStr">
        <is>
          <t>456CD</t>
        </is>
      </c>
      <c r="F24" t="n">
        <v>5000</v>
      </c>
      <c r="G24" s="14" t="n">
        <v>46157</v>
      </c>
      <c r="H24" t="e">
        <v>#VALUE!</v>
      </c>
      <c r="I24" s="14" t="n">
        <v>46143</v>
      </c>
      <c r="J24" s="14" t="n">
        <v>46150</v>
      </c>
    </row>
    <row r="25">
      <c r="A25" t="inlineStr">
        <is>
          <t>C</t>
        </is>
      </c>
      <c r="B25" t="inlineStr">
        <is>
          <t>2026 Castle &amp; Farm Blocks</t>
        </is>
      </c>
      <c r="C25" t="inlineStr">
        <is>
          <t>UK</t>
        </is>
      </c>
      <c r="D25" t="inlineStr">
        <is>
          <t>Building &amp; Construction Toy</t>
        </is>
      </c>
      <c r="E25" t="inlineStr">
        <is>
          <t>456CD</t>
        </is>
      </c>
      <c r="F25" t="n">
        <v>5000</v>
      </c>
      <c r="G25" s="14" t="n">
        <v>46164</v>
      </c>
      <c r="H25" t="e">
        <v>#VALUE!</v>
      </c>
      <c r="I25" s="14" t="n">
        <v>46150</v>
      </c>
      <c r="J25" s="14" t="n">
        <v>46157</v>
      </c>
    </row>
    <row r="26">
      <c r="A26" t="inlineStr">
        <is>
          <t>C</t>
        </is>
      </c>
      <c r="B26" t="inlineStr">
        <is>
          <t>2026 Castle &amp; Farm Blocks</t>
        </is>
      </c>
      <c r="C26" t="inlineStr">
        <is>
          <t>UK</t>
        </is>
      </c>
      <c r="D26" t="inlineStr">
        <is>
          <t>Building &amp; Construction Toy</t>
        </is>
      </c>
      <c r="E26" t="inlineStr">
        <is>
          <t>456CD</t>
        </is>
      </c>
      <c r="F26" t="n">
        <v>5000</v>
      </c>
      <c r="G26" s="14" t="n">
        <v>46171</v>
      </c>
      <c r="H26" t="e">
        <v>#VALUE!</v>
      </c>
      <c r="I26" s="14" t="n">
        <v>46157</v>
      </c>
      <c r="J26" s="14" t="n">
        <v>46164</v>
      </c>
    </row>
    <row r="27">
      <c r="A27" t="inlineStr">
        <is>
          <t>D</t>
        </is>
      </c>
      <c r="B27" t="inlineStr">
        <is>
          <t>2026 Animal Animation Book</t>
        </is>
      </c>
      <c r="C27" t="inlineStr">
        <is>
          <t>UK</t>
        </is>
      </c>
      <c r="D27" t="inlineStr">
        <is>
          <t>Educational Toy</t>
        </is>
      </c>
      <c r="E27" t="inlineStr">
        <is>
          <t>456CD</t>
        </is>
      </c>
      <c r="F27" t="n">
        <v>5000</v>
      </c>
      <c r="G27" s="14" t="n">
        <v>46157</v>
      </c>
      <c r="H27" t="e">
        <v>#VALUE!</v>
      </c>
      <c r="I27" s="14" t="n">
        <v>46143</v>
      </c>
      <c r="J27" s="14" t="n">
        <v>46150</v>
      </c>
    </row>
    <row r="28">
      <c r="A28" t="inlineStr">
        <is>
          <t>D</t>
        </is>
      </c>
      <c r="B28" t="inlineStr">
        <is>
          <t>2026 Animal Animation Book</t>
        </is>
      </c>
      <c r="C28" t="inlineStr">
        <is>
          <t>UK</t>
        </is>
      </c>
      <c r="D28" t="inlineStr">
        <is>
          <t>Educational Toy</t>
        </is>
      </c>
      <c r="E28" t="inlineStr">
        <is>
          <t>456CD</t>
        </is>
      </c>
      <c r="F28" t="n">
        <v>5000</v>
      </c>
      <c r="G28" s="14" t="n">
        <v>46164</v>
      </c>
      <c r="H28" t="e">
        <v>#VALUE!</v>
      </c>
      <c r="I28" s="14" t="n">
        <v>46150</v>
      </c>
      <c r="J28" s="14" t="n">
        <v>46157</v>
      </c>
    </row>
    <row r="29">
      <c r="A29" t="inlineStr">
        <is>
          <t>D</t>
        </is>
      </c>
      <c r="B29" t="inlineStr">
        <is>
          <t>2026 Animal Animation Book</t>
        </is>
      </c>
      <c r="C29" t="inlineStr">
        <is>
          <t>UK</t>
        </is>
      </c>
      <c r="D29" t="inlineStr">
        <is>
          <t>Educational Toy</t>
        </is>
      </c>
      <c r="E29" t="inlineStr">
        <is>
          <t>456CD</t>
        </is>
      </c>
      <c r="F29" t="n">
        <v>5000</v>
      </c>
      <c r="G29" s="14" t="n">
        <v>46171</v>
      </c>
      <c r="H29" t="e">
        <v>#VALUE!</v>
      </c>
      <c r="I29" s="14" t="n">
        <v>46157</v>
      </c>
      <c r="J29" s="14" t="n">
        <v>46164</v>
      </c>
    </row>
    <row r="30">
      <c r="A30" t="inlineStr">
        <is>
          <t>E</t>
        </is>
      </c>
      <c r="B30" t="inlineStr">
        <is>
          <t>2026 Scooter ver</t>
        </is>
      </c>
      <c r="C30" t="inlineStr">
        <is>
          <t>Australia</t>
        </is>
      </c>
      <c r="D30" t="inlineStr">
        <is>
          <t>Outdoor &amp; Sports Toy</t>
        </is>
      </c>
      <c r="E30" t="inlineStr">
        <is>
          <t>789EF</t>
        </is>
      </c>
      <c r="F30" t="n">
        <v>3000</v>
      </c>
      <c r="G30" s="14" t="n">
        <v>46150</v>
      </c>
      <c r="H30" t="e">
        <v>#VALUE!</v>
      </c>
      <c r="I30" s="14" t="n">
        <v>46136</v>
      </c>
      <c r="J30" s="14" t="n">
        <v>46143</v>
      </c>
    </row>
    <row r="31">
      <c r="A31" t="inlineStr">
        <is>
          <t>E</t>
        </is>
      </c>
      <c r="B31" t="inlineStr">
        <is>
          <t>2026 Scooter ver</t>
        </is>
      </c>
      <c r="C31" t="inlineStr">
        <is>
          <t>Australia</t>
        </is>
      </c>
      <c r="D31" t="inlineStr">
        <is>
          <t>Outdoor &amp; Sports Toy</t>
        </is>
      </c>
      <c r="E31" t="inlineStr">
        <is>
          <t>789EF</t>
        </is>
      </c>
      <c r="F31" t="n">
        <v>3000</v>
      </c>
      <c r="G31" s="14" t="n">
        <v>46157</v>
      </c>
      <c r="H31" t="e">
        <v>#VALUE!</v>
      </c>
      <c r="I31" s="14" t="n">
        <v>46143</v>
      </c>
      <c r="J31" s="14" t="n">
        <v>46150</v>
      </c>
    </row>
    <row r="32">
      <c r="A32" t="inlineStr">
        <is>
          <t>E</t>
        </is>
      </c>
      <c r="B32" t="inlineStr">
        <is>
          <t>2026 Scooter ver</t>
        </is>
      </c>
      <c r="C32" t="inlineStr">
        <is>
          <t>Australia</t>
        </is>
      </c>
      <c r="D32" t="inlineStr">
        <is>
          <t>Outdoor &amp; Sports Toy</t>
        </is>
      </c>
      <c r="E32" t="inlineStr">
        <is>
          <t>789EF</t>
        </is>
      </c>
      <c r="F32" t="n">
        <v>3000</v>
      </c>
      <c r="G32" s="14" t="n">
        <v>46164</v>
      </c>
      <c r="H32" t="e">
        <v>#VALUE!</v>
      </c>
      <c r="I32" s="14" t="n">
        <v>46150</v>
      </c>
      <c r="J32" s="14" t="n">
        <v>46157</v>
      </c>
    </row>
    <row r="33">
      <c r="A33" t="inlineStr">
        <is>
          <t>F</t>
        </is>
      </c>
      <c r="B33" t="inlineStr">
        <is>
          <t>2025 Fantasy Spaceship Model DIY kits</t>
        </is>
      </c>
      <c r="C33" t="inlineStr">
        <is>
          <t>US</t>
        </is>
      </c>
      <c r="D33" t="inlineStr">
        <is>
          <t>Arts &amp; Crafts Toy</t>
        </is>
      </c>
      <c r="E33" t="inlineStr">
        <is>
          <t>789EF</t>
        </is>
      </c>
      <c r="F33" t="n">
        <v>3000</v>
      </c>
      <c r="G33" s="14" t="n">
        <v>46143</v>
      </c>
      <c r="H33" t="e">
        <v>#VALUE!</v>
      </c>
      <c r="I33" s="14" t="n">
        <v>46129</v>
      </c>
      <c r="J33" s="14" t="n">
        <v>46136</v>
      </c>
    </row>
    <row r="34">
      <c r="A34" t="inlineStr">
        <is>
          <t>F</t>
        </is>
      </c>
      <c r="B34" t="inlineStr">
        <is>
          <t>2025 Fantasy Spaceship Model DIY kits</t>
        </is>
      </c>
      <c r="C34" t="inlineStr">
        <is>
          <t>US</t>
        </is>
      </c>
      <c r="D34" t="inlineStr">
        <is>
          <t>Arts &amp; Crafts Toy</t>
        </is>
      </c>
      <c r="E34" t="inlineStr">
        <is>
          <t>789EF</t>
        </is>
      </c>
      <c r="F34" t="n">
        <v>3000</v>
      </c>
      <c r="G34" s="14" t="n">
        <v>46150</v>
      </c>
      <c r="H34" t="e">
        <v>#VALUE!</v>
      </c>
      <c r="I34" s="14" t="n">
        <v>46136</v>
      </c>
      <c r="J34" s="14" t="n">
        <v>46143</v>
      </c>
    </row>
    <row r="35">
      <c r="A35" t="inlineStr">
        <is>
          <t>F</t>
        </is>
      </c>
      <c r="B35" t="inlineStr">
        <is>
          <t>2025 Fantasy Spaceship Model DIY kits</t>
        </is>
      </c>
      <c r="C35" t="inlineStr">
        <is>
          <t>US</t>
        </is>
      </c>
      <c r="D35" t="inlineStr">
        <is>
          <t>Arts &amp; Crafts Toy</t>
        </is>
      </c>
      <c r="E35" t="inlineStr">
        <is>
          <t>789EF</t>
        </is>
      </c>
      <c r="F35" t="n">
        <v>3000</v>
      </c>
      <c r="G35" s="14" t="n">
        <v>46157</v>
      </c>
      <c r="H35" t="e">
        <v>#VALUE!</v>
      </c>
      <c r="I35" s="14" t="n">
        <v>46143</v>
      </c>
      <c r="J35" s="14" t="n">
        <v>46150</v>
      </c>
    </row>
    <row r="36">
      <c r="A36" t="inlineStr">
        <is>
          <t>F</t>
        </is>
      </c>
      <c r="B36" t="inlineStr">
        <is>
          <t>2025 Fantasy Spaceship Model DIY kits</t>
        </is>
      </c>
      <c r="C36" t="inlineStr">
        <is>
          <t>US</t>
        </is>
      </c>
      <c r="D36" t="inlineStr">
        <is>
          <t>Arts &amp; Crafts Toy</t>
        </is>
      </c>
      <c r="E36" t="inlineStr">
        <is>
          <t>789EF</t>
        </is>
      </c>
      <c r="F36" t="n">
        <v>3000</v>
      </c>
      <c r="G36" s="14" t="n">
        <v>46164</v>
      </c>
      <c r="H36" t="e">
        <v>#VALUE!</v>
      </c>
      <c r="I36" s="14" t="n">
        <v>46150</v>
      </c>
      <c r="J36" s="14" t="n">
        <v>46157</v>
      </c>
    </row>
    <row r="37">
      <c r="A37" t="inlineStr">
        <is>
          <t>F</t>
        </is>
      </c>
      <c r="B37" t="inlineStr">
        <is>
          <t>2025 Fantasy Spaceship Model DIY kits</t>
        </is>
      </c>
      <c r="C37" t="inlineStr">
        <is>
          <t>US</t>
        </is>
      </c>
      <c r="D37" t="inlineStr">
        <is>
          <t>Arts &amp; Crafts Toy</t>
        </is>
      </c>
      <c r="E37" t="inlineStr">
        <is>
          <t>789EF</t>
        </is>
      </c>
      <c r="F37" t="n">
        <v>3000</v>
      </c>
      <c r="G37" s="14" t="n">
        <v>46171</v>
      </c>
      <c r="H37" t="e">
        <v>#VALUE!</v>
      </c>
      <c r="I37" s="14" t="n">
        <v>46157</v>
      </c>
      <c r="J37" s="14" t="n">
        <v>46164</v>
      </c>
    </row>
    <row r="39">
      <c r="A39" t="inlineStr">
        <is>
          <t>Production Plan (Daily workday view)</t>
        </is>
      </c>
    </row>
    <row r="41">
      <c r="A41" t="inlineStr">
        <is>
          <t>SKU</t>
        </is>
      </c>
      <c r="B41" t="inlineStr">
        <is>
          <t>Description</t>
        </is>
      </c>
      <c r="C41" t="inlineStr">
        <is>
          <t>Market</t>
        </is>
      </c>
      <c r="D41" t="inlineStr">
        <is>
          <t>Product group</t>
        </is>
      </c>
      <c r="E41" t="inlineStr">
        <is>
          <t>Fixture</t>
        </is>
      </c>
      <c r="F41" t="inlineStr">
        <is>
          <t>Weekly cap</t>
        </is>
      </c>
      <c r="G41" t="inlineStr">
        <is>
          <t>Ship request</t>
        </is>
      </c>
      <c r="H41" t="inlineStr">
        <is>
          <t>Demand quantity</t>
        </is>
      </c>
      <c r="I41" t="inlineStr">
        <is>
          <t>Earliest production date</t>
        </is>
      </c>
      <c r="J41" t="inlineStr">
        <is>
          <t>Latest production date</t>
        </is>
      </c>
      <c r="K41" t="inlineStr">
        <is>
          <t>Week 1</t>
        </is>
      </c>
      <c r="O41" t="inlineStr">
        <is>
          <t>Week 2</t>
        </is>
      </c>
      <c r="U41" t="inlineStr">
        <is>
          <t>Week 3</t>
        </is>
      </c>
      <c r="AA41" t="inlineStr">
        <is>
          <t>Week 4</t>
        </is>
      </c>
      <c r="AG41" t="inlineStr">
        <is>
          <t>Week 5</t>
        </is>
      </c>
      <c r="AL41" t="inlineStr">
        <is>
          <t>Planned total</t>
        </is>
      </c>
      <c r="AM41" t="inlineStr">
        <is>
          <t>Shortage</t>
        </is>
      </c>
      <c r="AN41" t="inlineStr">
        <is>
          <t>Risk</t>
        </is>
      </c>
      <c r="AO41" t="inlineStr">
        <is>
          <t>Late qty</t>
        </is>
      </c>
      <c r="AP41" t="inlineStr">
        <is>
          <t>Horizon status</t>
        </is>
      </c>
    </row>
    <row r="42">
      <c r="K42" s="14" t="n">
        <v>46127</v>
      </c>
      <c r="L42" s="14" t="n">
        <v>46128</v>
      </c>
      <c r="M42" s="14" t="n">
        <v>46129</v>
      </c>
      <c r="N42" s="14" t="n">
        <v>46130</v>
      </c>
      <c r="O42" s="14" t="n">
        <v>46132</v>
      </c>
      <c r="P42" s="14" t="n">
        <v>46133</v>
      </c>
      <c r="Q42" s="14" t="n">
        <v>46134</v>
      </c>
      <c r="R42" s="14" t="n">
        <v>46135</v>
      </c>
      <c r="S42" s="14" t="n">
        <v>46136</v>
      </c>
      <c r="T42" s="14" t="n">
        <v>46137</v>
      </c>
      <c r="U42" s="14" t="n">
        <v>46139</v>
      </c>
      <c r="V42" s="14" t="n">
        <v>46140</v>
      </c>
      <c r="W42" s="14" t="n">
        <v>46141</v>
      </c>
      <c r="X42" s="14" t="n">
        <v>46142</v>
      </c>
      <c r="Y42" s="14" t="n">
        <v>46143</v>
      </c>
      <c r="Z42" s="14" t="n">
        <v>46144</v>
      </c>
      <c r="AA42" s="14" t="n">
        <v>46146</v>
      </c>
      <c r="AB42" s="14" t="n">
        <v>46147</v>
      </c>
      <c r="AC42" s="14" t="n">
        <v>46148</v>
      </c>
      <c r="AD42" s="14" t="n">
        <v>46149</v>
      </c>
      <c r="AE42" s="14" t="n">
        <v>46150</v>
      </c>
      <c r="AF42" s="14" t="n">
        <v>46151</v>
      </c>
      <c r="AG42" s="14" t="n">
        <v>46153</v>
      </c>
      <c r="AH42" s="14" t="n">
        <v>46154</v>
      </c>
      <c r="AI42" s="14" t="n">
        <v>46155</v>
      </c>
      <c r="AJ42" s="14" t="n">
        <v>46156</v>
      </c>
      <c r="AK42" s="14" t="n">
        <v>46157</v>
      </c>
    </row>
    <row r="43">
      <c r="A43" t="inlineStr">
        <is>
          <t>F</t>
        </is>
      </c>
      <c r="B43" t="inlineStr">
        <is>
          <t>2025 Fantasy Spaceship Model DIY kits</t>
        </is>
      </c>
      <c r="C43" t="inlineStr">
        <is>
          <t>US</t>
        </is>
      </c>
      <c r="D43" t="inlineStr">
        <is>
          <t>Arts &amp; Crafts Toy</t>
        </is>
      </c>
      <c r="E43" t="inlineStr">
        <is>
          <t>789EF</t>
        </is>
      </c>
      <c r="F43" t="n">
        <v>3000</v>
      </c>
      <c r="G43" s="14" t="n">
        <v>46143</v>
      </c>
      <c r="H43" t="n">
        <v>588</v>
      </c>
      <c r="I43" s="14" t="n">
        <v>46129</v>
      </c>
      <c r="J43" s="14" t="n">
        <v>46136</v>
      </c>
      <c r="K43" t="n">
        <v>0</v>
      </c>
      <c r="L43" t="n">
        <v>0</v>
      </c>
      <c r="M43" t="n">
        <v>0</v>
      </c>
      <c r="N43" t="n">
        <v>0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588</v>
      </c>
      <c r="AM43" t="n">
        <v>0</v>
      </c>
      <c r="AN43" t="inlineStr">
        <is>
          <t>LATE</t>
        </is>
      </c>
      <c r="AO43" t="n">
        <v>98</v>
      </c>
      <c r="AP43" t="inlineStr">
        <is>
          <t>WITHIN_HORIZON</t>
        </is>
      </c>
    </row>
    <row r="44">
      <c r="A44" t="inlineStr">
        <is>
          <t>A</t>
        </is>
      </c>
      <c r="B44" t="inlineStr">
        <is>
          <t>2026 Automatic Robot ver</t>
        </is>
      </c>
      <c r="C44" t="inlineStr">
        <is>
          <t>US</t>
        </is>
      </c>
      <c r="D44" t="inlineStr">
        <is>
          <t>Electronic Toy</t>
        </is>
      </c>
      <c r="E44" t="inlineStr">
        <is>
          <t>123AB</t>
        </is>
      </c>
      <c r="F44" t="n">
        <v>15000</v>
      </c>
      <c r="G44" s="14" t="n">
        <v>46150</v>
      </c>
      <c r="H44" t="n">
        <v>684</v>
      </c>
      <c r="I44" s="14" t="n">
        <v>46136</v>
      </c>
      <c r="J44" s="14" t="n">
        <v>46143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316.057962442703</v>
      </c>
      <c r="V44" t="n">
        <v>316.057962442703</v>
      </c>
      <c r="W44" t="n">
        <v>316.057962442703</v>
      </c>
      <c r="X44" t="n">
        <v>316.057962442703</v>
      </c>
      <c r="Y44" t="n">
        <v>316.057962442703</v>
      </c>
      <c r="Z44" t="n">
        <v>316.057962442703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1896.347774656218</v>
      </c>
      <c r="AM44" t="n">
        <v>0</v>
      </c>
      <c r="AN44" t="inlineStr">
        <is>
          <t>LATE</t>
        </is>
      </c>
      <c r="AO44" t="n">
        <v>316.057962442703</v>
      </c>
      <c r="AP44" t="inlineStr">
        <is>
          <t>WITHIN_HORIZON</t>
        </is>
      </c>
    </row>
    <row r="45">
      <c r="A45" t="inlineStr">
        <is>
          <t>E</t>
        </is>
      </c>
      <c r="B45" t="inlineStr">
        <is>
          <t>2026 Scooter ver</t>
        </is>
      </c>
      <c r="C45" t="inlineStr">
        <is>
          <t>Australia</t>
        </is>
      </c>
      <c r="D45" t="inlineStr">
        <is>
          <t>Outdoor &amp; Sports Toy</t>
        </is>
      </c>
      <c r="E45" t="inlineStr">
        <is>
          <t>789EF</t>
        </is>
      </c>
      <c r="F45" t="n">
        <v>3000</v>
      </c>
      <c r="G45" s="14" t="n">
        <v>46150</v>
      </c>
      <c r="H45" t="n">
        <v>472</v>
      </c>
      <c r="I45" s="14" t="n">
        <v>46136</v>
      </c>
      <c r="J45" s="14" t="n">
        <v>46143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50.00000000000001</v>
      </c>
      <c r="V45" t="n">
        <v>50.00000000000001</v>
      </c>
      <c r="W45" t="n">
        <v>50.00000000000001</v>
      </c>
      <c r="X45" t="n">
        <v>50.00000000000001</v>
      </c>
      <c r="Y45" t="n">
        <v>50.00000000000001</v>
      </c>
      <c r="Z45" t="n">
        <v>49.99999999999995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300</v>
      </c>
      <c r="AM45" t="n">
        <v>172</v>
      </c>
      <c r="AN45" t="inlineStr">
        <is>
          <t>SHORTAGE + LATE</t>
        </is>
      </c>
      <c r="AO45" t="n">
        <v>49.99999999999995</v>
      </c>
      <c r="AP45" t="inlineStr">
        <is>
          <t>WITHIN_HORIZON</t>
        </is>
      </c>
    </row>
    <row r="46">
      <c r="A46" t="inlineStr">
        <is>
          <t>F</t>
        </is>
      </c>
      <c r="B46" t="inlineStr">
        <is>
          <t>2025 Fantasy Spaceship Model DIY kits</t>
        </is>
      </c>
      <c r="C46" t="inlineStr">
        <is>
          <t>US</t>
        </is>
      </c>
      <c r="D46" t="inlineStr">
        <is>
          <t>Arts &amp; Crafts Toy</t>
        </is>
      </c>
      <c r="E46" t="inlineStr">
        <is>
          <t>789EF</t>
        </is>
      </c>
      <c r="F46" t="n">
        <v>3000</v>
      </c>
      <c r="G46" s="14" t="n">
        <v>46150</v>
      </c>
      <c r="H46" t="n">
        <v>4028</v>
      </c>
      <c r="I46" s="14" t="n">
        <v>46136</v>
      </c>
      <c r="J46" s="14" t="n">
        <v>46143</v>
      </c>
      <c r="K46" t="n">
        <v>308.8</v>
      </c>
      <c r="L46" t="n">
        <v>308.8</v>
      </c>
      <c r="M46" t="n">
        <v>308.8</v>
      </c>
      <c r="N46" t="n">
        <v>308.8</v>
      </c>
      <c r="O46" t="n">
        <v>127.466666666667</v>
      </c>
      <c r="P46" t="n">
        <v>127.466666666667</v>
      </c>
      <c r="Q46" t="n">
        <v>127.466666666667</v>
      </c>
      <c r="R46" t="n">
        <v>127.466666666667</v>
      </c>
      <c r="S46" t="n">
        <v>127.466666666667</v>
      </c>
      <c r="T46" t="n">
        <v>127.466666666667</v>
      </c>
      <c r="U46" t="n">
        <v>500</v>
      </c>
      <c r="V46" t="n">
        <v>500</v>
      </c>
      <c r="W46" t="n">
        <v>500</v>
      </c>
      <c r="X46" t="n">
        <v>500</v>
      </c>
      <c r="Y46" t="n">
        <v>500</v>
      </c>
      <c r="Z46" t="n">
        <v>500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5000.000000000002</v>
      </c>
      <c r="AM46" t="n">
        <v>0</v>
      </c>
      <c r="AN46" t="inlineStr">
        <is>
          <t>LATE</t>
        </is>
      </c>
      <c r="AO46" t="n">
        <v>500</v>
      </c>
      <c r="AP46" t="inlineStr">
        <is>
          <t>WITHIN_HORIZON</t>
        </is>
      </c>
    </row>
    <row r="47">
      <c r="A47" t="inlineStr">
        <is>
          <t>A</t>
        </is>
      </c>
      <c r="B47" t="inlineStr">
        <is>
          <t>2026 Automatic Robot ver</t>
        </is>
      </c>
      <c r="C47" t="inlineStr">
        <is>
          <t>US</t>
        </is>
      </c>
      <c r="D47" t="inlineStr">
        <is>
          <t>Electronic Toy</t>
        </is>
      </c>
      <c r="E47" t="inlineStr">
        <is>
          <t>123AB</t>
        </is>
      </c>
      <c r="F47" t="n">
        <v>15000</v>
      </c>
      <c r="G47" s="14" t="n">
        <v>46157</v>
      </c>
      <c r="H47" t="n">
        <v>20000</v>
      </c>
      <c r="I47" s="14" t="n">
        <v>46143</v>
      </c>
      <c r="J47" s="14" t="n">
        <v>46150</v>
      </c>
      <c r="K47" t="n">
        <v>0</v>
      </c>
      <c r="L47" t="n">
        <v>0</v>
      </c>
      <c r="M47" t="n">
        <v>0</v>
      </c>
      <c r="N47" t="n">
        <v>0</v>
      </c>
      <c r="O47" t="n">
        <v>462.266666666667</v>
      </c>
      <c r="P47" t="n">
        <v>462.266666666667</v>
      </c>
      <c r="Q47" t="n">
        <v>462.266666666667</v>
      </c>
      <c r="R47" t="n">
        <v>462.266666666667</v>
      </c>
      <c r="S47" t="n">
        <v>462.266666666667</v>
      </c>
      <c r="T47" t="n">
        <v>462.266666666667</v>
      </c>
      <c r="U47" t="n">
        <v>2183.942037557296</v>
      </c>
      <c r="V47" t="n">
        <v>2183.942037557296</v>
      </c>
      <c r="W47" t="n">
        <v>2183.942037557296</v>
      </c>
      <c r="X47" t="n">
        <v>2183.942037557296</v>
      </c>
      <c r="Y47" t="n">
        <v>2183.942037557296</v>
      </c>
      <c r="Z47" t="n">
        <v>2183.942037557299</v>
      </c>
      <c r="AA47" t="n">
        <v>2500</v>
      </c>
      <c r="AB47" t="n">
        <v>2500</v>
      </c>
      <c r="AC47" t="n">
        <v>2500</v>
      </c>
      <c r="AD47" t="n">
        <v>2500</v>
      </c>
      <c r="AE47" t="n">
        <v>2500</v>
      </c>
      <c r="AF47" t="n">
        <v>2500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30877.25222534378</v>
      </c>
      <c r="AM47" t="n">
        <v>0</v>
      </c>
      <c r="AN47" t="inlineStr">
        <is>
          <t>LATE</t>
        </is>
      </c>
      <c r="AO47" t="n">
        <v>2500</v>
      </c>
      <c r="AP47" t="inlineStr">
        <is>
          <t>WITHIN_HORIZON</t>
        </is>
      </c>
    </row>
    <row r="48">
      <c r="A48" t="inlineStr">
        <is>
          <t>B</t>
        </is>
      </c>
      <c r="B48" t="inlineStr">
        <is>
          <t>2025 Barbie ver colorful</t>
        </is>
      </c>
      <c r="C48" t="inlineStr">
        <is>
          <t>US</t>
        </is>
      </c>
      <c r="D48" t="inlineStr">
        <is>
          <t>Doll</t>
        </is>
      </c>
      <c r="E48" t="inlineStr">
        <is>
          <t>123AB</t>
        </is>
      </c>
      <c r="F48" t="n">
        <v>15000</v>
      </c>
      <c r="G48" s="14" t="n">
        <v>46157</v>
      </c>
      <c r="H48" t="n">
        <v>5502</v>
      </c>
      <c r="I48" s="14" t="n">
        <v>46143</v>
      </c>
      <c r="J48" s="14" t="n">
        <v>46150</v>
      </c>
      <c r="K48" t="n">
        <v>0</v>
      </c>
      <c r="L48" t="n">
        <v>0</v>
      </c>
      <c r="M48" t="n">
        <v>0</v>
      </c>
      <c r="N48" t="n">
        <v>0</v>
      </c>
      <c r="O48" t="n">
        <v>917</v>
      </c>
      <c r="P48" t="n">
        <v>917</v>
      </c>
      <c r="Q48" t="n">
        <v>917</v>
      </c>
      <c r="R48" t="n">
        <v>917</v>
      </c>
      <c r="S48" t="n">
        <v>917</v>
      </c>
      <c r="T48" t="n">
        <v>917</v>
      </c>
      <c r="U48" t="n">
        <v>188.1338884263114</v>
      </c>
      <c r="V48" t="n">
        <v>188.1338884263114</v>
      </c>
      <c r="W48" t="n">
        <v>188.1338884263114</v>
      </c>
      <c r="X48" t="n">
        <v>188.1338884263114</v>
      </c>
      <c r="Y48" t="n">
        <v>188.1338884263114</v>
      </c>
      <c r="Z48" t="n">
        <v>188.1338884263115</v>
      </c>
      <c r="AA48" t="n">
        <v>458.1182348043297</v>
      </c>
      <c r="AB48" t="n">
        <v>458.1182348043297</v>
      </c>
      <c r="AC48" t="n">
        <v>458.1182348043297</v>
      </c>
      <c r="AD48" t="n">
        <v>458.1182348043297</v>
      </c>
      <c r="AE48" t="n">
        <v>458.1182348043297</v>
      </c>
      <c r="AF48" t="n">
        <v>458.1182348043299</v>
      </c>
      <c r="AG48" t="n">
        <v>270.7478767693589</v>
      </c>
      <c r="AH48" t="n">
        <v>270.7478767693589</v>
      </c>
      <c r="AI48" t="n">
        <v>270.7478767693589</v>
      </c>
      <c r="AJ48" t="n">
        <v>270.7478767693589</v>
      </c>
      <c r="AK48" t="n">
        <v>270.747876769359</v>
      </c>
      <c r="AL48" t="n">
        <v>10733.25212323064</v>
      </c>
      <c r="AM48" t="n">
        <v>0</v>
      </c>
      <c r="AN48" t="inlineStr">
        <is>
          <t>LATE</t>
        </is>
      </c>
      <c r="AO48" t="n">
        <v>1811.857618651125</v>
      </c>
      <c r="AP48" t="inlineStr">
        <is>
          <t>WITHIN_HORIZON</t>
        </is>
      </c>
    </row>
    <row r="49">
      <c r="A49" t="inlineStr">
        <is>
          <t>C</t>
        </is>
      </c>
      <c r="B49" t="inlineStr">
        <is>
          <t>2026 Castle &amp; Farm Blocks</t>
        </is>
      </c>
      <c r="C49" t="inlineStr">
        <is>
          <t>UK</t>
        </is>
      </c>
      <c r="D49" t="inlineStr">
        <is>
          <t>Building &amp; Construction Toy</t>
        </is>
      </c>
      <c r="E49" t="inlineStr">
        <is>
          <t>456CD</t>
        </is>
      </c>
      <c r="F49" t="n">
        <v>5000</v>
      </c>
      <c r="G49" s="14" t="n">
        <v>46157</v>
      </c>
      <c r="H49" t="n">
        <v>4320</v>
      </c>
      <c r="I49" s="14" t="n">
        <v>46143</v>
      </c>
      <c r="J49" s="14" t="n">
        <v>46150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833.3333333333334</v>
      </c>
      <c r="V49" t="n">
        <v>833.3333333333334</v>
      </c>
      <c r="W49" t="n">
        <v>833.3333333333334</v>
      </c>
      <c r="X49" t="n">
        <v>833.3333333333334</v>
      </c>
      <c r="Y49" t="n">
        <v>833.3333333333334</v>
      </c>
      <c r="Z49" t="n">
        <v>833.3333333333334</v>
      </c>
      <c r="AA49" t="n">
        <v>833.3333333333334</v>
      </c>
      <c r="AB49" t="n">
        <v>833.3333333333334</v>
      </c>
      <c r="AC49" t="n">
        <v>833.3333333333334</v>
      </c>
      <c r="AD49" t="n">
        <v>833.3333333333334</v>
      </c>
      <c r="AE49" t="n">
        <v>833.3333333333334</v>
      </c>
      <c r="AF49" t="n">
        <v>833.3333333333334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10000</v>
      </c>
      <c r="AM49" t="n">
        <v>0</v>
      </c>
      <c r="AN49" t="inlineStr">
        <is>
          <t>LATE</t>
        </is>
      </c>
      <c r="AO49" t="n">
        <v>833.3333333333334</v>
      </c>
      <c r="AP49" t="inlineStr">
        <is>
          <t>WITHIN_HORIZON</t>
        </is>
      </c>
    </row>
    <row r="50">
      <c r="A50" t="inlineStr">
        <is>
          <t>D</t>
        </is>
      </c>
      <c r="B50" t="inlineStr">
        <is>
          <t>2026 Animal Animation Book</t>
        </is>
      </c>
      <c r="C50" t="inlineStr">
        <is>
          <t>UK</t>
        </is>
      </c>
      <c r="D50" t="inlineStr">
        <is>
          <t>Educational Toy</t>
        </is>
      </c>
      <c r="E50" t="inlineStr">
        <is>
          <t>456CD</t>
        </is>
      </c>
      <c r="F50" t="n">
        <v>5000</v>
      </c>
      <c r="G50" s="14" t="n">
        <v>46157</v>
      </c>
      <c r="H50" t="n">
        <v>2430</v>
      </c>
      <c r="I50" s="14" t="n">
        <v>46143</v>
      </c>
      <c r="J50" s="14" t="n">
        <v>46150</v>
      </c>
      <c r="K50" t="n">
        <v>0</v>
      </c>
      <c r="L50" t="n">
        <v>0</v>
      </c>
      <c r="M50" t="n">
        <v>0</v>
      </c>
      <c r="N50" t="n">
        <v>0</v>
      </c>
      <c r="O50" t="n">
        <v>152.783333333333</v>
      </c>
      <c r="P50" t="n">
        <v>152.783333333333</v>
      </c>
      <c r="Q50" t="n">
        <v>152.783333333333</v>
      </c>
      <c r="R50" t="n">
        <v>152.783333333333</v>
      </c>
      <c r="S50" t="n">
        <v>152.783333333333</v>
      </c>
      <c r="T50" t="n">
        <v>152.783333333333</v>
      </c>
      <c r="U50" t="n">
        <v>833.3333333333334</v>
      </c>
      <c r="V50" t="n">
        <v>833.3333333333334</v>
      </c>
      <c r="W50" t="n">
        <v>833.3333333333334</v>
      </c>
      <c r="X50" t="n">
        <v>833.3333333333334</v>
      </c>
      <c r="Y50" t="n">
        <v>833.3333333333334</v>
      </c>
      <c r="Z50" t="n">
        <v>833.3333333333334</v>
      </c>
      <c r="AA50" t="n">
        <v>110.8981380065717</v>
      </c>
      <c r="AB50" t="n">
        <v>110.8981380065717</v>
      </c>
      <c r="AC50" t="n">
        <v>110.8981380065717</v>
      </c>
      <c r="AD50" t="n">
        <v>110.8981380065717</v>
      </c>
      <c r="AE50" t="n">
        <v>110.8981380065717</v>
      </c>
      <c r="AF50" t="n">
        <v>110.8981380065717</v>
      </c>
      <c r="AG50" t="n">
        <v>110.8981380065718</v>
      </c>
      <c r="AH50" t="n">
        <v>110.8981380065718</v>
      </c>
      <c r="AI50" t="n">
        <v>110.8981380065718</v>
      </c>
      <c r="AJ50" t="n">
        <v>110.8981380065718</v>
      </c>
      <c r="AK50" t="n">
        <v>110.8981380065717</v>
      </c>
      <c r="AL50" t="n">
        <v>7136.579518072284</v>
      </c>
      <c r="AM50" t="n">
        <v>0</v>
      </c>
      <c r="AN50" t="inlineStr">
        <is>
          <t>LATE</t>
        </is>
      </c>
      <c r="AO50" t="n">
        <v>665.3888280394306</v>
      </c>
      <c r="AP50" t="inlineStr">
        <is>
          <t>WITHIN_HORIZON</t>
        </is>
      </c>
    </row>
    <row r="51">
      <c r="A51" t="inlineStr">
        <is>
          <t>E</t>
        </is>
      </c>
      <c r="B51" t="inlineStr">
        <is>
          <t>2026 Scooter ver</t>
        </is>
      </c>
      <c r="C51" t="inlineStr">
        <is>
          <t>Australia</t>
        </is>
      </c>
      <c r="D51" t="inlineStr">
        <is>
          <t>Outdoor &amp; Sports Toy</t>
        </is>
      </c>
      <c r="E51" t="inlineStr">
        <is>
          <t>789EF</t>
        </is>
      </c>
      <c r="F51" t="n">
        <v>3000</v>
      </c>
      <c r="G51" s="14" t="n">
        <v>46157</v>
      </c>
      <c r="H51" t="n">
        <v>300</v>
      </c>
      <c r="I51" s="14" t="n">
        <v>46143</v>
      </c>
      <c r="J51" s="14" t="n">
        <v>46150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116.3333333333333</v>
      </c>
      <c r="AB51" t="n">
        <v>116.3333333333333</v>
      </c>
      <c r="AC51" t="n">
        <v>116.3333333333333</v>
      </c>
      <c r="AD51" t="n">
        <v>116.3333333333333</v>
      </c>
      <c r="AE51" t="n">
        <v>116.3333333333333</v>
      </c>
      <c r="AF51" t="n">
        <v>116.3333333333333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697.9999999999998</v>
      </c>
      <c r="AM51" t="n">
        <v>0</v>
      </c>
      <c r="AN51" t="inlineStr">
        <is>
          <t>LATE</t>
        </is>
      </c>
      <c r="AO51" t="n">
        <v>116.3333333333333</v>
      </c>
      <c r="AP51" t="inlineStr">
        <is>
          <t>WITHIN_HORIZON</t>
        </is>
      </c>
    </row>
    <row r="52">
      <c r="A52" t="inlineStr">
        <is>
          <t>F</t>
        </is>
      </c>
      <c r="B52" t="inlineStr">
        <is>
          <t>2025 Fantasy Spaceship Model DIY kits</t>
        </is>
      </c>
      <c r="C52" t="inlineStr">
        <is>
          <t>US</t>
        </is>
      </c>
      <c r="D52" t="inlineStr">
        <is>
          <t>Arts &amp; Crafts Toy</t>
        </is>
      </c>
      <c r="E52" t="inlineStr">
        <is>
          <t>789EF</t>
        </is>
      </c>
      <c r="F52" t="n">
        <v>3000</v>
      </c>
      <c r="G52" s="14" t="n">
        <v>46157</v>
      </c>
      <c r="H52" t="n">
        <v>4200</v>
      </c>
      <c r="I52" s="14" t="n">
        <v>46143</v>
      </c>
      <c r="J52" s="14" t="n">
        <v>46150</v>
      </c>
      <c r="K52" t="n">
        <v>191.2</v>
      </c>
      <c r="L52" t="n">
        <v>191.2</v>
      </c>
      <c r="M52" t="n">
        <v>191.2</v>
      </c>
      <c r="N52" t="n">
        <v>191.2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499.9999999999999</v>
      </c>
      <c r="AB52" t="n">
        <v>499.9999999999999</v>
      </c>
      <c r="AC52" t="n">
        <v>499.9999999999999</v>
      </c>
      <c r="AD52" t="n">
        <v>499.9999999999999</v>
      </c>
      <c r="AE52" t="n">
        <v>499.9999999999999</v>
      </c>
      <c r="AF52" t="n">
        <v>499.9999999999999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3764.8</v>
      </c>
      <c r="AM52" t="n">
        <v>435.2000000000003</v>
      </c>
      <c r="AN52" t="inlineStr">
        <is>
          <t>SHORTAGE + LATE</t>
        </is>
      </c>
      <c r="AO52" t="n">
        <v>499.9999999999999</v>
      </c>
      <c r="AP52" t="inlineStr">
        <is>
          <t>WITHIN_HORIZON</t>
        </is>
      </c>
    </row>
    <row r="53">
      <c r="A53" t="inlineStr">
        <is>
          <t>A</t>
        </is>
      </c>
      <c r="B53" t="inlineStr">
        <is>
          <t>2026 Automatic Robot ver</t>
        </is>
      </c>
      <c r="C53" t="inlineStr">
        <is>
          <t>US</t>
        </is>
      </c>
      <c r="D53" t="inlineStr">
        <is>
          <t>Electronic Toy</t>
        </is>
      </c>
      <c r="E53" t="inlineStr">
        <is>
          <t>123AB</t>
        </is>
      </c>
      <c r="F53" t="n">
        <v>15000</v>
      </c>
      <c r="G53" s="14" t="n">
        <v>46164</v>
      </c>
      <c r="H53" t="n">
        <v>20000</v>
      </c>
      <c r="I53" s="14" t="n">
        <v>46150</v>
      </c>
      <c r="J53" s="14" t="n">
        <v>46157</v>
      </c>
      <c r="K53" t="n">
        <v>193.9</v>
      </c>
      <c r="L53" t="n">
        <v>193.9</v>
      </c>
      <c r="M53" t="n">
        <v>193.9</v>
      </c>
      <c r="N53" t="n">
        <v>193.9</v>
      </c>
      <c r="O53" t="n">
        <v>1120.73333333333</v>
      </c>
      <c r="P53" t="n">
        <v>1120.73333333333</v>
      </c>
      <c r="Q53" t="n">
        <v>1120.73333333333</v>
      </c>
      <c r="R53" t="n">
        <v>1120.73333333333</v>
      </c>
      <c r="S53" t="n">
        <v>1120.73333333333</v>
      </c>
      <c r="T53" t="n">
        <v>1120.73333333333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1833.333333333333</v>
      </c>
      <c r="AH53" t="n">
        <v>1833.333333333333</v>
      </c>
      <c r="AI53" t="n">
        <v>1833.333333333333</v>
      </c>
      <c r="AJ53" t="n">
        <v>1833.333333333333</v>
      </c>
      <c r="AK53" t="n">
        <v>1833.333333333333</v>
      </c>
      <c r="AL53" t="n">
        <v>16666.66666666664</v>
      </c>
      <c r="AM53" t="n">
        <v>3333.333333333358</v>
      </c>
      <c r="AN53" t="inlineStr">
        <is>
          <t>SHORTAGE</t>
        </is>
      </c>
      <c r="AO53" t="n">
        <v>0</v>
      </c>
      <c r="AP53" t="inlineStr">
        <is>
          <t>WITHIN_HORIZON</t>
        </is>
      </c>
    </row>
    <row r="54">
      <c r="A54" t="inlineStr">
        <is>
          <t>B</t>
        </is>
      </c>
      <c r="B54" t="inlineStr">
        <is>
          <t>2025 Barbie ver colorful</t>
        </is>
      </c>
      <c r="C54" t="inlineStr">
        <is>
          <t>US</t>
        </is>
      </c>
      <c r="D54" t="inlineStr">
        <is>
          <t>Doll</t>
        </is>
      </c>
      <c r="E54" t="inlineStr">
        <is>
          <t>123AB</t>
        </is>
      </c>
      <c r="F54" t="n">
        <v>15000</v>
      </c>
      <c r="G54" s="14" t="n">
        <v>46164</v>
      </c>
      <c r="H54" t="n">
        <v>15658</v>
      </c>
      <c r="I54" s="14" t="n">
        <v>46150</v>
      </c>
      <c r="J54" s="14" t="n">
        <v>46157</v>
      </c>
      <c r="K54" t="n">
        <v>2306.1</v>
      </c>
      <c r="L54" t="n">
        <v>2306.1</v>
      </c>
      <c r="M54" t="n">
        <v>2306.1</v>
      </c>
      <c r="N54" t="n">
        <v>2306.1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535.4053844018873</v>
      </c>
      <c r="V54" t="n">
        <v>535.4053844018873</v>
      </c>
      <c r="W54" t="n">
        <v>535.4053844018873</v>
      </c>
      <c r="X54" t="n">
        <v>535.4053844018873</v>
      </c>
      <c r="Y54" t="n">
        <v>535.4053844018873</v>
      </c>
      <c r="Z54" t="n">
        <v>535.4053844018877</v>
      </c>
      <c r="AA54" t="n">
        <v>1303.746877601998</v>
      </c>
      <c r="AB54" t="n">
        <v>1303.746877601998</v>
      </c>
      <c r="AC54" t="n">
        <v>1303.746877601998</v>
      </c>
      <c r="AD54" t="n">
        <v>1303.746877601998</v>
      </c>
      <c r="AE54" t="n">
        <v>1303.746877601998</v>
      </c>
      <c r="AF54" t="n">
        <v>1303.746877601998</v>
      </c>
      <c r="AG54" t="n">
        <v>770.514404662781</v>
      </c>
      <c r="AH54" t="n">
        <v>770.514404662781</v>
      </c>
      <c r="AI54" t="n">
        <v>770.514404662781</v>
      </c>
      <c r="AJ54" t="n">
        <v>770.514404662781</v>
      </c>
      <c r="AK54" t="n">
        <v>770.5144046627811</v>
      </c>
      <c r="AL54" t="n">
        <v>24111.88559533721</v>
      </c>
      <c r="AM54" t="n">
        <v>0</v>
      </c>
      <c r="AN54" t="inlineStr">
        <is>
          <t>OK</t>
        </is>
      </c>
      <c r="AO54" t="n">
        <v>0</v>
      </c>
      <c r="AP54" t="inlineStr">
        <is>
          <t>WITHIN_HORIZON</t>
        </is>
      </c>
    </row>
    <row r="55">
      <c r="A55" t="inlineStr">
        <is>
          <t>C</t>
        </is>
      </c>
      <c r="B55" t="inlineStr">
        <is>
          <t>2026 Castle &amp; Farm Blocks</t>
        </is>
      </c>
      <c r="C55" t="inlineStr">
        <is>
          <t>UK</t>
        </is>
      </c>
      <c r="D55" t="inlineStr">
        <is>
          <t>Building &amp; Construction Toy</t>
        </is>
      </c>
      <c r="E55" t="inlineStr">
        <is>
          <t>456CD</t>
        </is>
      </c>
      <c r="F55" t="n">
        <v>5000</v>
      </c>
      <c r="G55" s="14" t="n">
        <v>46164</v>
      </c>
      <c r="H55" t="n">
        <v>8370</v>
      </c>
      <c r="I55" s="14" t="n">
        <v>46150</v>
      </c>
      <c r="J55" s="14" t="n">
        <v>46157</v>
      </c>
      <c r="K55" t="n">
        <v>30</v>
      </c>
      <c r="L55" t="n">
        <v>30</v>
      </c>
      <c r="M55" t="n">
        <v>30</v>
      </c>
      <c r="N55" t="n">
        <v>30</v>
      </c>
      <c r="O55" t="n">
        <v>680.55</v>
      </c>
      <c r="P55" t="n">
        <v>680.55</v>
      </c>
      <c r="Q55" t="n">
        <v>680.55</v>
      </c>
      <c r="R55" t="n">
        <v>680.55</v>
      </c>
      <c r="S55" t="n">
        <v>680.55</v>
      </c>
      <c r="T55" t="n">
        <v>680.55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833.3333333333335</v>
      </c>
      <c r="AH55" t="n">
        <v>833.3333333333335</v>
      </c>
      <c r="AI55" t="n">
        <v>833.3333333333335</v>
      </c>
      <c r="AJ55" t="n">
        <v>833.3333333333335</v>
      </c>
      <c r="AK55" t="n">
        <v>833.3333333333335</v>
      </c>
      <c r="AL55" t="n">
        <v>8369.966666666669</v>
      </c>
      <c r="AM55" t="n">
        <v>0.03333333333102928</v>
      </c>
      <c r="AN55" t="inlineStr">
        <is>
          <t>SHORTAGE</t>
        </is>
      </c>
      <c r="AO55" t="n">
        <v>0</v>
      </c>
      <c r="AP55" t="inlineStr">
        <is>
          <t>WITHIN_HORIZON</t>
        </is>
      </c>
    </row>
    <row r="56">
      <c r="A56" t="inlineStr">
        <is>
          <t>D</t>
        </is>
      </c>
      <c r="B56" t="inlineStr">
        <is>
          <t>2026 Animal Animation Book</t>
        </is>
      </c>
      <c r="C56" t="inlineStr">
        <is>
          <t>UK</t>
        </is>
      </c>
      <c r="D56" t="inlineStr">
        <is>
          <t>Educational Toy</t>
        </is>
      </c>
      <c r="E56" t="inlineStr">
        <is>
          <t>456CD</t>
        </is>
      </c>
      <c r="F56" t="n">
        <v>5000</v>
      </c>
      <c r="G56" s="14" t="n">
        <v>46164</v>
      </c>
      <c r="H56" t="n">
        <v>9990</v>
      </c>
      <c r="I56" s="14" t="n">
        <v>46150</v>
      </c>
      <c r="J56" s="14" t="n">
        <v>46157</v>
      </c>
      <c r="K56" t="n">
        <v>803.325</v>
      </c>
      <c r="L56" t="n">
        <v>803.325</v>
      </c>
      <c r="M56" t="n">
        <v>803.325</v>
      </c>
      <c r="N56" t="n">
        <v>803.325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455.9145673603505</v>
      </c>
      <c r="AB56" t="n">
        <v>455.9145673603505</v>
      </c>
      <c r="AC56" t="n">
        <v>455.9145673603505</v>
      </c>
      <c r="AD56" t="n">
        <v>455.9145673603505</v>
      </c>
      <c r="AE56" t="n">
        <v>455.9145673603505</v>
      </c>
      <c r="AF56" t="n">
        <v>455.9145673603502</v>
      </c>
      <c r="AG56" t="n">
        <v>455.9145673603505</v>
      </c>
      <c r="AH56" t="n">
        <v>455.9145673603505</v>
      </c>
      <c r="AI56" t="n">
        <v>455.9145673603505</v>
      </c>
      <c r="AJ56" t="n">
        <v>455.9145673603505</v>
      </c>
      <c r="AK56" t="n">
        <v>455.9145673603505</v>
      </c>
      <c r="AL56" t="n">
        <v>8228.360240963857</v>
      </c>
      <c r="AM56" t="n">
        <v>1761.639759036143</v>
      </c>
      <c r="AN56" t="inlineStr">
        <is>
          <t>SHORTAGE</t>
        </is>
      </c>
      <c r="AO56" t="n">
        <v>0</v>
      </c>
      <c r="AP56" t="inlineStr">
        <is>
          <t>WITHIN_HORIZON</t>
        </is>
      </c>
    </row>
    <row r="57">
      <c r="A57" t="inlineStr">
        <is>
          <t>E</t>
        </is>
      </c>
      <c r="B57" t="inlineStr">
        <is>
          <t>2026 Scooter ver</t>
        </is>
      </c>
      <c r="C57" t="inlineStr">
        <is>
          <t>Australia</t>
        </is>
      </c>
      <c r="D57" t="inlineStr">
        <is>
          <t>Outdoor &amp; Sports Toy</t>
        </is>
      </c>
      <c r="E57" t="inlineStr">
        <is>
          <t>789EF</t>
        </is>
      </c>
      <c r="F57" t="n">
        <v>3000</v>
      </c>
      <c r="G57" s="14" t="n">
        <v>46164</v>
      </c>
      <c r="H57" t="n">
        <v>698</v>
      </c>
      <c r="I57" s="14" t="n">
        <v>46150</v>
      </c>
      <c r="J57" s="14" t="n">
        <v>46157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139.6</v>
      </c>
      <c r="AH57" t="n">
        <v>139.6</v>
      </c>
      <c r="AI57" t="n">
        <v>139.6</v>
      </c>
      <c r="AJ57" t="n">
        <v>139.6</v>
      </c>
      <c r="AK57" t="n">
        <v>139.6</v>
      </c>
      <c r="AL57" t="n">
        <v>698</v>
      </c>
      <c r="AM57" t="n">
        <v>0</v>
      </c>
      <c r="AN57" t="inlineStr">
        <is>
          <t>OK</t>
        </is>
      </c>
      <c r="AO57" t="n">
        <v>0</v>
      </c>
      <c r="AP57" t="inlineStr">
        <is>
          <t>WITHIN_HORIZON</t>
        </is>
      </c>
    </row>
    <row r="58">
      <c r="A58" t="inlineStr">
        <is>
          <t>F</t>
        </is>
      </c>
      <c r="B58" t="inlineStr">
        <is>
          <t>2025 Fantasy Spaceship Model DIY kits</t>
        </is>
      </c>
      <c r="C58" t="inlineStr">
        <is>
          <t>US</t>
        </is>
      </c>
      <c r="D58" t="inlineStr">
        <is>
          <t>Arts &amp; Crafts Toy</t>
        </is>
      </c>
      <c r="E58" t="inlineStr">
        <is>
          <t>789EF</t>
        </is>
      </c>
      <c r="F58" t="n">
        <v>3000</v>
      </c>
      <c r="G58" s="14" t="n">
        <v>46164</v>
      </c>
      <c r="H58" t="n">
        <v>3802</v>
      </c>
      <c r="I58" s="14" t="n">
        <v>46150</v>
      </c>
      <c r="J58" s="14" t="n">
        <v>46157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500</v>
      </c>
      <c r="AH58" t="n">
        <v>500</v>
      </c>
      <c r="AI58" t="n">
        <v>500</v>
      </c>
      <c r="AJ58" t="n">
        <v>500</v>
      </c>
      <c r="AK58" t="n">
        <v>500</v>
      </c>
      <c r="AL58" t="n">
        <v>2500</v>
      </c>
      <c r="AM58" t="n">
        <v>1302</v>
      </c>
      <c r="AN58" t="inlineStr">
        <is>
          <t>SHORTAGE</t>
        </is>
      </c>
      <c r="AO58" t="n">
        <v>0</v>
      </c>
      <c r="AP58" t="inlineStr">
        <is>
          <t>WITHIN_HORIZON</t>
        </is>
      </c>
    </row>
    <row r="59">
      <c r="A59" t="inlineStr">
        <is>
          <t>A</t>
        </is>
      </c>
      <c r="B59" t="inlineStr">
        <is>
          <t>2026 Automatic Robot ver</t>
        </is>
      </c>
      <c r="C59" t="inlineStr">
        <is>
          <t>US</t>
        </is>
      </c>
      <c r="D59" t="inlineStr">
        <is>
          <t>Electronic Toy</t>
        </is>
      </c>
      <c r="E59" t="inlineStr">
        <is>
          <t>123AB</t>
        </is>
      </c>
      <c r="F59" t="n">
        <v>15000</v>
      </c>
      <c r="G59" s="14" t="n">
        <v>46171</v>
      </c>
      <c r="H59" t="n">
        <v>11000</v>
      </c>
      <c r="I59" s="14" t="n">
        <v>46157</v>
      </c>
      <c r="J59" s="14" t="n">
        <v>46164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11000</v>
      </c>
      <c r="AN59" t="inlineStr">
        <is>
          <t>OUT_OF_HORIZON</t>
        </is>
      </c>
      <c r="AO59" t="n">
        <v>0</v>
      </c>
      <c r="AP59" t="inlineStr">
        <is>
          <t>PARTIAL_HORIZON</t>
        </is>
      </c>
    </row>
    <row r="60">
      <c r="A60" t="inlineStr">
        <is>
          <t>B</t>
        </is>
      </c>
      <c r="B60" t="inlineStr">
        <is>
          <t>2025 Barbie ver colorful</t>
        </is>
      </c>
      <c r="C60" t="inlineStr">
        <is>
          <t>US</t>
        </is>
      </c>
      <c r="D60" t="inlineStr">
        <is>
          <t>Doll</t>
        </is>
      </c>
      <c r="E60" t="inlineStr">
        <is>
          <t>123AB</t>
        </is>
      </c>
      <c r="F60" t="n">
        <v>15000</v>
      </c>
      <c r="G60" s="14" t="n">
        <v>46171</v>
      </c>
      <c r="H60" t="n">
        <v>8865</v>
      </c>
      <c r="I60" s="14" t="n">
        <v>46157</v>
      </c>
      <c r="J60" s="14" t="n">
        <v>46164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303.1273938384679</v>
      </c>
      <c r="V60" t="n">
        <v>303.1273938384679</v>
      </c>
      <c r="W60" t="n">
        <v>303.1273938384679</v>
      </c>
      <c r="X60" t="n">
        <v>303.1273938384679</v>
      </c>
      <c r="Y60" t="n">
        <v>303.1273938384679</v>
      </c>
      <c r="Z60" t="n">
        <v>303.1273938384679</v>
      </c>
      <c r="AA60" t="n">
        <v>738.1348875936719</v>
      </c>
      <c r="AB60" t="n">
        <v>738.1348875936719</v>
      </c>
      <c r="AC60" t="n">
        <v>738.1348875936719</v>
      </c>
      <c r="AD60" t="n">
        <v>738.1348875936719</v>
      </c>
      <c r="AE60" t="n">
        <v>738.1348875936719</v>
      </c>
      <c r="AF60" t="n">
        <v>738.1348875936719</v>
      </c>
      <c r="AG60" t="n">
        <v>436.23771856786</v>
      </c>
      <c r="AH60" t="n">
        <v>436.23771856786</v>
      </c>
      <c r="AI60" t="n">
        <v>436.23771856786</v>
      </c>
      <c r="AJ60" t="n">
        <v>436.23771856786</v>
      </c>
      <c r="AK60" t="n">
        <v>436.2377185678602</v>
      </c>
      <c r="AL60" t="n">
        <v>8428.762281432138</v>
      </c>
      <c r="AM60" t="n">
        <v>436.2377185678615</v>
      </c>
      <c r="AN60" t="inlineStr">
        <is>
          <t>OUT_OF_HORIZON</t>
        </is>
      </c>
      <c r="AO60" t="n">
        <v>0</v>
      </c>
      <c r="AP60" t="inlineStr">
        <is>
          <t>PARTIAL_HORIZON</t>
        </is>
      </c>
    </row>
    <row r="61">
      <c r="A61" t="inlineStr">
        <is>
          <t>C</t>
        </is>
      </c>
      <c r="B61" t="inlineStr">
        <is>
          <t>2026 Castle &amp; Farm Blocks</t>
        </is>
      </c>
      <c r="C61" t="inlineStr">
        <is>
          <t>UK</t>
        </is>
      </c>
      <c r="D61" t="inlineStr">
        <is>
          <t>Building &amp; Construction Toy</t>
        </is>
      </c>
      <c r="E61" t="inlineStr">
        <is>
          <t>456CD</t>
        </is>
      </c>
      <c r="F61" t="n">
        <v>5000</v>
      </c>
      <c r="G61" s="14" t="n">
        <v>46171</v>
      </c>
      <c r="H61" t="n">
        <v>11782</v>
      </c>
      <c r="I61" s="14" t="n">
        <v>46157</v>
      </c>
      <c r="J61" s="14" t="n">
        <v>46164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11782</v>
      </c>
      <c r="AN61" t="inlineStr">
        <is>
          <t>OUT_OF_HORIZON</t>
        </is>
      </c>
      <c r="AO61" t="n">
        <v>0</v>
      </c>
      <c r="AP61" t="inlineStr">
        <is>
          <t>PARTIAL_HORIZON</t>
        </is>
      </c>
    </row>
    <row r="62">
      <c r="A62" t="inlineStr">
        <is>
          <t>D</t>
        </is>
      </c>
      <c r="B62" t="inlineStr">
        <is>
          <t>2026 Animal Animation Book</t>
        </is>
      </c>
      <c r="C62" t="inlineStr">
        <is>
          <t>UK</t>
        </is>
      </c>
      <c r="D62" t="inlineStr">
        <is>
          <t>Educational Toy</t>
        </is>
      </c>
      <c r="E62" t="inlineStr">
        <is>
          <t>456CD</t>
        </is>
      </c>
      <c r="F62" t="n">
        <v>5000</v>
      </c>
      <c r="G62" s="14" t="n">
        <v>46171</v>
      </c>
      <c r="H62" t="n">
        <v>5840</v>
      </c>
      <c r="I62" s="14" t="n">
        <v>46157</v>
      </c>
      <c r="J62" s="14" t="n">
        <v>46164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266.5206279664111</v>
      </c>
      <c r="AB62" t="n">
        <v>266.5206279664111</v>
      </c>
      <c r="AC62" t="n">
        <v>266.5206279664111</v>
      </c>
      <c r="AD62" t="n">
        <v>266.5206279664111</v>
      </c>
      <c r="AE62" t="n">
        <v>266.5206279664111</v>
      </c>
      <c r="AF62" t="n">
        <v>266.520627966411</v>
      </c>
      <c r="AG62" t="n">
        <v>266.5206279664111</v>
      </c>
      <c r="AH62" t="n">
        <v>266.5206279664111</v>
      </c>
      <c r="AI62" t="n">
        <v>266.5206279664111</v>
      </c>
      <c r="AJ62" t="n">
        <v>266.5206279664111</v>
      </c>
      <c r="AK62" t="n">
        <v>266.5206279664112</v>
      </c>
      <c r="AL62" t="n">
        <v>2931.726907630522</v>
      </c>
      <c r="AM62" t="n">
        <v>2908.273092369478</v>
      </c>
      <c r="AN62" t="inlineStr">
        <is>
          <t>OUT_OF_HORIZON</t>
        </is>
      </c>
      <c r="AO62" t="n">
        <v>0</v>
      </c>
      <c r="AP62" t="inlineStr">
        <is>
          <t>PARTIAL_HORIZON</t>
        </is>
      </c>
    </row>
    <row r="63">
      <c r="A63" t="inlineStr">
        <is>
          <t>F</t>
        </is>
      </c>
      <c r="B63" t="inlineStr">
        <is>
          <t>2025 Fantasy Spaceship Model DIY kits</t>
        </is>
      </c>
      <c r="C63" t="inlineStr">
        <is>
          <t>US</t>
        </is>
      </c>
      <c r="D63" t="inlineStr">
        <is>
          <t>Arts &amp; Crafts Toy</t>
        </is>
      </c>
      <c r="E63" t="inlineStr">
        <is>
          <t>789EF</t>
        </is>
      </c>
      <c r="F63" t="n">
        <v>3000</v>
      </c>
      <c r="G63" s="14" t="n">
        <v>46171</v>
      </c>
      <c r="H63" t="n">
        <v>4500</v>
      </c>
      <c r="I63" s="14" t="n">
        <v>46157</v>
      </c>
      <c r="J63" s="14" t="n">
        <v>46164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4500</v>
      </c>
      <c r="AN63" t="inlineStr">
        <is>
          <t>OUT_OF_HORIZON</t>
        </is>
      </c>
      <c r="AO63" t="n">
        <v>0</v>
      </c>
      <c r="AP63" t="inlineStr">
        <is>
          <t>PARTIAL_HORIZON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8" customWidth="1" min="4" max="4"/>
    <col width="15" customWidth="1" min="5" max="5"/>
    <col width="19" customWidth="1" min="6" max="6"/>
    <col width="14" customWidth="1" min="7" max="7"/>
    <col width="19" customWidth="1" min="8" max="8"/>
    <col width="15" customWidth="1" min="9" max="9"/>
    <col width="21" customWidth="1" min="10" max="10"/>
    <col width="16" customWidth="1" min="11" max="11"/>
    <col width="11" customWidth="1" min="12" max="12"/>
    <col width="10" customWidth="1" min="13" max="13"/>
    <col width="22" customWidth="1" min="14" max="14"/>
    <col width="22" customWidth="1" min="15" max="15"/>
  </cols>
  <sheetData>
    <row r="1">
      <c r="A1" s="1" t="inlineStr">
        <is>
          <t>SKU</t>
        </is>
      </c>
      <c r="B1" s="1" t="inlineStr">
        <is>
          <t>Fixture</t>
        </is>
      </c>
      <c r="C1" s="1" t="inlineStr">
        <is>
          <t>Week</t>
        </is>
      </c>
      <c r="D1" s="1" t="inlineStr">
        <is>
          <t>Weekly Capacity</t>
        </is>
      </c>
      <c r="E1" s="1" t="inlineStr">
        <is>
          <t>Total Demand</t>
        </is>
      </c>
      <c r="F1" s="1" t="inlineStr">
        <is>
          <t>Beginning FG Inv</t>
        </is>
      </c>
      <c r="G1" s="1" t="inlineStr">
        <is>
          <t>Storage Cap</t>
        </is>
      </c>
      <c r="H1" s="1" t="inlineStr">
        <is>
          <t>Carryover Needed</t>
        </is>
      </c>
      <c r="I1" s="1" t="inlineStr">
        <is>
          <t>Net Required</t>
        </is>
      </c>
      <c r="J1" s="1" t="inlineStr">
        <is>
          <t>Planned Production</t>
        </is>
      </c>
      <c r="K1" s="1" t="inlineStr">
        <is>
          <t>Ending FG Inv</t>
        </is>
      </c>
      <c r="L1" s="1" t="inlineStr">
        <is>
          <t>Shortage</t>
        </is>
      </c>
      <c r="M1" s="1" t="inlineStr">
        <is>
          <t>ATP</t>
        </is>
      </c>
      <c r="N1" s="1" t="inlineStr">
        <is>
          <t>Capacity Load %</t>
        </is>
      </c>
      <c r="O1" s="1" t="inlineStr">
        <is>
          <t>Planner Note</t>
        </is>
      </c>
    </row>
    <row r="2">
      <c r="A2" s="2" t="inlineStr">
        <is>
          <t>A</t>
        </is>
      </c>
      <c r="B2" s="2" t="inlineStr">
        <is>
          <t>123AB</t>
        </is>
      </c>
      <c r="C2" s="7" t="n">
        <v>46125</v>
      </c>
      <c r="D2" s="2" t="n">
        <v>15000</v>
      </c>
      <c r="E2" s="2" t="n">
        <v>0</v>
      </c>
      <c r="F2" s="2" t="n">
        <v>0</v>
      </c>
      <c r="G2" s="2" t="n">
        <v>15000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15" t="n">
        <v>0</v>
      </c>
      <c r="O2" s="2" t="inlineStr">
        <is>
          <t>PCBA limited - air only</t>
        </is>
      </c>
    </row>
    <row r="3">
      <c r="A3" s="2" t="inlineStr">
        <is>
          <t>A</t>
        </is>
      </c>
      <c r="B3" s="2" t="inlineStr">
        <is>
          <t>123AB</t>
        </is>
      </c>
      <c r="C3" s="7" t="n">
        <v>46132</v>
      </c>
      <c r="D3" s="2" t="n">
        <v>15000</v>
      </c>
      <c r="E3" s="2" t="n">
        <v>0</v>
      </c>
      <c r="F3" s="2" t="n">
        <v>0</v>
      </c>
      <c r="G3" s="2" t="n">
        <v>15000</v>
      </c>
      <c r="H3" s="2" t="n">
        <v>0</v>
      </c>
      <c r="I3" s="2" t="n">
        <v>0</v>
      </c>
      <c r="J3" s="2" t="n">
        <v>5510</v>
      </c>
      <c r="K3" s="2" t="n">
        <v>5510</v>
      </c>
      <c r="L3" s="2" t="n">
        <v>0</v>
      </c>
      <c r="M3" s="2" t="n">
        <v>5510</v>
      </c>
      <c r="N3" s="15" t="n">
        <v>0.3673333333333333</v>
      </c>
      <c r="O3" s="2" t="inlineStr">
        <is>
          <t>PCBA limited - air only</t>
        </is>
      </c>
    </row>
    <row r="4">
      <c r="A4" s="2" t="inlineStr">
        <is>
          <t>A</t>
        </is>
      </c>
      <c r="B4" s="2" t="inlineStr">
        <is>
          <t>123AB</t>
        </is>
      </c>
      <c r="C4" s="7" t="n">
        <v>46139</v>
      </c>
      <c r="D4" s="2" t="n">
        <v>15000</v>
      </c>
      <c r="E4" s="2" t="n">
        <v>684</v>
      </c>
      <c r="F4" s="2" t="n">
        <v>5510</v>
      </c>
      <c r="G4" s="2" t="n">
        <v>15000</v>
      </c>
      <c r="H4" s="2" t="n">
        <v>4826</v>
      </c>
      <c r="I4" s="2" t="n">
        <v>0</v>
      </c>
      <c r="J4" s="2" t="n">
        <v>7000</v>
      </c>
      <c r="K4" s="2" t="n">
        <v>11826</v>
      </c>
      <c r="L4" s="2" t="n">
        <v>0</v>
      </c>
      <c r="M4" s="2" t="n">
        <v>11826</v>
      </c>
      <c r="N4" s="15" t="n">
        <v>0.4666666666666667</v>
      </c>
      <c r="O4" s="2" t="inlineStr">
        <is>
          <t>PCBA limited - air only</t>
        </is>
      </c>
    </row>
    <row r="5">
      <c r="A5" s="2" t="inlineStr">
        <is>
          <t>A</t>
        </is>
      </c>
      <c r="B5" s="2" t="inlineStr">
        <is>
          <t>123AB</t>
        </is>
      </c>
      <c r="C5" s="7" t="n">
        <v>46146</v>
      </c>
      <c r="D5" s="2" t="n">
        <v>15000</v>
      </c>
      <c r="E5" s="2" t="n">
        <v>20000</v>
      </c>
      <c r="F5" s="2" t="n">
        <v>11826</v>
      </c>
      <c r="G5" s="2" t="n">
        <v>15000</v>
      </c>
      <c r="H5" s="2" t="n">
        <v>0</v>
      </c>
      <c r="I5" s="2" t="n">
        <v>8174</v>
      </c>
      <c r="J5" s="2" t="n">
        <v>15000</v>
      </c>
      <c r="K5" s="2" t="n">
        <v>6826</v>
      </c>
      <c r="L5" s="2" t="n">
        <v>0</v>
      </c>
      <c r="M5" s="2" t="n">
        <v>6826</v>
      </c>
      <c r="N5" s="15" t="n">
        <v>1</v>
      </c>
      <c r="O5" s="2" t="inlineStr">
        <is>
          <t>PCBA reflash available</t>
        </is>
      </c>
    </row>
    <row r="6">
      <c r="A6" s="2" t="inlineStr">
        <is>
          <t>A</t>
        </is>
      </c>
      <c r="B6" s="2" t="inlineStr">
        <is>
          <t>123AB</t>
        </is>
      </c>
      <c r="C6" s="7" t="n">
        <v>46153</v>
      </c>
      <c r="D6" s="2" t="n">
        <v>15000</v>
      </c>
      <c r="E6" s="2" t="n">
        <v>20000</v>
      </c>
      <c r="F6" s="2" t="n">
        <v>6826</v>
      </c>
      <c r="G6" s="2" t="n">
        <v>15000</v>
      </c>
      <c r="H6" s="2" t="n">
        <v>0</v>
      </c>
      <c r="I6" s="2" t="n">
        <v>13174</v>
      </c>
      <c r="J6" s="2" t="n">
        <v>12500</v>
      </c>
      <c r="K6" s="2" t="n">
        <v>0</v>
      </c>
      <c r="L6" s="8" t="n">
        <v>674</v>
      </c>
      <c r="M6" s="2" t="n">
        <v>0</v>
      </c>
      <c r="N6" s="15" t="n">
        <v>0.8333333333333334</v>
      </c>
      <c r="O6" s="2" t="inlineStr">
        <is>
          <t>SHORTAGE: 674</t>
        </is>
      </c>
    </row>
    <row r="7">
      <c r="A7" s="2" t="inlineStr">
        <is>
          <t>B</t>
        </is>
      </c>
      <c r="B7" s="2" t="inlineStr">
        <is>
          <t>123AB</t>
        </is>
      </c>
      <c r="C7" s="7" t="n">
        <v>46125</v>
      </c>
      <c r="D7" s="2" t="n">
        <v>15000</v>
      </c>
      <c r="E7" s="2" t="n">
        <v>0</v>
      </c>
      <c r="F7" s="2" t="n">
        <v>0</v>
      </c>
      <c r="G7" s="2" t="n">
        <v>15000</v>
      </c>
      <c r="H7" s="2" t="n">
        <v>0</v>
      </c>
      <c r="I7" s="2" t="n">
        <v>0</v>
      </c>
      <c r="J7" s="2" t="n">
        <v>10000</v>
      </c>
      <c r="K7" s="2" t="n">
        <v>10000</v>
      </c>
      <c r="L7" s="2" t="n">
        <v>0</v>
      </c>
      <c r="M7" s="2" t="n">
        <v>10000</v>
      </c>
      <c r="N7" s="15" t="n">
        <v>0.6666666666666666</v>
      </c>
      <c r="O7" s="2" t="inlineStr"/>
    </row>
    <row r="8">
      <c r="A8" s="2" t="inlineStr">
        <is>
          <t>B</t>
        </is>
      </c>
      <c r="B8" s="2" t="inlineStr">
        <is>
          <t>123AB</t>
        </is>
      </c>
      <c r="C8" s="7" t="n">
        <v>46132</v>
      </c>
      <c r="D8" s="2" t="n">
        <v>15000</v>
      </c>
      <c r="E8" s="2" t="n">
        <v>0</v>
      </c>
      <c r="F8" s="2" t="n">
        <v>10000</v>
      </c>
      <c r="G8" s="2" t="n">
        <v>15000</v>
      </c>
      <c r="H8" s="2" t="n">
        <v>10000</v>
      </c>
      <c r="I8" s="2" t="n">
        <v>0</v>
      </c>
      <c r="J8" s="2" t="n">
        <v>9490</v>
      </c>
      <c r="K8" s="2" t="n">
        <v>19490</v>
      </c>
      <c r="L8" s="2" t="n">
        <v>0</v>
      </c>
      <c r="M8" s="2" t="n">
        <v>19490</v>
      </c>
      <c r="N8" s="15" t="n">
        <v>0.6326666666666667</v>
      </c>
      <c r="O8" s="2" t="inlineStr"/>
    </row>
    <row r="9">
      <c r="A9" s="2" t="inlineStr">
        <is>
          <t>B</t>
        </is>
      </c>
      <c r="B9" s="2" t="inlineStr">
        <is>
          <t>123AB</t>
        </is>
      </c>
      <c r="C9" s="7" t="n">
        <v>46139</v>
      </c>
      <c r="D9" s="2" t="n">
        <v>15000</v>
      </c>
      <c r="E9" s="2" t="n">
        <v>0</v>
      </c>
      <c r="F9" s="2" t="n">
        <v>19490</v>
      </c>
      <c r="G9" s="2" t="n">
        <v>15000</v>
      </c>
      <c r="H9" s="2" t="n">
        <v>19490</v>
      </c>
      <c r="I9" s="2" t="n">
        <v>0</v>
      </c>
      <c r="J9" s="2" t="n">
        <v>8000</v>
      </c>
      <c r="K9" s="2" t="n">
        <v>27490</v>
      </c>
      <c r="L9" s="2" t="n">
        <v>0</v>
      </c>
      <c r="M9" s="2" t="n">
        <v>27490</v>
      </c>
      <c r="N9" s="15" t="n">
        <v>0.5333333333333333</v>
      </c>
      <c r="O9" s="2" t="inlineStr"/>
    </row>
    <row r="10">
      <c r="A10" s="2" t="inlineStr">
        <is>
          <t>B</t>
        </is>
      </c>
      <c r="B10" s="2" t="inlineStr">
        <is>
          <t>123AB</t>
        </is>
      </c>
      <c r="C10" s="7" t="n">
        <v>46146</v>
      </c>
      <c r="D10" s="2" t="n">
        <v>15000</v>
      </c>
      <c r="E10" s="2" t="n">
        <v>5502</v>
      </c>
      <c r="F10" s="2" t="n">
        <v>27490</v>
      </c>
      <c r="G10" s="2" t="n">
        <v>15000</v>
      </c>
      <c r="H10" s="2" t="n">
        <v>21988</v>
      </c>
      <c r="I10" s="2" t="n">
        <v>0</v>
      </c>
      <c r="J10" s="2" t="n">
        <v>0</v>
      </c>
      <c r="K10" s="2" t="n">
        <v>21988</v>
      </c>
      <c r="L10" s="2" t="n">
        <v>0</v>
      </c>
      <c r="M10" s="2" t="n">
        <v>21988</v>
      </c>
      <c r="N10" s="15" t="n">
        <v>0</v>
      </c>
      <c r="O10" s="2" t="inlineStr"/>
    </row>
    <row r="11">
      <c r="A11" s="2" t="inlineStr">
        <is>
          <t>B</t>
        </is>
      </c>
      <c r="B11" s="2" t="inlineStr">
        <is>
          <t>123AB</t>
        </is>
      </c>
      <c r="C11" s="7" t="n">
        <v>46153</v>
      </c>
      <c r="D11" s="2" t="n">
        <v>15000</v>
      </c>
      <c r="E11" s="2" t="n">
        <v>15658</v>
      </c>
      <c r="F11" s="2" t="n">
        <v>21988</v>
      </c>
      <c r="G11" s="2" t="n">
        <v>15000</v>
      </c>
      <c r="H11" s="2" t="n">
        <v>6330</v>
      </c>
      <c r="I11" s="2" t="n">
        <v>0</v>
      </c>
      <c r="J11" s="2" t="n">
        <v>0</v>
      </c>
      <c r="K11" s="2" t="n">
        <v>6330</v>
      </c>
      <c r="L11" s="2" t="n">
        <v>0</v>
      </c>
      <c r="M11" s="2" t="n">
        <v>6330</v>
      </c>
      <c r="N11" s="15" t="n">
        <v>0</v>
      </c>
      <c r="O11" s="2" t="inlineStr"/>
    </row>
    <row r="12">
      <c r="A12" s="2" t="inlineStr">
        <is>
          <t>C</t>
        </is>
      </c>
      <c r="B12" s="2" t="inlineStr">
        <is>
          <t>456CD</t>
        </is>
      </c>
      <c r="C12" s="7" t="n">
        <v>46125</v>
      </c>
      <c r="D12" s="2" t="n">
        <v>5000</v>
      </c>
      <c r="E12" s="2" t="n">
        <v>0</v>
      </c>
      <c r="F12" s="2" t="n">
        <v>0</v>
      </c>
      <c r="G12" s="2" t="n">
        <v>5000</v>
      </c>
      <c r="H12" s="2" t="n">
        <v>0</v>
      </c>
      <c r="I12" s="2" t="n">
        <v>0</v>
      </c>
      <c r="J12" s="2" t="n">
        <v>3332</v>
      </c>
      <c r="K12" s="2" t="n">
        <v>3332</v>
      </c>
      <c r="L12" s="2" t="n">
        <v>0</v>
      </c>
      <c r="M12" s="2" t="n">
        <v>3332</v>
      </c>
      <c r="N12" s="15" t="n">
        <v>0.6664</v>
      </c>
      <c r="O12" s="2" t="inlineStr"/>
    </row>
    <row r="13">
      <c r="A13" s="2" t="inlineStr">
        <is>
          <t>C</t>
        </is>
      </c>
      <c r="B13" s="2" t="inlineStr">
        <is>
          <t>456CD</t>
        </is>
      </c>
      <c r="C13" s="7" t="n">
        <v>46132</v>
      </c>
      <c r="D13" s="2" t="n">
        <v>5000</v>
      </c>
      <c r="E13" s="2" t="n">
        <v>0</v>
      </c>
      <c r="F13" s="2" t="n">
        <v>3332</v>
      </c>
      <c r="G13" s="2" t="n">
        <v>5000</v>
      </c>
      <c r="H13" s="2" t="n">
        <v>3332</v>
      </c>
      <c r="I13" s="2" t="n">
        <v>0</v>
      </c>
      <c r="J13" s="2" t="n">
        <v>4998</v>
      </c>
      <c r="K13" s="2" t="n">
        <v>8330</v>
      </c>
      <c r="L13" s="2" t="n">
        <v>0</v>
      </c>
      <c r="M13" s="2" t="n">
        <v>8330</v>
      </c>
      <c r="N13" s="15" t="n">
        <v>0.9996</v>
      </c>
      <c r="O13" s="2" t="inlineStr"/>
    </row>
    <row r="14">
      <c r="A14" s="2" t="inlineStr">
        <is>
          <t>C</t>
        </is>
      </c>
      <c r="B14" s="2" t="inlineStr">
        <is>
          <t>456CD</t>
        </is>
      </c>
      <c r="C14" s="7" t="n">
        <v>46139</v>
      </c>
      <c r="D14" s="2" t="n">
        <v>5000</v>
      </c>
      <c r="E14" s="2" t="n">
        <v>0</v>
      </c>
      <c r="F14" s="2" t="n">
        <v>8330</v>
      </c>
      <c r="G14" s="2" t="n">
        <v>5000</v>
      </c>
      <c r="H14" s="2" t="n">
        <v>8330</v>
      </c>
      <c r="I14" s="2" t="n">
        <v>0</v>
      </c>
      <c r="J14" s="2" t="n">
        <v>4998</v>
      </c>
      <c r="K14" s="2" t="n">
        <v>13328</v>
      </c>
      <c r="L14" s="2" t="n">
        <v>0</v>
      </c>
      <c r="M14" s="2" t="n">
        <v>13328</v>
      </c>
      <c r="N14" s="15" t="n">
        <v>0.9996</v>
      </c>
      <c r="O14" s="2" t="inlineStr"/>
    </row>
    <row r="15">
      <c r="A15" s="2" t="inlineStr">
        <is>
          <t>C</t>
        </is>
      </c>
      <c r="B15" s="2" t="inlineStr">
        <is>
          <t>456CD</t>
        </is>
      </c>
      <c r="C15" s="7" t="n">
        <v>46146</v>
      </c>
      <c r="D15" s="2" t="n">
        <v>5000</v>
      </c>
      <c r="E15" s="2" t="n">
        <v>4320</v>
      </c>
      <c r="F15" s="2" t="n">
        <v>13328</v>
      </c>
      <c r="G15" s="2" t="n">
        <v>5000</v>
      </c>
      <c r="H15" s="2" t="n">
        <v>9008</v>
      </c>
      <c r="I15" s="2" t="n">
        <v>0</v>
      </c>
      <c r="J15" s="2" t="n">
        <v>4998</v>
      </c>
      <c r="K15" s="2" t="n">
        <v>14006</v>
      </c>
      <c r="L15" s="2" t="n">
        <v>0</v>
      </c>
      <c r="M15" s="2" t="n">
        <v>14006</v>
      </c>
      <c r="N15" s="15" t="n">
        <v>0.9996</v>
      </c>
      <c r="O15" s="2" t="inlineStr"/>
    </row>
    <row r="16">
      <c r="A16" s="2" t="inlineStr">
        <is>
          <t>C</t>
        </is>
      </c>
      <c r="B16" s="2" t="inlineStr">
        <is>
          <t>456CD</t>
        </is>
      </c>
      <c r="C16" s="7" t="n">
        <v>46153</v>
      </c>
      <c r="D16" s="2" t="n">
        <v>5000</v>
      </c>
      <c r="E16" s="2" t="n">
        <v>8370</v>
      </c>
      <c r="F16" s="2" t="n">
        <v>14006</v>
      </c>
      <c r="G16" s="2" t="n">
        <v>5000</v>
      </c>
      <c r="H16" s="2" t="n">
        <v>5636</v>
      </c>
      <c r="I16" s="2" t="n">
        <v>0</v>
      </c>
      <c r="J16" s="2" t="n">
        <v>4165</v>
      </c>
      <c r="K16" s="2" t="n">
        <v>9801</v>
      </c>
      <c r="L16" s="2" t="n">
        <v>0</v>
      </c>
      <c r="M16" s="2" t="n">
        <v>9801</v>
      </c>
      <c r="N16" s="15" t="n">
        <v>0.833</v>
      </c>
      <c r="O16" s="2" t="inlineStr"/>
    </row>
    <row r="17">
      <c r="A17" s="2" t="inlineStr">
        <is>
          <t>D</t>
        </is>
      </c>
      <c r="B17" s="2" t="inlineStr">
        <is>
          <t>456CD</t>
        </is>
      </c>
      <c r="C17" s="7" t="n">
        <v>46125</v>
      </c>
      <c r="D17" s="2" t="n">
        <v>5000</v>
      </c>
      <c r="E17" s="2" t="n">
        <v>0</v>
      </c>
      <c r="F17" s="2" t="n">
        <v>0</v>
      </c>
      <c r="G17" s="2" t="n">
        <v>5000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15" t="n">
        <v>0</v>
      </c>
      <c r="O17" s="2" t="inlineStr"/>
    </row>
    <row r="18">
      <c r="A18" s="2" t="inlineStr">
        <is>
          <t>D</t>
        </is>
      </c>
      <c r="B18" s="2" t="inlineStr">
        <is>
          <t>456CD</t>
        </is>
      </c>
      <c r="C18" s="7" t="n">
        <v>46132</v>
      </c>
      <c r="D18" s="2" t="n">
        <v>5000</v>
      </c>
      <c r="E18" s="2" t="n">
        <v>0</v>
      </c>
      <c r="F18" s="2" t="n">
        <v>0</v>
      </c>
      <c r="G18" s="2" t="n">
        <v>5000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15" t="n">
        <v>0</v>
      </c>
      <c r="O18" s="2" t="inlineStr"/>
    </row>
    <row r="19">
      <c r="A19" s="2" t="inlineStr">
        <is>
          <t>D</t>
        </is>
      </c>
      <c r="B19" s="2" t="inlineStr">
        <is>
          <t>456CD</t>
        </is>
      </c>
      <c r="C19" s="7" t="n">
        <v>46139</v>
      </c>
      <c r="D19" s="2" t="n">
        <v>5000</v>
      </c>
      <c r="E19" s="2" t="n">
        <v>0</v>
      </c>
      <c r="F19" s="2" t="n">
        <v>0</v>
      </c>
      <c r="G19" s="2" t="n">
        <v>5000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15" t="n">
        <v>0</v>
      </c>
      <c r="O19" s="2" t="inlineStr"/>
    </row>
    <row r="20">
      <c r="A20" s="2" t="inlineStr">
        <is>
          <t>D</t>
        </is>
      </c>
      <c r="B20" s="2" t="inlineStr">
        <is>
          <t>456CD</t>
        </is>
      </c>
      <c r="C20" s="7" t="n">
        <v>46146</v>
      </c>
      <c r="D20" s="2" t="n">
        <v>5000</v>
      </c>
      <c r="E20" s="2" t="n">
        <v>2430</v>
      </c>
      <c r="F20" s="2" t="n">
        <v>0</v>
      </c>
      <c r="G20" s="2" t="n">
        <v>5000</v>
      </c>
      <c r="H20" s="2" t="n">
        <v>0</v>
      </c>
      <c r="I20" s="2" t="n">
        <v>2430</v>
      </c>
      <c r="J20" s="2" t="n">
        <v>0</v>
      </c>
      <c r="K20" s="2" t="n">
        <v>0</v>
      </c>
      <c r="L20" s="8" t="n">
        <v>2430</v>
      </c>
      <c r="M20" s="2" t="n">
        <v>0</v>
      </c>
      <c r="N20" s="15" t="n">
        <v>0</v>
      </c>
      <c r="O20" s="2" t="inlineStr">
        <is>
          <t>SHORTAGE: 2,430</t>
        </is>
      </c>
    </row>
    <row r="21">
      <c r="A21" s="2" t="inlineStr">
        <is>
          <t>D</t>
        </is>
      </c>
      <c r="B21" s="2" t="inlineStr">
        <is>
          <t>456CD</t>
        </is>
      </c>
      <c r="C21" s="7" t="n">
        <v>46153</v>
      </c>
      <c r="D21" s="2" t="n">
        <v>5000</v>
      </c>
      <c r="E21" s="2" t="n">
        <v>9990</v>
      </c>
      <c r="F21" s="2" t="n">
        <v>0</v>
      </c>
      <c r="G21" s="2" t="n">
        <v>5000</v>
      </c>
      <c r="H21" s="2" t="n">
        <v>0</v>
      </c>
      <c r="I21" s="2" t="n">
        <v>9990</v>
      </c>
      <c r="J21" s="2" t="n">
        <v>0</v>
      </c>
      <c r="K21" s="2" t="n">
        <v>0</v>
      </c>
      <c r="L21" s="8" t="n">
        <v>9990</v>
      </c>
      <c r="M21" s="2" t="n">
        <v>0</v>
      </c>
      <c r="N21" s="15" t="n">
        <v>0</v>
      </c>
      <c r="O21" s="2" t="inlineStr">
        <is>
          <t>SHORTAGE: 9,990</t>
        </is>
      </c>
    </row>
    <row r="22">
      <c r="A22" s="2" t="inlineStr">
        <is>
          <t>E</t>
        </is>
      </c>
      <c r="B22" s="2" t="inlineStr">
        <is>
          <t>789EF</t>
        </is>
      </c>
      <c r="C22" s="7" t="n">
        <v>46125</v>
      </c>
      <c r="D22" s="2" t="n">
        <v>3000</v>
      </c>
      <c r="E22" s="2" t="n">
        <v>0</v>
      </c>
      <c r="F22" s="2" t="n">
        <v>0</v>
      </c>
      <c r="G22" s="2" t="n">
        <v>3000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15" t="n">
        <v>0</v>
      </c>
      <c r="O22" s="2" t="inlineStr"/>
    </row>
    <row r="23">
      <c r="A23" s="2" t="inlineStr">
        <is>
          <t>E</t>
        </is>
      </c>
      <c r="B23" s="2" t="inlineStr">
        <is>
          <t>789EF</t>
        </is>
      </c>
      <c r="C23" s="7" t="n">
        <v>46132</v>
      </c>
      <c r="D23" s="2" t="n">
        <v>3000</v>
      </c>
      <c r="E23" s="2" t="n">
        <v>0</v>
      </c>
      <c r="F23" s="2" t="n">
        <v>0</v>
      </c>
      <c r="G23" s="2" t="n">
        <v>3000</v>
      </c>
      <c r="H23" s="2" t="n">
        <v>0</v>
      </c>
      <c r="I23" s="2" t="n">
        <v>0</v>
      </c>
      <c r="J23" s="2" t="n">
        <v>500</v>
      </c>
      <c r="K23" s="2" t="n">
        <v>500</v>
      </c>
      <c r="L23" s="2" t="n">
        <v>0</v>
      </c>
      <c r="M23" s="2" t="n">
        <v>500</v>
      </c>
      <c r="N23" s="15" t="n">
        <v>0.1666666666666667</v>
      </c>
      <c r="O23" s="2" t="inlineStr"/>
    </row>
    <row r="24">
      <c r="A24" s="2" t="inlineStr">
        <is>
          <t>E</t>
        </is>
      </c>
      <c r="B24" s="2" t="inlineStr">
        <is>
          <t>789EF</t>
        </is>
      </c>
      <c r="C24" s="7" t="n">
        <v>46139</v>
      </c>
      <c r="D24" s="2" t="n">
        <v>3000</v>
      </c>
      <c r="E24" s="2" t="n">
        <v>472</v>
      </c>
      <c r="F24" s="2" t="n">
        <v>500</v>
      </c>
      <c r="G24" s="2" t="n">
        <v>3000</v>
      </c>
      <c r="H24" s="2" t="n">
        <v>28</v>
      </c>
      <c r="I24" s="2" t="n">
        <v>0</v>
      </c>
      <c r="J24" s="2" t="n">
        <v>970</v>
      </c>
      <c r="K24" s="2" t="n">
        <v>998</v>
      </c>
      <c r="L24" s="2" t="n">
        <v>0</v>
      </c>
      <c r="M24" s="2" t="n">
        <v>998</v>
      </c>
      <c r="N24" s="15" t="n">
        <v>0.3233333333333333</v>
      </c>
      <c r="O24" s="2" t="inlineStr"/>
    </row>
    <row r="25">
      <c r="A25" s="2" t="inlineStr">
        <is>
          <t>E</t>
        </is>
      </c>
      <c r="B25" s="2" t="inlineStr">
        <is>
          <t>789EF</t>
        </is>
      </c>
      <c r="C25" s="7" t="n">
        <v>46146</v>
      </c>
      <c r="D25" s="2" t="n">
        <v>3000</v>
      </c>
      <c r="E25" s="2" t="n">
        <v>300</v>
      </c>
      <c r="F25" s="2" t="n">
        <v>998</v>
      </c>
      <c r="G25" s="2" t="n">
        <v>3000</v>
      </c>
      <c r="H25" s="2" t="n">
        <v>698</v>
      </c>
      <c r="I25" s="2" t="n">
        <v>0</v>
      </c>
      <c r="J25" s="2" t="n">
        <v>0</v>
      </c>
      <c r="K25" s="2" t="n">
        <v>698</v>
      </c>
      <c r="L25" s="2" t="n">
        <v>0</v>
      </c>
      <c r="M25" s="2" t="n">
        <v>698</v>
      </c>
      <c r="N25" s="15" t="n">
        <v>0</v>
      </c>
      <c r="O25" s="2" t="inlineStr"/>
    </row>
    <row r="26">
      <c r="A26" s="2" t="inlineStr">
        <is>
          <t>E</t>
        </is>
      </c>
      <c r="B26" s="2" t="inlineStr">
        <is>
          <t>789EF</t>
        </is>
      </c>
      <c r="C26" s="7" t="n">
        <v>46153</v>
      </c>
      <c r="D26" s="2" t="n">
        <v>3000</v>
      </c>
      <c r="E26" s="2" t="n">
        <v>698</v>
      </c>
      <c r="F26" s="2" t="n">
        <v>698</v>
      </c>
      <c r="G26" s="2" t="n">
        <v>3000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15" t="n">
        <v>0</v>
      </c>
      <c r="O26" s="2" t="inlineStr"/>
    </row>
    <row r="27">
      <c r="A27" s="2" t="inlineStr">
        <is>
          <t>F</t>
        </is>
      </c>
      <c r="B27" s="2" t="inlineStr">
        <is>
          <t>789EF</t>
        </is>
      </c>
      <c r="C27" s="7" t="n">
        <v>46125</v>
      </c>
      <c r="D27" s="2" t="n">
        <v>3000</v>
      </c>
      <c r="E27" s="2" t="n">
        <v>0</v>
      </c>
      <c r="F27" s="2" t="n">
        <v>0</v>
      </c>
      <c r="G27" s="2" t="n">
        <v>3000</v>
      </c>
      <c r="H27" s="2" t="n">
        <v>0</v>
      </c>
      <c r="I27" s="2" t="n">
        <v>0</v>
      </c>
      <c r="J27" s="2" t="n">
        <v>2000</v>
      </c>
      <c r="K27" s="2" t="n">
        <v>2000</v>
      </c>
      <c r="L27" s="2" t="n">
        <v>0</v>
      </c>
      <c r="M27" s="2" t="n">
        <v>2000</v>
      </c>
      <c r="N27" s="15" t="n">
        <v>0.6666666666666666</v>
      </c>
      <c r="O27" s="2" t="inlineStr"/>
    </row>
    <row r="28">
      <c r="A28" s="2" t="inlineStr">
        <is>
          <t>F</t>
        </is>
      </c>
      <c r="B28" s="2" t="inlineStr">
        <is>
          <t>789EF</t>
        </is>
      </c>
      <c r="C28" s="7" t="n">
        <v>46132</v>
      </c>
      <c r="D28" s="2" t="n">
        <v>3000</v>
      </c>
      <c r="E28" s="2" t="n">
        <v>588</v>
      </c>
      <c r="F28" s="2" t="n">
        <v>2000</v>
      </c>
      <c r="G28" s="2" t="n">
        <v>3000</v>
      </c>
      <c r="H28" s="2" t="n">
        <v>1412</v>
      </c>
      <c r="I28" s="2" t="n">
        <v>0</v>
      </c>
      <c r="J28" s="2" t="n">
        <v>2500</v>
      </c>
      <c r="K28" s="2" t="n">
        <v>3912</v>
      </c>
      <c r="L28" s="2" t="n">
        <v>0</v>
      </c>
      <c r="M28" s="2" t="n">
        <v>3912</v>
      </c>
      <c r="N28" s="15" t="n">
        <v>0.8333333333333334</v>
      </c>
      <c r="O28" s="2" t="inlineStr"/>
    </row>
    <row r="29">
      <c r="A29" s="2" t="inlineStr">
        <is>
          <t>F</t>
        </is>
      </c>
      <c r="B29" s="2" t="inlineStr">
        <is>
          <t>789EF</t>
        </is>
      </c>
      <c r="C29" s="7" t="n">
        <v>46139</v>
      </c>
      <c r="D29" s="2" t="n">
        <v>3000</v>
      </c>
      <c r="E29" s="2" t="n">
        <v>4028</v>
      </c>
      <c r="F29" s="2" t="n">
        <v>3912</v>
      </c>
      <c r="G29" s="2" t="n">
        <v>3000</v>
      </c>
      <c r="H29" s="2" t="n">
        <v>0</v>
      </c>
      <c r="I29" s="2" t="n">
        <v>116</v>
      </c>
      <c r="J29" s="2" t="n">
        <v>2030</v>
      </c>
      <c r="K29" s="2" t="n">
        <v>1914</v>
      </c>
      <c r="L29" s="2" t="n">
        <v>0</v>
      </c>
      <c r="M29" s="2" t="n">
        <v>1914</v>
      </c>
      <c r="N29" s="15" t="n">
        <v>0.6766666666666666</v>
      </c>
      <c r="O29" s="2" t="inlineStr"/>
    </row>
    <row r="30">
      <c r="A30" s="2" t="inlineStr">
        <is>
          <t>F</t>
        </is>
      </c>
      <c r="B30" s="2" t="inlineStr">
        <is>
          <t>789EF</t>
        </is>
      </c>
      <c r="C30" s="7" t="n">
        <v>46146</v>
      </c>
      <c r="D30" s="2" t="n">
        <v>3000</v>
      </c>
      <c r="E30" s="2" t="n">
        <v>4200</v>
      </c>
      <c r="F30" s="2" t="n">
        <v>1914</v>
      </c>
      <c r="G30" s="2" t="n">
        <v>3000</v>
      </c>
      <c r="H30" s="2" t="n">
        <v>0</v>
      </c>
      <c r="I30" s="2" t="n">
        <v>2286</v>
      </c>
      <c r="J30" s="2" t="n">
        <v>3000</v>
      </c>
      <c r="K30" s="2" t="n">
        <v>714</v>
      </c>
      <c r="L30" s="2" t="n">
        <v>0</v>
      </c>
      <c r="M30" s="2" t="n">
        <v>714</v>
      </c>
      <c r="N30" s="15" t="n">
        <v>1</v>
      </c>
      <c r="O30" s="2" t="inlineStr"/>
    </row>
    <row r="31">
      <c r="A31" s="2" t="inlineStr">
        <is>
          <t>F</t>
        </is>
      </c>
      <c r="B31" s="2" t="inlineStr">
        <is>
          <t>789EF</t>
        </is>
      </c>
      <c r="C31" s="7" t="n">
        <v>46153</v>
      </c>
      <c r="D31" s="2" t="n">
        <v>3000</v>
      </c>
      <c r="E31" s="2" t="n">
        <v>3802</v>
      </c>
      <c r="F31" s="2" t="n">
        <v>714</v>
      </c>
      <c r="G31" s="2" t="n">
        <v>3000</v>
      </c>
      <c r="H31" s="2" t="n">
        <v>0</v>
      </c>
      <c r="I31" s="2" t="n">
        <v>3088</v>
      </c>
      <c r="J31" s="2" t="n">
        <v>2500</v>
      </c>
      <c r="K31" s="2" t="n">
        <v>0</v>
      </c>
      <c r="L31" s="8" t="n">
        <v>588</v>
      </c>
      <c r="M31" s="2" t="n">
        <v>0</v>
      </c>
      <c r="N31" s="15" t="n">
        <v>0.8333333333333334</v>
      </c>
      <c r="O31" s="2" t="inlineStr">
        <is>
          <t>SHORTAGE: 588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6" t="inlineStr">
        <is>
          <t>Scenario MRP</t>
        </is>
      </c>
    </row>
    <row r="2"/>
    <row r="3">
      <c r="A3" s="17" t="inlineStr">
        <is>
          <t>Items</t>
        </is>
      </c>
      <c r="B3" s="17" t="inlineStr">
        <is>
          <t>A</t>
        </is>
      </c>
      <c r="C3" s="17" t="inlineStr">
        <is>
          <t>B</t>
        </is>
      </c>
      <c r="D3" s="17" t="inlineStr">
        <is>
          <t>C</t>
        </is>
      </c>
      <c r="E3" s="17" t="inlineStr">
        <is>
          <t>D</t>
        </is>
      </c>
      <c r="F3" s="17" t="inlineStr">
        <is>
          <t>E</t>
        </is>
      </c>
      <c r="G3" s="17" t="inlineStr">
        <is>
          <t>F</t>
        </is>
      </c>
      <c r="H3" s="17" t="inlineStr">
        <is>
          <t>RM01</t>
        </is>
      </c>
      <c r="I3" s="17" t="inlineStr">
        <is>
          <t>RM02</t>
        </is>
      </c>
      <c r="J3" s="17" t="inlineStr">
        <is>
          <t>RM03</t>
        </is>
      </c>
      <c r="K3" s="17" t="inlineStr">
        <is>
          <t>RM04</t>
        </is>
      </c>
      <c r="L3" s="17" t="inlineStr">
        <is>
          <t>RM05</t>
        </is>
      </c>
      <c r="M3" s="17" t="inlineStr">
        <is>
          <t>RM06</t>
        </is>
      </c>
      <c r="N3" s="17" t="inlineStr">
        <is>
          <t>RM07</t>
        </is>
      </c>
      <c r="O3" s="17" t="inlineStr">
        <is>
          <t>RM08</t>
        </is>
      </c>
      <c r="P3" s="17" t="inlineStr">
        <is>
          <t>RM09</t>
        </is>
      </c>
      <c r="Q3" s="17" t="inlineStr">
        <is>
          <t>RM10</t>
        </is>
      </c>
      <c r="R3" s="17" t="inlineStr">
        <is>
          <t>RM11</t>
        </is>
      </c>
      <c r="S3" s="17" t="inlineStr">
        <is>
          <t>RM12</t>
        </is>
      </c>
      <c r="T3" s="17" t="inlineStr">
        <is>
          <t>RM13</t>
        </is>
      </c>
      <c r="U3" s="17" t="inlineStr">
        <is>
          <t>RM14</t>
        </is>
      </c>
      <c r="V3" s="17" t="inlineStr">
        <is>
          <t>RM15</t>
        </is>
      </c>
    </row>
    <row r="4">
      <c r="A4" s="4" t="inlineStr">
        <is>
          <t>Lead time</t>
        </is>
      </c>
      <c r="B4" s="2" t="inlineStr">
        <is>
          <t>1-2 weeks</t>
        </is>
      </c>
      <c r="C4" s="2" t="inlineStr">
        <is>
          <t>1-2 weeks</t>
        </is>
      </c>
      <c r="D4" s="2" t="inlineStr">
        <is>
          <t>1-2 weeks</t>
        </is>
      </c>
      <c r="E4" s="2" t="inlineStr">
        <is>
          <t>1-2 weeks</t>
        </is>
      </c>
      <c r="F4" s="2" t="inlineStr">
        <is>
          <t>1-2 weeks</t>
        </is>
      </c>
      <c r="G4" s="2" t="inlineStr">
        <is>
          <t>1-2 weeks</t>
        </is>
      </c>
      <c r="H4" s="2" t="n">
        <v>7</v>
      </c>
      <c r="I4" s="2" t="n">
        <v>14</v>
      </c>
      <c r="J4" s="2" t="n">
        <v>21</v>
      </c>
      <c r="K4" s="2" t="n">
        <v>140</v>
      </c>
      <c r="L4" s="2" t="n">
        <v>70</v>
      </c>
      <c r="M4" s="2" t="n">
        <v>35</v>
      </c>
      <c r="N4" s="2" t="n">
        <v>42</v>
      </c>
      <c r="O4" s="2" t="n">
        <v>63</v>
      </c>
      <c r="P4" s="2" t="n">
        <v>28</v>
      </c>
      <c r="Q4" s="2" t="n">
        <v>77</v>
      </c>
      <c r="R4" s="2" t="n">
        <v>21</v>
      </c>
      <c r="S4" s="2" t="n">
        <v>56</v>
      </c>
      <c r="T4" s="2" t="n">
        <v>35</v>
      </c>
      <c r="U4" s="2" t="n">
        <v>63</v>
      </c>
      <c r="V4" s="2" t="n">
        <v>49</v>
      </c>
    </row>
    <row r="5">
      <c r="A5" s="4" t="inlineStr">
        <is>
          <t>Beginning inventory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18" t="n">
        <v>588</v>
      </c>
      <c r="I5" s="18" t="n">
        <v>1443</v>
      </c>
      <c r="J5" s="18" t="n">
        <v>42524</v>
      </c>
      <c r="K5" s="18" t="n">
        <v>340000</v>
      </c>
      <c r="L5" s="18" t="n">
        <v>90000</v>
      </c>
      <c r="M5" s="18" t="n">
        <v>76000</v>
      </c>
      <c r="N5" s="18" t="n">
        <v>50000</v>
      </c>
      <c r="O5" s="18" t="n">
        <v>123000</v>
      </c>
      <c r="P5" s="18" t="n">
        <v>6500</v>
      </c>
      <c r="Q5" s="18" t="n">
        <v>60000</v>
      </c>
      <c r="R5" s="18" t="n">
        <v>100000</v>
      </c>
      <c r="S5" s="18" t="n">
        <v>5500</v>
      </c>
      <c r="T5" s="18" t="n">
        <v>6000</v>
      </c>
      <c r="U5" s="18" t="n">
        <v>130000</v>
      </c>
      <c r="V5" s="18" t="n">
        <v>20000</v>
      </c>
    </row>
    <row r="6">
      <c r="A6" s="4" t="inlineStr">
        <is>
          <t>Scheduled receipts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n">
        <v>30000</v>
      </c>
      <c r="L6" s="2" t="inlineStr"/>
      <c r="M6" s="2" t="inlineStr"/>
      <c r="N6" s="2" t="inlineStr"/>
      <c r="O6" s="2" t="n">
        <v>38000</v>
      </c>
      <c r="P6" s="2" t="inlineStr"/>
      <c r="Q6" s="2" t="n">
        <v>5000</v>
      </c>
      <c r="R6" s="2" t="inlineStr"/>
      <c r="S6" s="2" t="inlineStr"/>
      <c r="T6" s="2" t="n">
        <v>1000</v>
      </c>
      <c r="U6" s="2" t="inlineStr"/>
      <c r="V6" s="2" t="n">
        <v>21000</v>
      </c>
    </row>
    <row r="7"/>
    <row r="8">
      <c r="A8" s="19" t="inlineStr">
        <is>
          <t>Item RM01</t>
        </is>
      </c>
      <c r="B8" s="2" t="inlineStr">
        <is>
          <t>LLC: 1</t>
        </is>
      </c>
      <c r="C8" s="2" t="inlineStr">
        <is>
          <t>Packaging label</t>
        </is>
      </c>
    </row>
    <row r="9">
      <c r="A9" s="20" t="inlineStr"/>
      <c r="B9" s="20" t="inlineStr">
        <is>
          <t>LT: 1 wk</t>
        </is>
      </c>
      <c r="C9" s="21" t="n">
        <v>46125</v>
      </c>
      <c r="D9" s="21" t="n">
        <v>46132</v>
      </c>
      <c r="E9" s="21" t="n">
        <v>46139</v>
      </c>
      <c r="F9" s="21" t="n">
        <v>46146</v>
      </c>
      <c r="G9" s="21" t="n">
        <v>46153</v>
      </c>
    </row>
    <row r="10">
      <c r="A10" s="2" t="inlineStr">
        <is>
          <t>Gross requirements</t>
        </is>
      </c>
      <c r="B10" s="2" t="inlineStr"/>
      <c r="C10" s="18" t="n">
        <v>15332</v>
      </c>
      <c r="D10" s="18" t="n">
        <v>22998</v>
      </c>
      <c r="E10" s="18" t="n">
        <v>22998</v>
      </c>
      <c r="F10" s="18" t="n">
        <v>22998</v>
      </c>
      <c r="G10" s="18" t="n">
        <v>19165</v>
      </c>
    </row>
    <row r="11">
      <c r="A11" s="2" t="inlineStr">
        <is>
          <t>Scheduled receipts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2" t="inlineStr">
        <is>
          <t>Projected on hand</t>
        </is>
      </c>
      <c r="B12" s="18" t="n">
        <v>588</v>
      </c>
      <c r="C12" s="22" t="n">
        <v>-14744</v>
      </c>
      <c r="D12" s="22" t="n">
        <v>-37742</v>
      </c>
      <c r="E12" s="22" t="n">
        <v>-60740</v>
      </c>
      <c r="F12" s="22" t="n">
        <v>-83738</v>
      </c>
      <c r="G12" s="22" t="n">
        <v>-102903</v>
      </c>
    </row>
    <row r="13">
      <c r="A13" s="2" t="inlineStr">
        <is>
          <t>Net requirements</t>
        </is>
      </c>
      <c r="B13" s="2" t="inlineStr"/>
      <c r="C13" s="2" t="n">
        <v>14744</v>
      </c>
      <c r="D13" s="2" t="n">
        <v>8254</v>
      </c>
      <c r="E13" s="2" t="n">
        <v>14744</v>
      </c>
      <c r="F13" s="2" t="n">
        <v>8254</v>
      </c>
      <c r="G13" s="2" t="n">
        <v>10911</v>
      </c>
    </row>
    <row r="14">
      <c r="A14" s="2" t="inlineStr">
        <is>
          <t>Planned order receipts</t>
        </is>
      </c>
      <c r="B14" s="2" t="inlineStr"/>
      <c r="C14" s="2" t="n">
        <v>14744</v>
      </c>
      <c r="D14" s="2" t="n">
        <v>8254</v>
      </c>
      <c r="E14" s="2" t="n">
        <v>14744</v>
      </c>
      <c r="F14" s="2" t="n">
        <v>8254</v>
      </c>
      <c r="G14" s="2" t="n">
        <v>10911</v>
      </c>
    </row>
    <row r="15">
      <c r="A15" s="2" t="inlineStr">
        <is>
          <t>Planned order releases</t>
        </is>
      </c>
      <c r="B15" s="2" t="inlineStr"/>
      <c r="C15" s="2" t="n">
        <v>8254</v>
      </c>
      <c r="D15" s="2" t="n">
        <v>14744</v>
      </c>
      <c r="E15" s="2" t="n">
        <v>8254</v>
      </c>
      <c r="F15" s="2" t="n">
        <v>10911</v>
      </c>
      <c r="G15" s="2" t="inlineStr"/>
    </row>
    <row r="16"/>
    <row r="17">
      <c r="A17" s="19" t="inlineStr">
        <is>
          <t>Item RM02</t>
        </is>
      </c>
      <c r="B17" s="2" t="inlineStr">
        <is>
          <t>LLC: 1</t>
        </is>
      </c>
      <c r="C17" s="2" t="inlineStr">
        <is>
          <t>Packaging carton</t>
        </is>
      </c>
    </row>
    <row r="18">
      <c r="A18" s="20" t="inlineStr"/>
      <c r="B18" s="20" t="inlineStr">
        <is>
          <t>LT: 2 wk</t>
        </is>
      </c>
      <c r="C18" s="21" t="n">
        <v>46125</v>
      </c>
      <c r="D18" s="21" t="n">
        <v>46132</v>
      </c>
      <c r="E18" s="21" t="n">
        <v>46139</v>
      </c>
      <c r="F18" s="21" t="n">
        <v>46146</v>
      </c>
      <c r="G18" s="21" t="n">
        <v>46153</v>
      </c>
    </row>
    <row r="19">
      <c r="A19" s="2" t="inlineStr">
        <is>
          <t>Gross requirements</t>
        </is>
      </c>
      <c r="B19" s="2" t="inlineStr"/>
      <c r="C19" s="18" t="n">
        <v>4416</v>
      </c>
      <c r="D19" s="18" t="n">
        <v>6810</v>
      </c>
      <c r="E19" s="18" t="n">
        <v>6987</v>
      </c>
      <c r="F19" s="18" t="n">
        <v>6624</v>
      </c>
      <c r="G19" s="18" t="n">
        <v>5519</v>
      </c>
    </row>
    <row r="20">
      <c r="A20" s="2" t="inlineStr">
        <is>
          <t>Scheduled receipts</t>
        </is>
      </c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2" t="inlineStr">
        <is>
          <t>Projected on hand</t>
        </is>
      </c>
      <c r="B21" s="18" t="n">
        <v>1443</v>
      </c>
      <c r="C21" s="22" t="n">
        <v>-2973</v>
      </c>
      <c r="D21" s="22" t="n">
        <v>-9783</v>
      </c>
      <c r="E21" s="22" t="n">
        <v>-16770</v>
      </c>
      <c r="F21" s="22" t="n">
        <v>-23394</v>
      </c>
      <c r="G21" s="22" t="n">
        <v>-28913</v>
      </c>
    </row>
    <row r="22">
      <c r="A22" s="2" t="inlineStr">
        <is>
          <t>Net requirements</t>
        </is>
      </c>
      <c r="B22" s="2" t="inlineStr"/>
      <c r="C22" s="2" t="n">
        <v>2973</v>
      </c>
      <c r="D22" s="2" t="n">
        <v>3837</v>
      </c>
      <c r="E22" s="2" t="n">
        <v>3150</v>
      </c>
      <c r="F22" s="2" t="n">
        <v>3474</v>
      </c>
      <c r="G22" s="2" t="n">
        <v>2045</v>
      </c>
    </row>
    <row r="23">
      <c r="A23" s="2" t="inlineStr">
        <is>
          <t>Planned order receipts</t>
        </is>
      </c>
      <c r="B23" s="2" t="inlineStr"/>
      <c r="C23" s="2" t="n">
        <v>2973</v>
      </c>
      <c r="D23" s="2" t="n">
        <v>3837</v>
      </c>
      <c r="E23" s="2" t="n">
        <v>3150</v>
      </c>
      <c r="F23" s="2" t="n">
        <v>3474</v>
      </c>
      <c r="G23" s="2" t="n">
        <v>2045</v>
      </c>
    </row>
    <row r="24">
      <c r="A24" s="2" t="inlineStr">
        <is>
          <t>Planned order releases</t>
        </is>
      </c>
      <c r="B24" s="2" t="inlineStr"/>
      <c r="C24" s="2" t="n">
        <v>3150</v>
      </c>
      <c r="D24" s="2" t="n">
        <v>3474</v>
      </c>
      <c r="E24" s="2" t="n">
        <v>2045</v>
      </c>
      <c r="F24" s="2" t="inlineStr"/>
      <c r="G24" s="2" t="inlineStr"/>
    </row>
    <row r="25"/>
    <row r="26">
      <c r="A26" s="19" t="inlineStr">
        <is>
          <t>Item RM03</t>
        </is>
      </c>
      <c r="B26" s="2" t="inlineStr">
        <is>
          <t>LLC: 1</t>
        </is>
      </c>
      <c r="C26" s="2" t="inlineStr">
        <is>
          <t>Common plastic</t>
        </is>
      </c>
    </row>
    <row r="27">
      <c r="A27" s="20" t="inlineStr"/>
      <c r="B27" s="20" t="inlineStr">
        <is>
          <t>LT: 3 wk</t>
        </is>
      </c>
      <c r="C27" s="21" t="n">
        <v>46125</v>
      </c>
      <c r="D27" s="21" t="n">
        <v>46132</v>
      </c>
      <c r="E27" s="21" t="n">
        <v>46139</v>
      </c>
      <c r="F27" s="21" t="n">
        <v>46146</v>
      </c>
      <c r="G27" s="21" t="n">
        <v>46153</v>
      </c>
    </row>
    <row r="28">
      <c r="A28" s="2" t="inlineStr">
        <is>
          <t>Gross requirements</t>
        </is>
      </c>
      <c r="B28" s="2" t="inlineStr"/>
      <c r="C28" s="18" t="n">
        <v>15332</v>
      </c>
      <c r="D28" s="18" t="n">
        <v>22998</v>
      </c>
      <c r="E28" s="18" t="n">
        <v>22998</v>
      </c>
      <c r="F28" s="18" t="n">
        <v>22998</v>
      </c>
      <c r="G28" s="18" t="n">
        <v>19165</v>
      </c>
    </row>
    <row r="29">
      <c r="A29" s="2" t="inlineStr">
        <is>
          <t>Scheduled receipts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inlineStr">
        <is>
          <t>Projected on hand</t>
        </is>
      </c>
      <c r="B30" s="18" t="n">
        <v>42524</v>
      </c>
      <c r="C30" s="18" t="n">
        <v>27192</v>
      </c>
      <c r="D30" s="18" t="n">
        <v>4194</v>
      </c>
      <c r="E30" s="22" t="n">
        <v>-18804</v>
      </c>
      <c r="F30" s="22" t="n">
        <v>-41802</v>
      </c>
      <c r="G30" s="22" t="n">
        <v>-60967</v>
      </c>
    </row>
    <row r="31">
      <c r="A31" s="2" t="inlineStr">
        <is>
          <t>Net requirements</t>
        </is>
      </c>
      <c r="B31" s="2" t="inlineStr"/>
      <c r="C31" s="2" t="inlineStr"/>
      <c r="D31" s="2" t="inlineStr"/>
      <c r="E31" s="2" t="n">
        <v>18804</v>
      </c>
      <c r="F31" s="2" t="n">
        <v>4194</v>
      </c>
      <c r="G31" s="2" t="n">
        <v>14971</v>
      </c>
    </row>
    <row r="32">
      <c r="A32" s="2" t="inlineStr">
        <is>
          <t>Planned order receipts</t>
        </is>
      </c>
      <c r="B32" s="2" t="inlineStr"/>
      <c r="C32" s="2" t="inlineStr"/>
      <c r="D32" s="2" t="inlineStr"/>
      <c r="E32" s="2" t="n">
        <v>18804</v>
      </c>
      <c r="F32" s="2" t="n">
        <v>4194</v>
      </c>
      <c r="G32" s="2" t="n">
        <v>14971</v>
      </c>
    </row>
    <row r="33">
      <c r="A33" s="2" t="inlineStr">
        <is>
          <t>Planned order releases</t>
        </is>
      </c>
      <c r="B33" s="2" t="inlineStr"/>
      <c r="C33" s="2" t="n">
        <v>4194</v>
      </c>
      <c r="D33" s="2" t="n">
        <v>14971</v>
      </c>
      <c r="E33" s="2" t="inlineStr"/>
      <c r="F33" s="2" t="inlineStr"/>
      <c r="G33" s="2" t="inlineStr"/>
    </row>
    <row r="34"/>
    <row r="35">
      <c r="A35" s="19" t="inlineStr">
        <is>
          <t>Item RM04</t>
        </is>
      </c>
      <c r="B35" s="2" t="inlineStr">
        <is>
          <t>LLC: 1</t>
        </is>
      </c>
      <c r="C35" s="2" t="inlineStr">
        <is>
          <t>PCBA</t>
        </is>
      </c>
    </row>
    <row r="36">
      <c r="A36" s="20" t="inlineStr"/>
      <c r="B36" s="20" t="inlineStr">
        <is>
          <t>LT: 20 wk</t>
        </is>
      </c>
      <c r="C36" s="21" t="n">
        <v>46125</v>
      </c>
      <c r="D36" s="21" t="n">
        <v>46132</v>
      </c>
      <c r="E36" s="21" t="n">
        <v>46139</v>
      </c>
      <c r="F36" s="21" t="n">
        <v>46146</v>
      </c>
      <c r="G36" s="21" t="n">
        <v>46153</v>
      </c>
    </row>
    <row r="37">
      <c r="A37" s="2" t="inlineStr">
        <is>
          <t>Gross requirements</t>
        </is>
      </c>
      <c r="B37" s="2" t="inlineStr"/>
      <c r="C37" s="18" t="n">
        <v>0</v>
      </c>
      <c r="D37" s="18" t="n">
        <v>11020</v>
      </c>
      <c r="E37" s="18" t="n">
        <v>14000</v>
      </c>
      <c r="F37" s="18" t="n">
        <v>30000</v>
      </c>
      <c r="G37" s="18" t="n">
        <v>25000</v>
      </c>
    </row>
    <row r="38">
      <c r="A38" s="2" t="inlineStr">
        <is>
          <t>Scheduled receipts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Projected on hand</t>
        </is>
      </c>
      <c r="B39" s="18" t="n">
        <v>0</v>
      </c>
      <c r="C39" s="18" t="n">
        <v>0</v>
      </c>
      <c r="D39" s="22" t="n">
        <v>-11020</v>
      </c>
      <c r="E39" s="22" t="n">
        <v>-25020</v>
      </c>
      <c r="F39" s="22" t="n">
        <v>-55020</v>
      </c>
      <c r="G39" s="22" t="n">
        <v>-80020</v>
      </c>
    </row>
    <row r="40">
      <c r="A40" s="2" t="inlineStr">
        <is>
          <t>Net requirements</t>
        </is>
      </c>
      <c r="B40" s="2" t="inlineStr"/>
      <c r="C40" s="2" t="inlineStr"/>
      <c r="D40" s="2" t="n">
        <v>11020</v>
      </c>
      <c r="E40" s="2" t="n">
        <v>2980</v>
      </c>
      <c r="F40" s="2" t="n">
        <v>27020</v>
      </c>
      <c r="G40" s="2" t="inlineStr"/>
    </row>
    <row r="41">
      <c r="A41" s="2" t="inlineStr">
        <is>
          <t>Planned order receipts</t>
        </is>
      </c>
      <c r="B41" s="2" t="inlineStr"/>
      <c r="C41" s="2" t="inlineStr"/>
      <c r="D41" s="2" t="n">
        <v>11020</v>
      </c>
      <c r="E41" s="2" t="n">
        <v>2980</v>
      </c>
      <c r="F41" s="2" t="n">
        <v>27020</v>
      </c>
      <c r="G41" s="2" t="inlineStr"/>
    </row>
    <row r="42">
      <c r="A42" s="2" t="inlineStr">
        <is>
          <t>Planned order releases</t>
        </is>
      </c>
      <c r="B42" s="2" t="inlineStr"/>
      <c r="C42" s="2" t="inlineStr"/>
      <c r="D42" s="2" t="inlineStr"/>
      <c r="E42" s="2" t="inlineStr"/>
      <c r="F42" s="2" t="inlineStr"/>
      <c r="G42" s="2" t="inlineStr"/>
    </row>
    <row r="43">
      <c r="A43" s="23" t="inlineStr">
        <is>
          <t>*** RM04 ON HOLD - See PCBA_Recovery_Plan ***</t>
        </is>
      </c>
    </row>
    <row r="44"/>
    <row r="45">
      <c r="A45" s="19" t="inlineStr">
        <is>
          <t>Item RM05</t>
        </is>
      </c>
      <c r="B45" s="2" t="inlineStr">
        <is>
          <t>LLC: 1</t>
        </is>
      </c>
      <c r="C45" s="2" t="inlineStr">
        <is>
          <t>Charger</t>
        </is>
      </c>
    </row>
    <row r="46">
      <c r="A46" s="20" t="inlineStr"/>
      <c r="B46" s="20" t="inlineStr">
        <is>
          <t>LT: 10 wk</t>
        </is>
      </c>
      <c r="C46" s="21" t="n">
        <v>46125</v>
      </c>
      <c r="D46" s="21" t="n">
        <v>46132</v>
      </c>
      <c r="E46" s="21" t="n">
        <v>46139</v>
      </c>
      <c r="F46" s="21" t="n">
        <v>46146</v>
      </c>
      <c r="G46" s="21" t="n">
        <v>46153</v>
      </c>
    </row>
    <row r="47">
      <c r="A47" s="2" t="inlineStr">
        <is>
          <t>Gross requirements</t>
        </is>
      </c>
      <c r="B47" s="2" t="inlineStr"/>
      <c r="C47" s="18" t="n">
        <v>0</v>
      </c>
      <c r="D47" s="18" t="n">
        <v>5510</v>
      </c>
      <c r="E47" s="18" t="n">
        <v>7000</v>
      </c>
      <c r="F47" s="18" t="n">
        <v>15000</v>
      </c>
      <c r="G47" s="18" t="n">
        <v>12500</v>
      </c>
    </row>
    <row r="48">
      <c r="A48" s="2" t="inlineStr">
        <is>
          <t>Scheduled receipts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Projected on hand</t>
        </is>
      </c>
      <c r="B49" s="18" t="n">
        <v>90000</v>
      </c>
      <c r="C49" s="18" t="n">
        <v>90000</v>
      </c>
      <c r="D49" s="18" t="n">
        <v>84490</v>
      </c>
      <c r="E49" s="18" t="n">
        <v>77490</v>
      </c>
      <c r="F49" s="18" t="n">
        <v>62490</v>
      </c>
      <c r="G49" s="18" t="n">
        <v>49990</v>
      </c>
    </row>
    <row r="50">
      <c r="A50" s="2" t="inlineStr">
        <is>
          <t>Net requirements</t>
        </is>
      </c>
      <c r="B50" s="2" t="inlineStr"/>
      <c r="C50" s="2" t="inlineStr"/>
      <c r="D50" s="2" t="inlineStr"/>
      <c r="E50" s="2" t="inlineStr"/>
      <c r="F50" s="2" t="inlineStr"/>
      <c r="G50" s="2" t="inlineStr"/>
    </row>
    <row r="51">
      <c r="A51" s="2" t="inlineStr">
        <is>
          <t>Planned order receipts</t>
        </is>
      </c>
      <c r="B51" s="2" t="inlineStr"/>
      <c r="C51" s="2" t="inlineStr"/>
      <c r="D51" s="2" t="inlineStr"/>
      <c r="E51" s="2" t="inlineStr"/>
      <c r="F51" s="2" t="inlineStr"/>
      <c r="G51" s="2" t="inlineStr"/>
    </row>
    <row r="52">
      <c r="A52" s="2" t="inlineStr">
        <is>
          <t>Planned order releases</t>
        </is>
      </c>
      <c r="B52" s="2" t="inlineStr"/>
      <c r="C52" s="2" t="inlineStr"/>
      <c r="D52" s="2" t="inlineStr"/>
      <c r="E52" s="2" t="inlineStr"/>
      <c r="F52" s="2" t="inlineStr"/>
      <c r="G52" s="2" t="inlineStr"/>
    </row>
    <row r="53"/>
    <row r="54">
      <c r="A54" s="19" t="inlineStr">
        <is>
          <t>Item RM06</t>
        </is>
      </c>
      <c r="B54" s="2" t="inlineStr">
        <is>
          <t>LLC: 1</t>
        </is>
      </c>
      <c r="C54" s="2" t="inlineStr">
        <is>
          <t>Fabric</t>
        </is>
      </c>
    </row>
    <row r="55">
      <c r="A55" s="20" t="inlineStr"/>
      <c r="B55" s="20" t="inlineStr">
        <is>
          <t>LT: 5 wk</t>
        </is>
      </c>
      <c r="C55" s="21" t="n">
        <v>46125</v>
      </c>
      <c r="D55" s="21" t="n">
        <v>46132</v>
      </c>
      <c r="E55" s="21" t="n">
        <v>46139</v>
      </c>
      <c r="F55" s="21" t="n">
        <v>46146</v>
      </c>
      <c r="G55" s="21" t="n">
        <v>46153</v>
      </c>
    </row>
    <row r="56">
      <c r="A56" s="2" t="inlineStr">
        <is>
          <t>Gross requirements</t>
        </is>
      </c>
      <c r="B56" s="2" t="inlineStr"/>
      <c r="C56" s="18" t="n">
        <v>25000</v>
      </c>
      <c r="D56" s="18" t="n">
        <v>23725</v>
      </c>
      <c r="E56" s="18" t="n">
        <v>20000</v>
      </c>
      <c r="F56" s="18" t="n">
        <v>0</v>
      </c>
      <c r="G56" s="18" t="n">
        <v>0</v>
      </c>
    </row>
    <row r="57">
      <c r="A57" s="2" t="inlineStr">
        <is>
          <t>Scheduled receipts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Projected on hand</t>
        </is>
      </c>
      <c r="B58" s="18" t="n">
        <v>76000</v>
      </c>
      <c r="C58" s="18" t="n">
        <v>51000</v>
      </c>
      <c r="D58" s="18" t="n">
        <v>27275</v>
      </c>
      <c r="E58" s="18" t="n">
        <v>7275</v>
      </c>
      <c r="F58" s="18" t="n">
        <v>7275</v>
      </c>
      <c r="G58" s="18" t="n">
        <v>7275</v>
      </c>
    </row>
    <row r="59">
      <c r="A59" s="2" t="inlineStr">
        <is>
          <t>Net requirements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inlineStr">
        <is>
          <t>Planned order receipts</t>
        </is>
      </c>
      <c r="B60" s="2" t="inlineStr"/>
      <c r="C60" s="2" t="inlineStr"/>
      <c r="D60" s="2" t="inlineStr"/>
      <c r="E60" s="2" t="inlineStr"/>
      <c r="F60" s="2" t="inlineStr"/>
      <c r="G60" s="2" t="inlineStr"/>
    </row>
    <row r="61">
      <c r="A61" s="2" t="inlineStr">
        <is>
          <t>Planned order releases</t>
        </is>
      </c>
      <c r="B61" s="2" t="inlineStr"/>
      <c r="C61" s="2" t="inlineStr"/>
      <c r="D61" s="2" t="inlineStr"/>
      <c r="E61" s="2" t="inlineStr"/>
      <c r="F61" s="2" t="inlineStr"/>
      <c r="G61" s="2" t="inlineStr"/>
    </row>
    <row r="62"/>
    <row r="63">
      <c r="A63" s="19" t="inlineStr">
        <is>
          <t>Item RM07</t>
        </is>
      </c>
      <c r="B63" s="2" t="inlineStr">
        <is>
          <t>LLC: 1</t>
        </is>
      </c>
      <c r="C63" s="2" t="inlineStr">
        <is>
          <t>Industrial color</t>
        </is>
      </c>
    </row>
    <row r="64">
      <c r="A64" s="20" t="inlineStr"/>
      <c r="B64" s="20" t="inlineStr">
        <is>
          <t>LT: 6 wk</t>
        </is>
      </c>
      <c r="C64" s="21" t="n">
        <v>46125</v>
      </c>
      <c r="D64" s="21" t="n">
        <v>46132</v>
      </c>
      <c r="E64" s="21" t="n">
        <v>46139</v>
      </c>
      <c r="F64" s="21" t="n">
        <v>46146</v>
      </c>
      <c r="G64" s="21" t="n">
        <v>46153</v>
      </c>
    </row>
    <row r="65">
      <c r="A65" s="2" t="inlineStr">
        <is>
          <t>Gross requirements</t>
        </is>
      </c>
      <c r="B65" s="2" t="inlineStr"/>
      <c r="C65" s="18" t="n">
        <v>15000</v>
      </c>
      <c r="D65" s="18" t="n">
        <v>14235</v>
      </c>
      <c r="E65" s="18" t="n">
        <v>12000</v>
      </c>
      <c r="F65" s="18" t="n">
        <v>0</v>
      </c>
      <c r="G65" s="18" t="n">
        <v>0</v>
      </c>
    </row>
    <row r="66">
      <c r="A66" s="2" t="inlineStr">
        <is>
          <t>Scheduled receipts</t>
        </is>
      </c>
      <c r="B66" s="2" t="inlineStr"/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Projected on hand</t>
        </is>
      </c>
      <c r="B67" s="18" t="n">
        <v>50000</v>
      </c>
      <c r="C67" s="18" t="n">
        <v>35000</v>
      </c>
      <c r="D67" s="18" t="n">
        <v>20765</v>
      </c>
      <c r="E67" s="18" t="n">
        <v>8765</v>
      </c>
      <c r="F67" s="18" t="n">
        <v>8765</v>
      </c>
      <c r="G67" s="18" t="n">
        <v>8765</v>
      </c>
    </row>
    <row r="68">
      <c r="A68" s="2" t="inlineStr">
        <is>
          <t>Net requirements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Planned order receipts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inlineStr">
        <is>
          <t>Planned order releases</t>
        </is>
      </c>
      <c r="B70" s="2" t="inlineStr"/>
      <c r="C70" s="2" t="inlineStr"/>
      <c r="D70" s="2" t="inlineStr"/>
      <c r="E70" s="2" t="inlineStr"/>
      <c r="F70" s="2" t="inlineStr"/>
      <c r="G70" s="2" t="inlineStr"/>
    </row>
    <row r="71"/>
    <row r="72">
      <c r="A72" s="19" t="inlineStr">
        <is>
          <t>Item RM08</t>
        </is>
      </c>
      <c r="B72" s="2" t="inlineStr">
        <is>
          <t>LLC: 1</t>
        </is>
      </c>
      <c r="C72" s="2" t="inlineStr">
        <is>
          <t>Special Resin</t>
        </is>
      </c>
    </row>
    <row r="73">
      <c r="A73" s="20" t="inlineStr"/>
      <c r="B73" s="20" t="inlineStr">
        <is>
          <t>LT: 9 wk</t>
        </is>
      </c>
      <c r="C73" s="21" t="n">
        <v>46125</v>
      </c>
      <c r="D73" s="21" t="n">
        <v>46132</v>
      </c>
      <c r="E73" s="21" t="n">
        <v>46139</v>
      </c>
      <c r="F73" s="21" t="n">
        <v>46146</v>
      </c>
      <c r="G73" s="21" t="n">
        <v>46153</v>
      </c>
    </row>
    <row r="74">
      <c r="A74" s="2" t="inlineStr">
        <is>
          <t>Gross requirements</t>
        </is>
      </c>
      <c r="B74" s="2" t="inlineStr"/>
      <c r="C74" s="18" t="n">
        <v>9996</v>
      </c>
      <c r="D74" s="18" t="n">
        <v>14994</v>
      </c>
      <c r="E74" s="18" t="n">
        <v>14994</v>
      </c>
      <c r="F74" s="18" t="n">
        <v>14994</v>
      </c>
      <c r="G74" s="18" t="n">
        <v>12495</v>
      </c>
    </row>
    <row r="75">
      <c r="A75" s="2" t="inlineStr">
        <is>
          <t>Scheduled receipts</t>
        </is>
      </c>
      <c r="B75" s="2" t="inlineStr"/>
      <c r="C75" s="2" t="n">
        <v>38000</v>
      </c>
      <c r="D75" s="2" t="inlineStr"/>
      <c r="E75" s="2" t="inlineStr"/>
      <c r="F75" s="2" t="inlineStr"/>
      <c r="G75" s="2" t="inlineStr"/>
    </row>
    <row r="76">
      <c r="A76" s="2" t="inlineStr">
        <is>
          <t>Projected on hand</t>
        </is>
      </c>
      <c r="B76" s="18" t="n">
        <v>123000</v>
      </c>
      <c r="C76" s="18" t="n">
        <v>151004</v>
      </c>
      <c r="D76" s="18" t="n">
        <v>136010</v>
      </c>
      <c r="E76" s="18" t="n">
        <v>121016</v>
      </c>
      <c r="F76" s="18" t="n">
        <v>106022</v>
      </c>
      <c r="G76" s="18" t="n">
        <v>93527</v>
      </c>
    </row>
    <row r="77">
      <c r="A77" s="2" t="inlineStr">
        <is>
          <t>Net requirements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Planned order receipts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Planned order releases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/>
    <row r="81">
      <c r="A81" s="19" t="inlineStr">
        <is>
          <t>Item RM09</t>
        </is>
      </c>
      <c r="B81" s="2" t="inlineStr">
        <is>
          <t>LLC: 1</t>
        </is>
      </c>
      <c r="C81" s="2" t="inlineStr">
        <is>
          <t>Wooden</t>
        </is>
      </c>
    </row>
    <row r="82">
      <c r="A82" s="20" t="inlineStr"/>
      <c r="B82" s="20" t="inlineStr">
        <is>
          <t>LT: 4 wk</t>
        </is>
      </c>
      <c r="C82" s="21" t="n">
        <v>46125</v>
      </c>
      <c r="D82" s="21" t="n">
        <v>46132</v>
      </c>
      <c r="E82" s="21" t="n">
        <v>46139</v>
      </c>
      <c r="F82" s="21" t="n">
        <v>46146</v>
      </c>
      <c r="G82" s="21" t="n">
        <v>46153</v>
      </c>
    </row>
    <row r="83">
      <c r="A83" s="2" t="inlineStr">
        <is>
          <t>Gross requirements</t>
        </is>
      </c>
      <c r="B83" s="2" t="inlineStr"/>
      <c r="C83" s="18" t="n">
        <v>1666</v>
      </c>
      <c r="D83" s="18" t="n">
        <v>2499</v>
      </c>
      <c r="E83" s="18" t="n">
        <v>2499</v>
      </c>
      <c r="F83" s="18" t="n">
        <v>2499</v>
      </c>
      <c r="G83" s="18" t="n">
        <v>2082</v>
      </c>
    </row>
    <row r="84">
      <c r="A84" s="2" t="inlineStr">
        <is>
          <t>Scheduled receipts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Projected on hand</t>
        </is>
      </c>
      <c r="B85" s="18" t="n">
        <v>6500</v>
      </c>
      <c r="C85" s="18" t="n">
        <v>4834</v>
      </c>
      <c r="D85" s="18" t="n">
        <v>2335</v>
      </c>
      <c r="E85" s="22" t="n">
        <v>-164</v>
      </c>
      <c r="F85" s="22" t="n">
        <v>-2663</v>
      </c>
      <c r="G85" s="22" t="n">
        <v>-4745</v>
      </c>
    </row>
    <row r="86">
      <c r="A86" s="2" t="inlineStr">
        <is>
          <t>Net requirements</t>
        </is>
      </c>
      <c r="B86" s="2" t="inlineStr"/>
      <c r="C86" s="2" t="inlineStr"/>
      <c r="D86" s="2" t="inlineStr"/>
      <c r="E86" s="2" t="n">
        <v>164</v>
      </c>
      <c r="F86" s="2" t="n">
        <v>2335</v>
      </c>
      <c r="G86" s="2" t="inlineStr"/>
    </row>
    <row r="87">
      <c r="A87" s="2" t="inlineStr">
        <is>
          <t>Planned order receipts</t>
        </is>
      </c>
      <c r="B87" s="2" t="inlineStr"/>
      <c r="C87" s="2" t="inlineStr"/>
      <c r="D87" s="2" t="inlineStr"/>
      <c r="E87" s="2" t="n">
        <v>164</v>
      </c>
      <c r="F87" s="2" t="n">
        <v>2335</v>
      </c>
      <c r="G87" s="2" t="inlineStr"/>
    </row>
    <row r="88">
      <c r="A88" s="2" t="inlineStr">
        <is>
          <t>Planned order releases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/>
    <row r="90">
      <c r="A90" s="19" t="inlineStr">
        <is>
          <t>Item RM10</t>
        </is>
      </c>
      <c r="B90" s="2" t="inlineStr">
        <is>
          <t>LLC: 1</t>
        </is>
      </c>
      <c r="C90" s="2" t="inlineStr">
        <is>
          <t>Battery</t>
        </is>
      </c>
    </row>
    <row r="91">
      <c r="A91" s="20" t="inlineStr"/>
      <c r="B91" s="20" t="inlineStr">
        <is>
          <t>LT: 11 wk</t>
        </is>
      </c>
      <c r="C91" s="21" t="n">
        <v>46125</v>
      </c>
      <c r="D91" s="21" t="n">
        <v>46132</v>
      </c>
      <c r="E91" s="21" t="n">
        <v>46139</v>
      </c>
      <c r="F91" s="21" t="n">
        <v>46146</v>
      </c>
      <c r="G91" s="21" t="n">
        <v>46153</v>
      </c>
    </row>
    <row r="92">
      <c r="A92" s="2" t="inlineStr">
        <is>
          <t>Gross requirements</t>
        </is>
      </c>
      <c r="B92" s="2" t="inlineStr"/>
      <c r="C92" s="18" t="n">
        <v>0</v>
      </c>
      <c r="D92" s="18" t="n">
        <v>0</v>
      </c>
      <c r="E92" s="18" t="n">
        <v>0</v>
      </c>
      <c r="F92" s="18" t="n">
        <v>0</v>
      </c>
      <c r="G92" s="18" t="n">
        <v>0</v>
      </c>
    </row>
    <row r="93">
      <c r="A93" s="2" t="inlineStr">
        <is>
          <t>Scheduled receipts</t>
        </is>
      </c>
      <c r="B93" s="2" t="inlineStr"/>
      <c r="C93" s="2" t="n">
        <v>5000</v>
      </c>
      <c r="D93" s="2" t="inlineStr"/>
      <c r="E93" s="2" t="inlineStr"/>
      <c r="F93" s="2" t="inlineStr"/>
      <c r="G93" s="2" t="inlineStr"/>
    </row>
    <row r="94">
      <c r="A94" s="2" t="inlineStr">
        <is>
          <t>Projected on hand</t>
        </is>
      </c>
      <c r="B94" s="18" t="n">
        <v>60000</v>
      </c>
      <c r="C94" s="18" t="n">
        <v>65000</v>
      </c>
      <c r="D94" s="18" t="n">
        <v>65000</v>
      </c>
      <c r="E94" s="18" t="n">
        <v>65000</v>
      </c>
      <c r="F94" s="18" t="n">
        <v>65000</v>
      </c>
      <c r="G94" s="18" t="n">
        <v>65000</v>
      </c>
    </row>
    <row r="95">
      <c r="A95" s="2" t="inlineStr">
        <is>
          <t>Net requirements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Planned order receipts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Planned order releases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/>
    <row r="99">
      <c r="A99" s="19" t="inlineStr">
        <is>
          <t>Item RM11</t>
        </is>
      </c>
      <c r="B99" s="2" t="inlineStr">
        <is>
          <t>LLC: 1</t>
        </is>
      </c>
      <c r="C99" s="2" t="inlineStr">
        <is>
          <t>Glue</t>
        </is>
      </c>
    </row>
    <row r="100">
      <c r="A100" s="20" t="inlineStr"/>
      <c r="B100" s="20" t="inlineStr">
        <is>
          <t>LT: 3 wk</t>
        </is>
      </c>
      <c r="C100" s="21" t="n">
        <v>46125</v>
      </c>
      <c r="D100" s="21" t="n">
        <v>46132</v>
      </c>
      <c r="E100" s="21" t="n">
        <v>46139</v>
      </c>
      <c r="F100" s="21" t="n">
        <v>46146</v>
      </c>
      <c r="G100" s="21" t="n">
        <v>46153</v>
      </c>
    </row>
    <row r="101">
      <c r="A101" s="2" t="inlineStr">
        <is>
          <t>Gross requirements</t>
        </is>
      </c>
      <c r="B101" s="2" t="inlineStr"/>
      <c r="C101" s="18" t="n">
        <v>0</v>
      </c>
      <c r="D101" s="18" t="n">
        <v>0</v>
      </c>
      <c r="E101" s="18" t="n">
        <v>0</v>
      </c>
      <c r="F101" s="18" t="n">
        <v>0</v>
      </c>
      <c r="G101" s="18" t="n">
        <v>0</v>
      </c>
    </row>
    <row r="102">
      <c r="A102" s="2" t="inlineStr">
        <is>
          <t>Scheduled receipts</t>
        </is>
      </c>
      <c r="B102" s="2" t="inlineStr"/>
      <c r="C102" s="2" t="inlineStr"/>
      <c r="D102" s="2" t="inlineStr"/>
      <c r="E102" s="2" t="inlineStr"/>
      <c r="F102" s="2" t="inlineStr"/>
      <c r="G102" s="2" t="inlineStr"/>
    </row>
    <row r="103">
      <c r="A103" s="2" t="inlineStr">
        <is>
          <t>Projected on hand</t>
        </is>
      </c>
      <c r="B103" s="18" t="n">
        <v>100000</v>
      </c>
      <c r="C103" s="18" t="n">
        <v>100000</v>
      </c>
      <c r="D103" s="18" t="n">
        <v>100000</v>
      </c>
      <c r="E103" s="18" t="n">
        <v>100000</v>
      </c>
      <c r="F103" s="18" t="n">
        <v>100000</v>
      </c>
      <c r="G103" s="18" t="n">
        <v>100000</v>
      </c>
    </row>
    <row r="104">
      <c r="A104" s="2" t="inlineStr">
        <is>
          <t>Net requirements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Planned order receipts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Planned order releases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/>
    <row r="108">
      <c r="A108" s="19" t="inlineStr">
        <is>
          <t>Item RM12</t>
        </is>
      </c>
      <c r="B108" s="2" t="inlineStr">
        <is>
          <t>LLC: 1</t>
        </is>
      </c>
      <c r="C108" s="2" t="inlineStr">
        <is>
          <t>Steel metal</t>
        </is>
      </c>
    </row>
    <row r="109">
      <c r="A109" s="20" t="inlineStr"/>
      <c r="B109" s="20" t="inlineStr">
        <is>
          <t>LT: 8 wk</t>
        </is>
      </c>
      <c r="C109" s="21" t="n">
        <v>46125</v>
      </c>
      <c r="D109" s="21" t="n">
        <v>46132</v>
      </c>
      <c r="E109" s="21" t="n">
        <v>46139</v>
      </c>
      <c r="F109" s="21" t="n">
        <v>46146</v>
      </c>
      <c r="G109" s="21" t="n">
        <v>46153</v>
      </c>
    </row>
    <row r="110">
      <c r="A110" s="2" t="inlineStr">
        <is>
          <t>Gross requirements</t>
        </is>
      </c>
      <c r="B110" s="2" t="inlineStr"/>
      <c r="C110" s="18" t="n">
        <v>0</v>
      </c>
      <c r="D110" s="18" t="n">
        <v>1500</v>
      </c>
      <c r="E110" s="18" t="n">
        <v>2910</v>
      </c>
      <c r="F110" s="18" t="n">
        <v>0</v>
      </c>
      <c r="G110" s="18" t="n">
        <v>0</v>
      </c>
    </row>
    <row r="111">
      <c r="A111" s="2" t="inlineStr">
        <is>
          <t>Scheduled receipts</t>
        </is>
      </c>
      <c r="B111" s="2" t="inlineStr"/>
      <c r="C111" s="2" t="inlineStr"/>
      <c r="D111" s="2" t="inlineStr"/>
      <c r="E111" s="2" t="inlineStr"/>
      <c r="F111" s="2" t="inlineStr"/>
      <c r="G111" s="2" t="inlineStr"/>
    </row>
    <row r="112">
      <c r="A112" s="2" t="inlineStr">
        <is>
          <t>Projected on hand</t>
        </is>
      </c>
      <c r="B112" s="18" t="n">
        <v>5500</v>
      </c>
      <c r="C112" s="18" t="n">
        <v>5500</v>
      </c>
      <c r="D112" s="18" t="n">
        <v>4000</v>
      </c>
      <c r="E112" s="18" t="n">
        <v>1090</v>
      </c>
      <c r="F112" s="18" t="n">
        <v>1090</v>
      </c>
      <c r="G112" s="18" t="n">
        <v>1090</v>
      </c>
    </row>
    <row r="113">
      <c r="A113" s="2" t="inlineStr">
        <is>
          <t>Net requirements</t>
        </is>
      </c>
      <c r="B113" s="2" t="inlineStr"/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Planned order receipts</t>
        </is>
      </c>
      <c r="B114" s="2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Planned order releases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/>
    <row r="117">
      <c r="A117" s="19" t="inlineStr">
        <is>
          <t>Item RM13</t>
        </is>
      </c>
      <c r="B117" s="2" t="inlineStr">
        <is>
          <t>LLC: 1</t>
        </is>
      </c>
      <c r="C117" s="2" t="inlineStr">
        <is>
          <t>Wheel</t>
        </is>
      </c>
    </row>
    <row r="118">
      <c r="A118" s="20" t="inlineStr"/>
      <c r="B118" s="20" t="inlineStr">
        <is>
          <t>LT: 5 wk</t>
        </is>
      </c>
      <c r="C118" s="21" t="n">
        <v>46125</v>
      </c>
      <c r="D118" s="21" t="n">
        <v>46132</v>
      </c>
      <c r="E118" s="21" t="n">
        <v>46139</v>
      </c>
      <c r="F118" s="21" t="n">
        <v>46146</v>
      </c>
      <c r="G118" s="21" t="n">
        <v>46153</v>
      </c>
    </row>
    <row r="119">
      <c r="A119" s="2" t="inlineStr">
        <is>
          <t>Gross requirements</t>
        </is>
      </c>
      <c r="B119" s="2" t="inlineStr"/>
      <c r="C119" s="18" t="n">
        <v>0</v>
      </c>
      <c r="D119" s="18" t="n">
        <v>2000</v>
      </c>
      <c r="E119" s="18" t="n">
        <v>3880</v>
      </c>
      <c r="F119" s="18" t="n">
        <v>0</v>
      </c>
      <c r="G119" s="18" t="n">
        <v>0</v>
      </c>
    </row>
    <row r="120">
      <c r="A120" s="2" t="inlineStr">
        <is>
          <t>Scheduled receipts</t>
        </is>
      </c>
      <c r="B120" s="2" t="inlineStr"/>
      <c r="C120" s="2" t="n">
        <v>1000</v>
      </c>
      <c r="D120" s="2" t="inlineStr"/>
      <c r="E120" s="2" t="inlineStr"/>
      <c r="F120" s="2" t="inlineStr"/>
      <c r="G120" s="2" t="inlineStr"/>
    </row>
    <row r="121">
      <c r="A121" s="2" t="inlineStr">
        <is>
          <t>Projected on hand</t>
        </is>
      </c>
      <c r="B121" s="18" t="n">
        <v>6000</v>
      </c>
      <c r="C121" s="18" t="n">
        <v>7000</v>
      </c>
      <c r="D121" s="18" t="n">
        <v>5000</v>
      </c>
      <c r="E121" s="18" t="n">
        <v>1120</v>
      </c>
      <c r="F121" s="18" t="n">
        <v>1120</v>
      </c>
      <c r="G121" s="18" t="n">
        <v>1120</v>
      </c>
    </row>
    <row r="122">
      <c r="A122" s="2" t="inlineStr">
        <is>
          <t>Net requirements</t>
        </is>
      </c>
      <c r="B122" s="2" t="inlineStr"/>
      <c r="C122" s="2" t="inlineStr"/>
      <c r="D122" s="2" t="inlineStr"/>
      <c r="E122" s="2" t="inlineStr"/>
      <c r="F122" s="2" t="inlineStr"/>
      <c r="G122" s="2" t="inlineStr"/>
    </row>
    <row r="123">
      <c r="A123" s="2" t="inlineStr">
        <is>
          <t>Planned order receipts</t>
        </is>
      </c>
      <c r="B123" s="2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Planned order releases</t>
        </is>
      </c>
      <c r="B124" s="2" t="inlineStr"/>
      <c r="C124" s="2" t="inlineStr"/>
      <c r="D124" s="2" t="inlineStr"/>
      <c r="E124" s="2" t="inlineStr"/>
      <c r="F124" s="2" t="inlineStr"/>
      <c r="G124" s="2" t="inlineStr"/>
    </row>
    <row r="125"/>
    <row r="126">
      <c r="A126" s="19" t="inlineStr">
        <is>
          <t>Item RM14</t>
        </is>
      </c>
      <c r="B126" s="2" t="inlineStr">
        <is>
          <t>LLC: 1</t>
        </is>
      </c>
      <c r="C126" s="2" t="inlineStr">
        <is>
          <t>Solar pannel</t>
        </is>
      </c>
    </row>
    <row r="127">
      <c r="A127" s="20" t="inlineStr"/>
      <c r="B127" s="20" t="inlineStr">
        <is>
          <t>LT: 9 wk</t>
        </is>
      </c>
      <c r="C127" s="21" t="n">
        <v>46125</v>
      </c>
      <c r="D127" s="21" t="n">
        <v>46132</v>
      </c>
      <c r="E127" s="21" t="n">
        <v>46139</v>
      </c>
      <c r="F127" s="21" t="n">
        <v>46146</v>
      </c>
      <c r="G127" s="21" t="n">
        <v>46153</v>
      </c>
    </row>
    <row r="128">
      <c r="A128" s="2" t="inlineStr">
        <is>
          <t>Gross requirements</t>
        </is>
      </c>
      <c r="B128" s="2" t="inlineStr"/>
      <c r="C128" s="18" t="n">
        <v>10000</v>
      </c>
      <c r="D128" s="18" t="n">
        <v>12500</v>
      </c>
      <c r="E128" s="18" t="n">
        <v>10150</v>
      </c>
      <c r="F128" s="18" t="n">
        <v>15000</v>
      </c>
      <c r="G128" s="18" t="n">
        <v>12500</v>
      </c>
    </row>
    <row r="129">
      <c r="A129" s="2" t="inlineStr">
        <is>
          <t>Scheduled receipts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inlineStr">
        <is>
          <t>Projected on hand</t>
        </is>
      </c>
      <c r="B130" s="18" t="n">
        <v>130000</v>
      </c>
      <c r="C130" s="18" t="n">
        <v>120000</v>
      </c>
      <c r="D130" s="18" t="n">
        <v>107500</v>
      </c>
      <c r="E130" s="18" t="n">
        <v>97350</v>
      </c>
      <c r="F130" s="18" t="n">
        <v>82350</v>
      </c>
      <c r="G130" s="18" t="n">
        <v>69850</v>
      </c>
    </row>
    <row r="131">
      <c r="A131" s="2" t="inlineStr">
        <is>
          <t>Net requirements</t>
        </is>
      </c>
      <c r="B131" s="2" t="inlineStr"/>
      <c r="C131" s="2" t="inlineStr"/>
      <c r="D131" s="2" t="inlineStr"/>
      <c r="E131" s="2" t="inlineStr"/>
      <c r="F131" s="2" t="inlineStr"/>
      <c r="G131" s="2" t="inlineStr"/>
    </row>
    <row r="132">
      <c r="A132" s="2" t="inlineStr">
        <is>
          <t>Planned order receipts</t>
        </is>
      </c>
      <c r="B132" s="2" t="inlineStr"/>
      <c r="C132" s="2" t="inlineStr"/>
      <c r="D132" s="2" t="inlineStr"/>
      <c r="E132" s="2" t="inlineStr"/>
      <c r="F132" s="2" t="inlineStr"/>
      <c r="G132" s="2" t="inlineStr"/>
    </row>
    <row r="133">
      <c r="A133" s="2" t="inlineStr">
        <is>
          <t>Planned order releases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/>
    <row r="135">
      <c r="A135" s="19" t="inlineStr">
        <is>
          <t>Item RM15</t>
        </is>
      </c>
      <c r="B135" s="2" t="inlineStr">
        <is>
          <t>LLC: 1</t>
        </is>
      </c>
      <c r="C135" s="2" t="inlineStr">
        <is>
          <t>Cell</t>
        </is>
      </c>
    </row>
    <row r="136">
      <c r="A136" s="20" t="inlineStr"/>
      <c r="B136" s="20" t="inlineStr">
        <is>
          <t>LT: 7 wk</t>
        </is>
      </c>
      <c r="C136" s="21" t="n">
        <v>46125</v>
      </c>
      <c r="D136" s="21" t="n">
        <v>46132</v>
      </c>
      <c r="E136" s="21" t="n">
        <v>46139</v>
      </c>
      <c r="F136" s="21" t="n">
        <v>46146</v>
      </c>
      <c r="G136" s="21" t="n">
        <v>46153</v>
      </c>
    </row>
    <row r="137">
      <c r="A137" s="2" t="inlineStr">
        <is>
          <t>Gross requirements</t>
        </is>
      </c>
      <c r="B137" s="2" t="inlineStr"/>
      <c r="C137" s="18" t="n">
        <v>4000</v>
      </c>
      <c r="D137" s="18" t="n">
        <v>5000</v>
      </c>
      <c r="E137" s="18" t="n">
        <v>4060</v>
      </c>
      <c r="F137" s="18" t="n">
        <v>6000</v>
      </c>
      <c r="G137" s="18" t="n">
        <v>5000</v>
      </c>
    </row>
    <row r="138">
      <c r="A138" s="2" t="inlineStr">
        <is>
          <t>Scheduled receipts</t>
        </is>
      </c>
      <c r="B138" s="2" t="inlineStr"/>
      <c r="C138" s="2" t="n">
        <v>21000</v>
      </c>
      <c r="D138" s="2" t="inlineStr"/>
      <c r="E138" s="2" t="inlineStr"/>
      <c r="F138" s="2" t="inlineStr"/>
      <c r="G138" s="2" t="inlineStr"/>
    </row>
    <row r="139">
      <c r="A139" s="2" t="inlineStr">
        <is>
          <t>Projected on hand</t>
        </is>
      </c>
      <c r="B139" s="18" t="n">
        <v>20000</v>
      </c>
      <c r="C139" s="18" t="n">
        <v>37000</v>
      </c>
      <c r="D139" s="18" t="n">
        <v>32000</v>
      </c>
      <c r="E139" s="18" t="n">
        <v>27940</v>
      </c>
      <c r="F139" s="18" t="n">
        <v>21940</v>
      </c>
      <c r="G139" s="18" t="n">
        <v>16940</v>
      </c>
    </row>
    <row r="140">
      <c r="A140" s="2" t="inlineStr">
        <is>
          <t>Net requirements</t>
        </is>
      </c>
      <c r="B140" s="2" t="inlineStr"/>
      <c r="C140" s="2" t="inlineStr"/>
      <c r="D140" s="2" t="inlineStr"/>
      <c r="E140" s="2" t="inlineStr"/>
      <c r="F140" s="2" t="inlineStr"/>
      <c r="G140" s="2" t="inlineStr"/>
    </row>
    <row r="141">
      <c r="A141" s="2" t="inlineStr">
        <is>
          <t>Planned order receipts</t>
        </is>
      </c>
      <c r="B141" s="2" t="inlineStr"/>
      <c r="C141" s="2" t="inlineStr"/>
      <c r="D141" s="2" t="inlineStr"/>
      <c r="E141" s="2" t="inlineStr"/>
      <c r="F141" s="2" t="inlineStr"/>
      <c r="G141" s="2" t="inlineStr"/>
    </row>
    <row r="142">
      <c r="A142" s="2" t="inlineStr">
        <is>
          <t>Planned order releases</t>
        </is>
      </c>
      <c r="B142" s="2" t="inlineStr"/>
      <c r="C142" s="2" t="inlineStr"/>
      <c r="D142" s="2" t="inlineStr"/>
      <c r="E142" s="2" t="inlineStr"/>
      <c r="F142" s="2" t="inlineStr"/>
      <c r="G1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2026-04-15T07:14:02Z</dcterms:created>
  <dcterms:modified xmlns:dcterms="http://purl.org/dc/terms/" xmlns:xsi="http://www.w3.org/2001/XMLSchema-instance" xsi:type="dcterms:W3CDTF">2026-04-15T07:33:58Z</dcterms:modified>
</cp:coreProperties>
</file>