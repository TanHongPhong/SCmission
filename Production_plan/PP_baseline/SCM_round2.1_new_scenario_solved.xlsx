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9" autoFilterDateGrouping="1"/>
  </bookViews>
  <sheets>
    <sheet name="Production Plan_new scenario" sheetId="1" state="visible" r:id="rId1"/>
  </sheets>
  <externalReferences>
    <externalReference r:id="rId2"/>
    <externalReference r:id="rId3"/>
  </externalReferences>
  <definedNames>
    <definedName name="Type">#REF!</definedName>
    <definedName name="Type" localSheetId="0">#REF!</definedName>
  </definedNames>
  <calcPr calcId="191028" calcMode="auto" fullCalcOnLoad="1"/>
</workbook>
</file>

<file path=xl/styles.xml><?xml version="1.0" encoding="utf-8"?>
<styleSheet xmlns="http://schemas.openxmlformats.org/spreadsheetml/2006/main">
  <numFmts count="10">
    <numFmt numFmtId="164" formatCode="_(* #,##0_);_(* \(#,##0\);_(* &quot;-&quot;??_);_(@_)"/>
    <numFmt numFmtId="165" formatCode="_(&quot;$&quot;* #,##0_);_(&quot;$&quot;* \(#,##0\);_(&quot;$&quot;* &quot;-&quot;??_);_(@_)"/>
    <numFmt numFmtId="166" formatCode="0.##"/>
    <numFmt numFmtId="167" formatCode="0.###"/>
    <numFmt numFmtId="168" formatCode="0.0%"/>
    <numFmt numFmtId="169" formatCode="dd/mm"/>
    <numFmt numFmtId="170" formatCode="_(* #,##0_);_(* \(#,##0\);_(* \-??_);_(@_)"/>
    <numFmt numFmtId="171" formatCode="m/d/yyyy"/>
    <numFmt numFmtId="172" formatCode="_-* #,##0_-;\-* #,##0_-;_-* &quot;-&quot;_-;_-@_-"/>
    <numFmt numFmtId="173" formatCode="_(&quot;$&quot;* #,##0.00_);_(&quot;$&quot;* \(#,##0.00\);_(&quot;$&quot;* &quot;-&quot;??_);_(@_)"/>
  </numFmts>
  <fonts count="43">
    <font>
      <name val="Aptos Narrow"/>
      <family val="2"/>
      <color theme="1"/>
      <sz val="11"/>
      <scheme val="minor"/>
    </font>
    <font>
      <name val="Aptos Narrow"/>
      <family val="2"/>
      <b val="1"/>
      <i val="1"/>
      <color theme="1"/>
      <sz val="11"/>
      <u val="single"/>
      <scheme val="minor"/>
    </font>
    <font>
      <name val="Arial"/>
      <family val="2"/>
      <b val="1"/>
      <color theme="0"/>
      <sz val="10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</font>
    <font>
      <name val="Aptos Narrow"/>
      <family val="2"/>
      <b val="1"/>
      <color rgb="FF000000"/>
      <sz val="11"/>
    </font>
    <font>
      <name val="Aptos Narrow"/>
      <family val="2"/>
      <b val="1"/>
      <sz val="11"/>
    </font>
    <font>
      <name val="Aptos Narrow"/>
      <charset val="1"/>
      <family val="2"/>
      <color theme="4" tint="-0.249977111117893"/>
      <sz val="11"/>
    </font>
    <font>
      <name val="Aptos Narrow"/>
      <charset val="1"/>
      <family val="2"/>
      <b val="1"/>
      <color theme="1"/>
      <sz val="11"/>
    </font>
    <font>
      <name val="Aptos Narrow"/>
      <charset val="1"/>
      <family val="2"/>
      <color rgb="FF242424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Aptos Narrow"/>
      <family val="2"/>
      <color theme="1"/>
      <sz val="11"/>
    </font>
    <font>
      <name val="Aptos Narrow"/>
      <family val="2"/>
      <b val="1"/>
      <color theme="0"/>
      <sz val="11"/>
      <scheme val="minor"/>
    </font>
    <font>
      <name val="Aptos Narrow"/>
      <family val="2"/>
      <color theme="0"/>
      <sz val="11"/>
      <scheme val="minor"/>
    </font>
    <font>
      <name val="Aptos Narrow"/>
      <charset val="1"/>
      <family val="2"/>
      <color theme="1"/>
      <sz val="11"/>
    </font>
    <font>
      <name val="Times New Roman"/>
      <charset val="1"/>
      <family val="1"/>
      <b val="1"/>
      <color theme="0"/>
      <sz val="16"/>
    </font>
    <font>
      <name val="Times New Roman"/>
      <charset val="1"/>
      <family val="1"/>
      <b val="1"/>
      <color theme="0"/>
      <sz val="13"/>
    </font>
    <font>
      <name val="Times New Roman"/>
      <charset val="1"/>
      <family val="1"/>
      <b val="1"/>
      <color rgb="FF2E75B5"/>
      <sz val="13"/>
    </font>
    <font>
      <name val="Times New Roman"/>
      <charset val="1"/>
      <family val="1"/>
      <color rgb="FF000000"/>
      <sz val="13"/>
    </font>
    <font>
      <name val="Times New Roman"/>
      <charset val="1"/>
      <family val="1"/>
      <b val="1"/>
      <color theme="1"/>
      <sz val="13"/>
    </font>
    <font>
      <name val="Times New Roman"/>
      <charset val="1"/>
      <family val="1"/>
      <color theme="1"/>
      <sz val="13"/>
    </font>
    <font>
      <name val="Times New Roman"/>
      <charset val="1"/>
      <family val="1"/>
      <b val="1"/>
      <color theme="0"/>
      <sz val="15"/>
    </font>
    <font>
      <name val="Times New Roman"/>
      <charset val="1"/>
      <family val="1"/>
      <b val="1"/>
      <color rgb="FF000000"/>
      <sz val="13"/>
    </font>
    <font>
      <name val="Aptos Narrow"/>
      <family val="2"/>
      <color theme="1"/>
      <sz val="12"/>
    </font>
    <font>
      <name val="Times New Roman"/>
      <charset val="1"/>
      <family val="1"/>
      <color rgb="FF0000FF"/>
      <sz val="13"/>
    </font>
    <font>
      <name val="Calibri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rgb="FF0000FF"/>
      <sz val="11"/>
    </font>
    <font>
      <name val="Aptos Narrow"/>
      <family val="2"/>
      <i val="1"/>
      <color rgb="FF7F7F7F"/>
      <sz val="11"/>
    </font>
    <font>
      <name val="Times New Roman"/>
      <family val="1"/>
      <b val="1"/>
      <color theme="0"/>
      <sz val="14"/>
    </font>
    <font>
      <name val="Times New Roman"/>
      <family val="1"/>
      <b val="1"/>
      <color rgb="FF000000"/>
      <sz val="13"/>
    </font>
    <font>
      <name val="Times New Roman"/>
      <family val="1"/>
      <color rgb="FF000000"/>
      <sz val="13"/>
    </font>
    <font>
      <name val="Times New Roman"/>
      <family val="1"/>
      <color rgb="FF0000FF"/>
      <sz val="13"/>
    </font>
    <font>
      <name val="Times New Roman"/>
      <family val="1"/>
      <b val="1"/>
      <color rgb="FFFFFFFF"/>
      <sz val="13"/>
    </font>
    <font>
      <name val="Times New Roman"/>
      <family val="1"/>
      <color theme="1"/>
      <sz val="13"/>
    </font>
    <font>
      <name val="Times New Roman"/>
      <family val="1"/>
      <b val="1"/>
      <color theme="0"/>
      <sz val="13"/>
    </font>
    <font>
      <name val="Times New Roman"/>
      <family val="1"/>
      <b val="1"/>
      <color theme="4"/>
      <sz val="13"/>
    </font>
    <font>
      <name val="Times New Roman"/>
      <family val="1"/>
      <color indexed="12"/>
      <sz val="13"/>
    </font>
    <font>
      <b val="1"/>
    </font>
  </fonts>
  <fills count="33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1F4E78"/>
      </patternFill>
    </fill>
    <fill>
      <patternFill patternType="solid">
        <fgColor rgb="FF808080"/>
      </patternFill>
    </fill>
    <fill>
      <patternFill patternType="solid">
        <fgColor rgb="FFD9EAD3"/>
      </patternFill>
    </fill>
    <fill>
      <patternFill patternType="solid">
        <fgColor theme="4" tint="0.7998901333658864"/>
        <bgColor rgb="FFCAEEFB"/>
      </patternFill>
    </fill>
    <fill>
      <patternFill patternType="solid">
        <fgColor rgb="FFB3E5A1"/>
        <bgColor rgb="FFC1F0C8"/>
      </patternFill>
    </fill>
    <fill>
      <patternFill patternType="solid">
        <fgColor rgb="FFC1F0C8"/>
        <bgColor rgb="FFD9EAD3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88708151493882"/>
        <bgColor rgb="FF084F6B"/>
      </patternFill>
    </fill>
    <fill>
      <patternFill patternType="solid">
        <fgColor theme="3" tint="0.499893185216834"/>
        <bgColor rgb="FF46B1E1"/>
      </patternFill>
    </fill>
    <fill>
      <patternFill patternType="solid">
        <fgColor theme="4" tint="0.3998840296639912"/>
        <bgColor rgb="FF4E95D9"/>
      </patternFill>
    </fill>
    <fill>
      <patternFill patternType="solid">
        <fgColor rgb="FFDEEAF6"/>
        <bgColor rgb="FFEAEEF3"/>
      </patternFill>
    </fill>
    <fill>
      <patternFill patternType="solid">
        <fgColor rgb="FFEAEEF3"/>
        <bgColor rgb="FFE8E8E8"/>
      </patternFill>
    </fill>
    <fill>
      <patternFill patternType="solid">
        <fgColor theme="2"/>
        <bgColor rgb="FFEAEEF3"/>
      </patternFill>
    </fill>
    <fill>
      <patternFill patternType="solid">
        <fgColor theme="3" tint="0.249885555589465"/>
        <bgColor rgb="FF2E75B5"/>
      </patternFill>
    </fill>
    <fill>
      <patternFill patternType="solid">
        <fgColor theme="7" tint="-0.499984740745262"/>
        <bgColor rgb="FF163E64"/>
      </patternFill>
    </fill>
    <fill>
      <patternFill patternType="solid">
        <fgColor rgb="FF0070C0"/>
        <bgColor rgb="FF008080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8901333658864"/>
        <bgColor rgb="FFDEEAF6"/>
      </patternFill>
    </fill>
    <fill>
      <patternFill patternType="solid">
        <fgColor rgb="FF1F4E5F"/>
      </patternFill>
    </fill>
    <fill>
      <patternFill patternType="solid">
        <fgColor rgb="FFD9E1E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0D7DE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C9C9C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0" tint="-0.1499984740745262"/>
      </top>
      <bottom/>
      <diagonal/>
    </border>
    <border>
      <left/>
      <right style="thin">
        <color theme="0" tint="-0.1499984740745262"/>
      </right>
      <top style="thin">
        <color theme="0" tint="-0.1499984740745262"/>
      </top>
      <bottom/>
      <diagonal/>
    </border>
    <border>
      <left style="thin">
        <color theme="0" tint="-0.1499984740745262"/>
      </left>
      <right/>
      <top/>
      <bottom style="thin">
        <color theme="0" tint="-0.1499984740745262"/>
      </bottom>
      <diagonal/>
    </border>
    <border>
      <left/>
      <right/>
      <top/>
      <bottom style="thin">
        <color theme="0" tint="-0.1499984740745262"/>
      </bottom>
      <diagonal/>
    </border>
    <border>
      <left/>
      <right style="thin">
        <color theme="0" tint="-0.1499984740745262"/>
      </right>
      <top/>
      <bottom style="thin">
        <color theme="0" tint="-0.1499984740745262"/>
      </bottom>
      <diagonal/>
    </border>
    <border>
      <left style="thin">
        <color rgb="FF95A5A6"/>
      </left>
      <right style="thin">
        <color rgb="FF95A5A6"/>
      </right>
      <top style="thin">
        <color rgb="FF95A5A6"/>
      </top>
      <bottom style="thin">
        <color rgb="FF95A5A6"/>
      </bottom>
      <diagonal/>
    </border>
    <border>
      <left/>
      <right/>
      <top style="thin">
        <color theme="0" tint="-0.1499984740745262"/>
      </top>
      <bottom style="thin">
        <color theme="0" tint="-0.1499984740745262"/>
      </bottom>
      <diagonal/>
    </border>
    <border>
      <left/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95A5A6"/>
      </left>
      <right/>
      <top style="thin">
        <color rgb="FF95A5A6"/>
      </top>
      <bottom style="thin">
        <color rgb="FF95A5A6"/>
      </bottom>
      <diagonal/>
    </border>
    <border>
      <left/>
      <right/>
      <top style="thin">
        <color rgb="FF95A5A6"/>
      </top>
      <bottom style="thin">
        <color rgb="FF95A5A6"/>
      </bottom>
      <diagonal/>
    </border>
    <border>
      <left/>
      <right style="thin">
        <color rgb="FF95A5A6"/>
      </right>
      <top style="thin">
        <color rgb="FF95A5A6"/>
      </top>
      <bottom style="thin">
        <color rgb="FF95A5A6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theme="0" tint="-0.1499984740745262"/>
      </left>
      <right/>
      <top/>
      <bottom/>
      <diagonal/>
    </border>
    <border>
      <left/>
      <right style="thin">
        <color theme="0" tint="-0.1499984740745262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95A5A6"/>
      </top>
      <bottom/>
      <diagonal/>
    </border>
    <border>
      <left/>
      <right style="thin">
        <color rgb="FF95A5A6"/>
      </right>
      <top style="thin">
        <color rgb="FF95A5A6"/>
      </top>
      <bottom/>
      <diagonal/>
    </border>
  </borders>
  <cellStyleXfs count="6">
    <xf numFmtId="0" fontId="3" fillId="0" borderId="0"/>
    <xf numFmtId="43" fontId="3" fillId="0" borderId="0"/>
    <xf numFmtId="173" fontId="3" fillId="0" borderId="0"/>
    <xf numFmtId="0" fontId="18" fillId="0" borderId="0"/>
    <xf numFmtId="0" fontId="27" fillId="0" borderId="0"/>
    <xf numFmtId="41" fontId="3" fillId="0" borderId="0"/>
  </cellStyleXfs>
  <cellXfs count="20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3" borderId="2" pivotButton="0" quotePrefix="0" xfId="0"/>
    <xf numFmtId="14" fontId="0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4" fontId="0" fillId="0" borderId="3" pivotButton="0" quotePrefix="0" xfId="0"/>
    <xf numFmtId="164" fontId="0" fillId="0" borderId="3" pivotButton="0" quotePrefix="0" xfId="0"/>
    <xf numFmtId="14" fontId="0" fillId="0" borderId="4" pivotButton="0" quotePrefix="0" xfId="0"/>
    <xf numFmtId="164" fontId="0" fillId="0" borderId="4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/>
    </xf>
    <xf numFmtId="164" fontId="0" fillId="0" borderId="0" pivotButton="0" quotePrefix="0" xfId="0"/>
    <xf numFmtId="43" fontId="0" fillId="0" borderId="0" pivotButton="0" quotePrefix="0" xfId="1"/>
    <xf numFmtId="0" fontId="0" fillId="0" borderId="0" applyAlignment="1" pivotButton="0" quotePrefix="0" xfId="0">
      <alignment horizontal="left"/>
    </xf>
    <xf numFmtId="0" fontId="0" fillId="4" borderId="0" pivotButton="0" quotePrefix="0" xfId="0"/>
    <xf numFmtId="43" fontId="0" fillId="4" borderId="0" applyAlignment="1" pivotButton="0" quotePrefix="0" xfId="1">
      <alignment wrapText="1"/>
    </xf>
    <xf numFmtId="43" fontId="0" fillId="0" borderId="0" pivotButton="0" quotePrefix="0" xfId="0"/>
    <xf numFmtId="0" fontId="4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5" fontId="0" fillId="0" borderId="6" pivotButton="0" quotePrefix="0" xfId="2"/>
    <xf numFmtId="0" fontId="0" fillId="0" borderId="7" pivotButton="0" quotePrefix="0" xfId="0"/>
    <xf numFmtId="0" fontId="4" fillId="0" borderId="6" pivotButton="0" quotePrefix="0" xfId="0"/>
    <xf numFmtId="0" fontId="0" fillId="0" borderId="5" applyAlignment="1" pivotButton="0" quotePrefix="0" xfId="0">
      <alignment wrapText="1"/>
    </xf>
    <xf numFmtId="164" fontId="0" fillId="0" borderId="6" pivotButton="0" quotePrefix="0" xfId="1"/>
    <xf numFmtId="0" fontId="0" fillId="5" borderId="0" pivotButton="0" quotePrefix="0" xfId="0"/>
    <xf numFmtId="14" fontId="0" fillId="0" borderId="0" pivotButton="0" quotePrefix="0" xfId="0"/>
    <xf numFmtId="14" fontId="0" fillId="3" borderId="2" pivotButton="0" quotePrefix="0" xfId="0"/>
    <xf numFmtId="0" fontId="0" fillId="0" borderId="1" applyAlignment="1" pivotButton="0" quotePrefix="0" xfId="0">
      <alignment horizontal="right" wrapText="1"/>
    </xf>
    <xf numFmtId="0" fontId="0" fillId="0" borderId="1" applyAlignment="1" pivotButton="0" quotePrefix="0" xfId="0">
      <alignment wrapText="1"/>
    </xf>
    <xf numFmtId="0" fontId="5" fillId="6" borderId="12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14" fontId="0" fillId="0" borderId="12" pivotButton="0" quotePrefix="0" xfId="0"/>
    <xf numFmtId="166" fontId="0" fillId="0" borderId="12" pivotButton="0" quotePrefix="0" xfId="0"/>
    <xf numFmtId="0" fontId="7" fillId="8" borderId="0" applyAlignment="1" pivotButton="0" quotePrefix="0" xfId="0">
      <alignment horizontal="center"/>
    </xf>
    <xf numFmtId="167" fontId="0" fillId="0" borderId="0" pivotButton="0" quotePrefix="0" xfId="0"/>
    <xf numFmtId="0" fontId="8" fillId="9" borderId="0" pivotButton="0" quotePrefix="0" xfId="0"/>
    <xf numFmtId="0" fontId="8" fillId="0" borderId="0" pivotButton="0" quotePrefix="0" xfId="0"/>
    <xf numFmtId="0" fontId="9" fillId="10" borderId="1" applyAlignment="1" pivotButton="0" quotePrefix="0" xfId="0">
      <alignment horizontal="center" wrapText="1"/>
    </xf>
    <xf numFmtId="0" fontId="9" fillId="0" borderId="1" applyAlignment="1" pivotButton="0" quotePrefix="0" xfId="0">
      <alignment wrapText="1"/>
    </xf>
    <xf numFmtId="0" fontId="0" fillId="0" borderId="11" pivotButton="0" quotePrefix="0" xfId="0"/>
    <xf numFmtId="0" fontId="9" fillId="11" borderId="1" applyAlignment="1" pivotButton="0" quotePrefix="0" xfId="0">
      <alignment wrapText="1"/>
    </xf>
    <xf numFmtId="14" fontId="9" fillId="11" borderId="1" applyAlignment="1" pivotButton="0" quotePrefix="0" xfId="0">
      <alignment horizontal="right" wrapText="1"/>
    </xf>
    <xf numFmtId="14" fontId="9" fillId="11" borderId="9" applyAlignment="1" pivotButton="0" quotePrefix="0" xfId="0">
      <alignment horizontal="right" wrapText="1"/>
    </xf>
    <xf numFmtId="14" fontId="9" fillId="0" borderId="0" applyAlignment="1" pivotButton="0" quotePrefix="0" xfId="0">
      <alignment horizontal="right" wrapText="1"/>
    </xf>
    <xf numFmtId="0" fontId="10" fillId="0" borderId="1" applyAlignment="1" pivotButton="0" quotePrefix="0" xfId="0">
      <alignment wrapText="1"/>
    </xf>
    <xf numFmtId="0" fontId="11" fillId="6" borderId="13" applyAlignment="1" pivotButton="0" quotePrefix="0" xfId="0">
      <alignment horizontal="center" vertical="center" wrapText="1"/>
    </xf>
    <xf numFmtId="0" fontId="12" fillId="12" borderId="13" applyAlignment="1" pivotButton="0" quotePrefix="0" xfId="0">
      <alignment horizontal="center" vertical="center" wrapText="1"/>
    </xf>
    <xf numFmtId="0" fontId="13" fillId="0" borderId="13" applyAlignment="1" pivotButton="0" quotePrefix="0" xfId="0">
      <alignment vertical="top" wrapText="1"/>
    </xf>
    <xf numFmtId="0" fontId="13" fillId="0" borderId="13" pivotButton="0" quotePrefix="0" xfId="0"/>
    <xf numFmtId="14" fontId="13" fillId="0" borderId="13" pivotButton="0" quotePrefix="0" xfId="0"/>
    <xf numFmtId="3" fontId="13" fillId="0" borderId="13" applyAlignment="1" pivotButton="0" quotePrefix="0" xfId="0">
      <alignment vertical="top" wrapText="1"/>
    </xf>
    <xf numFmtId="3" fontId="13" fillId="0" borderId="13" pivotButton="0" quotePrefix="0" xfId="0"/>
    <xf numFmtId="168" fontId="13" fillId="0" borderId="13" pivotButton="0" quotePrefix="0" xfId="0"/>
    <xf numFmtId="0" fontId="14" fillId="13" borderId="0" pivotButton="0" quotePrefix="0" xfId="0"/>
    <xf numFmtId="0" fontId="0" fillId="0" borderId="13" applyAlignment="1" pivotButton="0" quotePrefix="0" xfId="0">
      <alignment vertical="top" wrapText="1"/>
    </xf>
    <xf numFmtId="0" fontId="0" fillId="0" borderId="9" applyAlignment="1" pivotButton="0" quotePrefix="0" xfId="0">
      <alignment wrapText="1"/>
    </xf>
    <xf numFmtId="0" fontId="0" fillId="0" borderId="9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166" fontId="15" fillId="0" borderId="12" pivotButton="0" quotePrefix="0" xfId="0"/>
    <xf numFmtId="0" fontId="16" fillId="14" borderId="1" pivotButton="0" quotePrefix="0" xfId="0"/>
    <xf numFmtId="14" fontId="17" fillId="14" borderId="0" pivotButton="0" quotePrefix="0" xfId="0"/>
    <xf numFmtId="14" fontId="16" fillId="14" borderId="8" pivotButton="0" quotePrefix="0" xfId="0"/>
    <xf numFmtId="0" fontId="17" fillId="14" borderId="0" pivotButton="0" quotePrefix="0" xfId="0"/>
    <xf numFmtId="0" fontId="18" fillId="0" borderId="0" pivotButton="0" quotePrefix="0" xfId="3"/>
    <xf numFmtId="0" fontId="20" fillId="17" borderId="1" applyAlignment="1" pivotButton="0" quotePrefix="0" xfId="3">
      <alignment horizontal="center" vertical="center" wrapText="1"/>
    </xf>
    <xf numFmtId="0" fontId="21" fillId="18" borderId="14" applyAlignment="1" pivotButton="0" quotePrefix="0" xfId="3">
      <alignment horizontal="left" vertical="center"/>
    </xf>
    <xf numFmtId="0" fontId="23" fillId="20" borderId="1" applyAlignment="1" pivotButton="0" quotePrefix="0" xfId="3">
      <alignment vertical="center" wrapText="1"/>
    </xf>
    <xf numFmtId="14" fontId="24" fillId="20" borderId="1" applyAlignment="1" pivotButton="0" quotePrefix="0" xfId="3">
      <alignment horizontal="right" vertical="center" wrapText="1"/>
    </xf>
    <xf numFmtId="0" fontId="24" fillId="20" borderId="1" applyAlignment="1" pivotButton="0" quotePrefix="0" xfId="3">
      <alignment horizontal="center" vertical="center" wrapText="1"/>
    </xf>
    <xf numFmtId="0" fontId="24" fillId="20" borderId="1" applyAlignment="1" pivotButton="0" quotePrefix="0" xfId="3">
      <alignment vertical="center" wrapText="1"/>
    </xf>
    <xf numFmtId="0" fontId="21" fillId="18" borderId="14" applyAlignment="1" pivotButton="0" quotePrefix="0" xfId="3">
      <alignment horizontal="left"/>
    </xf>
    <xf numFmtId="0" fontId="21" fillId="18" borderId="14" applyAlignment="1" pivotButton="0" quotePrefix="0" xfId="3">
      <alignment horizontal="left" vertical="center" wrapText="1"/>
    </xf>
    <xf numFmtId="0" fontId="21" fillId="18" borderId="1" applyAlignment="1" pivotButton="0" quotePrefix="0" xfId="3">
      <alignment horizontal="center" vertical="center" wrapText="1"/>
    </xf>
    <xf numFmtId="0" fontId="26" fillId="19" borderId="1" applyAlignment="1" pivotButton="0" quotePrefix="0" xfId="3">
      <alignment horizontal="left" vertical="center" wrapText="1"/>
    </xf>
    <xf numFmtId="3" fontId="26" fillId="19" borderId="1" applyAlignment="1" pivotButton="0" quotePrefix="0" xfId="3">
      <alignment horizontal="center" vertical="center"/>
    </xf>
    <xf numFmtId="3" fontId="22" fillId="19" borderId="1" applyAlignment="1" pivotButton="0" quotePrefix="0" xfId="3">
      <alignment horizontal="right" vertical="center"/>
    </xf>
    <xf numFmtId="3" fontId="26" fillId="19" borderId="1" applyAlignment="1" pivotButton="0" quotePrefix="0" xfId="3">
      <alignment horizontal="right" vertical="center" wrapText="1"/>
    </xf>
    <xf numFmtId="0" fontId="22" fillId="19" borderId="1" applyAlignment="1" pivotButton="0" quotePrefix="0" xfId="3">
      <alignment horizontal="center" vertical="center" wrapText="1"/>
    </xf>
    <xf numFmtId="0" fontId="22" fillId="19" borderId="1" applyAlignment="1" pivotButton="0" quotePrefix="0" xfId="3">
      <alignment horizontal="left" vertical="center" wrapText="1"/>
    </xf>
    <xf numFmtId="14" fontId="22" fillId="19" borderId="1" applyAlignment="1" pivotButton="0" quotePrefix="0" xfId="3">
      <alignment horizontal="right" vertical="center"/>
    </xf>
    <xf numFmtId="169" fontId="21" fillId="18" borderId="16" applyAlignment="1" pivotButton="0" quotePrefix="0" xfId="4">
      <alignment horizontal="center" vertical="center"/>
    </xf>
    <xf numFmtId="0" fontId="22" fillId="19" borderId="16" applyAlignment="1" pivotButton="0" quotePrefix="0" xfId="4">
      <alignment horizontal="center" vertical="center" wrapText="1"/>
    </xf>
    <xf numFmtId="0" fontId="22" fillId="19" borderId="16" applyAlignment="1" pivotButton="0" quotePrefix="0" xfId="4">
      <alignment horizontal="left" vertical="center" wrapText="1"/>
    </xf>
    <xf numFmtId="3" fontId="22" fillId="19" borderId="16" applyAlignment="1" pivotButton="0" quotePrefix="0" xfId="4">
      <alignment horizontal="right"/>
    </xf>
    <xf numFmtId="14" fontId="22" fillId="19" borderId="16" applyAlignment="1" pivotButton="0" quotePrefix="0" xfId="4">
      <alignment horizontal="center"/>
    </xf>
    <xf numFmtId="3" fontId="28" fillId="19" borderId="16" applyAlignment="1" pivotButton="0" quotePrefix="0" xfId="4">
      <alignment horizontal="right"/>
    </xf>
    <xf numFmtId="3" fontId="22" fillId="19" borderId="16" applyAlignment="1" pivotButton="0" quotePrefix="0" xfId="4">
      <alignment horizontal="center" vertical="center" wrapText="1"/>
    </xf>
    <xf numFmtId="3" fontId="22" fillId="19" borderId="16" applyAlignment="1" pivotButton="0" quotePrefix="0" xfId="4">
      <alignment horizontal="center"/>
    </xf>
    <xf numFmtId="49" fontId="22" fillId="19" borderId="16" applyAlignment="1" pivotButton="0" quotePrefix="0" xfId="4">
      <alignment horizontal="center" vertical="center"/>
    </xf>
    <xf numFmtId="3" fontId="22" fillId="19" borderId="16" applyAlignment="1" pivotButton="0" quotePrefix="0" xfId="4">
      <alignment horizontal="center" vertical="center"/>
    </xf>
    <xf numFmtId="0" fontId="29" fillId="6" borderId="0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24" borderId="0" applyAlignment="1" pivotButton="0" quotePrefix="0" xfId="0">
      <alignment vertical="center" wrapText="1"/>
    </xf>
    <xf numFmtId="0" fontId="0" fillId="24" borderId="0" applyAlignment="1" pivotButton="0" quotePrefix="0" xfId="0">
      <alignment horizontal="right" vertical="center" wrapText="1"/>
    </xf>
    <xf numFmtId="0" fontId="11" fillId="0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18" fillId="25" borderId="1" pivotButton="0" quotePrefix="0" xfId="3"/>
    <xf numFmtId="0" fontId="18" fillId="25" borderId="2" pivotButton="0" quotePrefix="0" xfId="3"/>
    <xf numFmtId="0" fontId="18" fillId="0" borderId="1" pivotButton="0" quotePrefix="0" xfId="3"/>
    <xf numFmtId="170" fontId="18" fillId="0" borderId="1" pivotButton="0" quotePrefix="0" xfId="3"/>
    <xf numFmtId="171" fontId="18" fillId="0" borderId="3" pivotButton="0" quotePrefix="0" xfId="3"/>
    <xf numFmtId="170" fontId="18" fillId="0" borderId="3" pivotButton="0" quotePrefix="0" xfId="3"/>
    <xf numFmtId="171" fontId="18" fillId="0" borderId="1" pivotButton="0" quotePrefix="0" xfId="3"/>
    <xf numFmtId="171" fontId="18" fillId="0" borderId="4" pivotButton="0" quotePrefix="0" xfId="3"/>
    <xf numFmtId="170" fontId="18" fillId="0" borderId="4" pivotButton="0" quotePrefix="0" xfId="3"/>
    <xf numFmtId="0" fontId="19" fillId="0" borderId="0" applyAlignment="1" pivotButton="0" quotePrefix="0" xfId="3">
      <alignment vertical="center" wrapText="1"/>
    </xf>
    <xf numFmtId="0" fontId="21" fillId="0" borderId="0" applyAlignment="1" pivotButton="0" quotePrefix="0" xfId="3">
      <alignment horizontal="center" vertical="center" wrapText="1"/>
    </xf>
    <xf numFmtId="0" fontId="26" fillId="0" borderId="0" applyAlignment="1" pivotButton="0" quotePrefix="0" xfId="3">
      <alignment horizontal="left" vertical="center" wrapText="1"/>
    </xf>
    <xf numFmtId="3" fontId="22" fillId="0" borderId="0" applyAlignment="1" pivotButton="0" quotePrefix="0" xfId="3">
      <alignment horizontal="right" vertical="center"/>
    </xf>
    <xf numFmtId="0" fontId="30" fillId="0" borderId="0" applyAlignment="1" pivotButton="0" quotePrefix="0" xfId="0">
      <alignment vertical="center" wrapText="1"/>
    </xf>
    <xf numFmtId="0" fontId="31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34" fillId="27" borderId="1" applyAlignment="1" pivotButton="0" quotePrefix="0" xfId="0">
      <alignment vertical="center" wrapText="1"/>
    </xf>
    <xf numFmtId="0" fontId="35" fillId="0" borderId="1" applyAlignment="1" pivotButton="0" quotePrefix="0" xfId="0">
      <alignment horizontal="left" vertical="center" wrapText="1"/>
    </xf>
    <xf numFmtId="14" fontId="35" fillId="0" borderId="1" applyAlignment="1" pivotButton="0" quotePrefix="0" xfId="0">
      <alignment horizontal="left" vertical="center" wrapText="1"/>
    </xf>
    <xf numFmtId="0" fontId="38" fillId="0" borderId="0" pivotButton="0" quotePrefix="0" xfId="0"/>
    <xf numFmtId="0" fontId="34" fillId="27" borderId="25" applyAlignment="1" pivotButton="0" quotePrefix="0" xfId="0">
      <alignment horizontal="left" vertical="center" wrapText="1"/>
    </xf>
    <xf numFmtId="0" fontId="38" fillId="0" borderId="25" applyAlignment="1" pivotButton="0" quotePrefix="0" xfId="0">
      <alignment horizontal="center" vertical="center" wrapText="1"/>
    </xf>
    <xf numFmtId="0" fontId="37" fillId="26" borderId="25" applyAlignment="1" pivotButton="0" quotePrefix="0" xfId="0">
      <alignment horizontal="center" vertical="center" wrapText="1"/>
    </xf>
    <xf numFmtId="14" fontId="38" fillId="0" borderId="25" applyAlignment="1" pivotButton="0" quotePrefix="0" xfId="0">
      <alignment horizontal="center" vertical="center" wrapText="1"/>
    </xf>
    <xf numFmtId="0" fontId="36" fillId="0" borderId="25" applyAlignment="1" pivotButton="0" quotePrefix="0" xfId="0">
      <alignment horizontal="center" vertical="center" wrapText="1"/>
    </xf>
    <xf numFmtId="169" fontId="21" fillId="18" borderId="1" applyAlignment="1" pivotButton="0" quotePrefix="0" xfId="4">
      <alignment horizontal="center" vertical="center"/>
    </xf>
    <xf numFmtId="0" fontId="22" fillId="19" borderId="1" applyAlignment="1" pivotButton="0" quotePrefix="0" xfId="4">
      <alignment horizontal="center" vertical="center" wrapText="1"/>
    </xf>
    <xf numFmtId="0" fontId="22" fillId="19" borderId="1" applyAlignment="1" pivotButton="0" quotePrefix="0" xfId="4">
      <alignment horizontal="left" vertical="center" wrapText="1"/>
    </xf>
    <xf numFmtId="3" fontId="22" fillId="19" borderId="1" applyAlignment="1" pivotButton="0" quotePrefix="0" xfId="4">
      <alignment horizontal="right"/>
    </xf>
    <xf numFmtId="14" fontId="22" fillId="19" borderId="1" applyAlignment="1" pivotButton="0" quotePrefix="0" xfId="4">
      <alignment horizontal="center"/>
    </xf>
    <xf numFmtId="3" fontId="28" fillId="19" borderId="1" applyAlignment="1" pivotButton="0" quotePrefix="0" xfId="4">
      <alignment horizontal="right"/>
    </xf>
    <xf numFmtId="3" fontId="22" fillId="19" borderId="1" applyAlignment="1" pivotButton="0" quotePrefix="0" xfId="4">
      <alignment horizontal="center" vertical="center" wrapText="1"/>
    </xf>
    <xf numFmtId="3" fontId="22" fillId="19" borderId="1" applyAlignment="1" pivotButton="0" quotePrefix="0" xfId="4">
      <alignment horizontal="center"/>
    </xf>
    <xf numFmtId="0" fontId="38" fillId="28" borderId="1" applyAlignment="1" pivotButton="0" quotePrefix="0" xfId="0">
      <alignment vertical="center" wrapText="1"/>
    </xf>
    <xf numFmtId="0" fontId="36" fillId="29" borderId="1" applyAlignment="1" pivotButton="0" quotePrefix="0" xfId="0">
      <alignment horizontal="left" vertical="center" wrapText="1"/>
    </xf>
    <xf numFmtId="3" fontId="36" fillId="29" borderId="1" applyAlignment="1" pivotButton="0" quotePrefix="0" xfId="0">
      <alignment horizontal="left" vertical="center" wrapText="1"/>
    </xf>
    <xf numFmtId="0" fontId="40" fillId="31" borderId="1" applyAlignment="1" pivotButton="0" quotePrefix="0" xfId="0">
      <alignment vertical="center" wrapText="1"/>
    </xf>
    <xf numFmtId="172" fontId="34" fillId="32" borderId="1" applyAlignment="1" pivotButton="0" quotePrefix="0" xfId="5">
      <alignment vertical="center" wrapText="1"/>
    </xf>
    <xf numFmtId="0" fontId="21" fillId="18" borderId="36" applyAlignment="1" pivotButton="0" quotePrefix="0" xfId="4">
      <alignment horizontal="center" vertical="center" wrapText="1"/>
    </xf>
    <xf numFmtId="0" fontId="21" fillId="18" borderId="17" applyAlignment="1" pivotButton="0" quotePrefix="0" xfId="4">
      <alignment horizontal="center" vertical="center" wrapText="1"/>
    </xf>
    <xf numFmtId="0" fontId="21" fillId="18" borderId="16" applyAlignment="1" pivotButton="0" quotePrefix="0" xfId="4">
      <alignment horizontal="center" vertical="center"/>
    </xf>
    <xf numFmtId="0" fontId="21" fillId="18" borderId="16" applyAlignment="1" pivotButton="0" quotePrefix="0" xfId="4">
      <alignment horizontal="center" vertical="center" wrapText="1"/>
    </xf>
    <xf numFmtId="0" fontId="19" fillId="16" borderId="19" applyAlignment="1" pivotButton="0" quotePrefix="0" xfId="3">
      <alignment horizontal="center" vertical="center" wrapText="1"/>
    </xf>
    <xf numFmtId="0" fontId="19" fillId="16" borderId="15" applyAlignment="1" pivotButton="0" quotePrefix="0" xfId="3">
      <alignment horizontal="center" vertical="center" wrapText="1"/>
    </xf>
    <xf numFmtId="0" fontId="25" fillId="22" borderId="1" applyAlignment="1" pivotButton="0" quotePrefix="0" xfId="3">
      <alignment horizontal="center" vertical="center"/>
    </xf>
    <xf numFmtId="0" fontId="19" fillId="23" borderId="1" applyAlignment="1" pivotButton="0" quotePrefix="0" xfId="3">
      <alignment horizontal="center" vertical="center"/>
    </xf>
    <xf numFmtId="171" fontId="22" fillId="19" borderId="14" applyAlignment="1" pivotButton="0" quotePrefix="0" xfId="3">
      <alignment horizontal="left" vertical="center"/>
    </xf>
    <xf numFmtId="0" fontId="19" fillId="15" borderId="14" applyAlignment="1" pivotButton="0" quotePrefix="0" xfId="3">
      <alignment horizontal="center" vertical="center"/>
    </xf>
    <xf numFmtId="0" fontId="19" fillId="16" borderId="1" applyAlignment="1" pivotButton="0" quotePrefix="0" xfId="3">
      <alignment horizontal="center" vertical="center" wrapText="1"/>
    </xf>
    <xf numFmtId="14" fontId="22" fillId="19" borderId="14" applyAlignment="1" pivotButton="0" quotePrefix="0" xfId="3">
      <alignment horizontal="left" vertical="center" wrapText="1"/>
    </xf>
    <xf numFmtId="0" fontId="22" fillId="19" borderId="14" applyAlignment="1" pivotButton="0" quotePrefix="0" xfId="3">
      <alignment horizontal="left" vertical="center" wrapText="1"/>
    </xf>
    <xf numFmtId="0" fontId="19" fillId="21" borderId="14" applyAlignment="1" pivotButton="0" quotePrefix="0" xfId="3">
      <alignment horizontal="center" vertical="center"/>
    </xf>
    <xf numFmtId="1" fontId="22" fillId="19" borderId="14" applyAlignment="1" pivotButton="0" quotePrefix="0" xfId="3">
      <alignment horizontal="left"/>
    </xf>
    <xf numFmtId="0" fontId="0" fillId="0" borderId="1" applyAlignment="1" pivotButton="0" quotePrefix="0" xfId="0">
      <alignment wrapText="1"/>
    </xf>
    <xf numFmtId="0" fontId="0" fillId="0" borderId="11" pivotButton="0" quotePrefix="0" xfId="0"/>
    <xf numFmtId="0" fontId="9" fillId="11" borderId="1" applyAlignment="1" pivotButton="0" quotePrefix="0" xfId="0">
      <alignment horizontal="center" wrapText="1"/>
    </xf>
    <xf numFmtId="0" fontId="0" fillId="0" borderId="10" pivotButton="0" quotePrefix="0" xfId="0"/>
    <xf numFmtId="0" fontId="0" fillId="0" borderId="1" applyAlignment="1" pivotButton="0" quotePrefix="0" xfId="0">
      <alignment horizontal="center" wrapText="1"/>
    </xf>
    <xf numFmtId="0" fontId="33" fillId="14" borderId="0" applyAlignment="1" pivotButton="0" quotePrefix="0" xfId="3">
      <alignment horizontal="center" vertical="center"/>
    </xf>
    <xf numFmtId="0" fontId="37" fillId="26" borderId="31" applyAlignment="1" pivotButton="0" quotePrefix="0" xfId="0">
      <alignment horizontal="center" vertical="center" wrapText="1"/>
    </xf>
    <xf numFmtId="0" fontId="37" fillId="26" borderId="32" applyAlignment="1" pivotButton="0" quotePrefix="0" xfId="0">
      <alignment horizontal="center" vertical="center" wrapText="1"/>
    </xf>
    <xf numFmtId="0" fontId="37" fillId="26" borderId="33" applyAlignment="1" pivotButton="0" quotePrefix="0" xfId="0">
      <alignment horizontal="center" vertical="center" wrapText="1"/>
    </xf>
    <xf numFmtId="0" fontId="39" fillId="14" borderId="9" applyAlignment="1" pivotButton="0" quotePrefix="0" xfId="0">
      <alignment horizontal="center" vertical="center" wrapText="1"/>
    </xf>
    <xf numFmtId="0" fontId="39" fillId="14" borderId="10" applyAlignment="1" pivotButton="0" quotePrefix="0" xfId="0">
      <alignment horizontal="center" vertical="center" wrapText="1"/>
    </xf>
    <xf numFmtId="0" fontId="39" fillId="14" borderId="11" applyAlignment="1" pivotButton="0" quotePrefix="0" xfId="0">
      <alignment horizontal="center" vertical="center" wrapText="1"/>
    </xf>
    <xf numFmtId="0" fontId="21" fillId="18" borderId="1" applyAlignment="1" pivotButton="0" quotePrefix="0" xfId="4">
      <alignment horizontal="center" vertical="center"/>
    </xf>
    <xf numFmtId="0" fontId="0" fillId="0" borderId="1" pivotButton="0" quotePrefix="0" xfId="0"/>
    <xf numFmtId="0" fontId="21" fillId="18" borderId="1" applyAlignment="1" pivotButton="0" quotePrefix="0" xfId="4">
      <alignment horizontal="center" vertical="center" wrapText="1"/>
    </xf>
    <xf numFmtId="0" fontId="39" fillId="30" borderId="1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19" pivotButton="0" quotePrefix="0" xfId="0"/>
    <xf numFmtId="0" fontId="0" fillId="0" borderId="15" pivotButton="0" quotePrefix="0" xfId="0"/>
    <xf numFmtId="0" fontId="0" fillId="0" borderId="30" pivotButton="0" quotePrefix="0" xfId="0"/>
    <xf numFmtId="0" fontId="38" fillId="0" borderId="25" applyAlignment="1" pivotButton="0" quotePrefix="0" xfId="0">
      <alignment horizontal="center" vertical="center" wrapText="1"/>
    </xf>
    <xf numFmtId="0" fontId="32" fillId="0" borderId="34" pivotButton="0" quotePrefix="0" xfId="0"/>
    <xf numFmtId="0" fontId="0" fillId="0" borderId="0" pivotButton="0" quotePrefix="0" xfId="0"/>
    <xf numFmtId="0" fontId="0" fillId="0" borderId="3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41" fillId="0" borderId="25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3" pivotButton="0" quotePrefix="0" xfId="0"/>
    <xf numFmtId="172" fontId="34" fillId="32" borderId="1" applyAlignment="1" pivotButton="0" quotePrefix="0" xfId="5">
      <alignment vertical="center" wrapText="1"/>
    </xf>
    <xf numFmtId="171" fontId="22" fillId="19" borderId="14" applyAlignment="1" pivotButton="0" quotePrefix="0" xfId="3">
      <alignment horizontal="left" vertical="center"/>
    </xf>
    <xf numFmtId="0" fontId="39" fillId="14" borderId="1" applyAlignment="1" pivotButton="0" quotePrefix="0" xfId="0">
      <alignment horizontal="center" vertical="center" wrapText="1"/>
    </xf>
    <xf numFmtId="0" fontId="0" fillId="0" borderId="3" pivotButton="0" quotePrefix="0" xfId="0"/>
    <xf numFmtId="169" fontId="21" fillId="18" borderId="1" applyAlignment="1" pivotButton="0" quotePrefix="0" xfId="4">
      <alignment horizontal="center" vertical="center"/>
    </xf>
    <xf numFmtId="0" fontId="0" fillId="0" borderId="17" pivotButton="0" quotePrefix="0" xfId="0"/>
    <xf numFmtId="0" fontId="42" fillId="0" borderId="0" pivotButton="0" quotePrefix="0" xfId="0"/>
  </cellXfs>
  <cellStyles count="6">
    <cellStyle name="Normal" xfId="0" builtinId="0"/>
    <cellStyle name="Comma" xfId="1" builtinId="3"/>
    <cellStyle name="Currency" xfId="2" builtinId="4"/>
    <cellStyle name="Normal 2" xfId="3"/>
    <cellStyle name="Normal 2 2" xfId="4"/>
    <cellStyle name="Comma [0]" xfId="5" builtinId="6"/>
  </cellStyles>
  <dxfs count="42">
    <dxf>
      <font>
        <color rgb="FF404040"/>
      </font>
      <fill>
        <patternFill>
          <bgColor rgb="FFD9E1F2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04040"/>
      </font>
      <fill>
        <patternFill>
          <bgColor rgb="FFD9E1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65911"/>
      </font>
      <fill>
        <patternFill>
          <bgColor rgb="FFFCE4D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04040"/>
      </font>
      <fill>
        <patternFill>
          <bgColor rgb="FFD9E1F2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04040"/>
      </font>
      <fill>
        <patternFill>
          <bgColor rgb="FFD9E1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65911"/>
      </font>
      <fill>
        <patternFill>
          <bgColor rgb="FFFCE4D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indexed="64"/>
          <bgColor rgb="FF0070C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numFmt numFmtId="172" formatCode="m/d/yyyy"/>
    </dxf>
    <dxf>
      <numFmt numFmtId="172" formatCode="m/d/yyyy"/>
    </dxf>
    <dxf>
      <numFmt numFmtId="166" formatCode="_(* #,##0_);_(* \(#,##0\);_(* &quot;-&quot;??_);_(@_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4" formatCode="mm/dd/yyyy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solid">
          <fgColor indexed="64"/>
          <bgColor theme="7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numFmt numFmtId="166" formatCode="_(* #,##0_);_(* \(#,##0\);_(* &quot;-&quot;??_);_(@_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4" formatCode="mm/dd/yyyy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solid">
          <fgColor indexed="64"/>
          <bgColor theme="7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DELL\Downloads\SCM26_BOM_demand_formula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DELL\Downloads\MPS_Template_for_Import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Overall Case Study"/>
      <sheetName val="Demand"/>
      <sheetName val="Sheet1"/>
      <sheetName val="weekly_demand"/>
      <sheetName val="BOM_demand"/>
      <sheetName val="MRP"/>
      <sheetName val="BOM &amp; Inventory"/>
      <sheetName val="FGs &amp; Log information 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Item name</v>
          </cell>
          <cell r="C1" t="str">
            <v>week first day</v>
          </cell>
          <cell r="D1" t="str">
            <v>Total Demand by SKU-Week</v>
          </cell>
        </row>
        <row r="2">
          <cell r="A2" t="str">
            <v>A</v>
          </cell>
          <cell r="C2">
            <v>46139</v>
          </cell>
          <cell r="D2">
            <v>684</v>
          </cell>
        </row>
        <row r="3">
          <cell r="A3" t="str">
            <v>A</v>
          </cell>
          <cell r="C3">
            <v>46146</v>
          </cell>
          <cell r="D3">
            <v>20000</v>
          </cell>
        </row>
        <row r="4">
          <cell r="A4" t="str">
            <v>A</v>
          </cell>
          <cell r="C4">
            <v>46153</v>
          </cell>
          <cell r="D4">
            <v>20000</v>
          </cell>
        </row>
        <row r="5">
          <cell r="A5" t="str">
            <v>A</v>
          </cell>
          <cell r="C5">
            <v>46160</v>
          </cell>
          <cell r="D5">
            <v>11000</v>
          </cell>
        </row>
        <row r="6">
          <cell r="A6" t="str">
            <v>A</v>
          </cell>
          <cell r="C6">
            <v>46167</v>
          </cell>
          <cell r="D6">
            <v>13000</v>
          </cell>
        </row>
        <row r="7">
          <cell r="A7" t="str">
            <v>A</v>
          </cell>
          <cell r="C7">
            <v>46174</v>
          </cell>
          <cell r="D7">
            <v>13773</v>
          </cell>
        </row>
        <row r="8">
          <cell r="A8" t="str">
            <v>A</v>
          </cell>
          <cell r="C8">
            <v>46181</v>
          </cell>
          <cell r="D8">
            <v>7058</v>
          </cell>
        </row>
        <row r="9">
          <cell r="A9" t="str">
            <v>A</v>
          </cell>
          <cell r="C9">
            <v>46188</v>
          </cell>
          <cell r="D9">
            <v>2040</v>
          </cell>
        </row>
        <row r="10">
          <cell r="A10" t="str">
            <v>A</v>
          </cell>
          <cell r="C10">
            <v>46195</v>
          </cell>
          <cell r="D10">
            <v>3541</v>
          </cell>
        </row>
        <row r="11">
          <cell r="A11" t="str">
            <v>A</v>
          </cell>
          <cell r="C11">
            <v>46202</v>
          </cell>
          <cell r="D11">
            <v>12041</v>
          </cell>
        </row>
        <row r="12">
          <cell r="A12" t="str">
            <v>A</v>
          </cell>
          <cell r="C12">
            <v>46209</v>
          </cell>
          <cell r="D12">
            <v>12040</v>
          </cell>
        </row>
        <row r="13">
          <cell r="A13" t="str">
            <v>A</v>
          </cell>
          <cell r="C13">
            <v>46230</v>
          </cell>
          <cell r="D13">
            <v>27760</v>
          </cell>
        </row>
        <row r="14">
          <cell r="A14" t="str">
            <v>A</v>
          </cell>
          <cell r="C14">
            <v>46237</v>
          </cell>
          <cell r="D14">
            <v>26486</v>
          </cell>
        </row>
        <row r="15">
          <cell r="A15" t="str">
            <v>A</v>
          </cell>
          <cell r="C15">
            <v>46244</v>
          </cell>
          <cell r="D15">
            <v>4248</v>
          </cell>
        </row>
        <row r="16">
          <cell r="A16" t="str">
            <v>A</v>
          </cell>
          <cell r="C16">
            <v>46251</v>
          </cell>
          <cell r="D16">
            <v>4248</v>
          </cell>
        </row>
        <row r="17">
          <cell r="A17" t="str">
            <v>A</v>
          </cell>
          <cell r="C17">
            <v>46258</v>
          </cell>
          <cell r="D17">
            <v>4249</v>
          </cell>
        </row>
        <row r="18">
          <cell r="A18" t="str">
            <v>A</v>
          </cell>
          <cell r="C18">
            <v>46265</v>
          </cell>
          <cell r="D18">
            <v>4248</v>
          </cell>
        </row>
        <row r="19">
          <cell r="A19" t="str">
            <v>A</v>
          </cell>
          <cell r="C19">
            <v>46272</v>
          </cell>
          <cell r="D19">
            <v>2391</v>
          </cell>
        </row>
        <row r="20">
          <cell r="A20" t="str">
            <v>A</v>
          </cell>
          <cell r="C20">
            <v>46279</v>
          </cell>
          <cell r="D20">
            <v>2392</v>
          </cell>
        </row>
        <row r="21">
          <cell r="A21" t="str">
            <v>A</v>
          </cell>
          <cell r="C21">
            <v>46286</v>
          </cell>
          <cell r="D21">
            <v>2391</v>
          </cell>
        </row>
        <row r="22">
          <cell r="A22" t="str">
            <v>A</v>
          </cell>
          <cell r="C22">
            <v>46293</v>
          </cell>
          <cell r="D22">
            <v>2392</v>
          </cell>
        </row>
        <row r="23">
          <cell r="A23" t="str">
            <v>A</v>
          </cell>
          <cell r="C23">
            <v>46300</v>
          </cell>
          <cell r="D23">
            <v>16017</v>
          </cell>
        </row>
        <row r="24">
          <cell r="A24" t="str">
            <v>A</v>
          </cell>
          <cell r="C24">
            <v>46307</v>
          </cell>
          <cell r="D24">
            <v>16017</v>
          </cell>
        </row>
        <row r="25">
          <cell r="A25" t="str">
            <v>A</v>
          </cell>
          <cell r="C25">
            <v>46314</v>
          </cell>
          <cell r="D25">
            <v>16016</v>
          </cell>
        </row>
        <row r="26">
          <cell r="A26" t="str">
            <v>A</v>
          </cell>
          <cell r="C26">
            <v>46321</v>
          </cell>
          <cell r="D26">
            <v>16017</v>
          </cell>
        </row>
        <row r="27">
          <cell r="A27" t="str">
            <v>A</v>
          </cell>
          <cell r="C27">
            <v>46328</v>
          </cell>
          <cell r="D27">
            <v>4281</v>
          </cell>
        </row>
        <row r="28">
          <cell r="A28" t="str">
            <v>A</v>
          </cell>
          <cell r="C28">
            <v>46335</v>
          </cell>
          <cell r="D28">
            <v>4282</v>
          </cell>
        </row>
        <row r="29">
          <cell r="A29" t="str">
            <v>A</v>
          </cell>
          <cell r="C29">
            <v>46342</v>
          </cell>
          <cell r="D29">
            <v>4281</v>
          </cell>
        </row>
        <row r="30">
          <cell r="A30" t="str">
            <v>A</v>
          </cell>
          <cell r="C30">
            <v>46349</v>
          </cell>
          <cell r="D30">
            <v>4282</v>
          </cell>
        </row>
        <row r="31">
          <cell r="A31" t="str">
            <v>A</v>
          </cell>
          <cell r="C31">
            <v>46356</v>
          </cell>
          <cell r="D31">
            <v>4281</v>
          </cell>
        </row>
        <row r="32">
          <cell r="A32" t="str">
            <v>A</v>
          </cell>
          <cell r="C32">
            <v>46363</v>
          </cell>
          <cell r="D32">
            <v>8326</v>
          </cell>
        </row>
        <row r="33">
          <cell r="A33" t="str">
            <v>A</v>
          </cell>
          <cell r="C33">
            <v>46370</v>
          </cell>
          <cell r="D33">
            <v>8325</v>
          </cell>
        </row>
        <row r="34">
          <cell r="A34" t="str">
            <v>B</v>
          </cell>
          <cell r="C34">
            <v>46146</v>
          </cell>
          <cell r="D34">
            <v>5502</v>
          </cell>
        </row>
        <row r="35">
          <cell r="A35" t="str">
            <v>B</v>
          </cell>
          <cell r="C35">
            <v>46153</v>
          </cell>
          <cell r="D35">
            <v>15658</v>
          </cell>
        </row>
        <row r="36">
          <cell r="A36" t="str">
            <v>B</v>
          </cell>
          <cell r="C36">
            <v>46160</v>
          </cell>
          <cell r="D36">
            <v>8865</v>
          </cell>
        </row>
        <row r="37">
          <cell r="A37" t="str">
            <v>B</v>
          </cell>
          <cell r="C37">
            <v>46167</v>
          </cell>
          <cell r="D37">
            <v>2146</v>
          </cell>
        </row>
        <row r="38">
          <cell r="A38" t="str">
            <v>B</v>
          </cell>
          <cell r="C38">
            <v>46174</v>
          </cell>
          <cell r="D38">
            <v>7123</v>
          </cell>
        </row>
        <row r="39">
          <cell r="A39" t="str">
            <v>B</v>
          </cell>
          <cell r="C39">
            <v>46181</v>
          </cell>
          <cell r="D39">
            <v>5309</v>
          </cell>
        </row>
        <row r="40">
          <cell r="A40" t="str">
            <v>B</v>
          </cell>
          <cell r="C40">
            <v>46188</v>
          </cell>
          <cell r="D40">
            <v>5309</v>
          </cell>
        </row>
        <row r="41">
          <cell r="A41" t="str">
            <v>B</v>
          </cell>
          <cell r="C41">
            <v>46195</v>
          </cell>
          <cell r="D41">
            <v>3000</v>
          </cell>
        </row>
        <row r="42">
          <cell r="A42" t="str">
            <v>B</v>
          </cell>
          <cell r="C42">
            <v>46202</v>
          </cell>
          <cell r="D42">
            <v>3000</v>
          </cell>
        </row>
        <row r="43">
          <cell r="A43" t="str">
            <v>B</v>
          </cell>
          <cell r="C43">
            <v>46209</v>
          </cell>
          <cell r="D43">
            <v>3000</v>
          </cell>
        </row>
        <row r="44">
          <cell r="A44" t="str">
            <v>B</v>
          </cell>
          <cell r="C44">
            <v>46216</v>
          </cell>
          <cell r="D44">
            <v>3000</v>
          </cell>
        </row>
        <row r="45">
          <cell r="A45" t="str">
            <v>B</v>
          </cell>
          <cell r="C45">
            <v>46223</v>
          </cell>
          <cell r="D45">
            <v>2400</v>
          </cell>
        </row>
        <row r="46">
          <cell r="A46" t="str">
            <v>B</v>
          </cell>
          <cell r="C46">
            <v>46230</v>
          </cell>
          <cell r="D46">
            <v>2400</v>
          </cell>
        </row>
        <row r="47">
          <cell r="A47" t="str">
            <v>B</v>
          </cell>
          <cell r="C47">
            <v>46244</v>
          </cell>
          <cell r="D47">
            <v>2400</v>
          </cell>
        </row>
        <row r="48">
          <cell r="A48" t="str">
            <v>B</v>
          </cell>
          <cell r="C48">
            <v>46251</v>
          </cell>
          <cell r="D48">
            <v>2400</v>
          </cell>
        </row>
        <row r="49">
          <cell r="A49" t="str">
            <v>B</v>
          </cell>
          <cell r="C49">
            <v>46258</v>
          </cell>
          <cell r="D49">
            <v>3750</v>
          </cell>
        </row>
        <row r="50">
          <cell r="A50" t="str">
            <v>B</v>
          </cell>
          <cell r="C50">
            <v>46265</v>
          </cell>
          <cell r="D50">
            <v>3750</v>
          </cell>
        </row>
        <row r="51">
          <cell r="A51" t="str">
            <v>B</v>
          </cell>
          <cell r="C51">
            <v>46272</v>
          </cell>
          <cell r="D51">
            <v>3750</v>
          </cell>
        </row>
        <row r="52">
          <cell r="A52" t="str">
            <v>B</v>
          </cell>
          <cell r="C52">
            <v>46279</v>
          </cell>
          <cell r="D52">
            <v>3750</v>
          </cell>
        </row>
        <row r="53">
          <cell r="A53" t="str">
            <v>B</v>
          </cell>
          <cell r="C53">
            <v>46286</v>
          </cell>
          <cell r="D53">
            <v>3000</v>
          </cell>
        </row>
        <row r="54">
          <cell r="A54" t="str">
            <v>B</v>
          </cell>
          <cell r="C54">
            <v>46293</v>
          </cell>
          <cell r="D54">
            <v>3000</v>
          </cell>
        </row>
        <row r="55">
          <cell r="A55" t="str">
            <v>B</v>
          </cell>
          <cell r="C55">
            <v>46300</v>
          </cell>
          <cell r="D55">
            <v>3000</v>
          </cell>
        </row>
        <row r="56">
          <cell r="A56" t="str">
            <v>B</v>
          </cell>
          <cell r="C56">
            <v>46307</v>
          </cell>
          <cell r="D56">
            <v>3000</v>
          </cell>
        </row>
        <row r="57">
          <cell r="A57" t="str">
            <v>B</v>
          </cell>
          <cell r="C57">
            <v>46314</v>
          </cell>
          <cell r="D57">
            <v>3000</v>
          </cell>
        </row>
        <row r="58">
          <cell r="A58" t="str">
            <v>B</v>
          </cell>
          <cell r="C58">
            <v>46321</v>
          </cell>
          <cell r="D58">
            <v>6250</v>
          </cell>
        </row>
        <row r="59">
          <cell r="A59" t="str">
            <v>B</v>
          </cell>
          <cell r="C59">
            <v>46328</v>
          </cell>
          <cell r="D59">
            <v>6250</v>
          </cell>
        </row>
        <row r="60">
          <cell r="A60" t="str">
            <v>B</v>
          </cell>
          <cell r="C60">
            <v>46335</v>
          </cell>
          <cell r="D60">
            <v>6250</v>
          </cell>
        </row>
        <row r="61">
          <cell r="A61" t="str">
            <v>B</v>
          </cell>
          <cell r="C61">
            <v>46342</v>
          </cell>
          <cell r="D61">
            <v>6250</v>
          </cell>
        </row>
        <row r="62">
          <cell r="A62" t="str">
            <v>B</v>
          </cell>
          <cell r="C62">
            <v>46349</v>
          </cell>
          <cell r="D62">
            <v>6250</v>
          </cell>
        </row>
        <row r="63">
          <cell r="A63" t="str">
            <v>B</v>
          </cell>
          <cell r="C63">
            <v>46356</v>
          </cell>
          <cell r="D63">
            <v>6250</v>
          </cell>
        </row>
        <row r="64">
          <cell r="A64" t="str">
            <v>B</v>
          </cell>
          <cell r="C64">
            <v>46363</v>
          </cell>
          <cell r="D64">
            <v>6250</v>
          </cell>
        </row>
        <row r="65">
          <cell r="A65" t="str">
            <v>B</v>
          </cell>
          <cell r="C65">
            <v>46370</v>
          </cell>
          <cell r="D65">
            <v>6250</v>
          </cell>
        </row>
        <row r="66">
          <cell r="A66" t="str">
            <v>C</v>
          </cell>
          <cell r="C66">
            <v>46146</v>
          </cell>
          <cell r="D66">
            <v>4320</v>
          </cell>
        </row>
        <row r="67">
          <cell r="A67" t="str">
            <v>C</v>
          </cell>
          <cell r="C67">
            <v>46153</v>
          </cell>
          <cell r="D67">
            <v>8370</v>
          </cell>
        </row>
        <row r="68">
          <cell r="A68" t="str">
            <v>C</v>
          </cell>
          <cell r="C68">
            <v>46160</v>
          </cell>
          <cell r="D68">
            <v>11782</v>
          </cell>
        </row>
        <row r="69">
          <cell r="A69" t="str">
            <v>C</v>
          </cell>
          <cell r="C69">
            <v>46167</v>
          </cell>
          <cell r="D69">
            <v>10524</v>
          </cell>
        </row>
        <row r="70">
          <cell r="A70" t="str">
            <v>C</v>
          </cell>
          <cell r="C70">
            <v>46174</v>
          </cell>
          <cell r="D70">
            <v>3240</v>
          </cell>
        </row>
        <row r="71">
          <cell r="A71" t="str">
            <v>C</v>
          </cell>
          <cell r="C71">
            <v>46181</v>
          </cell>
          <cell r="D71">
            <v>6442</v>
          </cell>
        </row>
        <row r="72">
          <cell r="A72" t="str">
            <v>C</v>
          </cell>
          <cell r="C72">
            <v>46188</v>
          </cell>
          <cell r="D72">
            <v>8802</v>
          </cell>
        </row>
        <row r="73">
          <cell r="A73" t="str">
            <v>C</v>
          </cell>
          <cell r="C73">
            <v>46195</v>
          </cell>
          <cell r="D73">
            <v>7695</v>
          </cell>
        </row>
        <row r="74">
          <cell r="A74" t="str">
            <v>C</v>
          </cell>
          <cell r="C74">
            <v>46202</v>
          </cell>
          <cell r="D74">
            <v>2500</v>
          </cell>
        </row>
        <row r="75">
          <cell r="A75" t="str">
            <v>C</v>
          </cell>
          <cell r="C75">
            <v>46209</v>
          </cell>
          <cell r="D75">
            <v>2500</v>
          </cell>
        </row>
        <row r="76">
          <cell r="A76" t="str">
            <v>C</v>
          </cell>
          <cell r="C76">
            <v>46216</v>
          </cell>
          <cell r="D76">
            <v>2500</v>
          </cell>
        </row>
        <row r="77">
          <cell r="A77" t="str">
            <v>C</v>
          </cell>
          <cell r="C77">
            <v>46223</v>
          </cell>
          <cell r="D77">
            <v>1000</v>
          </cell>
        </row>
        <row r="78">
          <cell r="A78" t="str">
            <v>C</v>
          </cell>
          <cell r="C78">
            <v>46230</v>
          </cell>
          <cell r="D78">
            <v>1000</v>
          </cell>
        </row>
        <row r="79">
          <cell r="A79" t="str">
            <v>C</v>
          </cell>
          <cell r="C79">
            <v>46237</v>
          </cell>
          <cell r="D79">
            <v>1000</v>
          </cell>
        </row>
        <row r="80">
          <cell r="A80" t="str">
            <v>C</v>
          </cell>
          <cell r="C80">
            <v>46244</v>
          </cell>
          <cell r="D80">
            <v>1000</v>
          </cell>
        </row>
        <row r="81">
          <cell r="A81" t="str">
            <v>C</v>
          </cell>
          <cell r="C81">
            <v>46251</v>
          </cell>
          <cell r="D81">
            <v>1000</v>
          </cell>
        </row>
        <row r="82">
          <cell r="A82" t="str">
            <v>C</v>
          </cell>
          <cell r="C82">
            <v>46258</v>
          </cell>
          <cell r="D82">
            <v>750</v>
          </cell>
        </row>
        <row r="83">
          <cell r="A83" t="str">
            <v>C</v>
          </cell>
          <cell r="C83">
            <v>46265</v>
          </cell>
          <cell r="D83">
            <v>750</v>
          </cell>
        </row>
        <row r="84">
          <cell r="A84" t="str">
            <v>C</v>
          </cell>
          <cell r="C84">
            <v>46272</v>
          </cell>
          <cell r="D84">
            <v>750</v>
          </cell>
        </row>
        <row r="85">
          <cell r="A85" t="str">
            <v>C</v>
          </cell>
          <cell r="C85">
            <v>46279</v>
          </cell>
          <cell r="D85">
            <v>750</v>
          </cell>
        </row>
        <row r="86">
          <cell r="A86" t="str">
            <v>C</v>
          </cell>
          <cell r="C86">
            <v>46286</v>
          </cell>
          <cell r="D86">
            <v>600</v>
          </cell>
        </row>
        <row r="87">
          <cell r="A87" t="str">
            <v>C</v>
          </cell>
          <cell r="C87">
            <v>46293</v>
          </cell>
          <cell r="D87">
            <v>600</v>
          </cell>
        </row>
        <row r="88">
          <cell r="A88" t="str">
            <v>C</v>
          </cell>
          <cell r="C88">
            <v>46300</v>
          </cell>
          <cell r="D88">
            <v>600</v>
          </cell>
        </row>
        <row r="89">
          <cell r="A89" t="str">
            <v>C</v>
          </cell>
          <cell r="C89">
            <v>46307</v>
          </cell>
          <cell r="D89">
            <v>600</v>
          </cell>
        </row>
        <row r="90">
          <cell r="A90" t="str">
            <v>C</v>
          </cell>
          <cell r="C90">
            <v>46314</v>
          </cell>
          <cell r="D90">
            <v>600</v>
          </cell>
        </row>
        <row r="91">
          <cell r="A91" t="str">
            <v>C</v>
          </cell>
          <cell r="C91">
            <v>46321</v>
          </cell>
          <cell r="D91">
            <v>500</v>
          </cell>
        </row>
        <row r="92">
          <cell r="A92" t="str">
            <v>C</v>
          </cell>
          <cell r="C92">
            <v>46328</v>
          </cell>
          <cell r="D92">
            <v>500</v>
          </cell>
        </row>
        <row r="93">
          <cell r="A93" t="str">
            <v>C</v>
          </cell>
          <cell r="C93">
            <v>46335</v>
          </cell>
          <cell r="D93">
            <v>500</v>
          </cell>
        </row>
        <row r="94">
          <cell r="A94" t="str">
            <v>C</v>
          </cell>
          <cell r="C94">
            <v>46342</v>
          </cell>
          <cell r="D94">
            <v>500</v>
          </cell>
        </row>
        <row r="95">
          <cell r="A95" t="str">
            <v>C</v>
          </cell>
          <cell r="C95">
            <v>46349</v>
          </cell>
          <cell r="D95">
            <v>3000</v>
          </cell>
        </row>
        <row r="96">
          <cell r="A96" t="str">
            <v>C</v>
          </cell>
          <cell r="C96">
            <v>46356</v>
          </cell>
          <cell r="D96">
            <v>3000</v>
          </cell>
        </row>
        <row r="97">
          <cell r="A97" t="str">
            <v>C</v>
          </cell>
          <cell r="C97">
            <v>46363</v>
          </cell>
          <cell r="D97">
            <v>3000</v>
          </cell>
        </row>
        <row r="98">
          <cell r="A98" t="str">
            <v>C</v>
          </cell>
          <cell r="C98">
            <v>46370</v>
          </cell>
          <cell r="D98">
            <v>3000</v>
          </cell>
        </row>
        <row r="99">
          <cell r="A99" t="str">
            <v>D</v>
          </cell>
          <cell r="C99">
            <v>46146</v>
          </cell>
          <cell r="D99">
            <v>2430</v>
          </cell>
        </row>
        <row r="100">
          <cell r="A100" t="str">
            <v>D</v>
          </cell>
          <cell r="C100">
            <v>46153</v>
          </cell>
          <cell r="D100">
            <v>9990</v>
          </cell>
        </row>
        <row r="101">
          <cell r="A101" t="str">
            <v>D</v>
          </cell>
          <cell r="C101">
            <v>46160</v>
          </cell>
          <cell r="D101">
            <v>5840</v>
          </cell>
        </row>
        <row r="102">
          <cell r="A102" t="str">
            <v>D</v>
          </cell>
          <cell r="C102">
            <v>46167</v>
          </cell>
          <cell r="D102">
            <v>8100</v>
          </cell>
        </row>
        <row r="103">
          <cell r="A103" t="str">
            <v>D</v>
          </cell>
          <cell r="C103">
            <v>46174</v>
          </cell>
          <cell r="D103">
            <v>1001</v>
          </cell>
        </row>
        <row r="104">
          <cell r="A104" t="str">
            <v>D</v>
          </cell>
          <cell r="C104">
            <v>46181</v>
          </cell>
          <cell r="D104">
            <v>2471</v>
          </cell>
        </row>
        <row r="105">
          <cell r="A105" t="str">
            <v>D</v>
          </cell>
          <cell r="C105">
            <v>46188</v>
          </cell>
          <cell r="D105">
            <v>3458</v>
          </cell>
        </row>
        <row r="106">
          <cell r="A106" t="str">
            <v>D</v>
          </cell>
          <cell r="C106">
            <v>46195</v>
          </cell>
          <cell r="D106">
            <v>500</v>
          </cell>
        </row>
        <row r="107">
          <cell r="A107" t="str">
            <v>D</v>
          </cell>
          <cell r="C107">
            <v>46202</v>
          </cell>
          <cell r="D107">
            <v>500</v>
          </cell>
        </row>
        <row r="108">
          <cell r="A108" t="str">
            <v>D</v>
          </cell>
          <cell r="C108">
            <v>46209</v>
          </cell>
          <cell r="D108">
            <v>500</v>
          </cell>
        </row>
        <row r="109">
          <cell r="A109" t="str">
            <v>D</v>
          </cell>
          <cell r="C109">
            <v>46216</v>
          </cell>
          <cell r="D109">
            <v>500</v>
          </cell>
        </row>
        <row r="110">
          <cell r="A110" t="str">
            <v>D</v>
          </cell>
          <cell r="C110">
            <v>46237</v>
          </cell>
          <cell r="D110">
            <v>400</v>
          </cell>
        </row>
        <row r="111">
          <cell r="A111" t="str">
            <v>D</v>
          </cell>
          <cell r="C111">
            <v>46258</v>
          </cell>
          <cell r="D111">
            <v>400</v>
          </cell>
        </row>
        <row r="112">
          <cell r="A112" t="str">
            <v>D</v>
          </cell>
          <cell r="C112">
            <v>46272</v>
          </cell>
          <cell r="D112">
            <v>400</v>
          </cell>
        </row>
        <row r="113">
          <cell r="A113" t="str">
            <v>D</v>
          </cell>
          <cell r="C113">
            <v>46286</v>
          </cell>
          <cell r="D113">
            <v>360</v>
          </cell>
        </row>
        <row r="114">
          <cell r="A114" t="str">
            <v>D</v>
          </cell>
          <cell r="C114">
            <v>46293</v>
          </cell>
          <cell r="D114">
            <v>360</v>
          </cell>
        </row>
        <row r="115">
          <cell r="A115" t="str">
            <v>D</v>
          </cell>
          <cell r="C115">
            <v>46300</v>
          </cell>
          <cell r="D115">
            <v>360</v>
          </cell>
        </row>
        <row r="116">
          <cell r="A116" t="str">
            <v>D</v>
          </cell>
          <cell r="C116">
            <v>46307</v>
          </cell>
          <cell r="D116">
            <v>360</v>
          </cell>
        </row>
        <row r="117">
          <cell r="A117" t="str">
            <v>D</v>
          </cell>
          <cell r="C117">
            <v>46314</v>
          </cell>
          <cell r="D117">
            <v>360</v>
          </cell>
        </row>
        <row r="118">
          <cell r="A118" t="str">
            <v>D</v>
          </cell>
          <cell r="C118">
            <v>46321</v>
          </cell>
          <cell r="D118">
            <v>1000</v>
          </cell>
        </row>
        <row r="119">
          <cell r="A119" t="str">
            <v>D</v>
          </cell>
          <cell r="C119">
            <v>46328</v>
          </cell>
          <cell r="D119">
            <v>1000</v>
          </cell>
        </row>
        <row r="120">
          <cell r="A120" t="str">
            <v>D</v>
          </cell>
          <cell r="C120">
            <v>46335</v>
          </cell>
          <cell r="D120">
            <v>1000</v>
          </cell>
        </row>
        <row r="121">
          <cell r="A121" t="str">
            <v>D</v>
          </cell>
          <cell r="C121">
            <v>46342</v>
          </cell>
          <cell r="D121">
            <v>1000</v>
          </cell>
        </row>
        <row r="122">
          <cell r="A122" t="str">
            <v>D</v>
          </cell>
          <cell r="C122">
            <v>46349</v>
          </cell>
          <cell r="D122">
            <v>1250</v>
          </cell>
        </row>
        <row r="123">
          <cell r="A123" t="str">
            <v>D</v>
          </cell>
          <cell r="C123">
            <v>46356</v>
          </cell>
          <cell r="D123">
            <v>1250</v>
          </cell>
        </row>
        <row r="124">
          <cell r="A124" t="str">
            <v>D</v>
          </cell>
          <cell r="C124">
            <v>46363</v>
          </cell>
          <cell r="D124">
            <v>1250</v>
          </cell>
        </row>
        <row r="125">
          <cell r="A125" t="str">
            <v>D</v>
          </cell>
          <cell r="C125">
            <v>46370</v>
          </cell>
          <cell r="D125">
            <v>1250</v>
          </cell>
        </row>
        <row r="126">
          <cell r="A126" t="str">
            <v>E</v>
          </cell>
          <cell r="C126">
            <v>46139</v>
          </cell>
          <cell r="D126">
            <v>472</v>
          </cell>
        </row>
        <row r="127">
          <cell r="A127" t="str">
            <v>E</v>
          </cell>
          <cell r="C127">
            <v>46146</v>
          </cell>
          <cell r="D127">
            <v>300</v>
          </cell>
        </row>
        <row r="128">
          <cell r="A128" t="str">
            <v>E</v>
          </cell>
          <cell r="C128">
            <v>46153</v>
          </cell>
          <cell r="D128">
            <v>698</v>
          </cell>
        </row>
        <row r="129">
          <cell r="A129" t="str">
            <v>E</v>
          </cell>
          <cell r="C129">
            <v>46167</v>
          </cell>
          <cell r="D129">
            <v>300</v>
          </cell>
        </row>
        <row r="130">
          <cell r="A130" t="str">
            <v>E</v>
          </cell>
          <cell r="C130">
            <v>46188</v>
          </cell>
          <cell r="D130">
            <v>300</v>
          </cell>
        </row>
        <row r="131">
          <cell r="A131" t="str">
            <v>E</v>
          </cell>
          <cell r="C131">
            <v>46202</v>
          </cell>
          <cell r="D131">
            <v>700</v>
          </cell>
        </row>
        <row r="132">
          <cell r="A132" t="str">
            <v>E</v>
          </cell>
          <cell r="C132">
            <v>46209</v>
          </cell>
          <cell r="D132">
            <v>300</v>
          </cell>
        </row>
        <row r="133">
          <cell r="A133" t="str">
            <v>E</v>
          </cell>
          <cell r="C133">
            <v>46216</v>
          </cell>
          <cell r="D133">
            <v>300</v>
          </cell>
        </row>
        <row r="134">
          <cell r="A134" t="str">
            <v>E</v>
          </cell>
          <cell r="C134">
            <v>46223</v>
          </cell>
          <cell r="D134">
            <v>300</v>
          </cell>
        </row>
        <row r="135">
          <cell r="A135" t="str">
            <v>E</v>
          </cell>
          <cell r="C135">
            <v>46244</v>
          </cell>
          <cell r="D135">
            <v>300</v>
          </cell>
        </row>
        <row r="136">
          <cell r="A136" t="str">
            <v>E</v>
          </cell>
          <cell r="C136">
            <v>46265</v>
          </cell>
          <cell r="D136">
            <v>300</v>
          </cell>
        </row>
        <row r="137">
          <cell r="A137" t="str">
            <v>E</v>
          </cell>
          <cell r="C137">
            <v>46293</v>
          </cell>
          <cell r="D137">
            <v>300</v>
          </cell>
        </row>
        <row r="138">
          <cell r="A138" t="str">
            <v>E</v>
          </cell>
          <cell r="C138">
            <v>46328</v>
          </cell>
          <cell r="D138">
            <v>300</v>
          </cell>
        </row>
        <row r="139">
          <cell r="A139" t="str">
            <v>E</v>
          </cell>
          <cell r="C139">
            <v>46356</v>
          </cell>
          <cell r="D139">
            <v>300</v>
          </cell>
        </row>
        <row r="140">
          <cell r="A140" t="str">
            <v>F</v>
          </cell>
          <cell r="C140">
            <v>46132</v>
          </cell>
          <cell r="D140">
            <v>588</v>
          </cell>
        </row>
        <row r="141">
          <cell r="A141" t="str">
            <v>F</v>
          </cell>
          <cell r="C141">
            <v>46139</v>
          </cell>
          <cell r="D141">
            <v>4028</v>
          </cell>
        </row>
        <row r="142">
          <cell r="A142" t="str">
            <v>F</v>
          </cell>
          <cell r="C142">
            <v>46146</v>
          </cell>
          <cell r="D142">
            <v>4200</v>
          </cell>
        </row>
        <row r="143">
          <cell r="A143" t="str">
            <v>F</v>
          </cell>
          <cell r="C143">
            <v>46153</v>
          </cell>
          <cell r="D143">
            <v>3802</v>
          </cell>
        </row>
        <row r="144">
          <cell r="A144" t="str">
            <v>F</v>
          </cell>
          <cell r="C144">
            <v>46160</v>
          </cell>
          <cell r="D144">
            <v>4500</v>
          </cell>
        </row>
        <row r="145">
          <cell r="A145" t="str">
            <v>F</v>
          </cell>
          <cell r="C145">
            <v>46167</v>
          </cell>
          <cell r="D145">
            <v>4200</v>
          </cell>
        </row>
        <row r="146">
          <cell r="A146" t="str">
            <v>F</v>
          </cell>
          <cell r="C146">
            <v>46174</v>
          </cell>
          <cell r="D146">
            <v>4500</v>
          </cell>
        </row>
        <row r="147">
          <cell r="A147" t="str">
            <v>F</v>
          </cell>
          <cell r="C147">
            <v>46181</v>
          </cell>
          <cell r="D147">
            <v>4500</v>
          </cell>
        </row>
        <row r="148">
          <cell r="A148" t="str">
            <v>F</v>
          </cell>
          <cell r="C148">
            <v>46188</v>
          </cell>
          <cell r="D148">
            <v>2200</v>
          </cell>
        </row>
        <row r="149">
          <cell r="A149" t="str">
            <v>F</v>
          </cell>
          <cell r="C149">
            <v>46195</v>
          </cell>
          <cell r="D149">
            <v>5000</v>
          </cell>
        </row>
        <row r="150">
          <cell r="A150" t="str">
            <v>F</v>
          </cell>
          <cell r="C150">
            <v>46202</v>
          </cell>
          <cell r="D150">
            <v>4300</v>
          </cell>
        </row>
        <row r="151">
          <cell r="A151" t="str">
            <v>F</v>
          </cell>
          <cell r="C151">
            <v>46209</v>
          </cell>
          <cell r="D151">
            <v>4700</v>
          </cell>
        </row>
        <row r="152">
          <cell r="A152" t="str">
            <v>F</v>
          </cell>
          <cell r="C152">
            <v>46216</v>
          </cell>
          <cell r="D152">
            <v>4746</v>
          </cell>
        </row>
        <row r="153">
          <cell r="A153" t="str">
            <v>F</v>
          </cell>
          <cell r="C153">
            <v>46223</v>
          </cell>
          <cell r="D153">
            <v>4300</v>
          </cell>
        </row>
        <row r="154">
          <cell r="A154" t="str">
            <v>F</v>
          </cell>
          <cell r="C154">
            <v>46230</v>
          </cell>
          <cell r="D154">
            <v>476</v>
          </cell>
        </row>
        <row r="155">
          <cell r="A155" t="str">
            <v>F</v>
          </cell>
          <cell r="C155">
            <v>46237</v>
          </cell>
          <cell r="D155">
            <v>1298</v>
          </cell>
        </row>
        <row r="156">
          <cell r="A156" t="str">
            <v>F</v>
          </cell>
          <cell r="C156">
            <v>46244</v>
          </cell>
          <cell r="D156">
            <v>1300</v>
          </cell>
        </row>
        <row r="157">
          <cell r="A157" t="str">
            <v>F</v>
          </cell>
          <cell r="C157">
            <v>46251</v>
          </cell>
          <cell r="D157">
            <v>1298</v>
          </cell>
        </row>
        <row r="158">
          <cell r="A158" t="str">
            <v>F</v>
          </cell>
          <cell r="C158">
            <v>46258</v>
          </cell>
          <cell r="D158">
            <v>1506</v>
          </cell>
        </row>
        <row r="159">
          <cell r="A159" t="str">
            <v>F</v>
          </cell>
          <cell r="C159">
            <v>46265</v>
          </cell>
          <cell r="D159">
            <v>1506</v>
          </cell>
        </row>
        <row r="160">
          <cell r="A160" t="str">
            <v>F</v>
          </cell>
          <cell r="C160">
            <v>46272</v>
          </cell>
          <cell r="D160">
            <v>1506</v>
          </cell>
        </row>
        <row r="161">
          <cell r="A161" t="str">
            <v>F</v>
          </cell>
          <cell r="C161">
            <v>46279</v>
          </cell>
          <cell r="D161">
            <v>1506</v>
          </cell>
        </row>
        <row r="162">
          <cell r="A162" t="str">
            <v>F</v>
          </cell>
          <cell r="C162">
            <v>46286</v>
          </cell>
          <cell r="D162">
            <v>1446</v>
          </cell>
        </row>
        <row r="163">
          <cell r="A163" t="str">
            <v>F</v>
          </cell>
          <cell r="C163">
            <v>46307</v>
          </cell>
          <cell r="D163">
            <v>1448</v>
          </cell>
        </row>
        <row r="164">
          <cell r="A164" t="str">
            <v>F</v>
          </cell>
          <cell r="C164">
            <v>46314</v>
          </cell>
          <cell r="D164">
            <v>1448</v>
          </cell>
        </row>
        <row r="165">
          <cell r="A165" t="str">
            <v>F</v>
          </cell>
          <cell r="C165">
            <v>46321</v>
          </cell>
          <cell r="D165">
            <v>1448</v>
          </cell>
        </row>
        <row r="166">
          <cell r="A166" t="str">
            <v>F</v>
          </cell>
          <cell r="C166">
            <v>46328</v>
          </cell>
          <cell r="D166">
            <v>1754</v>
          </cell>
        </row>
        <row r="167">
          <cell r="A167" t="str">
            <v>F</v>
          </cell>
          <cell r="C167">
            <v>46335</v>
          </cell>
          <cell r="D167">
            <v>1756</v>
          </cell>
        </row>
        <row r="168">
          <cell r="A168" t="str">
            <v>F</v>
          </cell>
          <cell r="C168">
            <v>46342</v>
          </cell>
          <cell r="D168">
            <v>1756</v>
          </cell>
        </row>
        <row r="169">
          <cell r="A169" t="str">
            <v>F</v>
          </cell>
          <cell r="C169">
            <v>46349</v>
          </cell>
          <cell r="D169">
            <v>1756</v>
          </cell>
        </row>
        <row r="170">
          <cell r="A170" t="str">
            <v>F</v>
          </cell>
          <cell r="C170">
            <v>46356</v>
          </cell>
          <cell r="D170">
            <v>1928</v>
          </cell>
        </row>
        <row r="171">
          <cell r="A171" t="str">
            <v>F</v>
          </cell>
          <cell r="C171">
            <v>46363</v>
          </cell>
          <cell r="D171">
            <v>1930</v>
          </cell>
        </row>
        <row r="172">
          <cell r="A172" t="str">
            <v>F</v>
          </cell>
          <cell r="C172">
            <v>46370</v>
          </cell>
          <cell r="D172">
            <v>1928</v>
          </cell>
        </row>
      </sheetData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Master Production Schedule"/>
      <sheetName val="README"/>
      <sheetName val="weekly_demand"/>
      <sheetName val="FG_Begin_Inventory"/>
      <sheetName val="Fixture_Capacity_Input"/>
      <sheetName val="BOM &amp; Inventory"/>
      <sheetName val="Pending_PO_ETA"/>
      <sheetName val="Fixture_Check"/>
    </sheetNames>
    <sheetDataSet>
      <sheetData sheetId="0"/>
      <sheetData sheetId="1"/>
      <sheetData sheetId="2"/>
      <sheetData sheetId="3">
        <row r="1">
          <cell r="A1" t="str">
            <v>SKU</v>
          </cell>
        </row>
      </sheetData>
      <sheetData sheetId="4">
        <row r="1">
          <cell r="A1" t="str">
            <v>Fixture</v>
          </cell>
          <cell r="B1" t="str">
            <v>Week</v>
          </cell>
          <cell r="C1" t="str">
            <v>Fixture Capacity</v>
          </cell>
        </row>
        <row r="2">
          <cell r="A2" t="str">
            <v>123AB</v>
          </cell>
          <cell r="B2">
            <v>46150</v>
          </cell>
          <cell r="C2">
            <v>15000</v>
          </cell>
        </row>
        <row r="3">
          <cell r="A3" t="str">
            <v>123AB</v>
          </cell>
          <cell r="B3">
            <v>46157</v>
          </cell>
          <cell r="C3">
            <v>15000</v>
          </cell>
        </row>
        <row r="4">
          <cell r="A4" t="str">
            <v>123AB</v>
          </cell>
          <cell r="B4">
            <v>46164</v>
          </cell>
          <cell r="C4">
            <v>15000</v>
          </cell>
        </row>
        <row r="5">
          <cell r="A5" t="str">
            <v>123AB</v>
          </cell>
          <cell r="B5">
            <v>46171</v>
          </cell>
          <cell r="C5">
            <v>15000</v>
          </cell>
        </row>
        <row r="6">
          <cell r="A6" t="str">
            <v>123AB</v>
          </cell>
          <cell r="B6">
            <v>46178</v>
          </cell>
          <cell r="C6">
            <v>15000</v>
          </cell>
        </row>
        <row r="7">
          <cell r="A7" t="str">
            <v>123AB</v>
          </cell>
          <cell r="B7">
            <v>46185</v>
          </cell>
          <cell r="C7">
            <v>15000</v>
          </cell>
        </row>
        <row r="8">
          <cell r="A8" t="str">
            <v>123AB</v>
          </cell>
          <cell r="B8">
            <v>46192</v>
          </cell>
          <cell r="C8">
            <v>15000</v>
          </cell>
        </row>
        <row r="9">
          <cell r="A9" t="str">
            <v>123AB</v>
          </cell>
          <cell r="B9">
            <v>46199</v>
          </cell>
          <cell r="C9">
            <v>15000</v>
          </cell>
        </row>
        <row r="10">
          <cell r="A10" t="str">
            <v>123AB</v>
          </cell>
          <cell r="B10">
            <v>46206</v>
          </cell>
          <cell r="C10">
            <v>15000</v>
          </cell>
        </row>
        <row r="11">
          <cell r="A11" t="str">
            <v>123AB</v>
          </cell>
          <cell r="B11">
            <v>46213</v>
          </cell>
          <cell r="C11">
            <v>15000</v>
          </cell>
        </row>
        <row r="12">
          <cell r="A12" t="str">
            <v>123AB</v>
          </cell>
          <cell r="B12">
            <v>46220</v>
          </cell>
          <cell r="C12">
            <v>15000</v>
          </cell>
        </row>
        <row r="13">
          <cell r="A13" t="str">
            <v>123AB</v>
          </cell>
          <cell r="B13">
            <v>46227</v>
          </cell>
          <cell r="C13">
            <v>15000</v>
          </cell>
        </row>
        <row r="14">
          <cell r="A14" t="str">
            <v>123AB</v>
          </cell>
          <cell r="B14">
            <v>46234</v>
          </cell>
          <cell r="C14">
            <v>15000</v>
          </cell>
        </row>
        <row r="15">
          <cell r="A15" t="str">
            <v>123AB</v>
          </cell>
          <cell r="B15">
            <v>46241</v>
          </cell>
          <cell r="C15">
            <v>15000</v>
          </cell>
        </row>
        <row r="16">
          <cell r="A16" t="str">
            <v>123AB</v>
          </cell>
          <cell r="B16">
            <v>46248</v>
          </cell>
          <cell r="C16">
            <v>15000</v>
          </cell>
        </row>
        <row r="17">
          <cell r="A17" t="str">
            <v>123AB</v>
          </cell>
          <cell r="B17">
            <v>46255</v>
          </cell>
          <cell r="C17">
            <v>15000</v>
          </cell>
        </row>
        <row r="18">
          <cell r="A18" t="str">
            <v>123AB</v>
          </cell>
          <cell r="B18">
            <v>46262</v>
          </cell>
          <cell r="C18">
            <v>15000</v>
          </cell>
        </row>
        <row r="19">
          <cell r="A19" t="str">
            <v>123AB</v>
          </cell>
          <cell r="B19">
            <v>46269</v>
          </cell>
          <cell r="C19">
            <v>15000</v>
          </cell>
        </row>
        <row r="20">
          <cell r="A20" t="str">
            <v>123AB</v>
          </cell>
          <cell r="B20">
            <v>46276</v>
          </cell>
          <cell r="C20">
            <v>15000</v>
          </cell>
        </row>
        <row r="21">
          <cell r="A21" t="str">
            <v>123AB</v>
          </cell>
          <cell r="B21">
            <v>46283</v>
          </cell>
          <cell r="C21">
            <v>15000</v>
          </cell>
        </row>
        <row r="22">
          <cell r="A22" t="str">
            <v>123AB</v>
          </cell>
          <cell r="B22">
            <v>46290</v>
          </cell>
          <cell r="C22">
            <v>15000</v>
          </cell>
        </row>
        <row r="23">
          <cell r="A23" t="str">
            <v>123AB</v>
          </cell>
          <cell r="B23">
            <v>46297</v>
          </cell>
          <cell r="C23">
            <v>15000</v>
          </cell>
        </row>
        <row r="24">
          <cell r="A24" t="str">
            <v>123AB</v>
          </cell>
          <cell r="B24">
            <v>46304</v>
          </cell>
          <cell r="C24">
            <v>15000</v>
          </cell>
        </row>
        <row r="25">
          <cell r="A25" t="str">
            <v>123AB</v>
          </cell>
          <cell r="B25">
            <v>46311</v>
          </cell>
          <cell r="C25">
            <v>15000</v>
          </cell>
        </row>
        <row r="26">
          <cell r="A26" t="str">
            <v>123AB</v>
          </cell>
          <cell r="B26">
            <v>46318</v>
          </cell>
          <cell r="C26">
            <v>15000</v>
          </cell>
        </row>
        <row r="27">
          <cell r="A27" t="str">
            <v>123AB</v>
          </cell>
          <cell r="B27">
            <v>46325</v>
          </cell>
          <cell r="C27">
            <v>15000</v>
          </cell>
        </row>
        <row r="28">
          <cell r="A28" t="str">
            <v>123AB</v>
          </cell>
          <cell r="B28">
            <v>46332</v>
          </cell>
          <cell r="C28">
            <v>15000</v>
          </cell>
        </row>
        <row r="29">
          <cell r="A29" t="str">
            <v>123AB</v>
          </cell>
          <cell r="B29">
            <v>46339</v>
          </cell>
          <cell r="C29">
            <v>15000</v>
          </cell>
        </row>
        <row r="30">
          <cell r="A30" t="str">
            <v>123AB</v>
          </cell>
          <cell r="B30">
            <v>46346</v>
          </cell>
          <cell r="C30">
            <v>15000</v>
          </cell>
        </row>
        <row r="31">
          <cell r="A31" t="str">
            <v>123AB</v>
          </cell>
          <cell r="B31">
            <v>46353</v>
          </cell>
          <cell r="C31">
            <v>15000</v>
          </cell>
        </row>
        <row r="32">
          <cell r="A32" t="str">
            <v>123AB</v>
          </cell>
          <cell r="B32">
            <v>46360</v>
          </cell>
          <cell r="C32">
            <v>15000</v>
          </cell>
        </row>
        <row r="33">
          <cell r="A33" t="str">
            <v>123AB</v>
          </cell>
          <cell r="B33">
            <v>46367</v>
          </cell>
          <cell r="C33">
            <v>15000</v>
          </cell>
        </row>
        <row r="34">
          <cell r="A34" t="str">
            <v>123AB</v>
          </cell>
          <cell r="B34">
            <v>46374</v>
          </cell>
          <cell r="C34">
            <v>15000</v>
          </cell>
        </row>
        <row r="35">
          <cell r="A35" t="str">
            <v>123AB</v>
          </cell>
          <cell r="B35">
            <v>46381</v>
          </cell>
          <cell r="C35">
            <v>15000</v>
          </cell>
        </row>
        <row r="36">
          <cell r="A36" t="str">
            <v>456CD</v>
          </cell>
          <cell r="B36">
            <v>46157</v>
          </cell>
          <cell r="C36">
            <v>5000</v>
          </cell>
        </row>
        <row r="37">
          <cell r="A37" t="str">
            <v>456CD</v>
          </cell>
          <cell r="B37">
            <v>46164</v>
          </cell>
          <cell r="C37">
            <v>5000</v>
          </cell>
        </row>
        <row r="38">
          <cell r="A38" t="str">
            <v>456CD</v>
          </cell>
          <cell r="B38">
            <v>46171</v>
          </cell>
          <cell r="C38">
            <v>5000</v>
          </cell>
        </row>
        <row r="39">
          <cell r="A39" t="str">
            <v>456CD</v>
          </cell>
          <cell r="B39">
            <v>46175</v>
          </cell>
          <cell r="C39">
            <v>5000</v>
          </cell>
        </row>
        <row r="40">
          <cell r="A40" t="str">
            <v>456CD</v>
          </cell>
          <cell r="B40">
            <v>46176</v>
          </cell>
          <cell r="C40">
            <v>5000</v>
          </cell>
        </row>
        <row r="41">
          <cell r="A41" t="str">
            <v>456CD</v>
          </cell>
          <cell r="B41">
            <v>46178</v>
          </cell>
          <cell r="C41">
            <v>5000</v>
          </cell>
        </row>
        <row r="42">
          <cell r="A42" t="str">
            <v>456CD</v>
          </cell>
          <cell r="B42">
            <v>46183</v>
          </cell>
          <cell r="C42">
            <v>5000</v>
          </cell>
        </row>
        <row r="43">
          <cell r="A43" t="str">
            <v>456CD</v>
          </cell>
          <cell r="B43">
            <v>46186</v>
          </cell>
          <cell r="C43">
            <v>5000</v>
          </cell>
        </row>
        <row r="44">
          <cell r="A44" t="str">
            <v>456CD</v>
          </cell>
          <cell r="B44">
            <v>46190</v>
          </cell>
          <cell r="C44">
            <v>5000</v>
          </cell>
        </row>
        <row r="45">
          <cell r="A45" t="str">
            <v>456CD</v>
          </cell>
          <cell r="B45">
            <v>46192</v>
          </cell>
          <cell r="C45">
            <v>5000</v>
          </cell>
        </row>
        <row r="46">
          <cell r="A46" t="str">
            <v>456CD</v>
          </cell>
          <cell r="B46">
            <v>46197</v>
          </cell>
          <cell r="C46">
            <v>5000</v>
          </cell>
        </row>
        <row r="47">
          <cell r="A47" t="str">
            <v>456CD</v>
          </cell>
          <cell r="B47">
            <v>46199</v>
          </cell>
          <cell r="C47">
            <v>5000</v>
          </cell>
        </row>
        <row r="48">
          <cell r="A48" t="str">
            <v>456CD</v>
          </cell>
          <cell r="B48">
            <v>46206</v>
          </cell>
          <cell r="C48">
            <v>5000</v>
          </cell>
        </row>
        <row r="49">
          <cell r="A49" t="str">
            <v>456CD</v>
          </cell>
          <cell r="B49">
            <v>46213</v>
          </cell>
          <cell r="C49">
            <v>5000</v>
          </cell>
        </row>
        <row r="50">
          <cell r="A50" t="str">
            <v>456CD</v>
          </cell>
          <cell r="B50">
            <v>46220</v>
          </cell>
          <cell r="C50">
            <v>5000</v>
          </cell>
        </row>
        <row r="51">
          <cell r="A51" t="str">
            <v>456CD</v>
          </cell>
          <cell r="B51">
            <v>46227</v>
          </cell>
          <cell r="C51">
            <v>5000</v>
          </cell>
        </row>
        <row r="52">
          <cell r="A52" t="str">
            <v>456CD</v>
          </cell>
          <cell r="B52">
            <v>46234</v>
          </cell>
          <cell r="C52">
            <v>5000</v>
          </cell>
        </row>
        <row r="53">
          <cell r="A53" t="str">
            <v>456CD</v>
          </cell>
          <cell r="B53">
            <v>46241</v>
          </cell>
          <cell r="C53">
            <v>5000</v>
          </cell>
        </row>
        <row r="54">
          <cell r="A54" t="str">
            <v>456CD</v>
          </cell>
          <cell r="B54">
            <v>46248</v>
          </cell>
          <cell r="C54">
            <v>5000</v>
          </cell>
        </row>
        <row r="55">
          <cell r="A55" t="str">
            <v>456CD</v>
          </cell>
          <cell r="B55">
            <v>46255</v>
          </cell>
          <cell r="C55">
            <v>5000</v>
          </cell>
        </row>
        <row r="56">
          <cell r="A56" t="str">
            <v>456CD</v>
          </cell>
          <cell r="B56">
            <v>46262</v>
          </cell>
          <cell r="C56">
            <v>5000</v>
          </cell>
        </row>
        <row r="57">
          <cell r="A57" t="str">
            <v>456CD</v>
          </cell>
          <cell r="B57">
            <v>46269</v>
          </cell>
          <cell r="C57">
            <v>5000</v>
          </cell>
        </row>
        <row r="58">
          <cell r="A58" t="str">
            <v>456CD</v>
          </cell>
          <cell r="B58">
            <v>46276</v>
          </cell>
          <cell r="C58">
            <v>5000</v>
          </cell>
        </row>
        <row r="59">
          <cell r="A59" t="str">
            <v>456CD</v>
          </cell>
          <cell r="B59">
            <v>46283</v>
          </cell>
          <cell r="C59">
            <v>5000</v>
          </cell>
        </row>
        <row r="60">
          <cell r="A60" t="str">
            <v>456CD</v>
          </cell>
          <cell r="B60">
            <v>46290</v>
          </cell>
          <cell r="C60">
            <v>5000</v>
          </cell>
        </row>
        <row r="61">
          <cell r="A61" t="str">
            <v>456CD</v>
          </cell>
          <cell r="B61">
            <v>46297</v>
          </cell>
          <cell r="C61">
            <v>5000</v>
          </cell>
        </row>
        <row r="62">
          <cell r="A62" t="str">
            <v>456CD</v>
          </cell>
          <cell r="B62">
            <v>46304</v>
          </cell>
          <cell r="C62">
            <v>5000</v>
          </cell>
        </row>
        <row r="63">
          <cell r="A63" t="str">
            <v>456CD</v>
          </cell>
          <cell r="B63">
            <v>46311</v>
          </cell>
          <cell r="C63">
            <v>5000</v>
          </cell>
        </row>
        <row r="64">
          <cell r="A64" t="str">
            <v>456CD</v>
          </cell>
          <cell r="B64">
            <v>46318</v>
          </cell>
          <cell r="C64">
            <v>5000</v>
          </cell>
        </row>
        <row r="65">
          <cell r="A65" t="str">
            <v>456CD</v>
          </cell>
          <cell r="B65">
            <v>46325</v>
          </cell>
          <cell r="C65">
            <v>5000</v>
          </cell>
        </row>
        <row r="66">
          <cell r="A66" t="str">
            <v>456CD</v>
          </cell>
          <cell r="B66">
            <v>46332</v>
          </cell>
          <cell r="C66">
            <v>5000</v>
          </cell>
        </row>
        <row r="67">
          <cell r="A67" t="str">
            <v>456CD</v>
          </cell>
          <cell r="B67">
            <v>46339</v>
          </cell>
          <cell r="C67">
            <v>5000</v>
          </cell>
        </row>
        <row r="68">
          <cell r="A68" t="str">
            <v>456CD</v>
          </cell>
          <cell r="B68">
            <v>46346</v>
          </cell>
          <cell r="C68">
            <v>5000</v>
          </cell>
        </row>
        <row r="69">
          <cell r="A69" t="str">
            <v>456CD</v>
          </cell>
          <cell r="B69">
            <v>46353</v>
          </cell>
          <cell r="C69">
            <v>5000</v>
          </cell>
        </row>
        <row r="70">
          <cell r="A70" t="str">
            <v>456CD</v>
          </cell>
          <cell r="B70">
            <v>46360</v>
          </cell>
          <cell r="C70">
            <v>5000</v>
          </cell>
        </row>
        <row r="71">
          <cell r="A71" t="str">
            <v>456CD</v>
          </cell>
          <cell r="B71">
            <v>46367</v>
          </cell>
          <cell r="C71">
            <v>5000</v>
          </cell>
        </row>
        <row r="72">
          <cell r="A72" t="str">
            <v>456CD</v>
          </cell>
          <cell r="B72">
            <v>46374</v>
          </cell>
          <cell r="C72">
            <v>5000</v>
          </cell>
        </row>
        <row r="73">
          <cell r="A73" t="str">
            <v>456CD</v>
          </cell>
          <cell r="B73">
            <v>46381</v>
          </cell>
          <cell r="C73">
            <v>5000</v>
          </cell>
        </row>
        <row r="74">
          <cell r="A74" t="str">
            <v>789EF</v>
          </cell>
          <cell r="B74">
            <v>46143</v>
          </cell>
          <cell r="C74">
            <v>3000</v>
          </cell>
        </row>
        <row r="75">
          <cell r="A75" t="str">
            <v>789EF</v>
          </cell>
          <cell r="B75">
            <v>46150</v>
          </cell>
          <cell r="C75">
            <v>3000</v>
          </cell>
        </row>
        <row r="76">
          <cell r="A76" t="str">
            <v>789EF</v>
          </cell>
          <cell r="B76">
            <v>46157</v>
          </cell>
          <cell r="C76">
            <v>3000</v>
          </cell>
        </row>
        <row r="77">
          <cell r="A77" t="str">
            <v>789EF</v>
          </cell>
          <cell r="B77">
            <v>46164</v>
          </cell>
          <cell r="C77">
            <v>3000</v>
          </cell>
        </row>
        <row r="78">
          <cell r="A78" t="str">
            <v>789EF</v>
          </cell>
          <cell r="B78">
            <v>46171</v>
          </cell>
          <cell r="C78">
            <v>3000</v>
          </cell>
        </row>
        <row r="79">
          <cell r="A79" t="str">
            <v>789EF</v>
          </cell>
          <cell r="B79">
            <v>46178</v>
          </cell>
          <cell r="C79">
            <v>3000</v>
          </cell>
        </row>
        <row r="80">
          <cell r="A80" t="str">
            <v>789EF</v>
          </cell>
          <cell r="B80">
            <v>46185</v>
          </cell>
          <cell r="C80">
            <v>3000</v>
          </cell>
        </row>
        <row r="81">
          <cell r="A81" t="str">
            <v>789EF</v>
          </cell>
          <cell r="B81">
            <v>46192</v>
          </cell>
          <cell r="C81">
            <v>3000</v>
          </cell>
        </row>
        <row r="82">
          <cell r="A82" t="str">
            <v>789EF</v>
          </cell>
          <cell r="B82">
            <v>46199</v>
          </cell>
          <cell r="C82">
            <v>3000</v>
          </cell>
        </row>
        <row r="83">
          <cell r="A83" t="str">
            <v>789EF</v>
          </cell>
          <cell r="B83">
            <v>46206</v>
          </cell>
          <cell r="C83">
            <v>3000</v>
          </cell>
        </row>
        <row r="84">
          <cell r="A84" t="str">
            <v>789EF</v>
          </cell>
          <cell r="B84">
            <v>46213</v>
          </cell>
          <cell r="C84">
            <v>3000</v>
          </cell>
        </row>
        <row r="85">
          <cell r="A85" t="str">
            <v>789EF</v>
          </cell>
          <cell r="B85">
            <v>46220</v>
          </cell>
          <cell r="C85">
            <v>3000</v>
          </cell>
        </row>
        <row r="86">
          <cell r="A86" t="str">
            <v>789EF</v>
          </cell>
          <cell r="B86">
            <v>46227</v>
          </cell>
          <cell r="C86">
            <v>3000</v>
          </cell>
        </row>
        <row r="87">
          <cell r="A87" t="str">
            <v>789EF</v>
          </cell>
          <cell r="B87">
            <v>46234</v>
          </cell>
          <cell r="C87">
            <v>3000</v>
          </cell>
        </row>
        <row r="88">
          <cell r="A88" t="str">
            <v>789EF</v>
          </cell>
          <cell r="B88">
            <v>46241</v>
          </cell>
          <cell r="C88">
            <v>3000</v>
          </cell>
        </row>
        <row r="89">
          <cell r="A89" t="str">
            <v>789EF</v>
          </cell>
          <cell r="B89">
            <v>46248</v>
          </cell>
          <cell r="C89">
            <v>3000</v>
          </cell>
        </row>
        <row r="90">
          <cell r="A90" t="str">
            <v>789EF</v>
          </cell>
          <cell r="B90">
            <v>46255</v>
          </cell>
          <cell r="C90">
            <v>3000</v>
          </cell>
        </row>
        <row r="91">
          <cell r="A91" t="str">
            <v>789EF</v>
          </cell>
          <cell r="B91">
            <v>46262</v>
          </cell>
          <cell r="C91">
            <v>3000</v>
          </cell>
        </row>
        <row r="92">
          <cell r="A92" t="str">
            <v>789EF</v>
          </cell>
          <cell r="B92">
            <v>46269</v>
          </cell>
          <cell r="C92">
            <v>3000</v>
          </cell>
        </row>
        <row r="93">
          <cell r="A93" t="str">
            <v>789EF</v>
          </cell>
          <cell r="B93">
            <v>46276</v>
          </cell>
          <cell r="C93">
            <v>3000</v>
          </cell>
        </row>
        <row r="94">
          <cell r="A94" t="str">
            <v>789EF</v>
          </cell>
          <cell r="B94">
            <v>46283</v>
          </cell>
          <cell r="C94">
            <v>3000</v>
          </cell>
        </row>
        <row r="95">
          <cell r="A95" t="str">
            <v>789EF</v>
          </cell>
          <cell r="B95">
            <v>46290</v>
          </cell>
          <cell r="C95">
            <v>3000</v>
          </cell>
        </row>
        <row r="96">
          <cell r="A96" t="str">
            <v>789EF</v>
          </cell>
          <cell r="B96">
            <v>46297</v>
          </cell>
          <cell r="C96">
            <v>3000</v>
          </cell>
        </row>
        <row r="97">
          <cell r="A97" t="str">
            <v>789EF</v>
          </cell>
          <cell r="B97">
            <v>46304</v>
          </cell>
          <cell r="C97">
            <v>3000</v>
          </cell>
        </row>
        <row r="98">
          <cell r="A98" t="str">
            <v>789EF</v>
          </cell>
          <cell r="B98">
            <v>46318</v>
          </cell>
          <cell r="C98">
            <v>3000</v>
          </cell>
        </row>
        <row r="99">
          <cell r="A99" t="str">
            <v>789EF</v>
          </cell>
          <cell r="B99">
            <v>46325</v>
          </cell>
          <cell r="C99">
            <v>3000</v>
          </cell>
        </row>
        <row r="100">
          <cell r="A100" t="str">
            <v>789EF</v>
          </cell>
          <cell r="B100">
            <v>46332</v>
          </cell>
          <cell r="C100">
            <v>3000</v>
          </cell>
        </row>
        <row r="101">
          <cell r="A101" t="str">
            <v>789EF</v>
          </cell>
          <cell r="B101">
            <v>46339</v>
          </cell>
          <cell r="C101">
            <v>3000</v>
          </cell>
        </row>
        <row r="102">
          <cell r="A102" t="str">
            <v>789EF</v>
          </cell>
          <cell r="B102">
            <v>46346</v>
          </cell>
          <cell r="C102">
            <v>3000</v>
          </cell>
        </row>
        <row r="103">
          <cell r="A103" t="str">
            <v>789EF</v>
          </cell>
          <cell r="B103">
            <v>46353</v>
          </cell>
          <cell r="C103">
            <v>3000</v>
          </cell>
        </row>
        <row r="104">
          <cell r="A104" t="str">
            <v>789EF</v>
          </cell>
          <cell r="B104">
            <v>46360</v>
          </cell>
          <cell r="C104">
            <v>3000</v>
          </cell>
        </row>
        <row r="105">
          <cell r="A105" t="str">
            <v>789EF</v>
          </cell>
          <cell r="B105">
            <v>46367</v>
          </cell>
          <cell r="C105">
            <v>3000</v>
          </cell>
        </row>
        <row r="106">
          <cell r="A106" t="str">
            <v>789EF</v>
          </cell>
          <cell r="B106">
            <v>46374</v>
          </cell>
          <cell r="C106">
            <v>3000</v>
          </cell>
        </row>
        <row r="107">
          <cell r="A107" t="str">
            <v>789EF</v>
          </cell>
          <cell r="B107">
            <v>46381</v>
          </cell>
          <cell r="C107">
            <v>3000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8"/>
  <sheetViews>
    <sheetView tabSelected="1" topLeftCell="Q1" zoomScale="30" zoomScaleNormal="70" workbookViewId="0">
      <selection activeCell="W6" sqref="W6:W32"/>
    </sheetView>
  </sheetViews>
  <sheetFormatPr baseColWidth="8" defaultColWidth="12" defaultRowHeight="14.25" customHeight="1"/>
  <cols>
    <col width="33.88671875" customWidth="1" style="71" min="1" max="1"/>
    <col width="47.109375" customWidth="1" style="71" min="2" max="2"/>
    <col width="11.109375" customWidth="1" style="71" min="3" max="3"/>
    <col width="32.77734375" customWidth="1" style="71" min="4" max="4"/>
    <col width="12.5546875" customWidth="1" style="71" min="5" max="5"/>
    <col width="23.88671875" customWidth="1" style="71" min="6" max="6"/>
    <col width="15.44140625" customWidth="1" style="71" min="7" max="7"/>
    <col width="25.5546875" customWidth="1" style="71" min="8" max="8"/>
    <col width="27" customWidth="1" style="71" min="9" max="9"/>
    <col width="28.5546875" customWidth="1" style="71" min="10" max="10"/>
    <col width="13.5546875" customWidth="1" style="71" min="11" max="12"/>
    <col width="21.21875" customWidth="1" style="71" min="13" max="13"/>
    <col width="17.5546875" customWidth="1" style="71" min="14" max="14"/>
    <col width="25.5546875" bestFit="1" customWidth="1" style="71" min="15" max="15"/>
    <col width="8.6640625" bestFit="1" customWidth="1" style="71" min="16" max="16"/>
    <col width="15.109375" bestFit="1" customWidth="1" style="71" min="17" max="17"/>
    <col width="54.21875" customWidth="1" style="71" min="18" max="18"/>
    <col width="62.77734375" customWidth="1" style="71" min="19" max="19"/>
    <col width="14" customWidth="1" style="71" min="20" max="20"/>
    <col width="18.44140625" customWidth="1" style="182" min="21" max="21"/>
    <col width="21.21875" customWidth="1" style="182" min="22" max="22"/>
    <col width="14" customWidth="1" style="182" min="23" max="24"/>
    <col width="20.33203125" customWidth="1" style="182" min="25" max="25"/>
    <col width="18.33203125" customWidth="1" style="182" min="26" max="26"/>
    <col width="14" customWidth="1" style="71" min="27" max="27"/>
    <col width="14" customWidth="1" style="182" min="28" max="28"/>
    <col width="14" customWidth="1" style="71" min="29" max="29"/>
    <col width="50.5546875" bestFit="1" customWidth="1" style="71" min="30" max="30"/>
    <col width="14" customWidth="1" style="71" min="31" max="37"/>
    <col width="15.88671875" customWidth="1" style="71" min="38" max="38"/>
    <col width="13.88671875" customWidth="1" style="71" min="39" max="39"/>
    <col width="25.6640625" bestFit="1" customWidth="1" style="71" min="40" max="40"/>
    <col width="12" customWidth="1" style="71" min="41" max="41"/>
    <col width="25.6640625" bestFit="1" customWidth="1" style="71" min="42" max="42"/>
    <col width="12" customWidth="1" style="71" min="43" max="43"/>
    <col width="12" customWidth="1" style="182" min="44" max="50"/>
    <col width="12" customWidth="1" style="71" min="51" max="16384"/>
  </cols>
  <sheetData>
    <row r="1" ht="39" customHeight="1" s="182">
      <c r="A1" s="153" t="inlineStr">
        <is>
          <t xml:space="preserve">Production Planning </t>
        </is>
      </c>
      <c r="B1" s="186" t="n"/>
      <c r="C1" s="186" t="n"/>
      <c r="D1" s="186" t="n"/>
      <c r="E1" s="186" t="n"/>
      <c r="F1" s="186" t="n"/>
      <c r="G1" s="186" t="n"/>
      <c r="H1" s="187" t="n"/>
      <c r="J1" s="154" t="inlineStr">
        <is>
          <t>Calendar Buckets &amp; Available Capacity (6 workdays/week, Sunday off)</t>
        </is>
      </c>
      <c r="K1" s="162" t="n"/>
      <c r="L1" s="162" t="n"/>
      <c r="M1" s="162" t="n"/>
      <c r="N1" s="162" t="n"/>
      <c r="O1" s="160" t="n"/>
      <c r="R1" s="164" t="inlineStr">
        <is>
          <t>PCBA Supply Scenario (Robotic A)</t>
        </is>
      </c>
      <c r="U1" s="128" t="inlineStr">
        <is>
          <t>PCBA logistics cost &amp; inventory check (SKU A)</t>
        </is>
      </c>
      <c r="V1" s="192" t="n"/>
      <c r="W1" s="192" t="n"/>
      <c r="X1" s="192" t="n"/>
      <c r="Y1" s="192" t="n"/>
      <c r="Z1" s="193" t="n"/>
      <c r="AA1" s="125" t="n"/>
      <c r="AB1" s="125" t="n"/>
      <c r="AC1" s="121" t="n"/>
      <c r="AD1" s="174" t="inlineStr">
        <is>
          <t>Scenario KPI Summary</t>
        </is>
      </c>
      <c r="AE1" s="160" t="n"/>
      <c r="AF1" s="121" t="n"/>
    </row>
    <row r="2" ht="24.6" customHeight="1" s="182">
      <c r="A2" s="188" t="n"/>
      <c r="B2" s="189" t="n"/>
      <c r="C2" s="189" t="n"/>
      <c r="D2" s="189" t="n"/>
      <c r="E2" s="189" t="n"/>
      <c r="F2" s="189" t="n"/>
      <c r="G2" s="189" t="n"/>
      <c r="H2" s="190" t="n"/>
      <c r="J2" s="72" t="inlineStr">
        <is>
          <t>Bucket</t>
        </is>
      </c>
      <c r="K2" s="72" t="inlineStr">
        <is>
          <t>Start</t>
        </is>
      </c>
      <c r="L2" s="72" t="inlineStr">
        <is>
          <t>End</t>
        </is>
      </c>
      <c r="M2" s="72" t="inlineStr">
        <is>
          <t>Workdays</t>
        </is>
      </c>
      <c r="N2" s="72" t="inlineStr">
        <is>
          <t>Workdays/6</t>
        </is>
      </c>
      <c r="O2" s="72" t="inlineStr">
        <is>
          <t>Notes</t>
        </is>
      </c>
      <c r="R2" s="122" t="inlineStr">
        <is>
          <t>Affected SKU</t>
        </is>
      </c>
      <c r="S2" s="123" t="inlineStr">
        <is>
          <t>A</t>
        </is>
      </c>
      <c r="U2" s="126" t="inlineStr">
        <is>
          <t>Air units</t>
        </is>
      </c>
      <c r="V2" s="180">
        <f>SUM(W6:W32)</f>
        <v/>
      </c>
      <c r="W2" s="126" t="inlineStr">
        <is>
          <t>Air cost/pc</t>
        </is>
      </c>
      <c r="X2" s="180">
        <f>$S$11</f>
        <v/>
      </c>
      <c r="Y2" s="125" t="n"/>
      <c r="Z2" s="125" t="n"/>
      <c r="AA2" s="125" t="n"/>
      <c r="AB2" s="125" t="n"/>
      <c r="AC2" s="119" t="n"/>
      <c r="AD2" s="142" t="inlineStr">
        <is>
          <t>Total shortage</t>
        </is>
      </c>
      <c r="AE2" s="194">
        <f>SUM(AM43:AM63)</f>
        <v/>
      </c>
      <c r="AF2" s="119" t="n"/>
    </row>
    <row r="3" ht="27" customHeight="1" s="182">
      <c r="A3" s="73" t="inlineStr">
        <is>
          <t>Start date</t>
        </is>
      </c>
      <c r="B3" s="155" t="n">
        <v>46127</v>
      </c>
      <c r="C3" s="184" t="n"/>
      <c r="D3" s="184" t="n"/>
      <c r="E3" s="184" t="n"/>
      <c r="F3" s="184" t="n"/>
      <c r="G3" s="184" t="n"/>
      <c r="H3" s="185" t="n"/>
      <c r="J3" s="74" t="inlineStr">
        <is>
          <t xml:space="preserve">B1 </t>
        </is>
      </c>
      <c r="K3" s="75">
        <f>$B$3</f>
        <v/>
      </c>
      <c r="L3" s="75">
        <f>MIN(B3+($B$5-WEEKDAY(B3,2)), $B$4)</f>
        <v/>
      </c>
      <c r="M3" s="76">
        <f>L3-K3+1</f>
        <v/>
      </c>
      <c r="N3" s="76" t="n">
        <v>0.67</v>
      </c>
      <c r="O3" s="77" t="inlineStr">
        <is>
          <t>Mon–Sat; Sunday off</t>
        </is>
      </c>
      <c r="R3" s="122" t="inlineStr">
        <is>
          <t>PCBA per FG (pcs)</t>
        </is>
      </c>
      <c r="S3" s="123" t="n">
        <v>1</v>
      </c>
      <c r="U3" s="126" t="inlineStr">
        <is>
          <t>Sea units</t>
        </is>
      </c>
      <c r="V3" s="180">
        <f>SUM(X6:X32)</f>
        <v/>
      </c>
      <c r="W3" s="126" t="inlineStr">
        <is>
          <t>Sea cost/pc</t>
        </is>
      </c>
      <c r="X3" s="180">
        <f>$S$12</f>
        <v/>
      </c>
      <c r="Y3" s="125" t="n"/>
      <c r="Z3" s="125" t="n"/>
      <c r="AA3" s="125" t="n"/>
      <c r="AB3" s="125" t="n"/>
      <c r="AC3" s="119" t="n"/>
      <c r="AD3" s="142" t="inlineStr">
        <is>
          <t>Total late qty</t>
        </is>
      </c>
      <c r="AE3" s="194">
        <f>SUM(AO43:AO63)</f>
        <v/>
      </c>
      <c r="AF3" s="119" t="n"/>
    </row>
    <row r="4" ht="27" customHeight="1" s="182">
      <c r="A4" s="73" t="inlineStr">
        <is>
          <t>End date</t>
        </is>
      </c>
      <c r="B4" s="155" t="n">
        <v>46157</v>
      </c>
      <c r="C4" s="184" t="n"/>
      <c r="D4" s="184" t="n"/>
      <c r="E4" s="184" t="n"/>
      <c r="F4" s="184" t="n"/>
      <c r="G4" s="184" t="n"/>
      <c r="H4" s="185" t="n"/>
      <c r="J4" s="74" t="inlineStr">
        <is>
          <t xml:space="preserve">B2 </t>
        </is>
      </c>
      <c r="K4" s="75">
        <f>L3+2</f>
        <v/>
      </c>
      <c r="L4" s="75">
        <f>K4+5</f>
        <v/>
      </c>
      <c r="M4" s="76">
        <f>L4-K4+1</f>
        <v/>
      </c>
      <c r="N4" s="76" t="n">
        <v>1</v>
      </c>
      <c r="O4" s="77" t="inlineStr">
        <is>
          <t>Mon–Sat; Sunday off</t>
        </is>
      </c>
      <c r="R4" s="122" t="inlineStr">
        <is>
          <t>On-hand GOOD PCBA in VN (pcs)</t>
        </is>
      </c>
      <c r="S4" s="141" t="n">
        <v>0</v>
      </c>
      <c r="U4" s="126" t="inlineStr">
        <is>
          <t>Total cost</t>
        </is>
      </c>
      <c r="V4" s="180">
        <f>V2*X2+V3*X3</f>
        <v/>
      </c>
      <c r="W4" s="192" t="n"/>
      <c r="X4" s="193" t="n"/>
      <c r="Y4" s="125" t="n"/>
      <c r="Z4" s="125" t="n"/>
      <c r="AA4" s="125" t="n"/>
      <c r="AB4" s="125" t="n"/>
      <c r="AC4" s="120" t="n"/>
      <c r="AD4" s="142" t="inlineStr">
        <is>
          <t>Total air units</t>
        </is>
      </c>
      <c r="AE4" s="194">
        <f>SUM(W6:W32)</f>
        <v/>
      </c>
      <c r="AF4" s="120" t="n"/>
    </row>
    <row r="5" ht="27" customHeight="1" s="182">
      <c r="A5" s="73" t="inlineStr">
        <is>
          <t>Workdays / week</t>
        </is>
      </c>
      <c r="B5" s="156" t="n">
        <v>6</v>
      </c>
      <c r="C5" s="184" t="n"/>
      <c r="D5" s="184" t="n"/>
      <c r="E5" s="184" t="n"/>
      <c r="F5" s="184" t="n"/>
      <c r="G5" s="184" t="n"/>
      <c r="H5" s="185" t="n"/>
      <c r="J5" s="74" t="inlineStr">
        <is>
          <t>B3</t>
        </is>
      </c>
      <c r="K5" s="75">
        <f>L4+2</f>
        <v/>
      </c>
      <c r="L5" s="75">
        <f>K5+5</f>
        <v/>
      </c>
      <c r="M5" s="76">
        <f>L5-K5+1</f>
        <v/>
      </c>
      <c r="N5" s="76" t="n">
        <v>1</v>
      </c>
      <c r="O5" s="77" t="inlineStr">
        <is>
          <t>Mon–Sat; Sunday off</t>
        </is>
      </c>
      <c r="R5" s="122" t="inlineStr">
        <is>
          <t>Vendor held DEFECT PCBA (pcs)</t>
        </is>
      </c>
      <c r="S5" s="141" t="n">
        <v>30000</v>
      </c>
      <c r="U5" s="128" t="inlineStr">
        <is>
          <t>Date</t>
        </is>
      </c>
      <c r="V5" s="128" t="inlineStr">
        <is>
          <t>Production (A)</t>
        </is>
      </c>
      <c r="W5" s="128" t="inlineStr">
        <is>
          <t>Air arr</t>
        </is>
      </c>
      <c r="X5" s="128" t="inlineStr">
        <is>
          <t>Sea arr</t>
        </is>
      </c>
      <c r="Y5" s="128" t="inlineStr">
        <is>
          <t>Reflash arr</t>
        </is>
      </c>
      <c r="Z5" s="128" t="inlineStr">
        <is>
          <t>Beg Inv</t>
        </is>
      </c>
      <c r="AA5" s="128" t="inlineStr">
        <is>
          <t>End Inv</t>
        </is>
      </c>
      <c r="AB5" s="128" t="inlineStr">
        <is>
          <t>Flag</t>
        </is>
      </c>
      <c r="AC5" s="120" t="n"/>
      <c r="AD5" s="142" t="inlineStr">
        <is>
          <t>Total sea units</t>
        </is>
      </c>
      <c r="AE5" s="194">
        <f>SUM(X6:X32)</f>
        <v/>
      </c>
      <c r="AF5" s="120" t="n"/>
    </row>
    <row r="6" ht="27" customHeight="1" s="182">
      <c r="A6" s="73" t="inlineStr">
        <is>
          <t>Shifts / day</t>
        </is>
      </c>
      <c r="B6" s="156" t="n">
        <v>2</v>
      </c>
      <c r="C6" s="184" t="n"/>
      <c r="D6" s="184" t="n"/>
      <c r="E6" s="184" t="n"/>
      <c r="F6" s="184" t="n"/>
      <c r="G6" s="184" t="n"/>
      <c r="H6" s="185" t="n"/>
      <c r="J6" s="74" t="inlineStr">
        <is>
          <t>B4</t>
        </is>
      </c>
      <c r="K6" s="75">
        <f>L5+2</f>
        <v/>
      </c>
      <c r="L6" s="75">
        <f>K6+5</f>
        <v/>
      </c>
      <c r="M6" s="76">
        <f>L6-K6+1</f>
        <v/>
      </c>
      <c r="N6" s="76" t="n">
        <v>1</v>
      </c>
      <c r="O6" s="77" t="inlineStr">
        <is>
          <t>Mon–Sat; Sunday off</t>
        </is>
      </c>
      <c r="R6" s="122" t="inlineStr">
        <is>
          <t>Reflash equipment available date</t>
        </is>
      </c>
      <c r="S6" s="124">
        <f>$B$3+21</f>
        <v/>
      </c>
      <c r="U6" s="129" t="n">
        <v>46127</v>
      </c>
      <c r="V6" s="180" t="n">
        <v>0</v>
      </c>
      <c r="W6" s="191" t="n">
        <v>0</v>
      </c>
      <c r="X6" s="130" t="n">
        <v>0</v>
      </c>
      <c r="Y6" s="180" t="n">
        <v>0</v>
      </c>
      <c r="Z6" s="180" t="n">
        <v>0</v>
      </c>
      <c r="AA6" s="180" t="n">
        <v>0</v>
      </c>
      <c r="AB6" s="180" t="inlineStr">
        <is>
          <t>OK</t>
        </is>
      </c>
      <c r="AC6" s="119" t="n"/>
      <c r="AD6" s="142" t="inlineStr">
        <is>
          <t>Estimated number of air shipments</t>
        </is>
      </c>
      <c r="AE6" s="194">
        <f>ROUNDUP(AE4/$AE$11,0)</f>
        <v/>
      </c>
      <c r="AF6" s="119" t="n"/>
    </row>
    <row r="7" ht="27" customHeight="1" s="182">
      <c r="A7" s="73" t="inlineStr">
        <is>
          <t>Lead time min (days)</t>
        </is>
      </c>
      <c r="B7" s="156" t="n">
        <v>7</v>
      </c>
      <c r="C7" s="184" t="n"/>
      <c r="D7" s="184" t="n"/>
      <c r="E7" s="184" t="n"/>
      <c r="F7" s="184" t="n"/>
      <c r="G7" s="184" t="n"/>
      <c r="H7" s="185" t="n"/>
      <c r="J7" s="74" t="inlineStr">
        <is>
          <t>B5</t>
        </is>
      </c>
      <c r="K7" s="75">
        <f>L6+2</f>
        <v/>
      </c>
      <c r="L7" s="75">
        <f>$B$4</f>
        <v/>
      </c>
      <c r="M7" s="76">
        <f>L7-K7+1</f>
        <v/>
      </c>
      <c r="N7" s="76" t="n">
        <v>0.83</v>
      </c>
      <c r="O7" s="77" t="inlineStr">
        <is>
          <t>Mon–Sat; Sunday off</t>
        </is>
      </c>
      <c r="R7" s="122" t="inlineStr">
        <is>
          <t>Reflash capacity (pcs/day)</t>
        </is>
      </c>
      <c r="S7" s="140" t="n">
        <v>4000</v>
      </c>
      <c r="U7" s="129" t="n">
        <v>46128</v>
      </c>
      <c r="V7" s="180" t="n">
        <v>0</v>
      </c>
      <c r="W7" s="191" t="n">
        <v>0</v>
      </c>
      <c r="X7" s="130" t="n">
        <v>0</v>
      </c>
      <c r="Y7" s="180" t="n">
        <v>0</v>
      </c>
      <c r="Z7" s="180" t="n">
        <v>0</v>
      </c>
      <c r="AA7" s="180" t="n">
        <v>0</v>
      </c>
      <c r="AB7" s="180" t="inlineStr">
        <is>
          <t>OK</t>
        </is>
      </c>
      <c r="AC7" s="120" t="n"/>
      <c r="AD7" s="142" t="inlineStr">
        <is>
          <t>Estimated number of sea shipments</t>
        </is>
      </c>
      <c r="AE7" s="194">
        <f>ROUNDUP(AE5/$AE$12,0)</f>
        <v/>
      </c>
      <c r="AF7" s="120" t="n"/>
    </row>
    <row r="8" ht="33" customHeight="1" s="182">
      <c r="A8" s="73" t="inlineStr">
        <is>
          <t>Lead time max (days)</t>
        </is>
      </c>
      <c r="B8" s="156" t="n">
        <v>14</v>
      </c>
      <c r="C8" s="184" t="n"/>
      <c r="D8" s="184" t="n"/>
      <c r="E8" s="184" t="n"/>
      <c r="F8" s="184" t="n"/>
      <c r="G8" s="184" t="n"/>
      <c r="H8" s="185" t="n"/>
      <c r="R8" s="122" t="inlineStr">
        <is>
          <t>Supplier new PCBA capacity (pcs/day)</t>
        </is>
      </c>
      <c r="S8" s="123" t="n">
        <v>4000</v>
      </c>
      <c r="U8" s="129" t="n">
        <v>46129</v>
      </c>
      <c r="V8" s="180" t="n">
        <v>0</v>
      </c>
      <c r="W8" s="191" t="n">
        <v>0</v>
      </c>
      <c r="X8" s="130" t="n">
        <v>0</v>
      </c>
      <c r="Y8" s="180" t="n">
        <v>0</v>
      </c>
      <c r="Z8" s="180" t="n">
        <v>0</v>
      </c>
      <c r="AA8" s="180" t="n">
        <v>0</v>
      </c>
      <c r="AB8" s="180" t="inlineStr">
        <is>
          <t>OK</t>
        </is>
      </c>
      <c r="AC8" s="119" t="n"/>
      <c r="AD8" s="142" t="inlineStr">
        <is>
          <t>Total logistics cost (USD</t>
        </is>
      </c>
      <c r="AE8" s="194">
        <f>AE4*$S$11+AE5*$S$12</f>
        <v/>
      </c>
      <c r="AF8" s="119" t="n"/>
    </row>
    <row r="9" ht="36.6" customHeight="1" s="182">
      <c r="A9" s="73" t="inlineStr">
        <is>
          <t>Note</t>
        </is>
      </c>
      <c r="B9" s="156" t="inlineStr">
        <is>
          <t>Factory runs 2 shifts/day, 6 days/week (Sunday off). Plan buckets follow Mon–Sat weeks.</t>
        </is>
      </c>
      <c r="C9" s="184" t="n"/>
      <c r="D9" s="184" t="n"/>
      <c r="E9" s="184" t="n"/>
      <c r="F9" s="184" t="n"/>
      <c r="G9" s="184" t="n"/>
      <c r="H9" s="185" t="n"/>
      <c r="R9" s="122" t="inlineStr">
        <is>
          <t>Air lead time (days)</t>
        </is>
      </c>
      <c r="S9" s="123" t="n">
        <v>3</v>
      </c>
      <c r="U9" s="129" t="n">
        <v>46130</v>
      </c>
      <c r="V9" s="180" t="n">
        <v>0</v>
      </c>
      <c r="W9" s="191" t="n">
        <v>0</v>
      </c>
      <c r="X9" s="130" t="n">
        <v>0</v>
      </c>
      <c r="Y9" s="180" t="n">
        <v>0</v>
      </c>
      <c r="Z9" s="180" t="n">
        <v>0</v>
      </c>
      <c r="AA9" s="180" t="n">
        <v>0</v>
      </c>
      <c r="AB9" s="180" t="inlineStr">
        <is>
          <t>OK</t>
        </is>
      </c>
      <c r="AC9" s="119" t="n"/>
      <c r="AD9" s="119" t="n"/>
      <c r="AE9" s="119" t="n"/>
      <c r="AF9" s="119" t="n"/>
    </row>
    <row r="10" ht="23.25" customHeight="1" s="182">
      <c r="A10" s="157" t="inlineStr">
        <is>
          <t>Overall</t>
        </is>
      </c>
      <c r="B10" s="184" t="n"/>
      <c r="C10" s="184" t="n"/>
      <c r="D10" s="184" t="n"/>
      <c r="E10" s="184" t="n"/>
      <c r="F10" s="184" t="n"/>
      <c r="G10" s="184" t="n"/>
      <c r="H10" s="185" t="n"/>
      <c r="R10" s="122" t="inlineStr">
        <is>
          <t>Sea lead time (days)</t>
        </is>
      </c>
      <c r="S10" s="123" t="n">
        <v>21</v>
      </c>
      <c r="U10" s="129" t="n">
        <v>46132</v>
      </c>
      <c r="V10" s="180" t="n">
        <v>0</v>
      </c>
      <c r="W10" s="191" t="n">
        <v>0</v>
      </c>
      <c r="X10" s="130" t="n">
        <v>0</v>
      </c>
      <c r="Y10" s="180" t="n">
        <v>0</v>
      </c>
      <c r="Z10" s="180" t="n">
        <v>0</v>
      </c>
      <c r="AA10" s="180" t="n">
        <v>0</v>
      </c>
      <c r="AB10" s="180" t="inlineStr">
        <is>
          <t>OK</t>
        </is>
      </c>
      <c r="AC10" s="119" t="n"/>
      <c r="AD10" s="174" t="inlineStr">
        <is>
          <t>Shipment assumptions</t>
        </is>
      </c>
      <c r="AE10" s="160" t="n"/>
      <c r="AF10" s="119" t="n"/>
    </row>
    <row r="11" ht="27.6" customHeight="1" s="182">
      <c r="A11" s="78" t="inlineStr">
        <is>
          <t>Total workdays in horizon</t>
        </is>
      </c>
      <c r="B11" s="158">
        <f>(B4-B3-4)+1</f>
        <v/>
      </c>
      <c r="C11" s="184" t="n"/>
      <c r="D11" s="184" t="n"/>
      <c r="E11" s="184" t="n"/>
      <c r="F11" s="184" t="n"/>
      <c r="G11" s="184" t="n"/>
      <c r="H11" s="185" t="n"/>
      <c r="R11" s="122" t="inlineStr">
        <is>
          <t>Air freight cost (USD/pc)</t>
        </is>
      </c>
      <c r="S11" s="123" t="n">
        <v>2</v>
      </c>
      <c r="U11" s="129" t="n">
        <v>46133</v>
      </c>
      <c r="V11" s="180" t="n">
        <v>0</v>
      </c>
      <c r="W11" s="191" t="n">
        <v>0</v>
      </c>
      <c r="X11" s="130" t="n">
        <v>0</v>
      </c>
      <c r="Y11" s="180" t="n">
        <v>0</v>
      </c>
      <c r="Z11" s="180" t="n">
        <v>0</v>
      </c>
      <c r="AA11" s="180" t="n">
        <v>0</v>
      </c>
      <c r="AB11" s="180" t="inlineStr">
        <is>
          <t>OK</t>
        </is>
      </c>
      <c r="AC11" s="119" t="n"/>
      <c r="AD11" s="142" t="inlineStr">
        <is>
          <t>Air shipment capacity per trip (PCBA units)</t>
        </is>
      </c>
      <c r="AE11" s="194" t="n">
        <v>1700</v>
      </c>
      <c r="AF11" s="119" t="n"/>
    </row>
    <row r="12" ht="31.8" customHeight="1" s="182">
      <c r="A12" s="79" t="inlineStr">
        <is>
          <t>Theoretical shipment request estimated by lead time</t>
        </is>
      </c>
      <c r="B12" s="195">
        <f>TEXT(B3+B7,"dd/mm")&amp;" - "&amp;TEXT(B4+B8,"dd/mm")</f>
        <v/>
      </c>
      <c r="C12" s="184" t="n"/>
      <c r="D12" s="184" t="n"/>
      <c r="E12" s="184" t="n"/>
      <c r="F12" s="184" t="n"/>
      <c r="G12" s="184" t="n"/>
      <c r="H12" s="185" t="n"/>
      <c r="R12" s="122" t="inlineStr">
        <is>
          <t>Sea freight cost (USD/pc)</t>
        </is>
      </c>
      <c r="S12" s="123" t="n">
        <v>0</v>
      </c>
      <c r="U12" s="129" t="n">
        <v>46134</v>
      </c>
      <c r="V12" s="180" t="n">
        <v>0</v>
      </c>
      <c r="W12" s="191" t="n">
        <v>0</v>
      </c>
      <c r="X12" s="130" t="n">
        <v>0</v>
      </c>
      <c r="Y12" s="180" t="n">
        <v>0</v>
      </c>
      <c r="Z12" s="180" t="n">
        <v>0</v>
      </c>
      <c r="AA12" s="180" t="n">
        <v>0</v>
      </c>
      <c r="AB12" s="180" t="inlineStr">
        <is>
          <t>OK</t>
        </is>
      </c>
      <c r="AC12" s="119" t="n"/>
      <c r="AD12" s="142" t="inlineStr">
        <is>
          <t>Sea shipment capacity per trip (PCBA units)</t>
        </is>
      </c>
      <c r="AE12" s="194" t="n">
        <v>10000</v>
      </c>
      <c r="AF12" s="119" t="n"/>
    </row>
    <row r="13" ht="24.6" customHeight="1" s="182">
      <c r="L13" s="115" t="n"/>
      <c r="M13" s="115" t="n"/>
      <c r="N13" s="115" t="n"/>
      <c r="O13" s="115" t="n"/>
      <c r="P13" s="115" t="n"/>
      <c r="Q13" s="115" t="n"/>
      <c r="R13" s="115" t="n"/>
      <c r="S13" s="115" t="n"/>
      <c r="U13" s="129" t="n">
        <v>46135</v>
      </c>
      <c r="V13" s="180" t="n">
        <v>0</v>
      </c>
      <c r="W13" s="191" t="n">
        <v>0</v>
      </c>
      <c r="X13" s="130" t="n">
        <v>0</v>
      </c>
      <c r="Y13" s="180" t="n">
        <v>0</v>
      </c>
      <c r="Z13" s="180" t="n">
        <v>0</v>
      </c>
      <c r="AA13" s="180" t="n">
        <v>0</v>
      </c>
      <c r="AB13" s="180" t="inlineStr">
        <is>
          <t>OK</t>
        </is>
      </c>
    </row>
    <row r="14" ht="37.5" customHeight="1" s="182">
      <c r="A14" s="150" t="inlineStr">
        <is>
          <t>Demand Aggregated for Production Horizon (15.4-15.5)</t>
        </is>
      </c>
      <c r="B14" s="175" t="n"/>
      <c r="C14" s="175" t="n"/>
      <c r="D14" s="175" t="n"/>
      <c r="E14" s="175" t="n"/>
      <c r="F14" s="175" t="n"/>
      <c r="G14" s="175" t="n"/>
      <c r="H14" s="175" t="n"/>
      <c r="I14" s="175" t="n"/>
      <c r="J14" s="176" t="n"/>
      <c r="L14" s="116" t="n"/>
      <c r="P14" s="116" t="n"/>
      <c r="Q14" s="196" t="inlineStr">
        <is>
          <t>NOTE</t>
        </is>
      </c>
      <c r="R14" s="162" t="n"/>
      <c r="S14" s="160" t="n"/>
      <c r="U14" s="129" t="n">
        <v>46136</v>
      </c>
      <c r="V14" s="180" t="n">
        <v>0</v>
      </c>
      <c r="W14" s="191" t="n">
        <v>0</v>
      </c>
      <c r="X14" s="130" t="n">
        <v>0</v>
      </c>
      <c r="Y14" s="180" t="n">
        <v>0</v>
      </c>
      <c r="Z14" s="180" t="n">
        <v>0</v>
      </c>
      <c r="AA14" s="180" t="n">
        <v>0</v>
      </c>
      <c r="AB14" s="180" t="inlineStr">
        <is>
          <t>OK</t>
        </is>
      </c>
    </row>
    <row r="15" ht="35.4" customHeight="1" s="182">
      <c r="A15" s="177" t="n"/>
      <c r="B15" s="178" t="n"/>
      <c r="C15" s="178" t="n"/>
      <c r="D15" s="178" t="n"/>
      <c r="E15" s="178" t="n"/>
      <c r="F15" s="178" t="n"/>
      <c r="G15" s="178" t="n"/>
      <c r="H15" s="178" t="n"/>
      <c r="I15" s="178" t="n"/>
      <c r="J15" s="179" t="n"/>
      <c r="L15" s="117" t="n"/>
      <c r="P15" s="118" t="n"/>
      <c r="Q15" s="139" t="inlineStr">
        <is>
          <t>Air cost/pc</t>
        </is>
      </c>
      <c r="R15" s="139" t="inlineStr">
        <is>
          <t>Air cost per piece</t>
        </is>
      </c>
      <c r="S15" s="139" t="inlineStr">
        <is>
          <t>Chi phí vận chuyển hàng không trên mỗi đơn vị PCBA.</t>
        </is>
      </c>
      <c r="U15" s="129" t="n">
        <v>46137</v>
      </c>
      <c r="V15" s="180" t="n">
        <v>684</v>
      </c>
      <c r="W15" s="191" t="n">
        <v>684</v>
      </c>
      <c r="X15" s="130" t="n">
        <v>0</v>
      </c>
      <c r="Y15" s="180" t="n">
        <v>0</v>
      </c>
      <c r="Z15" s="180" t="n">
        <v>0</v>
      </c>
      <c r="AA15" s="180" t="n">
        <v>0</v>
      </c>
      <c r="AB15" s="180" t="inlineStr">
        <is>
          <t>OK</t>
        </is>
      </c>
    </row>
    <row r="16" ht="36" customHeight="1" s="182">
      <c r="A16" s="80" t="inlineStr">
        <is>
          <t>SKU</t>
        </is>
      </c>
      <c r="B16" s="80" t="inlineStr">
        <is>
          <t>Description</t>
        </is>
      </c>
      <c r="C16" s="80" t="inlineStr">
        <is>
          <t>Market</t>
        </is>
      </c>
      <c r="D16" s="80" t="inlineStr">
        <is>
          <t>Product group</t>
        </is>
      </c>
      <c r="E16" s="80" t="inlineStr">
        <is>
          <t>Fixture</t>
        </is>
      </c>
      <c r="F16" s="80" t="inlineStr">
        <is>
          <t>Weekly capacity</t>
        </is>
      </c>
      <c r="G16" s="80" t="inlineStr">
        <is>
          <t>Ship request</t>
        </is>
      </c>
      <c r="H16" s="80" t="inlineStr">
        <is>
          <t>Demand quantity</t>
        </is>
      </c>
      <c r="I16" s="80" t="inlineStr">
        <is>
          <t>Earliest production date (Ship-LeadMax)</t>
        </is>
      </c>
      <c r="J16" s="80" t="inlineStr">
        <is>
          <t>Latest production date (Ship-LeadMin)</t>
        </is>
      </c>
      <c r="L16" s="117" t="n"/>
      <c r="P16" s="118" t="n"/>
      <c r="Q16" s="139" t="inlineStr">
        <is>
          <t>Sea cost/pc</t>
        </is>
      </c>
      <c r="R16" s="139" t="inlineStr">
        <is>
          <t>Sea cost per piece</t>
        </is>
      </c>
      <c r="S16" s="139" t="inlineStr">
        <is>
          <t>Chi phí vận chuyển đường biển trên mỗi đơn vị PCBA.</t>
        </is>
      </c>
      <c r="U16" s="129" t="n">
        <v>46139</v>
      </c>
      <c r="V16" s="180" t="n">
        <v>0</v>
      </c>
      <c r="W16" s="191" t="n">
        <v>0</v>
      </c>
      <c r="X16" s="130" t="n">
        <v>0</v>
      </c>
      <c r="Y16" s="180" t="n">
        <v>0</v>
      </c>
      <c r="Z16" s="180" t="n">
        <v>0</v>
      </c>
      <c r="AA16" s="180" t="n">
        <v>0</v>
      </c>
      <c r="AB16" s="180" t="inlineStr">
        <is>
          <t>OK</t>
        </is>
      </c>
    </row>
    <row r="17" ht="41.4" customHeight="1" s="182">
      <c r="A17" s="85" t="inlineStr">
        <is>
          <t>A</t>
        </is>
      </c>
      <c r="B17" s="86" t="inlineStr">
        <is>
          <t>2026 Automatic Robot ver</t>
        </is>
      </c>
      <c r="C17" s="86" t="inlineStr">
        <is>
          <t>US</t>
        </is>
      </c>
      <c r="D17" s="86" t="inlineStr">
        <is>
          <t>Electronic Toy</t>
        </is>
      </c>
      <c r="E17" s="86" t="inlineStr">
        <is>
          <t>123AB</t>
        </is>
      </c>
      <c r="F17" s="83" t="n">
        <v>15000</v>
      </c>
      <c r="G17" s="87" t="n">
        <v>46150</v>
      </c>
      <c r="H17" s="83">
        <f>SUMIFS('Demand for Production Plan'!$I:$I,'Demand for Production Plan'!$A:$A,$A17,'Demand for Production Plan'!$C:$C,$C17,'Demand for Production Plan'!$F:$F,$E17,'Demand for Production Plan'!$H:$H,$G17)</f>
        <v/>
      </c>
      <c r="I17" s="87">
        <f>G17-$B$8</f>
        <v/>
      </c>
      <c r="J17" s="87">
        <f>G17-$B$7</f>
        <v/>
      </c>
      <c r="L17" s="117" t="n"/>
      <c r="P17" s="118" t="n"/>
      <c r="Q17" s="139" t="inlineStr">
        <is>
          <t>Total cost</t>
        </is>
      </c>
      <c r="R17" s="139" t="inlineStr">
        <is>
          <t>Total logistics cost</t>
        </is>
      </c>
      <c r="S17" s="139" t="inlineStr">
        <is>
          <t>Tổng chi phí logistics phát sinh từ phương án air/sea cho PCBA.</t>
        </is>
      </c>
      <c r="U17" s="129" t="n">
        <v>46140</v>
      </c>
      <c r="V17" s="180" t="n">
        <v>0</v>
      </c>
      <c r="W17" s="191" t="n">
        <v>0</v>
      </c>
      <c r="X17" s="130" t="n">
        <v>0</v>
      </c>
      <c r="Y17" s="180" t="n">
        <v>0</v>
      </c>
      <c r="Z17" s="180" t="n">
        <v>0</v>
      </c>
      <c r="AA17" s="180" t="n">
        <v>0</v>
      </c>
      <c r="AB17" s="180" t="inlineStr">
        <is>
          <t>OK</t>
        </is>
      </c>
    </row>
    <row r="18" ht="42" customHeight="1" s="182">
      <c r="A18" s="85" t="inlineStr">
        <is>
          <t>A</t>
        </is>
      </c>
      <c r="B18" s="86" t="inlineStr">
        <is>
          <t>2026 Automatic Robot ver</t>
        </is>
      </c>
      <c r="C18" s="86" t="inlineStr">
        <is>
          <t>US</t>
        </is>
      </c>
      <c r="D18" s="86" t="inlineStr">
        <is>
          <t>Electronic Toy</t>
        </is>
      </c>
      <c r="E18" s="86" t="inlineStr">
        <is>
          <t>123AB</t>
        </is>
      </c>
      <c r="F18" s="83" t="n">
        <v>15000</v>
      </c>
      <c r="G18" s="87" t="n">
        <v>46157</v>
      </c>
      <c r="H18" s="83">
        <f>SUMIFS('Demand for Production Plan'!$I:$I,'Demand for Production Plan'!$A:$A,$A18,'Demand for Production Plan'!$C:$C,$C18,'Demand for Production Plan'!$F:$F,$E18,'Demand for Production Plan'!$H:$H,$G18)</f>
        <v/>
      </c>
      <c r="I18" s="87">
        <f>G18-$B$8</f>
        <v/>
      </c>
      <c r="J18" s="87">
        <f>G18-$B$7</f>
        <v/>
      </c>
      <c r="Q18" s="139" t="inlineStr">
        <is>
          <t>Prod(A)</t>
        </is>
      </c>
      <c r="R18" s="139" t="inlineStr">
        <is>
          <t>Production quantity of SKU A</t>
        </is>
      </c>
      <c r="S18" s="139" t="inlineStr">
        <is>
          <t>Số lượng SKU A được sản xuất trong ngày; cũng là lượng PCBA bị tiêu hao trong ngày nếu 1 sản phẩm dùng 1 PCBA.</t>
        </is>
      </c>
      <c r="U18" s="129" t="n">
        <v>46141</v>
      </c>
      <c r="V18" s="180" t="n">
        <v>0</v>
      </c>
      <c r="W18" s="191" t="n">
        <v>0</v>
      </c>
      <c r="X18" s="130" t="n">
        <v>0</v>
      </c>
      <c r="Y18" s="180" t="n">
        <v>0</v>
      </c>
      <c r="Z18" s="180" t="n">
        <v>0</v>
      </c>
      <c r="AA18" s="180" t="n">
        <v>0</v>
      </c>
      <c r="AB18" s="180" t="inlineStr">
        <is>
          <t>OK</t>
        </is>
      </c>
    </row>
    <row r="19" ht="42" customHeight="1" s="182">
      <c r="A19" s="85" t="inlineStr">
        <is>
          <t>A</t>
        </is>
      </c>
      <c r="B19" s="86" t="inlineStr">
        <is>
          <t>2026 Automatic Robot ver</t>
        </is>
      </c>
      <c r="C19" s="86" t="inlineStr">
        <is>
          <t>US</t>
        </is>
      </c>
      <c r="D19" s="86" t="inlineStr">
        <is>
          <t>Electronic Toy</t>
        </is>
      </c>
      <c r="E19" s="86" t="inlineStr">
        <is>
          <t>123AB</t>
        </is>
      </c>
      <c r="F19" s="83" t="n">
        <v>15000</v>
      </c>
      <c r="G19" s="87" t="n">
        <v>46164</v>
      </c>
      <c r="H19" s="83">
        <f>SUMIFS('Demand for Production Plan'!$I:$I,'Demand for Production Plan'!$A:$A,$A19,'Demand for Production Plan'!$C:$C,$C19,'Demand for Production Plan'!$F:$F,$E19,'Demand for Production Plan'!$H:$H,$G19)</f>
        <v/>
      </c>
      <c r="I19" s="87">
        <f>G19-$B$8</f>
        <v/>
      </c>
      <c r="J19" s="87">
        <f>G19-$B$7</f>
        <v/>
      </c>
      <c r="Q19" s="139" t="inlineStr">
        <is>
          <t>Air arr</t>
        </is>
      </c>
      <c r="R19" s="139" t="inlineStr">
        <is>
          <t>Air arrival</t>
        </is>
      </c>
      <c r="S19" s="139" t="inlineStr">
        <is>
          <t>Số lượng PCBA thực nhận trong ngày từ phương án vận chuyển air.</t>
        </is>
      </c>
      <c r="U19" s="129" t="n">
        <v>46142</v>
      </c>
      <c r="V19" s="180" t="n">
        <v>0</v>
      </c>
      <c r="W19" s="191" t="n">
        <v>0</v>
      </c>
      <c r="X19" s="130" t="n">
        <v>0</v>
      </c>
      <c r="Y19" s="180" t="n">
        <v>0</v>
      </c>
      <c r="Z19" s="180" t="n">
        <v>0</v>
      </c>
      <c r="AA19" s="180" t="n">
        <v>0</v>
      </c>
      <c r="AB19" s="180" t="inlineStr">
        <is>
          <t>OK</t>
        </is>
      </c>
    </row>
    <row r="20" ht="42" customHeight="1" s="182">
      <c r="A20" s="85" t="inlineStr">
        <is>
          <t>A</t>
        </is>
      </c>
      <c r="B20" s="86" t="inlineStr">
        <is>
          <t>2026 Automatic Robot ver</t>
        </is>
      </c>
      <c r="C20" s="86" t="inlineStr">
        <is>
          <t>US</t>
        </is>
      </c>
      <c r="D20" s="86" t="inlineStr">
        <is>
          <t>Electronic Toy</t>
        </is>
      </c>
      <c r="E20" s="86" t="inlineStr">
        <is>
          <t>123AB</t>
        </is>
      </c>
      <c r="F20" s="83" t="n">
        <v>15000</v>
      </c>
      <c r="G20" s="87" t="n">
        <v>46171</v>
      </c>
      <c r="H20" s="83">
        <f>SUMIFS('Demand for Production Plan'!$I:$I,'Demand for Production Plan'!$A:$A,$A20,'Demand for Production Plan'!$C:$C,$C20,'Demand for Production Plan'!$F:$F,$E20,'Demand for Production Plan'!$H:$H,$G20)</f>
        <v/>
      </c>
      <c r="I20" s="87">
        <f>G20-$B$8</f>
        <v/>
      </c>
      <c r="J20" s="87">
        <f>G20-$B$7</f>
        <v/>
      </c>
      <c r="Q20" s="139" t="inlineStr">
        <is>
          <t>Sea arr</t>
        </is>
      </c>
      <c r="R20" s="139" t="inlineStr">
        <is>
          <t>Sea arrival</t>
        </is>
      </c>
      <c r="S20" s="139" t="inlineStr">
        <is>
          <t>Số lượng PCBA thực nhận trong ngày từ phương án vận chuyển sea.</t>
        </is>
      </c>
      <c r="U20" s="129" t="n">
        <v>46143</v>
      </c>
      <c r="V20" s="180" t="n">
        <v>0</v>
      </c>
      <c r="W20" s="191" t="n">
        <v>0</v>
      </c>
      <c r="X20" s="130" t="n">
        <v>0</v>
      </c>
      <c r="Y20" s="180" t="n">
        <v>0</v>
      </c>
      <c r="Z20" s="180" t="n">
        <v>0</v>
      </c>
      <c r="AA20" s="180" t="n">
        <v>0</v>
      </c>
      <c r="AB20" s="180" t="inlineStr">
        <is>
          <t>OK</t>
        </is>
      </c>
    </row>
    <row r="21" ht="42" customHeight="1" s="182">
      <c r="A21" s="85" t="inlineStr">
        <is>
          <t>B</t>
        </is>
      </c>
      <c r="B21" s="86" t="inlineStr">
        <is>
          <t>2025 Barbie ver colorful</t>
        </is>
      </c>
      <c r="C21" s="86" t="inlineStr">
        <is>
          <t>US</t>
        </is>
      </c>
      <c r="D21" s="86" t="inlineStr">
        <is>
          <t>Doll</t>
        </is>
      </c>
      <c r="E21" s="86" t="inlineStr">
        <is>
          <t>123AB</t>
        </is>
      </c>
      <c r="F21" s="83" t="n">
        <v>15000</v>
      </c>
      <c r="G21" s="87" t="n">
        <v>46157</v>
      </c>
      <c r="H21" s="83">
        <f>SUMIFS('Demand for Production Plan'!$I:$I,'Demand for Production Plan'!$A:$A,$A21,'Demand for Production Plan'!$C:$C,$C21,'Demand for Production Plan'!$F:$F,$E21,'Demand for Production Plan'!$H:$H,$G21)</f>
        <v/>
      </c>
      <c r="I21" s="87">
        <f>G21-$B$8</f>
        <v/>
      </c>
      <c r="J21" s="87">
        <f>G21-$B$7</f>
        <v/>
      </c>
      <c r="Q21" s="139" t="inlineStr">
        <is>
          <t>Reflash arr</t>
        </is>
      </c>
      <c r="R21" s="139" t="inlineStr">
        <is>
          <t>Reflash arrival / recovered usable PCBA arrival</t>
        </is>
      </c>
      <c r="S21" s="139" t="inlineStr">
        <is>
          <t>Số lượng PCBA bổ sung trong ngày từ nguồn reflash/rework/phục hồi nội bộ.</t>
        </is>
      </c>
      <c r="U21" s="129" t="n">
        <v>46144</v>
      </c>
      <c r="V21" s="180" t="n">
        <v>2500</v>
      </c>
      <c r="W21" s="191" t="n">
        <v>2500</v>
      </c>
      <c r="X21" s="130" t="n">
        <v>0</v>
      </c>
      <c r="Y21" s="180" t="n">
        <v>0</v>
      </c>
      <c r="Z21" s="180" t="n">
        <v>0</v>
      </c>
      <c r="AA21" s="180" t="n">
        <v>0</v>
      </c>
      <c r="AB21" s="180" t="inlineStr">
        <is>
          <t>OK</t>
        </is>
      </c>
    </row>
    <row r="22" ht="42" customHeight="1" s="182">
      <c r="A22" s="85" t="inlineStr">
        <is>
          <t>B</t>
        </is>
      </c>
      <c r="B22" s="86" t="inlineStr">
        <is>
          <t>2025 Barbie ver colorful</t>
        </is>
      </c>
      <c r="C22" s="86" t="inlineStr">
        <is>
          <t>US</t>
        </is>
      </c>
      <c r="D22" s="86" t="inlineStr">
        <is>
          <t>Doll</t>
        </is>
      </c>
      <c r="E22" s="86" t="inlineStr">
        <is>
          <t>123AB</t>
        </is>
      </c>
      <c r="F22" s="83" t="n">
        <v>15000</v>
      </c>
      <c r="G22" s="87" t="n">
        <v>46164</v>
      </c>
      <c r="H22" s="83">
        <f>SUMIFS('Demand for Production Plan'!$I:$I,'Demand for Production Plan'!$A:$A,$A22,'Demand for Production Plan'!$C:$C,$C22,'Demand for Production Plan'!$F:$F,$E22,'Demand for Production Plan'!$H:$H,$G22)</f>
        <v/>
      </c>
      <c r="I22" s="87">
        <f>G22-$B$8</f>
        <v/>
      </c>
      <c r="J22" s="87">
        <f>G22-$B$7</f>
        <v/>
      </c>
      <c r="Q22" s="139" t="inlineStr">
        <is>
          <t>Beg Inv</t>
        </is>
      </c>
      <c r="R22" s="139" t="inlineStr">
        <is>
          <t>Beginning Inventory</t>
        </is>
      </c>
      <c r="S22" s="139" t="inlineStr">
        <is>
          <t>Tồn kho đầu ngày của PCBA.</t>
        </is>
      </c>
      <c r="U22" s="129" t="n">
        <v>46146</v>
      </c>
      <c r="V22" s="180" t="n">
        <v>1998</v>
      </c>
      <c r="W22" s="191" t="n">
        <v>1998</v>
      </c>
      <c r="X22" s="130" t="n">
        <v>0</v>
      </c>
      <c r="Y22" s="180" t="n">
        <v>0</v>
      </c>
      <c r="Z22" s="180" t="n">
        <v>0</v>
      </c>
      <c r="AA22" s="180" t="n">
        <v>0</v>
      </c>
      <c r="AB22" s="180" t="inlineStr">
        <is>
          <t>OK</t>
        </is>
      </c>
    </row>
    <row r="23" ht="42" customHeight="1" s="182">
      <c r="A23" s="85" t="inlineStr">
        <is>
          <t>B</t>
        </is>
      </c>
      <c r="B23" s="86" t="inlineStr">
        <is>
          <t>2025 Barbie ver colorful</t>
        </is>
      </c>
      <c r="C23" s="86" t="inlineStr">
        <is>
          <t>US</t>
        </is>
      </c>
      <c r="D23" s="86" t="inlineStr">
        <is>
          <t>Doll</t>
        </is>
      </c>
      <c r="E23" s="86" t="inlineStr">
        <is>
          <t>123AB</t>
        </is>
      </c>
      <c r="F23" s="83" t="n">
        <v>15000</v>
      </c>
      <c r="G23" s="87" t="n">
        <v>46171</v>
      </c>
      <c r="H23" s="83">
        <f>SUMIFS('Demand for Production Plan'!$I:$I,'Demand for Production Plan'!$A:$A,$A23,'Demand for Production Plan'!$C:$C,$C23,'Demand for Production Plan'!$F:$F,$E23,'Demand for Production Plan'!$H:$H,$G23)</f>
        <v/>
      </c>
      <c r="I23" s="87">
        <f>G23-$B$8</f>
        <v/>
      </c>
      <c r="J23" s="87">
        <f>G23-$B$7</f>
        <v/>
      </c>
      <c r="Q23" s="139" t="inlineStr">
        <is>
          <t>End Inv</t>
        </is>
      </c>
      <c r="R23" s="139" t="inlineStr">
        <is>
          <t>Ending Inventory</t>
        </is>
      </c>
      <c r="S23" s="139" t="inlineStr">
        <is>
          <t>Tồn kho cuối ngày của PCBA sau khi cộng arrival và trừ lượng dùng cho sản xuất.</t>
        </is>
      </c>
      <c r="U23" s="129" t="n">
        <v>46147</v>
      </c>
      <c r="V23" s="180" t="n">
        <v>0</v>
      </c>
      <c r="W23" s="191" t="n">
        <v>0</v>
      </c>
      <c r="X23" s="130" t="n">
        <v>0</v>
      </c>
      <c r="Y23" s="180" t="n">
        <v>0</v>
      </c>
      <c r="Z23" s="180" t="n">
        <v>0</v>
      </c>
      <c r="AA23" s="180" t="n">
        <v>0</v>
      </c>
      <c r="AB23" s="180" t="inlineStr">
        <is>
          <t>OK</t>
        </is>
      </c>
    </row>
    <row r="24" ht="42" customHeight="1" s="182">
      <c r="A24" s="85" t="inlineStr">
        <is>
          <t>C</t>
        </is>
      </c>
      <c r="B24" s="86" t="inlineStr">
        <is>
          <t>2026 Castle &amp; Farm Blocks</t>
        </is>
      </c>
      <c r="C24" s="86" t="inlineStr">
        <is>
          <t>UK</t>
        </is>
      </c>
      <c r="D24" s="86" t="inlineStr">
        <is>
          <t>Building &amp; Construction Toy</t>
        </is>
      </c>
      <c r="E24" s="86" t="inlineStr">
        <is>
          <t>456CD</t>
        </is>
      </c>
      <c r="F24" s="83" t="n">
        <v>5000</v>
      </c>
      <c r="G24" s="87" t="n">
        <v>46157</v>
      </c>
      <c r="H24" s="83">
        <f>SUMIFS('Demand for Production Plan'!$I:$I,'Demand for Production Plan'!$A:$A,$A24,'Demand for Production Plan'!$C:$C,$C24,'Demand for Production Plan'!$F:$F,$E24,'Demand for Production Plan'!$H:$H,$G24)</f>
        <v/>
      </c>
      <c r="I24" s="87">
        <f>G24-$B$8</f>
        <v/>
      </c>
      <c r="J24" s="87">
        <f>G24-$B$7</f>
        <v/>
      </c>
      <c r="Q24" s="139" t="inlineStr">
        <is>
          <t>Inv</t>
        </is>
      </c>
      <c r="R24" s="139" t="inlineStr">
        <is>
          <t>Inventory</t>
        </is>
      </c>
      <c r="S24" s="139" t="inlineStr">
        <is>
          <t>Tồn kho.</t>
        </is>
      </c>
      <c r="U24" s="129" t="n">
        <v>46148</v>
      </c>
      <c r="V24" s="180" t="n">
        <v>2500</v>
      </c>
      <c r="W24" s="191" t="n">
        <v>0</v>
      </c>
      <c r="X24" s="130" t="n">
        <v>0</v>
      </c>
      <c r="Y24" s="180" t="n">
        <v>4000</v>
      </c>
      <c r="Z24" s="180" t="n">
        <v>0</v>
      </c>
      <c r="AA24" s="180" t="n">
        <v>1500</v>
      </c>
      <c r="AB24" s="180" t="inlineStr">
        <is>
          <t>OK</t>
        </is>
      </c>
    </row>
    <row r="25" ht="42" customHeight="1" s="182">
      <c r="A25" s="85" t="inlineStr">
        <is>
          <t>C</t>
        </is>
      </c>
      <c r="B25" s="86" t="inlineStr">
        <is>
          <t>2026 Castle &amp; Farm Blocks</t>
        </is>
      </c>
      <c r="C25" s="86" t="inlineStr">
        <is>
          <t>UK</t>
        </is>
      </c>
      <c r="D25" s="86" t="inlineStr">
        <is>
          <t>Building &amp; Construction Toy</t>
        </is>
      </c>
      <c r="E25" s="86" t="inlineStr">
        <is>
          <t>456CD</t>
        </is>
      </c>
      <c r="F25" s="83" t="n">
        <v>5000</v>
      </c>
      <c r="G25" s="87" t="n">
        <v>46164</v>
      </c>
      <c r="H25" s="83">
        <f>SUMIFS('Demand for Production Plan'!$I:$I,'Demand for Production Plan'!$A:$A,$A25,'Demand for Production Plan'!$C:$C,$C25,'Demand for Production Plan'!$F:$F,$E25,'Demand for Production Plan'!$H:$H,$G25)</f>
        <v/>
      </c>
      <c r="I25" s="87">
        <f>G25-$B$8</f>
        <v/>
      </c>
      <c r="J25" s="87">
        <f>G25-$B$7</f>
        <v/>
      </c>
      <c r="Q25" s="139" t="inlineStr">
        <is>
          <t>Flag</t>
        </is>
      </c>
      <c r="R25" s="139" t="inlineStr">
        <is>
          <t>Status flag</t>
        </is>
      </c>
      <c r="S25" s="139" t="inlineStr">
        <is>
          <t>Cờ cảnh báo tình trạng tồn kho trong ngày.</t>
        </is>
      </c>
      <c r="U25" s="129" t="n">
        <v>46149</v>
      </c>
      <c r="V25" s="180" t="n">
        <v>2500</v>
      </c>
      <c r="W25" s="191" t="n">
        <v>0</v>
      </c>
      <c r="X25" s="130" t="n">
        <v>0</v>
      </c>
      <c r="Y25" s="180" t="n">
        <v>4000</v>
      </c>
      <c r="Z25" s="180" t="n">
        <v>1500</v>
      </c>
      <c r="AA25" s="180" t="n">
        <v>3000</v>
      </c>
      <c r="AB25" s="180" t="inlineStr">
        <is>
          <t>OK</t>
        </is>
      </c>
    </row>
    <row r="26" ht="42" customHeight="1" s="182">
      <c r="A26" s="85" t="inlineStr">
        <is>
          <t>C</t>
        </is>
      </c>
      <c r="B26" s="86" t="inlineStr">
        <is>
          <t>2026 Castle &amp; Farm Blocks</t>
        </is>
      </c>
      <c r="C26" s="86" t="inlineStr">
        <is>
          <t>UK</t>
        </is>
      </c>
      <c r="D26" s="86" t="inlineStr">
        <is>
          <t>Building &amp; Construction Toy</t>
        </is>
      </c>
      <c r="E26" s="86" t="inlineStr">
        <is>
          <t>456CD</t>
        </is>
      </c>
      <c r="F26" s="83" t="n">
        <v>5000</v>
      </c>
      <c r="G26" s="87" t="n">
        <v>46171</v>
      </c>
      <c r="H26" s="83">
        <f>SUMIFS('Demand for Production Plan'!$I:$I,'Demand for Production Plan'!$A:$A,$A26,'Demand for Production Plan'!$C:$C,$C26,'Demand for Production Plan'!$F:$F,$E26,'Demand for Production Plan'!$H:$H,$G26)</f>
        <v/>
      </c>
      <c r="I26" s="87">
        <f>G26-$B$8</f>
        <v/>
      </c>
      <c r="J26" s="87">
        <f>G26-$B$7</f>
        <v/>
      </c>
      <c r="Q26" s="139" t="inlineStr">
        <is>
          <t>OK</t>
        </is>
      </c>
      <c r="R26" s="139" t="inlineStr">
        <is>
          <t>OK / Inventory feasible</t>
        </is>
      </c>
      <c r="S26" s="139" t="inlineStr">
        <is>
          <t>Tồn kho không âm, ngày đó khả thi về mặt vật tư.</t>
        </is>
      </c>
      <c r="U26" s="129" t="n">
        <v>46150</v>
      </c>
      <c r="V26" s="180" t="n">
        <v>2500</v>
      </c>
      <c r="W26" s="191" t="n">
        <v>0</v>
      </c>
      <c r="X26" s="130" t="n">
        <v>0</v>
      </c>
      <c r="Y26" s="180" t="n">
        <v>4000</v>
      </c>
      <c r="Z26" s="180" t="n">
        <v>3000</v>
      </c>
      <c r="AA26" s="180" t="n">
        <v>4500</v>
      </c>
      <c r="AB26" s="180" t="inlineStr">
        <is>
          <t>OK</t>
        </is>
      </c>
    </row>
    <row r="27" ht="42" customHeight="1" s="182">
      <c r="A27" s="85" t="inlineStr">
        <is>
          <t>D</t>
        </is>
      </c>
      <c r="B27" s="86" t="inlineStr">
        <is>
          <t>2026 Animal Animation Book</t>
        </is>
      </c>
      <c r="C27" s="86" t="inlineStr">
        <is>
          <t>UK</t>
        </is>
      </c>
      <c r="D27" s="86" t="inlineStr">
        <is>
          <t>Educational Toy</t>
        </is>
      </c>
      <c r="E27" s="86" t="inlineStr">
        <is>
          <t>456CD</t>
        </is>
      </c>
      <c r="F27" s="83" t="n">
        <v>5000</v>
      </c>
      <c r="G27" s="87" t="n">
        <v>46157</v>
      </c>
      <c r="H27" s="83">
        <f>SUMIFS('Demand for Production Plan'!$I:$I,'Demand for Production Plan'!$A:$A,$A27,'Demand for Production Plan'!$C:$C,$C27,'Demand for Production Plan'!$F:$F,$E27,'Demand for Production Plan'!$H:$H,$G27)</f>
        <v/>
      </c>
      <c r="I27" s="87">
        <f>G27-$B$8</f>
        <v/>
      </c>
      <c r="J27" s="87">
        <f>G27-$B$7</f>
        <v/>
      </c>
      <c r="Q27" s="139" t="inlineStr">
        <is>
          <t>NEG_INV</t>
        </is>
      </c>
      <c r="R27" s="139" t="inlineStr">
        <is>
          <t>Negative Inventory</t>
        </is>
      </c>
      <c r="S27" s="139" t="inlineStr">
        <is>
          <t>Tồn kho âm, nghĩa là kế hoạch sản xuất ngày đó không khả thi nếu không có thêm PCBA.</t>
        </is>
      </c>
      <c r="U27" s="129" t="n">
        <v>46151</v>
      </c>
      <c r="V27" s="180" t="n">
        <v>2500</v>
      </c>
      <c r="W27" s="191" t="n">
        <v>0</v>
      </c>
      <c r="X27" s="130" t="n">
        <v>0</v>
      </c>
      <c r="Y27" s="180" t="n">
        <v>4000</v>
      </c>
      <c r="Z27" s="180" t="n">
        <v>4500</v>
      </c>
      <c r="AA27" s="180" t="n">
        <v>6000</v>
      </c>
      <c r="AB27" s="180" t="inlineStr">
        <is>
          <t>OK</t>
        </is>
      </c>
    </row>
    <row r="28" ht="42" customHeight="1" s="182">
      <c r="A28" s="85" t="inlineStr">
        <is>
          <t>D</t>
        </is>
      </c>
      <c r="B28" s="86" t="inlineStr">
        <is>
          <t>2026 Animal Animation Book</t>
        </is>
      </c>
      <c r="C28" s="86" t="inlineStr">
        <is>
          <t>UK</t>
        </is>
      </c>
      <c r="D28" s="86" t="inlineStr">
        <is>
          <t>Educational Toy</t>
        </is>
      </c>
      <c r="E28" s="86" t="inlineStr">
        <is>
          <t>456CD</t>
        </is>
      </c>
      <c r="F28" s="83" t="n">
        <v>5000</v>
      </c>
      <c r="G28" s="87" t="n">
        <v>46164</v>
      </c>
      <c r="H28" s="83">
        <f>SUMIFS('Demand for Production Plan'!$I:$I,'Demand for Production Plan'!$A:$A,$A28,'Demand for Production Plan'!$C:$C,$C28,'Demand for Production Plan'!$F:$F,$E28,'Demand for Production Plan'!$H:$H,$G28)</f>
        <v/>
      </c>
      <c r="I28" s="87">
        <f>G28-$B$8</f>
        <v/>
      </c>
      <c r="J28" s="87">
        <f>G28-$B$7</f>
        <v/>
      </c>
      <c r="Q28" s="139" t="inlineStr">
        <is>
          <t>units</t>
        </is>
      </c>
      <c r="R28" s="139" t="inlineStr">
        <is>
          <t>Units / quantity</t>
        </is>
      </c>
      <c r="S28" s="139" t="inlineStr">
        <is>
          <t>Số đơn vị, số lượng.</t>
        </is>
      </c>
      <c r="U28" s="129" t="n">
        <v>46153</v>
      </c>
      <c r="V28" s="180" t="n">
        <v>2500</v>
      </c>
      <c r="W28" s="191" t="n">
        <v>0</v>
      </c>
      <c r="X28" s="130" t="n">
        <v>0</v>
      </c>
      <c r="Y28" s="180" t="n">
        <v>4000</v>
      </c>
      <c r="Z28" s="180" t="n">
        <v>6000</v>
      </c>
      <c r="AA28" s="180" t="n">
        <v>7500</v>
      </c>
      <c r="AB28" s="180" t="inlineStr">
        <is>
          <t>OK</t>
        </is>
      </c>
    </row>
    <row r="29" ht="42" customHeight="1" s="182">
      <c r="A29" s="85" t="inlineStr">
        <is>
          <t>D</t>
        </is>
      </c>
      <c r="B29" s="86" t="inlineStr">
        <is>
          <t>2026 Animal Animation Book</t>
        </is>
      </c>
      <c r="C29" s="86" t="inlineStr">
        <is>
          <t>UK</t>
        </is>
      </c>
      <c r="D29" s="86" t="inlineStr">
        <is>
          <t>Educational Toy</t>
        </is>
      </c>
      <c r="E29" s="86" t="inlineStr">
        <is>
          <t>456CD</t>
        </is>
      </c>
      <c r="F29" s="83" t="n">
        <v>5000</v>
      </c>
      <c r="G29" s="87" t="n">
        <v>46171</v>
      </c>
      <c r="H29" s="83">
        <f>SUMIFS('Demand for Production Plan'!$I:$I,'Demand for Production Plan'!$A:$A,$A29,'Demand for Production Plan'!$C:$C,$C29,'Demand for Production Plan'!$F:$F,$E29,'Demand for Production Plan'!$H:$H,$G29)</f>
        <v/>
      </c>
      <c r="I29" s="87">
        <f>G29-$B$8</f>
        <v/>
      </c>
      <c r="J29" s="87">
        <f>G29-$B$7</f>
        <v/>
      </c>
      <c r="Q29" s="139" t="inlineStr">
        <is>
          <t>pc</t>
        </is>
      </c>
      <c r="R29" s="139" t="inlineStr">
        <is>
          <t>piece</t>
        </is>
      </c>
      <c r="S29" s="139" t="inlineStr">
        <is>
          <t>Một đơn vị/cái.</t>
        </is>
      </c>
      <c r="U29" s="129" t="n">
        <v>46154</v>
      </c>
      <c r="V29" s="180" t="n">
        <v>2500</v>
      </c>
      <c r="W29" s="191" t="n">
        <v>0</v>
      </c>
      <c r="X29" s="130" t="n">
        <v>0</v>
      </c>
      <c r="Y29" s="180" t="n">
        <v>4000</v>
      </c>
      <c r="Z29" s="180" t="n">
        <v>7500</v>
      </c>
      <c r="AA29" s="180" t="n">
        <v>9000</v>
      </c>
      <c r="AB29" s="180" t="inlineStr">
        <is>
          <t>OK</t>
        </is>
      </c>
    </row>
    <row r="30" ht="24.75" customHeight="1" s="182">
      <c r="A30" s="85" t="inlineStr">
        <is>
          <t>E</t>
        </is>
      </c>
      <c r="B30" s="86" t="inlineStr">
        <is>
          <t>2026 Scooter ver</t>
        </is>
      </c>
      <c r="C30" s="86" t="inlineStr">
        <is>
          <t>Australia</t>
        </is>
      </c>
      <c r="D30" s="86" t="inlineStr">
        <is>
          <t>Outdoor &amp; Sports Toy</t>
        </is>
      </c>
      <c r="E30" s="86" t="inlineStr">
        <is>
          <t>789EF</t>
        </is>
      </c>
      <c r="F30" s="83" t="n">
        <v>3000</v>
      </c>
      <c r="G30" s="87" t="n">
        <v>46150</v>
      </c>
      <c r="H30" s="83">
        <f>SUMIFS('Demand for Production Plan'!$I:$I,'Demand for Production Plan'!$A:$A,$A30,'Demand for Production Plan'!$C:$C,$C30,'Demand for Production Plan'!$F:$F,$E30,'Demand for Production Plan'!$H:$H,$G30)</f>
        <v/>
      </c>
      <c r="I30" s="87">
        <f>G30-$B$8</f>
        <v/>
      </c>
      <c r="J30" s="87">
        <f>G30-$B$7</f>
        <v/>
      </c>
      <c r="U30" s="129" t="n">
        <v>46155</v>
      </c>
      <c r="V30" s="180" t="n">
        <v>2500</v>
      </c>
      <c r="W30" s="191" t="n">
        <v>0</v>
      </c>
      <c r="X30" s="130" t="n">
        <v>0</v>
      </c>
      <c r="Y30" s="180" t="n">
        <v>4000</v>
      </c>
      <c r="Z30" s="180" t="n">
        <v>9000</v>
      </c>
      <c r="AA30" s="180" t="n">
        <v>10500</v>
      </c>
      <c r="AB30" s="180" t="inlineStr">
        <is>
          <t>OK</t>
        </is>
      </c>
    </row>
    <row r="31" ht="24.75" customHeight="1" s="182">
      <c r="A31" s="85" t="inlineStr">
        <is>
          <t>E</t>
        </is>
      </c>
      <c r="B31" s="86" t="inlineStr">
        <is>
          <t>2026 Scooter ver</t>
        </is>
      </c>
      <c r="C31" s="86" t="inlineStr">
        <is>
          <t>Australia</t>
        </is>
      </c>
      <c r="D31" s="86" t="inlineStr">
        <is>
          <t>Outdoor &amp; Sports Toy</t>
        </is>
      </c>
      <c r="E31" s="86" t="inlineStr">
        <is>
          <t>789EF</t>
        </is>
      </c>
      <c r="F31" s="83" t="n">
        <v>3000</v>
      </c>
      <c r="G31" s="87" t="n">
        <v>46157</v>
      </c>
      <c r="H31" s="83">
        <f>SUMIFS('Demand for Production Plan'!$I:$I,'Demand for Production Plan'!$A:$A,$A31,'Demand for Production Plan'!$C:$C,$C31,'Demand for Production Plan'!$F:$F,$E31,'Demand for Production Plan'!$H:$H,$G31)</f>
        <v/>
      </c>
      <c r="I31" s="87">
        <f>G31-$B$8</f>
        <v/>
      </c>
      <c r="J31" s="87">
        <f>G31-$B$7</f>
        <v/>
      </c>
      <c r="U31" s="129" t="n">
        <v>46156</v>
      </c>
      <c r="V31" s="180" t="n">
        <v>2500</v>
      </c>
      <c r="W31" s="191" t="n">
        <v>0</v>
      </c>
      <c r="X31" s="130" t="n">
        <v>0</v>
      </c>
      <c r="Y31" s="180" t="n">
        <v>2000</v>
      </c>
      <c r="Z31" s="180" t="n">
        <v>10500</v>
      </c>
      <c r="AA31" s="180" t="n">
        <v>10000</v>
      </c>
      <c r="AB31" s="180" t="inlineStr">
        <is>
          <t>OK</t>
        </is>
      </c>
    </row>
    <row r="32" ht="27.75" customHeight="1" s="182">
      <c r="A32" s="85" t="inlineStr">
        <is>
          <t>E</t>
        </is>
      </c>
      <c r="B32" s="86" t="inlineStr">
        <is>
          <t>2026 Scooter ver</t>
        </is>
      </c>
      <c r="C32" s="86" t="inlineStr">
        <is>
          <t>Australia</t>
        </is>
      </c>
      <c r="D32" s="86" t="inlineStr">
        <is>
          <t>Outdoor &amp; Sports Toy</t>
        </is>
      </c>
      <c r="E32" s="86" t="inlineStr">
        <is>
          <t>789EF</t>
        </is>
      </c>
      <c r="F32" s="83" t="n">
        <v>3000</v>
      </c>
      <c r="G32" s="87" t="n">
        <v>46164</v>
      </c>
      <c r="H32" s="83">
        <f>SUMIFS('Demand for Production Plan'!$I:$I,'Demand for Production Plan'!$A:$A,$A32,'Demand for Production Plan'!$C:$C,$C32,'Demand for Production Plan'!$F:$F,$E32,'Demand for Production Plan'!$H:$H,$G32)</f>
        <v/>
      </c>
      <c r="I32" s="87">
        <f>G32-$B$8</f>
        <v/>
      </c>
      <c r="J32" s="87">
        <f>G32-$B$7</f>
        <v/>
      </c>
      <c r="U32" s="129" t="n">
        <v>46157</v>
      </c>
      <c r="V32" s="180" t="n">
        <v>2500</v>
      </c>
      <c r="W32" s="191" t="n">
        <v>0</v>
      </c>
      <c r="X32" s="130" t="n">
        <v>0</v>
      </c>
      <c r="Y32" s="180" t="n">
        <v>0</v>
      </c>
      <c r="Z32" s="180" t="n">
        <v>10000</v>
      </c>
      <c r="AA32" s="180" t="n">
        <v>7500</v>
      </c>
      <c r="AB32" s="180" t="inlineStr">
        <is>
          <t>OK</t>
        </is>
      </c>
    </row>
    <row r="33" ht="33" customHeight="1" s="182">
      <c r="A33" s="85" t="inlineStr">
        <is>
          <t>F</t>
        </is>
      </c>
      <c r="B33" s="86" t="inlineStr">
        <is>
          <t>2025 Fantasy Spaceship Model DIY kits</t>
        </is>
      </c>
      <c r="C33" s="86" t="inlineStr">
        <is>
          <t>US</t>
        </is>
      </c>
      <c r="D33" s="86" t="inlineStr">
        <is>
          <t>Arts &amp; Crafts Toy</t>
        </is>
      </c>
      <c r="E33" s="86" t="inlineStr">
        <is>
          <t>789EF</t>
        </is>
      </c>
      <c r="F33" s="83" t="n">
        <v>3000</v>
      </c>
      <c r="G33" s="87" t="n">
        <v>46143</v>
      </c>
      <c r="H33" s="83">
        <f>SUMIFS('Demand for Production Plan'!$I:$I,'Demand for Production Plan'!$A:$A,$A33,'Demand for Production Plan'!$C:$C,$C33,'Demand for Production Plan'!$F:$F,$E33,'Demand for Production Plan'!$H:$H,$G33)</f>
        <v/>
      </c>
      <c r="I33" s="87">
        <f>G33-$B$8</f>
        <v/>
      </c>
      <c r="J33" s="87">
        <f>G33-$B$7</f>
        <v/>
      </c>
    </row>
    <row r="34" ht="33" customHeight="1" s="182">
      <c r="A34" s="85" t="inlineStr">
        <is>
          <t>F</t>
        </is>
      </c>
      <c r="B34" s="86" t="inlineStr">
        <is>
          <t>2025 Fantasy Spaceship Model DIY kits</t>
        </is>
      </c>
      <c r="C34" s="86" t="inlineStr">
        <is>
          <t>US</t>
        </is>
      </c>
      <c r="D34" s="86" t="inlineStr">
        <is>
          <t>Arts &amp; Crafts Toy</t>
        </is>
      </c>
      <c r="E34" s="86" t="inlineStr">
        <is>
          <t>789EF</t>
        </is>
      </c>
      <c r="F34" s="83" t="n">
        <v>3000</v>
      </c>
      <c r="G34" s="87" t="n">
        <v>46150</v>
      </c>
      <c r="H34" s="83">
        <f>SUMIFS('Demand for Production Plan'!$I:$I,'Demand for Production Plan'!$A:$A,$A34,'Demand for Production Plan'!$C:$C,$C34,'Demand for Production Plan'!$F:$F,$E34,'Demand for Production Plan'!$H:$H,$G34)</f>
        <v/>
      </c>
      <c r="I34" s="87">
        <f>G34-$B$8</f>
        <v/>
      </c>
      <c r="J34" s="87">
        <f>G34-$B$7</f>
        <v/>
      </c>
    </row>
    <row r="35" ht="33" customHeight="1" s="182">
      <c r="A35" s="85" t="inlineStr">
        <is>
          <t>F</t>
        </is>
      </c>
      <c r="B35" s="86" t="inlineStr">
        <is>
          <t>2025 Fantasy Spaceship Model DIY kits</t>
        </is>
      </c>
      <c r="C35" s="86" t="inlineStr">
        <is>
          <t>US</t>
        </is>
      </c>
      <c r="D35" s="86" t="inlineStr">
        <is>
          <t>Arts &amp; Crafts Toy</t>
        </is>
      </c>
      <c r="E35" s="86" t="inlineStr">
        <is>
          <t>789EF</t>
        </is>
      </c>
      <c r="F35" s="83" t="n">
        <v>3000</v>
      </c>
      <c r="G35" s="87" t="n">
        <v>46157</v>
      </c>
      <c r="H35" s="83">
        <f>SUMIFS('Demand for Production Plan'!$I:$I,'Demand for Production Plan'!$A:$A,$A35,'Demand for Production Plan'!$C:$C,$C35,'Demand for Production Plan'!$F:$F,$E35,'Demand for Production Plan'!$H:$H,$G35)</f>
        <v/>
      </c>
      <c r="I35" s="87">
        <f>G35-$B$8</f>
        <v/>
      </c>
      <c r="J35" s="87">
        <f>G35-$B$7</f>
        <v/>
      </c>
      <c r="M35" s="100" t="n"/>
      <c r="N35" s="100" t="n"/>
      <c r="O35" s="100" t="n"/>
    </row>
    <row r="36" ht="33" customHeight="1" s="182">
      <c r="A36" s="85" t="inlineStr">
        <is>
          <t>F</t>
        </is>
      </c>
      <c r="B36" s="86" t="inlineStr">
        <is>
          <t>2025 Fantasy Spaceship Model DIY kits</t>
        </is>
      </c>
      <c r="C36" s="86" t="inlineStr">
        <is>
          <t>US</t>
        </is>
      </c>
      <c r="D36" s="86" t="inlineStr">
        <is>
          <t>Arts &amp; Crafts Toy</t>
        </is>
      </c>
      <c r="E36" s="86" t="inlineStr">
        <is>
          <t>789EF</t>
        </is>
      </c>
      <c r="F36" s="83" t="n">
        <v>3000</v>
      </c>
      <c r="G36" s="87" t="n">
        <v>46164</v>
      </c>
      <c r="H36" s="83">
        <f>SUMIFS('Demand for Production Plan'!$I:$I,'Demand for Production Plan'!$A:$A,$A36,'Demand for Production Plan'!$C:$C,$C36,'Demand for Production Plan'!$F:$F,$E36,'Demand for Production Plan'!$H:$H,$G36)</f>
        <v/>
      </c>
      <c r="I36" s="87">
        <f>G36-$B$8</f>
        <v/>
      </c>
      <c r="J36" s="87">
        <f>G36-$B$7</f>
        <v/>
      </c>
      <c r="M36" s="100" t="n"/>
      <c r="N36" s="100" t="n"/>
      <c r="O36" s="100" t="n"/>
    </row>
    <row r="37" ht="33" customHeight="1" s="182">
      <c r="A37" s="85" t="inlineStr">
        <is>
          <t>F</t>
        </is>
      </c>
      <c r="B37" s="86" t="inlineStr">
        <is>
          <t>2025 Fantasy Spaceship Model DIY kits</t>
        </is>
      </c>
      <c r="C37" s="86" t="inlineStr">
        <is>
          <t>US</t>
        </is>
      </c>
      <c r="D37" s="86" t="inlineStr">
        <is>
          <t>Arts &amp; Crafts Toy</t>
        </is>
      </c>
      <c r="E37" s="86" t="inlineStr">
        <is>
          <t>789EF</t>
        </is>
      </c>
      <c r="F37" s="83" t="n">
        <v>3000</v>
      </c>
      <c r="G37" s="87" t="n">
        <v>46171</v>
      </c>
      <c r="H37" s="83">
        <f>SUMIFS('Demand for Production Plan'!$I:$I,'Demand for Production Plan'!$A:$A,$A37,'Demand for Production Plan'!$C:$C,$C37,'Demand for Production Plan'!$F:$F,$E37,'Demand for Production Plan'!$H:$H,$G37)</f>
        <v/>
      </c>
      <c r="I37" s="87">
        <f>G37-$B$8</f>
        <v/>
      </c>
      <c r="J37" s="87">
        <f>G37-$B$7</f>
        <v/>
      </c>
      <c r="M37" s="100" t="n"/>
      <c r="N37" s="100" t="n"/>
      <c r="O37" s="100" t="n"/>
    </row>
    <row r="38" ht="14.4" customHeight="1" s="182"/>
    <row r="39" ht="14.4" customHeight="1" s="182">
      <c r="A39" s="151" t="inlineStr">
        <is>
          <t>Production Plan (Daily workday view)</t>
        </is>
      </c>
      <c r="B39" s="175" t="n"/>
      <c r="C39" s="175" t="n"/>
      <c r="D39" s="175" t="n"/>
      <c r="E39" s="175" t="n"/>
      <c r="F39" s="175" t="n"/>
      <c r="G39" s="175" t="n"/>
      <c r="H39" s="175" t="n"/>
      <c r="I39" s="175" t="n"/>
      <c r="J39" s="176" t="n"/>
    </row>
    <row r="40" ht="14.4" customHeight="1" s="182">
      <c r="A40" s="177" t="n"/>
      <c r="B40" s="178" t="n"/>
      <c r="C40" s="178" t="n"/>
      <c r="D40" s="178" t="n"/>
      <c r="E40" s="178" t="n"/>
      <c r="F40" s="178" t="n"/>
      <c r="G40" s="178" t="n"/>
      <c r="H40" s="178" t="n"/>
      <c r="I40" s="178" t="n"/>
      <c r="J40" s="179" t="n"/>
    </row>
    <row r="41" ht="16.5" customHeight="1" s="182">
      <c r="A41" s="173" t="inlineStr">
        <is>
          <t>SKU</t>
        </is>
      </c>
      <c r="B41" s="173" t="inlineStr">
        <is>
          <t>Description</t>
        </is>
      </c>
      <c r="C41" s="173" t="inlineStr">
        <is>
          <t>Market</t>
        </is>
      </c>
      <c r="D41" s="173" t="inlineStr">
        <is>
          <t>Product group</t>
        </is>
      </c>
      <c r="E41" s="173" t="inlineStr">
        <is>
          <t>Fixture</t>
        </is>
      </c>
      <c r="F41" s="173" t="inlineStr">
        <is>
          <t>Weekly cap</t>
        </is>
      </c>
      <c r="G41" s="173" t="inlineStr">
        <is>
          <t>Ship request</t>
        </is>
      </c>
      <c r="H41" s="173" t="inlineStr">
        <is>
          <t>Demand quantity</t>
        </is>
      </c>
      <c r="I41" s="173" t="inlineStr">
        <is>
          <t>Earliest production date</t>
        </is>
      </c>
      <c r="J41" s="173" t="inlineStr">
        <is>
          <t>Latest production date</t>
        </is>
      </c>
      <c r="K41" s="171" t="inlineStr">
        <is>
          <t>Week 1</t>
        </is>
      </c>
      <c r="L41" s="162" t="n"/>
      <c r="M41" s="162" t="n"/>
      <c r="N41" s="160" t="n"/>
      <c r="O41" s="171" t="inlineStr">
        <is>
          <t>Week 2</t>
        </is>
      </c>
      <c r="P41" s="162" t="n"/>
      <c r="Q41" s="162" t="n"/>
      <c r="R41" s="162" t="n"/>
      <c r="S41" s="162" t="n"/>
      <c r="T41" s="160" t="n"/>
      <c r="U41" s="171" t="inlineStr">
        <is>
          <t>Week 3</t>
        </is>
      </c>
      <c r="V41" s="162" t="n"/>
      <c r="W41" s="162" t="n"/>
      <c r="X41" s="162" t="n"/>
      <c r="Y41" s="162" t="n"/>
      <c r="Z41" s="160" t="n"/>
      <c r="AA41" s="171" t="inlineStr">
        <is>
          <t>Week 4</t>
        </is>
      </c>
      <c r="AB41" s="162" t="n"/>
      <c r="AC41" s="162" t="n"/>
      <c r="AD41" s="162" t="n"/>
      <c r="AE41" s="162" t="n"/>
      <c r="AF41" s="160" t="n"/>
      <c r="AG41" s="171" t="inlineStr">
        <is>
          <t>Week 5</t>
        </is>
      </c>
      <c r="AH41" s="162" t="n"/>
      <c r="AI41" s="162" t="n"/>
      <c r="AJ41" s="162" t="n"/>
      <c r="AK41" s="160" t="n"/>
      <c r="AL41" s="173" t="inlineStr">
        <is>
          <t>Planned total</t>
        </is>
      </c>
      <c r="AM41" s="173" t="inlineStr">
        <is>
          <t>Shortage</t>
        </is>
      </c>
      <c r="AN41" s="147" t="inlineStr">
        <is>
          <t>Risk</t>
        </is>
      </c>
      <c r="AO41" s="147" t="inlineStr">
        <is>
          <t>Late quantity</t>
        </is>
      </c>
      <c r="AP41" s="147" t="inlineStr">
        <is>
          <t>Horizon status</t>
        </is>
      </c>
    </row>
    <row r="42" ht="16.5" customHeight="1" s="182">
      <c r="A42" s="197" t="n"/>
      <c r="B42" s="197" t="n"/>
      <c r="C42" s="197" t="n"/>
      <c r="D42" s="197" t="n"/>
      <c r="E42" s="197" t="n"/>
      <c r="F42" s="197" t="n"/>
      <c r="G42" s="197" t="n"/>
      <c r="H42" s="197" t="n"/>
      <c r="I42" s="197" t="n"/>
      <c r="J42" s="197" t="n"/>
      <c r="K42" s="198" t="n">
        <v>46127</v>
      </c>
      <c r="L42" s="198" t="n">
        <v>46128</v>
      </c>
      <c r="M42" s="198" t="n">
        <v>46129</v>
      </c>
      <c r="N42" s="198" t="n">
        <v>46130</v>
      </c>
      <c r="O42" s="198" t="n">
        <v>46132</v>
      </c>
      <c r="P42" s="198" t="n">
        <v>46133</v>
      </c>
      <c r="Q42" s="198" t="n">
        <v>46134</v>
      </c>
      <c r="R42" s="198" t="n">
        <v>46135</v>
      </c>
      <c r="S42" s="198" t="n">
        <v>46136</v>
      </c>
      <c r="T42" s="198" t="n">
        <v>46137</v>
      </c>
      <c r="U42" s="198" t="n">
        <v>46139</v>
      </c>
      <c r="V42" s="198" t="n">
        <v>46140</v>
      </c>
      <c r="W42" s="198" t="n">
        <v>46141</v>
      </c>
      <c r="X42" s="198" t="n">
        <v>46142</v>
      </c>
      <c r="Y42" s="198" t="n">
        <v>46143</v>
      </c>
      <c r="Z42" s="198" t="n">
        <v>46144</v>
      </c>
      <c r="AA42" s="198" t="n">
        <v>46146</v>
      </c>
      <c r="AB42" s="198" t="n">
        <v>46147</v>
      </c>
      <c r="AC42" s="198" t="n">
        <v>46148</v>
      </c>
      <c r="AD42" s="198" t="n">
        <v>46149</v>
      </c>
      <c r="AE42" s="198" t="n">
        <v>46150</v>
      </c>
      <c r="AF42" s="198" t="n">
        <v>46151</v>
      </c>
      <c r="AG42" s="198" t="n">
        <v>46153</v>
      </c>
      <c r="AH42" s="198" t="n">
        <v>46154</v>
      </c>
      <c r="AI42" s="198" t="n">
        <v>46155</v>
      </c>
      <c r="AJ42" s="198" t="n">
        <v>46156</v>
      </c>
      <c r="AK42" s="198" t="n">
        <v>46157</v>
      </c>
      <c r="AL42" s="197" t="n"/>
      <c r="AM42" s="197" t="n"/>
      <c r="AN42" s="199" t="n"/>
      <c r="AO42" s="199" t="n"/>
      <c r="AP42" s="199" t="n"/>
    </row>
    <row r="43" ht="16.5" customHeight="1" s="182">
      <c r="A43" s="132" t="inlineStr">
        <is>
          <t>F</t>
        </is>
      </c>
      <c r="B43" s="133" t="inlineStr">
        <is>
          <t>2025 Fantasy Spaceship Model DIY kits</t>
        </is>
      </c>
      <c r="C43" s="133" t="inlineStr">
        <is>
          <t>US</t>
        </is>
      </c>
      <c r="D43" s="133" t="inlineStr">
        <is>
          <t>Arts &amp; Crafts Toy</t>
        </is>
      </c>
      <c r="E43" s="133" t="inlineStr">
        <is>
          <t>789EF</t>
        </is>
      </c>
      <c r="F43" s="134" t="n">
        <v>3000</v>
      </c>
      <c r="G43" s="135" t="n">
        <v>46143</v>
      </c>
      <c r="H43" s="134" t="n">
        <v>588</v>
      </c>
      <c r="I43" s="135">
        <f>G43-$B$8</f>
        <v/>
      </c>
      <c r="J43" s="135">
        <f>G43-$B$7</f>
        <v/>
      </c>
      <c r="K43" s="136" t="n">
        <v>0</v>
      </c>
      <c r="L43" s="136" t="n">
        <v>0</v>
      </c>
      <c r="M43" s="136" t="n">
        <v>500</v>
      </c>
      <c r="N43" s="136" t="n">
        <v>0</v>
      </c>
      <c r="O43" s="136" t="n">
        <v>0</v>
      </c>
      <c r="P43" s="136" t="n">
        <v>0</v>
      </c>
      <c r="Q43" s="136" t="n">
        <v>0</v>
      </c>
      <c r="R43" s="136" t="n">
        <v>88</v>
      </c>
      <c r="S43" s="136" t="n">
        <v>0</v>
      </c>
      <c r="T43" s="136" t="n">
        <v>0</v>
      </c>
      <c r="U43" s="136" t="n">
        <v>0</v>
      </c>
      <c r="V43" s="136" t="n">
        <v>0</v>
      </c>
      <c r="W43" s="136" t="n">
        <v>0</v>
      </c>
      <c r="X43" s="136" t="n">
        <v>0</v>
      </c>
      <c r="Y43" s="136" t="n">
        <v>0</v>
      </c>
      <c r="Z43" s="136" t="n">
        <v>0</v>
      </c>
      <c r="AA43" s="136" t="n">
        <v>0</v>
      </c>
      <c r="AB43" s="136" t="n">
        <v>0</v>
      </c>
      <c r="AC43" s="136" t="n">
        <v>0</v>
      </c>
      <c r="AD43" s="136" t="n">
        <v>0</v>
      </c>
      <c r="AE43" s="136" t="n">
        <v>0</v>
      </c>
      <c r="AF43" s="136" t="n">
        <v>0</v>
      </c>
      <c r="AG43" s="136" t="n">
        <v>0</v>
      </c>
      <c r="AH43" s="136" t="n">
        <v>0</v>
      </c>
      <c r="AI43" s="136" t="n">
        <v>0</v>
      </c>
      <c r="AJ43" s="136" t="n">
        <v>0</v>
      </c>
      <c r="AK43" s="136" t="n">
        <v>0</v>
      </c>
      <c r="AL43" s="137">
        <f>SUM(K43:AK43)</f>
        <v/>
      </c>
      <c r="AM43" s="138">
        <f>MAX(0,$H43-AL43)</f>
        <v/>
      </c>
      <c r="AN43" s="96">
        <f>IF($AP43="WITHIN_HORIZON",IF(AND($AM43&gt;0,$AO43&gt;0),"SHORTAGE + LATE",IF($AM43&gt;0,"SHORTAGE",IF($AO43&gt;0,"LATE","OK"))),IF(AND($AP43="PARTIAL_HORIZON",$AM43=0,$AO43=0),"OK","OUT_OF_HORIZON"))</f>
        <v/>
      </c>
      <c r="AO43" s="97">
        <f>SUMPRODUCT(($K$42:$AK$42&gt;$J43)*(K43:AK43))</f>
        <v/>
      </c>
      <c r="AP43" s="96">
        <f>IF($I43&gt;$AK$42,"OUT_OF_HORIZON",IF($J43&gt;$AK$42,"PARTIAL_HORIZON","WITHIN_HORIZON"))</f>
        <v/>
      </c>
    </row>
    <row r="44" ht="16.5" customHeight="1" s="182">
      <c r="A44" s="132" t="inlineStr">
        <is>
          <t>A</t>
        </is>
      </c>
      <c r="B44" s="133" t="inlineStr">
        <is>
          <t>2026 Automatic Robot ver</t>
        </is>
      </c>
      <c r="C44" s="133" t="inlineStr">
        <is>
          <t>US</t>
        </is>
      </c>
      <c r="D44" s="133" t="inlineStr">
        <is>
          <t>Electronic Toy</t>
        </is>
      </c>
      <c r="E44" s="133" t="inlineStr">
        <is>
          <t>123AB</t>
        </is>
      </c>
      <c r="F44" s="134" t="n">
        <v>15000</v>
      </c>
      <c r="G44" s="135" t="n">
        <v>46150</v>
      </c>
      <c r="H44" s="134" t="n">
        <v>684</v>
      </c>
      <c r="I44" s="135">
        <f>G44-$B$8</f>
        <v/>
      </c>
      <c r="J44" s="135">
        <f>G44-$B$7</f>
        <v/>
      </c>
      <c r="K44" s="136" t="n">
        <v>0</v>
      </c>
      <c r="L44" s="136" t="n">
        <v>0</v>
      </c>
      <c r="M44" s="136" t="n">
        <v>0</v>
      </c>
      <c r="N44" s="136" t="n">
        <v>0</v>
      </c>
      <c r="O44" s="136" t="n">
        <v>0</v>
      </c>
      <c r="P44" s="136" t="n">
        <v>0</v>
      </c>
      <c r="Q44" s="136" t="n">
        <v>0</v>
      </c>
      <c r="R44" s="136" t="n">
        <v>0</v>
      </c>
      <c r="S44" s="136" t="n">
        <v>0</v>
      </c>
      <c r="T44" s="136" t="n">
        <v>684</v>
      </c>
      <c r="U44" s="136" t="n">
        <v>0</v>
      </c>
      <c r="V44" s="136" t="n">
        <v>0</v>
      </c>
      <c r="W44" s="136" t="n">
        <v>0</v>
      </c>
      <c r="X44" s="136" t="n">
        <v>0</v>
      </c>
      <c r="Y44" s="136" t="n">
        <v>0</v>
      </c>
      <c r="Z44" s="136" t="n">
        <v>0</v>
      </c>
      <c r="AA44" s="136" t="n">
        <v>0</v>
      </c>
      <c r="AB44" s="136" t="n">
        <v>0</v>
      </c>
      <c r="AC44" s="136" t="n">
        <v>0</v>
      </c>
      <c r="AD44" s="136" t="n">
        <v>0</v>
      </c>
      <c r="AE44" s="136" t="n">
        <v>0</v>
      </c>
      <c r="AF44" s="136" t="n">
        <v>0</v>
      </c>
      <c r="AG44" s="136" t="n">
        <v>0</v>
      </c>
      <c r="AH44" s="136" t="n">
        <v>0</v>
      </c>
      <c r="AI44" s="136" t="n">
        <v>0</v>
      </c>
      <c r="AJ44" s="136" t="n">
        <v>0</v>
      </c>
      <c r="AK44" s="136" t="n">
        <v>0</v>
      </c>
      <c r="AL44" s="137">
        <f>SUM(K44:AK44)</f>
        <v/>
      </c>
      <c r="AM44" s="138">
        <f>MAX(0,$H44-AL44)</f>
        <v/>
      </c>
      <c r="AN44" s="96">
        <f>IF($AP44="WITHIN_HORIZON",IF(AND($AM44&gt;0,$AO44&gt;0),"SHORTAGE + LATE",IF($AM44&gt;0,"SHORTAGE",IF($AO44&gt;0,"LATE","OK"))),IF(AND($AP44="PARTIAL_HORIZON",$AM44=0,$AO44=0),"OK","OUT_OF_HORIZON"))</f>
        <v/>
      </c>
      <c r="AO44" s="97">
        <f>SUMPRODUCT(($K$42:$AK$42&gt;$J44)*(K44:AK44))</f>
        <v/>
      </c>
      <c r="AP44" s="96">
        <f>IF($I44&gt;$AK$42,"OUT_OF_HORIZON",IF($J44&gt;$AK$42,"PARTIAL_HORIZON","WITHIN_HORIZON"))</f>
        <v/>
      </c>
    </row>
    <row r="45" ht="16.5" customHeight="1" s="182">
      <c r="A45" s="132" t="inlineStr">
        <is>
          <t>E</t>
        </is>
      </c>
      <c r="B45" s="133" t="inlineStr">
        <is>
          <t>2026 Scooter ver</t>
        </is>
      </c>
      <c r="C45" s="133" t="inlineStr">
        <is>
          <t>Australia</t>
        </is>
      </c>
      <c r="D45" s="133" t="inlineStr">
        <is>
          <t>Outdoor &amp; Sports Toy</t>
        </is>
      </c>
      <c r="E45" s="133" t="inlineStr">
        <is>
          <t>789EF</t>
        </is>
      </c>
      <c r="F45" s="134" t="n">
        <v>3000</v>
      </c>
      <c r="G45" s="135" t="n">
        <v>46150</v>
      </c>
      <c r="H45" s="134" t="n">
        <v>472</v>
      </c>
      <c r="I45" s="135">
        <f>G45-$B$8</f>
        <v/>
      </c>
      <c r="J45" s="135">
        <f>G45-$B$7</f>
        <v/>
      </c>
      <c r="K45" s="136" t="n">
        <v>0</v>
      </c>
      <c r="L45" s="136" t="n">
        <v>0</v>
      </c>
      <c r="M45" s="136" t="n">
        <v>0</v>
      </c>
      <c r="N45" s="136" t="n">
        <v>0</v>
      </c>
      <c r="O45" s="136" t="n">
        <v>0</v>
      </c>
      <c r="P45" s="136" t="n">
        <v>0</v>
      </c>
      <c r="Q45" s="136" t="n">
        <v>0</v>
      </c>
      <c r="R45" s="136" t="n">
        <v>0</v>
      </c>
      <c r="S45" s="136" t="n">
        <v>0</v>
      </c>
      <c r="T45" s="136" t="n">
        <v>0</v>
      </c>
      <c r="U45" s="136" t="n">
        <v>0</v>
      </c>
      <c r="V45" s="136" t="n">
        <v>472</v>
      </c>
      <c r="W45" s="136" t="n">
        <v>0</v>
      </c>
      <c r="X45" s="136" t="n">
        <v>0</v>
      </c>
      <c r="Y45" s="136" t="n">
        <v>0</v>
      </c>
      <c r="Z45" s="136" t="n">
        <v>0</v>
      </c>
      <c r="AA45" s="136" t="n">
        <v>0</v>
      </c>
      <c r="AB45" s="136" t="n">
        <v>0</v>
      </c>
      <c r="AC45" s="136" t="n">
        <v>0</v>
      </c>
      <c r="AD45" s="136" t="n">
        <v>0</v>
      </c>
      <c r="AE45" s="136" t="n">
        <v>0</v>
      </c>
      <c r="AF45" s="136" t="n">
        <v>0</v>
      </c>
      <c r="AG45" s="136" t="n">
        <v>0</v>
      </c>
      <c r="AH45" s="136" t="n">
        <v>0</v>
      </c>
      <c r="AI45" s="136" t="n">
        <v>0</v>
      </c>
      <c r="AJ45" s="136" t="n">
        <v>0</v>
      </c>
      <c r="AK45" s="136" t="n">
        <v>0</v>
      </c>
      <c r="AL45" s="137">
        <f>SUM(K45:AK45)</f>
        <v/>
      </c>
      <c r="AM45" s="138">
        <f>MAX(0,$H45-AL45)</f>
        <v/>
      </c>
      <c r="AN45" s="96">
        <f>IF($AP45="WITHIN_HORIZON",IF(AND($AM45&gt;0,$AO45&gt;0),"SHORTAGE + LATE",IF($AM45&gt;0,"SHORTAGE",IF($AO45&gt;0,"LATE","OK"))),IF(AND($AP45="PARTIAL_HORIZON",$AM45=0,$AO45=0),"OK","OUT_OF_HORIZON"))</f>
        <v/>
      </c>
      <c r="AO45" s="97">
        <f>SUMPRODUCT(($K$42:$AK$42&gt;$J45)*(K45:AK45))</f>
        <v/>
      </c>
      <c r="AP45" s="96">
        <f>IF($I45&gt;$AK$42,"OUT_OF_HORIZON",IF($J45&gt;$AK$42,"PARTIAL_HORIZON","WITHIN_HORIZON"))</f>
        <v/>
      </c>
    </row>
    <row r="46" ht="16.5" customHeight="1" s="182">
      <c r="A46" s="132" t="inlineStr">
        <is>
          <t>F</t>
        </is>
      </c>
      <c r="B46" s="133" t="inlineStr">
        <is>
          <t>2025 Fantasy Spaceship Model DIY kits</t>
        </is>
      </c>
      <c r="C46" s="133" t="inlineStr">
        <is>
          <t>US</t>
        </is>
      </c>
      <c r="D46" s="133" t="inlineStr">
        <is>
          <t>Arts &amp; Crafts Toy</t>
        </is>
      </c>
      <c r="E46" s="133" t="inlineStr">
        <is>
          <t>789EF</t>
        </is>
      </c>
      <c r="F46" s="134" t="n">
        <v>3000</v>
      </c>
      <c r="G46" s="135" t="n">
        <v>46150</v>
      </c>
      <c r="H46" s="134" t="n">
        <v>4028</v>
      </c>
      <c r="I46" s="135">
        <f>G46-$B$8</f>
        <v/>
      </c>
      <c r="J46" s="135">
        <f>G46-$B$7</f>
        <v/>
      </c>
      <c r="K46" s="136" t="n">
        <v>0</v>
      </c>
      <c r="L46" s="136" t="n">
        <v>0</v>
      </c>
      <c r="M46" s="136" t="n">
        <v>0</v>
      </c>
      <c r="N46" s="136" t="n">
        <v>0</v>
      </c>
      <c r="O46" s="136" t="n">
        <v>0</v>
      </c>
      <c r="P46" s="136" t="n">
        <v>0</v>
      </c>
      <c r="Q46" s="136" t="n">
        <v>0</v>
      </c>
      <c r="R46" s="136" t="n">
        <v>0</v>
      </c>
      <c r="S46" s="136" t="n">
        <v>500</v>
      </c>
      <c r="T46" s="136" t="n">
        <v>500</v>
      </c>
      <c r="U46" s="136" t="n">
        <v>500</v>
      </c>
      <c r="V46" s="136" t="n">
        <v>28</v>
      </c>
      <c r="W46" s="136" t="n">
        <v>500</v>
      </c>
      <c r="X46" s="136" t="n">
        <v>500</v>
      </c>
      <c r="Y46" s="136" t="n">
        <v>500</v>
      </c>
      <c r="Z46" s="136" t="n">
        <v>0</v>
      </c>
      <c r="AA46" s="136" t="n">
        <v>0</v>
      </c>
      <c r="AB46" s="136" t="n">
        <v>0</v>
      </c>
      <c r="AC46" s="136" t="n">
        <v>0</v>
      </c>
      <c r="AD46" s="136" t="n">
        <v>0</v>
      </c>
      <c r="AE46" s="136" t="n">
        <v>0</v>
      </c>
      <c r="AF46" s="136" t="n">
        <v>0</v>
      </c>
      <c r="AG46" s="136" t="n">
        <v>0</v>
      </c>
      <c r="AH46" s="136" t="n">
        <v>0</v>
      </c>
      <c r="AI46" s="136" t="n">
        <v>0</v>
      </c>
      <c r="AJ46" s="136" t="n">
        <v>0</v>
      </c>
      <c r="AK46" s="136" t="n">
        <v>0</v>
      </c>
      <c r="AL46" s="137">
        <f>SUM(K46:AK46)</f>
        <v/>
      </c>
      <c r="AM46" s="138">
        <f>MAX(0,$H46-AL46)</f>
        <v/>
      </c>
      <c r="AN46" s="96">
        <f>IF($AP46="WITHIN_HORIZON",IF(AND($AM46&gt;0,$AO46&gt;0),"SHORTAGE + LATE",IF($AM46&gt;0,"SHORTAGE",IF($AO46&gt;0,"LATE","OK"))),IF(AND($AP46="PARTIAL_HORIZON",$AM46=0,$AO46=0),"OK","OUT_OF_HORIZON"))</f>
        <v/>
      </c>
      <c r="AO46" s="97">
        <f>SUMPRODUCT(($K$42:$AK$42&gt;$J46)*(K46:AK46))</f>
        <v/>
      </c>
      <c r="AP46" s="96">
        <f>IF($I46&gt;$AK$42,"OUT_OF_HORIZON",IF($J46&gt;$AK$42,"PARTIAL_HORIZON","WITHIN_HORIZON"))</f>
        <v/>
      </c>
    </row>
    <row r="47" ht="16.5" customHeight="1" s="182">
      <c r="A47" s="132" t="inlineStr">
        <is>
          <t>A</t>
        </is>
      </c>
      <c r="B47" s="133" t="inlineStr">
        <is>
          <t>2026 Automatic Robot ver</t>
        </is>
      </c>
      <c r="C47" s="133" t="inlineStr">
        <is>
          <t>US</t>
        </is>
      </c>
      <c r="D47" s="133" t="inlineStr">
        <is>
          <t>Electronic Toy</t>
        </is>
      </c>
      <c r="E47" s="133" t="inlineStr">
        <is>
          <t>123AB</t>
        </is>
      </c>
      <c r="F47" s="134" t="n">
        <v>15000</v>
      </c>
      <c r="G47" s="135" t="n">
        <v>46157</v>
      </c>
      <c r="H47" s="134" t="n">
        <v>20000</v>
      </c>
      <c r="I47" s="135">
        <f>G47-$B$8</f>
        <v/>
      </c>
      <c r="J47" s="135">
        <f>G47-$B$7</f>
        <v/>
      </c>
      <c r="K47" s="136" t="n">
        <v>0</v>
      </c>
      <c r="L47" s="136" t="n">
        <v>0</v>
      </c>
      <c r="M47" s="136" t="n">
        <v>0</v>
      </c>
      <c r="N47" s="136" t="n">
        <v>0</v>
      </c>
      <c r="O47" s="136" t="n">
        <v>0</v>
      </c>
      <c r="P47" s="136" t="n">
        <v>0</v>
      </c>
      <c r="Q47" s="136" t="n">
        <v>0</v>
      </c>
      <c r="R47" s="136" t="n">
        <v>0</v>
      </c>
      <c r="S47" s="136" t="n">
        <v>0</v>
      </c>
      <c r="T47" s="136" t="n">
        <v>0</v>
      </c>
      <c r="U47" s="136" t="n">
        <v>0</v>
      </c>
      <c r="V47" s="136" t="n">
        <v>0</v>
      </c>
      <c r="W47" s="136" t="n">
        <v>0</v>
      </c>
      <c r="X47" s="136" t="n">
        <v>0</v>
      </c>
      <c r="Y47" s="136" t="n">
        <v>0</v>
      </c>
      <c r="Z47" s="136" t="n">
        <v>2500</v>
      </c>
      <c r="AA47" s="136" t="n">
        <v>1998</v>
      </c>
      <c r="AB47" s="136" t="n">
        <v>0</v>
      </c>
      <c r="AC47" s="136" t="n">
        <v>2500</v>
      </c>
      <c r="AD47" s="136" t="n">
        <v>2500</v>
      </c>
      <c r="AE47" s="136" t="n">
        <v>2500</v>
      </c>
      <c r="AF47" s="136" t="n">
        <v>0</v>
      </c>
      <c r="AG47" s="136" t="n">
        <v>0</v>
      </c>
      <c r="AH47" s="136" t="n">
        <v>0</v>
      </c>
      <c r="AI47" s="136" t="n">
        <v>0</v>
      </c>
      <c r="AJ47" s="136" t="n">
        <v>0</v>
      </c>
      <c r="AK47" s="136" t="n">
        <v>0</v>
      </c>
      <c r="AL47" s="137">
        <f>SUM(K47:AK47)</f>
        <v/>
      </c>
      <c r="AM47" s="138">
        <f>MAX(0,$H47-AL47)</f>
        <v/>
      </c>
      <c r="AN47" s="96">
        <f>IF($AP47="WITHIN_HORIZON",IF(AND($AM47&gt;0,$AO47&gt;0),"SHORTAGE + LATE",IF($AM47&gt;0,"SHORTAGE",IF($AO47&gt;0,"LATE","OK"))),IF(AND($AP47="PARTIAL_HORIZON",$AM47=0,$AO47=0),"OK","OUT_OF_HORIZON"))</f>
        <v/>
      </c>
      <c r="AO47" s="97">
        <f>SUMPRODUCT(($K$42:$AK$42&gt;$J47)*(K47:AK47))</f>
        <v/>
      </c>
      <c r="AP47" s="96">
        <f>IF($I47&gt;$AK$42,"OUT_OF_HORIZON",IF($J47&gt;$AK$42,"PARTIAL_HORIZON","WITHIN_HORIZON"))</f>
        <v/>
      </c>
    </row>
    <row r="48" ht="16.5" customHeight="1" s="182">
      <c r="A48" s="132" t="inlineStr">
        <is>
          <t>B</t>
        </is>
      </c>
      <c r="B48" s="133" t="inlineStr">
        <is>
          <t>2025 Barbie ver colorful</t>
        </is>
      </c>
      <c r="C48" s="133" t="inlineStr">
        <is>
          <t>US</t>
        </is>
      </c>
      <c r="D48" s="133" t="inlineStr">
        <is>
          <t>Doll</t>
        </is>
      </c>
      <c r="E48" s="133" t="inlineStr">
        <is>
          <t>123AB</t>
        </is>
      </c>
      <c r="F48" s="134" t="n">
        <v>15000</v>
      </c>
      <c r="G48" s="135" t="n">
        <v>46157</v>
      </c>
      <c r="H48" s="134" t="n">
        <v>5502</v>
      </c>
      <c r="I48" s="135">
        <f>G48-$B$8</f>
        <v/>
      </c>
      <c r="J48" s="135">
        <f>G48-$B$7</f>
        <v/>
      </c>
      <c r="K48" s="136" t="n">
        <v>0</v>
      </c>
      <c r="L48" s="136" t="n">
        <v>0</v>
      </c>
      <c r="M48" s="136" t="n">
        <v>0</v>
      </c>
      <c r="N48" s="136" t="n">
        <v>0</v>
      </c>
      <c r="O48" s="136" t="n">
        <v>0</v>
      </c>
      <c r="P48" s="136" t="n">
        <v>0</v>
      </c>
      <c r="Q48" s="136" t="n">
        <v>0</v>
      </c>
      <c r="R48" s="136" t="n">
        <v>0</v>
      </c>
      <c r="S48" s="136" t="n">
        <v>0</v>
      </c>
      <c r="T48" s="136" t="n">
        <v>0</v>
      </c>
      <c r="U48" s="136" t="n">
        <v>0</v>
      </c>
      <c r="V48" s="136" t="n">
        <v>0</v>
      </c>
      <c r="W48" s="136" t="n">
        <v>0</v>
      </c>
      <c r="X48" s="136" t="n">
        <v>0</v>
      </c>
      <c r="Y48" s="136" t="n">
        <v>2500</v>
      </c>
      <c r="Z48" s="136" t="n">
        <v>0</v>
      </c>
      <c r="AA48" s="136" t="n">
        <v>502</v>
      </c>
      <c r="AB48" s="136" t="n">
        <v>2500</v>
      </c>
      <c r="AC48" s="136" t="n">
        <v>0</v>
      </c>
      <c r="AD48" s="136" t="n">
        <v>0</v>
      </c>
      <c r="AE48" s="136" t="n">
        <v>0</v>
      </c>
      <c r="AF48" s="136" t="n">
        <v>0</v>
      </c>
      <c r="AG48" s="136" t="n">
        <v>0</v>
      </c>
      <c r="AH48" s="136" t="n">
        <v>0</v>
      </c>
      <c r="AI48" s="136" t="n">
        <v>0</v>
      </c>
      <c r="AJ48" s="136" t="n">
        <v>0</v>
      </c>
      <c r="AK48" s="136" t="n">
        <v>0</v>
      </c>
      <c r="AL48" s="137">
        <f>SUM(K48:AK48)</f>
        <v/>
      </c>
      <c r="AM48" s="138">
        <f>MAX(0,$H48-AL48)</f>
        <v/>
      </c>
      <c r="AN48" s="96">
        <f>IF($AP48="WITHIN_HORIZON",IF(AND($AM48&gt;0,$AO48&gt;0),"SHORTAGE + LATE",IF($AM48&gt;0,"SHORTAGE",IF($AO48&gt;0,"LATE","OK"))),IF(AND($AP48="PARTIAL_HORIZON",$AM48=0,$AO48=0),"OK","OUT_OF_HORIZON"))</f>
        <v/>
      </c>
      <c r="AO48" s="97">
        <f>SUMPRODUCT(($K$42:$AK$42&gt;$J48)*(K48:AK48))</f>
        <v/>
      </c>
      <c r="AP48" s="96">
        <f>IF($I48&gt;$AK$42,"OUT_OF_HORIZON",IF($J48&gt;$AK$42,"PARTIAL_HORIZON","WITHIN_HORIZON"))</f>
        <v/>
      </c>
    </row>
    <row r="49" ht="16.5" customHeight="1" s="182">
      <c r="A49" s="132" t="inlineStr">
        <is>
          <t>C</t>
        </is>
      </c>
      <c r="B49" s="133" t="inlineStr">
        <is>
          <t>2026 Castle &amp; Farm Blocks</t>
        </is>
      </c>
      <c r="C49" s="133" t="inlineStr">
        <is>
          <t>UK</t>
        </is>
      </c>
      <c r="D49" s="133" t="inlineStr">
        <is>
          <t>Building &amp; Construction Toy</t>
        </is>
      </c>
      <c r="E49" s="133" t="inlineStr">
        <is>
          <t>456CD</t>
        </is>
      </c>
      <c r="F49" s="134" t="n">
        <v>5000</v>
      </c>
      <c r="G49" s="135" t="n">
        <v>46157</v>
      </c>
      <c r="H49" s="134" t="n">
        <v>4320</v>
      </c>
      <c r="I49" s="135">
        <f>G49-$B$8</f>
        <v/>
      </c>
      <c r="J49" s="135">
        <f>G49-$B$7</f>
        <v/>
      </c>
      <c r="K49" s="136" t="n">
        <v>0</v>
      </c>
      <c r="L49" s="136" t="n">
        <v>0</v>
      </c>
      <c r="M49" s="136" t="n">
        <v>0</v>
      </c>
      <c r="N49" s="136" t="n">
        <v>0</v>
      </c>
      <c r="O49" s="136" t="n">
        <v>0</v>
      </c>
      <c r="P49" s="136" t="n">
        <v>0</v>
      </c>
      <c r="Q49" s="136" t="n">
        <v>0</v>
      </c>
      <c r="R49" s="136" t="n">
        <v>0</v>
      </c>
      <c r="S49" s="136" t="n">
        <v>0</v>
      </c>
      <c r="T49" s="136" t="n">
        <v>0</v>
      </c>
      <c r="U49" s="136" t="n">
        <v>0</v>
      </c>
      <c r="V49" s="136" t="n">
        <v>0</v>
      </c>
      <c r="W49" s="136" t="n">
        <v>0</v>
      </c>
      <c r="X49" s="136" t="n">
        <v>0</v>
      </c>
      <c r="Y49" s="136" t="n">
        <v>0</v>
      </c>
      <c r="Z49" s="136" t="n">
        <v>833</v>
      </c>
      <c r="AA49" s="136" t="n">
        <v>0</v>
      </c>
      <c r="AB49" s="136" t="n">
        <v>833</v>
      </c>
      <c r="AC49" s="136" t="n">
        <v>833</v>
      </c>
      <c r="AD49" s="136" t="n">
        <v>833</v>
      </c>
      <c r="AE49" s="136" t="n">
        <v>0</v>
      </c>
      <c r="AF49" s="136" t="n">
        <v>0</v>
      </c>
      <c r="AG49" s="136" t="n">
        <v>0</v>
      </c>
      <c r="AH49" s="136" t="n">
        <v>0</v>
      </c>
      <c r="AI49" s="136" t="n">
        <v>0</v>
      </c>
      <c r="AJ49" s="136" t="n">
        <v>0</v>
      </c>
      <c r="AK49" s="136" t="n">
        <v>0</v>
      </c>
      <c r="AL49" s="137">
        <f>SUM(K49:AK49)</f>
        <v/>
      </c>
      <c r="AM49" s="138">
        <f>MAX(0,$H49-AL49)</f>
        <v/>
      </c>
      <c r="AN49" s="96">
        <f>IF($AP49="WITHIN_HORIZON",IF(AND($AM49&gt;0,$AO49&gt;0),"SHORTAGE + LATE",IF($AM49&gt;0,"SHORTAGE",IF($AO49&gt;0,"LATE","OK"))),IF(AND($AP49="PARTIAL_HORIZON",$AM49=0,$AO49=0),"OK","OUT_OF_HORIZON"))</f>
        <v/>
      </c>
      <c r="AO49" s="97">
        <f>SUMPRODUCT(($K$42:$AK$42&gt;$J49)*(K49:AK49))</f>
        <v/>
      </c>
      <c r="AP49" s="96">
        <f>IF($I49&gt;$AK$42,"OUT_OF_HORIZON",IF($J49&gt;$AK$42,"PARTIAL_HORIZON","WITHIN_HORIZON"))</f>
        <v/>
      </c>
    </row>
    <row r="50" ht="16.5" customHeight="1" s="182">
      <c r="A50" s="132" t="inlineStr">
        <is>
          <t>D</t>
        </is>
      </c>
      <c r="B50" s="133" t="inlineStr">
        <is>
          <t>2026 Animal Animation Book</t>
        </is>
      </c>
      <c r="C50" s="133" t="inlineStr">
        <is>
          <t>UK</t>
        </is>
      </c>
      <c r="D50" s="133" t="inlineStr">
        <is>
          <t>Educational Toy</t>
        </is>
      </c>
      <c r="E50" s="133" t="inlineStr">
        <is>
          <t>456CD</t>
        </is>
      </c>
      <c r="F50" s="134" t="n">
        <v>5000</v>
      </c>
      <c r="G50" s="135" t="n">
        <v>46157</v>
      </c>
      <c r="H50" s="134" t="n">
        <v>2430</v>
      </c>
      <c r="I50" s="135">
        <f>G50-$B$8</f>
        <v/>
      </c>
      <c r="J50" s="135">
        <f>G50-$B$7</f>
        <v/>
      </c>
      <c r="K50" s="136" t="n">
        <v>0</v>
      </c>
      <c r="L50" s="136" t="n">
        <v>0</v>
      </c>
      <c r="M50" s="136" t="n">
        <v>0</v>
      </c>
      <c r="N50" s="136" t="n">
        <v>0</v>
      </c>
      <c r="O50" s="136" t="n">
        <v>0</v>
      </c>
      <c r="P50" s="136" t="n">
        <v>0</v>
      </c>
      <c r="Q50" s="136" t="n">
        <v>0</v>
      </c>
      <c r="R50" s="136" t="n">
        <v>0</v>
      </c>
      <c r="S50" s="136" t="n">
        <v>0</v>
      </c>
      <c r="T50" s="136" t="n">
        <v>0</v>
      </c>
      <c r="U50" s="136" t="n">
        <v>0</v>
      </c>
      <c r="V50" s="136" t="n">
        <v>0</v>
      </c>
      <c r="W50" s="136" t="n">
        <v>0</v>
      </c>
      <c r="X50" s="136" t="n">
        <v>0</v>
      </c>
      <c r="Y50" s="136" t="n">
        <v>833</v>
      </c>
      <c r="Z50" s="136" t="n">
        <v>0</v>
      </c>
      <c r="AA50" s="136" t="n">
        <v>833</v>
      </c>
      <c r="AB50" s="136" t="n">
        <v>0</v>
      </c>
      <c r="AC50" s="136" t="n">
        <v>0</v>
      </c>
      <c r="AD50" s="136" t="n">
        <v>0</v>
      </c>
      <c r="AE50" s="136" t="n">
        <v>0</v>
      </c>
      <c r="AF50" s="136" t="n">
        <v>0</v>
      </c>
      <c r="AG50" s="136" t="n">
        <v>0</v>
      </c>
      <c r="AH50" s="136" t="n">
        <v>0</v>
      </c>
      <c r="AI50" s="136" t="n">
        <v>0</v>
      </c>
      <c r="AJ50" s="136" t="n">
        <v>0</v>
      </c>
      <c r="AK50" s="136" t="n">
        <v>0</v>
      </c>
      <c r="AL50" s="137">
        <f>SUM(K50:AK50)</f>
        <v/>
      </c>
      <c r="AM50" s="138">
        <f>MAX(0,$H50-AL50)</f>
        <v/>
      </c>
      <c r="AN50" s="96">
        <f>IF($AP50="WITHIN_HORIZON",IF(AND($AM50&gt;0,$AO50&gt;0),"SHORTAGE + LATE",IF($AM50&gt;0,"SHORTAGE",IF($AO50&gt;0,"LATE","OK"))),IF(AND($AP50="PARTIAL_HORIZON",$AM50=0,$AO50=0),"OK","OUT_OF_HORIZON"))</f>
        <v/>
      </c>
      <c r="AO50" s="97">
        <f>SUMPRODUCT(($K$42:$AK$42&gt;$J50)*(K50:AK50))</f>
        <v/>
      </c>
      <c r="AP50" s="96">
        <f>IF($I50&gt;$AK$42,"OUT_OF_HORIZON",IF($J50&gt;$AK$42,"PARTIAL_HORIZON","WITHIN_HORIZON"))</f>
        <v/>
      </c>
    </row>
    <row r="51" ht="16.5" customHeight="1" s="182">
      <c r="A51" s="132" t="inlineStr">
        <is>
          <t>E</t>
        </is>
      </c>
      <c r="B51" s="133" t="inlineStr">
        <is>
          <t>2026 Scooter ver</t>
        </is>
      </c>
      <c r="C51" s="133" t="inlineStr">
        <is>
          <t>Australia</t>
        </is>
      </c>
      <c r="D51" s="133" t="inlineStr">
        <is>
          <t>Outdoor &amp; Sports Toy</t>
        </is>
      </c>
      <c r="E51" s="133" t="inlineStr">
        <is>
          <t>789EF</t>
        </is>
      </c>
      <c r="F51" s="134" t="n">
        <v>3000</v>
      </c>
      <c r="G51" s="135" t="n">
        <v>46157</v>
      </c>
      <c r="H51" s="134" t="n">
        <v>300</v>
      </c>
      <c r="I51" s="135">
        <f>G51-$B$8</f>
        <v/>
      </c>
      <c r="J51" s="135">
        <f>G51-$B$7</f>
        <v/>
      </c>
      <c r="K51" s="136" t="n">
        <v>0</v>
      </c>
      <c r="L51" s="136" t="n">
        <v>0</v>
      </c>
      <c r="M51" s="136" t="n">
        <v>0</v>
      </c>
      <c r="N51" s="136" t="n">
        <v>0</v>
      </c>
      <c r="O51" s="136" t="n">
        <v>0</v>
      </c>
      <c r="P51" s="136" t="n">
        <v>0</v>
      </c>
      <c r="Q51" s="136" t="n">
        <v>0</v>
      </c>
      <c r="R51" s="136" t="n">
        <v>0</v>
      </c>
      <c r="S51" s="136" t="n">
        <v>0</v>
      </c>
      <c r="T51" s="136" t="n">
        <v>0</v>
      </c>
      <c r="U51" s="136" t="n">
        <v>0</v>
      </c>
      <c r="V51" s="136" t="n">
        <v>0</v>
      </c>
      <c r="W51" s="136" t="n">
        <v>0</v>
      </c>
      <c r="X51" s="136" t="n">
        <v>0</v>
      </c>
      <c r="Y51" s="136" t="n">
        <v>0</v>
      </c>
      <c r="Z51" s="136" t="n">
        <v>0</v>
      </c>
      <c r="AA51" s="136" t="n">
        <v>300</v>
      </c>
      <c r="AB51" s="136" t="n">
        <v>0</v>
      </c>
      <c r="AC51" s="136" t="n">
        <v>0</v>
      </c>
      <c r="AD51" s="136" t="n">
        <v>0</v>
      </c>
      <c r="AE51" s="136" t="n">
        <v>0</v>
      </c>
      <c r="AF51" s="136" t="n">
        <v>0</v>
      </c>
      <c r="AG51" s="136" t="n">
        <v>0</v>
      </c>
      <c r="AH51" s="136" t="n">
        <v>0</v>
      </c>
      <c r="AI51" s="136" t="n">
        <v>0</v>
      </c>
      <c r="AJ51" s="136" t="n">
        <v>0</v>
      </c>
      <c r="AK51" s="136" t="n">
        <v>0</v>
      </c>
      <c r="AL51" s="137">
        <f>SUM(K51:AK51)</f>
        <v/>
      </c>
      <c r="AM51" s="138">
        <f>MAX(0,$H51-AL51)</f>
        <v/>
      </c>
      <c r="AN51" s="96">
        <f>IF($AP51="WITHIN_HORIZON",IF(AND($AM51&gt;0,$AO51&gt;0),"SHORTAGE + LATE",IF($AM51&gt;0,"SHORTAGE",IF($AO51&gt;0,"LATE","OK"))),IF(AND($AP51="PARTIAL_HORIZON",$AM51=0,$AO51=0),"OK","OUT_OF_HORIZON"))</f>
        <v/>
      </c>
      <c r="AO51" s="97">
        <f>SUMPRODUCT(($K$42:$AK$42&gt;$J51)*(K51:AK51))</f>
        <v/>
      </c>
      <c r="AP51" s="96">
        <f>IF($I51&gt;$AK$42,"OUT_OF_HORIZON",IF($J51&gt;$AK$42,"PARTIAL_HORIZON","WITHIN_HORIZON"))</f>
        <v/>
      </c>
    </row>
    <row r="52" ht="16.5" customHeight="1" s="182">
      <c r="A52" s="132" t="inlineStr">
        <is>
          <t>F</t>
        </is>
      </c>
      <c r="B52" s="133" t="inlineStr">
        <is>
          <t>2025 Fantasy Spaceship Model DIY kits</t>
        </is>
      </c>
      <c r="C52" s="133" t="inlineStr">
        <is>
          <t>US</t>
        </is>
      </c>
      <c r="D52" s="133" t="inlineStr">
        <is>
          <t>Arts &amp; Crafts Toy</t>
        </is>
      </c>
      <c r="E52" s="133" t="inlineStr">
        <is>
          <t>789EF</t>
        </is>
      </c>
      <c r="F52" s="134" t="n">
        <v>3000</v>
      </c>
      <c r="G52" s="135" t="n">
        <v>46157</v>
      </c>
      <c r="H52" s="134" t="n">
        <v>4200</v>
      </c>
      <c r="I52" s="135">
        <f>G52-$B$8</f>
        <v/>
      </c>
      <c r="J52" s="135">
        <f>G52-$B$7</f>
        <v/>
      </c>
      <c r="K52" s="136" t="n">
        <v>0</v>
      </c>
      <c r="L52" s="136" t="n">
        <v>0</v>
      </c>
      <c r="M52" s="136" t="n">
        <v>0</v>
      </c>
      <c r="N52" s="136" t="n">
        <v>0</v>
      </c>
      <c r="O52" s="136" t="n">
        <v>0</v>
      </c>
      <c r="P52" s="136" t="n">
        <v>0</v>
      </c>
      <c r="Q52" s="136" t="n">
        <v>0</v>
      </c>
      <c r="R52" s="136" t="n">
        <v>0</v>
      </c>
      <c r="S52" s="136" t="n">
        <v>0</v>
      </c>
      <c r="T52" s="136" t="n">
        <v>0</v>
      </c>
      <c r="U52" s="136" t="n">
        <v>0</v>
      </c>
      <c r="V52" s="136" t="n">
        <v>0</v>
      </c>
      <c r="W52" s="136" t="n">
        <v>0</v>
      </c>
      <c r="X52" s="136" t="n">
        <v>0</v>
      </c>
      <c r="Y52" s="136" t="n">
        <v>0</v>
      </c>
      <c r="Z52" s="136" t="n">
        <v>500</v>
      </c>
      <c r="AA52" s="136" t="n">
        <v>200</v>
      </c>
      <c r="AB52" s="136" t="n">
        <v>500</v>
      </c>
      <c r="AC52" s="136" t="n">
        <v>500</v>
      </c>
      <c r="AD52" s="136" t="n">
        <v>500</v>
      </c>
      <c r="AE52" s="136" t="n">
        <v>500</v>
      </c>
      <c r="AF52" s="136" t="n">
        <v>0</v>
      </c>
      <c r="AG52" s="136" t="n">
        <v>0</v>
      </c>
      <c r="AH52" s="136" t="n">
        <v>0</v>
      </c>
      <c r="AI52" s="136" t="n">
        <v>0</v>
      </c>
      <c r="AJ52" s="136" t="n">
        <v>0</v>
      </c>
      <c r="AK52" s="136" t="n">
        <v>0</v>
      </c>
      <c r="AL52" s="137">
        <f>SUM(K52:AK52)</f>
        <v/>
      </c>
      <c r="AM52" s="138">
        <f>MAX(0,$H52-AL52)</f>
        <v/>
      </c>
      <c r="AN52" s="96">
        <f>IF($AP52="WITHIN_HORIZON",IF(AND($AM52&gt;0,$AO52&gt;0),"SHORTAGE + LATE",IF($AM52&gt;0,"SHORTAGE",IF($AO52&gt;0,"LATE","OK"))),IF(AND($AP52="PARTIAL_HORIZON",$AM52=0,$AO52=0),"OK","OUT_OF_HORIZON"))</f>
        <v/>
      </c>
      <c r="AO52" s="97">
        <f>SUMPRODUCT(($K$42:$AK$42&gt;$J52)*(K52:AK52))</f>
        <v/>
      </c>
      <c r="AP52" s="96">
        <f>IF($I52&gt;$AK$42,"OUT_OF_HORIZON",IF($J52&gt;$AK$42,"PARTIAL_HORIZON","WITHIN_HORIZON"))</f>
        <v/>
      </c>
    </row>
    <row r="53" ht="16.5" customHeight="1" s="182">
      <c r="A53" s="132" t="inlineStr">
        <is>
          <t>A</t>
        </is>
      </c>
      <c r="B53" s="133" t="inlineStr">
        <is>
          <t>2026 Automatic Robot ver</t>
        </is>
      </c>
      <c r="C53" s="133" t="inlineStr">
        <is>
          <t>US</t>
        </is>
      </c>
      <c r="D53" s="133" t="inlineStr">
        <is>
          <t>Electronic Toy</t>
        </is>
      </c>
      <c r="E53" s="133" t="inlineStr">
        <is>
          <t>123AB</t>
        </is>
      </c>
      <c r="F53" s="134" t="n">
        <v>15000</v>
      </c>
      <c r="G53" s="135" t="n">
        <v>46164</v>
      </c>
      <c r="H53" s="134" t="n">
        <v>20000</v>
      </c>
      <c r="I53" s="135">
        <f>G53-$B$8</f>
        <v/>
      </c>
      <c r="J53" s="135">
        <f>G53-$B$7</f>
        <v/>
      </c>
      <c r="K53" s="136" t="n">
        <v>0</v>
      </c>
      <c r="L53" s="136" t="n">
        <v>0</v>
      </c>
      <c r="M53" s="136" t="n">
        <v>0</v>
      </c>
      <c r="N53" s="136" t="n">
        <v>0</v>
      </c>
      <c r="O53" s="136" t="n">
        <v>0</v>
      </c>
      <c r="P53" s="136" t="n">
        <v>0</v>
      </c>
      <c r="Q53" s="136" t="n">
        <v>0</v>
      </c>
      <c r="R53" s="136" t="n">
        <v>0</v>
      </c>
      <c r="S53" s="136" t="n">
        <v>0</v>
      </c>
      <c r="T53" s="136" t="n">
        <v>0</v>
      </c>
      <c r="U53" s="136" t="n">
        <v>0</v>
      </c>
      <c r="V53" s="136" t="n">
        <v>0</v>
      </c>
      <c r="W53" s="136" t="n">
        <v>0</v>
      </c>
      <c r="X53" s="136" t="n">
        <v>0</v>
      </c>
      <c r="Y53" s="136" t="n">
        <v>0</v>
      </c>
      <c r="Z53" s="136" t="n">
        <v>0</v>
      </c>
      <c r="AA53" s="136" t="n">
        <v>0</v>
      </c>
      <c r="AB53" s="136" t="n">
        <v>0</v>
      </c>
      <c r="AC53" s="136" t="n">
        <v>0</v>
      </c>
      <c r="AD53" s="136" t="n">
        <v>0</v>
      </c>
      <c r="AE53" s="136" t="n">
        <v>0</v>
      </c>
      <c r="AF53" s="136" t="n">
        <v>2500</v>
      </c>
      <c r="AG53" s="136" t="n">
        <v>2500</v>
      </c>
      <c r="AH53" s="136" t="n">
        <v>2500</v>
      </c>
      <c r="AI53" s="136" t="n">
        <v>2500</v>
      </c>
      <c r="AJ53" s="136" t="n">
        <v>2500</v>
      </c>
      <c r="AK53" s="136" t="n">
        <v>2500</v>
      </c>
      <c r="AL53" s="137">
        <f>SUM(K53:AK53)</f>
        <v/>
      </c>
      <c r="AM53" s="138">
        <f>MAX(0,$H53-AL53)</f>
        <v/>
      </c>
      <c r="AN53" s="96">
        <f>IF($AP53="WITHIN_HORIZON",IF(AND($AM53&gt;0,$AO53&gt;0),"SHORTAGE + LATE",IF($AM53&gt;0,"SHORTAGE",IF($AO53&gt;0,"LATE","OK"))),IF(AND($AP53="PARTIAL_HORIZON",$AM53=0,$AO53=0),"OK","OUT_OF_HORIZON"))</f>
        <v/>
      </c>
      <c r="AO53" s="97">
        <f>SUMPRODUCT(($K$42:$AK$42&gt;$J53)*(K53:AK53))</f>
        <v/>
      </c>
      <c r="AP53" s="96">
        <f>IF($I53&gt;$AK$42,"OUT_OF_HORIZON",IF($J53&gt;$AK$42,"PARTIAL_HORIZON","WITHIN_HORIZON"))</f>
        <v/>
      </c>
    </row>
    <row r="54" ht="16.5" customHeight="1" s="182">
      <c r="A54" s="132" t="inlineStr">
        <is>
          <t>B</t>
        </is>
      </c>
      <c r="B54" s="133" t="inlineStr">
        <is>
          <t>2025 Barbie ver colorful</t>
        </is>
      </c>
      <c r="C54" s="133" t="inlineStr">
        <is>
          <t>US</t>
        </is>
      </c>
      <c r="D54" s="133" t="inlineStr">
        <is>
          <t>Doll</t>
        </is>
      </c>
      <c r="E54" s="133" t="inlineStr">
        <is>
          <t>123AB</t>
        </is>
      </c>
      <c r="F54" s="134" t="n">
        <v>15000</v>
      </c>
      <c r="G54" s="135" t="n">
        <v>46164</v>
      </c>
      <c r="H54" s="134" t="n">
        <v>15658</v>
      </c>
      <c r="I54" s="135">
        <f>G54-$B$8</f>
        <v/>
      </c>
      <c r="J54" s="135">
        <f>G54-$B$7</f>
        <v/>
      </c>
      <c r="K54" s="136" t="n">
        <v>0</v>
      </c>
      <c r="L54" s="136" t="n">
        <v>0</v>
      </c>
      <c r="M54" s="136" t="n">
        <v>0</v>
      </c>
      <c r="N54" s="136" t="n">
        <v>0</v>
      </c>
      <c r="O54" s="136" t="n">
        <v>0</v>
      </c>
      <c r="P54" s="136" t="n">
        <v>0</v>
      </c>
      <c r="Q54" s="136" t="n">
        <v>0</v>
      </c>
      <c r="R54" s="136" t="n">
        <v>0</v>
      </c>
      <c r="S54" s="136" t="n">
        <v>0</v>
      </c>
      <c r="T54" s="136" t="n">
        <v>0</v>
      </c>
      <c r="U54" s="136" t="n">
        <v>0</v>
      </c>
      <c r="V54" s="136" t="n">
        <v>0</v>
      </c>
      <c r="W54" s="136" t="n">
        <v>0</v>
      </c>
      <c r="X54" s="136" t="n">
        <v>0</v>
      </c>
      <c r="Y54" s="136" t="n">
        <v>0</v>
      </c>
      <c r="Z54" s="136" t="n">
        <v>0</v>
      </c>
      <c r="AA54" s="136" t="n">
        <v>0</v>
      </c>
      <c r="AB54" s="136" t="n">
        <v>0</v>
      </c>
      <c r="AC54" s="136" t="n">
        <v>0</v>
      </c>
      <c r="AD54" s="136" t="n">
        <v>0</v>
      </c>
      <c r="AE54" s="136" t="n">
        <v>0</v>
      </c>
      <c r="AF54" s="136" t="n">
        <v>0</v>
      </c>
      <c r="AG54" s="136" t="n">
        <v>0</v>
      </c>
      <c r="AH54" s="136" t="n">
        <v>0</v>
      </c>
      <c r="AI54" s="136" t="n">
        <v>0</v>
      </c>
      <c r="AJ54" s="136" t="n">
        <v>0</v>
      </c>
      <c r="AK54" s="136" t="n">
        <v>0</v>
      </c>
      <c r="AL54" s="137">
        <f>SUM(K54:AK54)</f>
        <v/>
      </c>
      <c r="AM54" s="138">
        <f>MAX(0,$H54-AL54)</f>
        <v/>
      </c>
      <c r="AN54" s="96">
        <f>IF($AP54="WITHIN_HORIZON",IF(AND($AM54&gt;0,$AO54&gt;0),"SHORTAGE + LATE",IF($AM54&gt;0,"SHORTAGE",IF($AO54&gt;0,"LATE","OK"))),IF(AND($AP54="PARTIAL_HORIZON",$AM54=0,$AO54=0),"OK","OUT_OF_HORIZON"))</f>
        <v/>
      </c>
      <c r="AO54" s="97">
        <f>SUMPRODUCT(($K$42:$AK$42&gt;$J54)*(K54:AK54))</f>
        <v/>
      </c>
      <c r="AP54" s="96">
        <f>IF($I54&gt;$AK$42,"OUT_OF_HORIZON",IF($J54&gt;$AK$42,"PARTIAL_HORIZON","WITHIN_HORIZON"))</f>
        <v/>
      </c>
    </row>
    <row r="55" ht="16.5" customHeight="1" s="182">
      <c r="A55" s="132" t="inlineStr">
        <is>
          <t>C</t>
        </is>
      </c>
      <c r="B55" s="133" t="inlineStr">
        <is>
          <t>2026 Castle &amp; Farm Blocks</t>
        </is>
      </c>
      <c r="C55" s="133" t="inlineStr">
        <is>
          <t>UK</t>
        </is>
      </c>
      <c r="D55" s="133" t="inlineStr">
        <is>
          <t>Building &amp; Construction Toy</t>
        </is>
      </c>
      <c r="E55" s="133" t="inlineStr">
        <is>
          <t>456CD</t>
        </is>
      </c>
      <c r="F55" s="134" t="n">
        <v>5000</v>
      </c>
      <c r="G55" s="135" t="n">
        <v>46164</v>
      </c>
      <c r="H55" s="134" t="n">
        <v>8370</v>
      </c>
      <c r="I55" s="135">
        <f>G55-$B$8</f>
        <v/>
      </c>
      <c r="J55" s="135">
        <f>G55-$B$7</f>
        <v/>
      </c>
      <c r="K55" s="136" t="n">
        <v>0</v>
      </c>
      <c r="L55" s="136" t="n">
        <v>0</v>
      </c>
      <c r="M55" s="136" t="n">
        <v>0</v>
      </c>
      <c r="N55" s="136" t="n">
        <v>0</v>
      </c>
      <c r="O55" s="136" t="n">
        <v>0</v>
      </c>
      <c r="P55" s="136" t="n">
        <v>0</v>
      </c>
      <c r="Q55" s="136" t="n">
        <v>0</v>
      </c>
      <c r="R55" s="136" t="n">
        <v>0</v>
      </c>
      <c r="S55" s="136" t="n">
        <v>0</v>
      </c>
      <c r="T55" s="136" t="n">
        <v>0</v>
      </c>
      <c r="U55" s="136" t="n">
        <v>0</v>
      </c>
      <c r="V55" s="136" t="n">
        <v>0</v>
      </c>
      <c r="W55" s="136" t="n">
        <v>0</v>
      </c>
      <c r="X55" s="136" t="n">
        <v>0</v>
      </c>
      <c r="Y55" s="136" t="n">
        <v>0</v>
      </c>
      <c r="Z55" s="136" t="n">
        <v>0</v>
      </c>
      <c r="AA55" s="136" t="n">
        <v>0</v>
      </c>
      <c r="AB55" s="136" t="n">
        <v>0</v>
      </c>
      <c r="AC55" s="136" t="n">
        <v>0</v>
      </c>
      <c r="AD55" s="136" t="n">
        <v>0</v>
      </c>
      <c r="AE55" s="136" t="n">
        <v>833</v>
      </c>
      <c r="AF55" s="136" t="n">
        <v>833</v>
      </c>
      <c r="AG55" s="136" t="n">
        <v>833</v>
      </c>
      <c r="AH55" s="136" t="n">
        <v>0</v>
      </c>
      <c r="AI55" s="136" t="n">
        <v>0</v>
      </c>
      <c r="AJ55" s="136" t="n">
        <v>833</v>
      </c>
      <c r="AK55" s="136" t="n">
        <v>0</v>
      </c>
      <c r="AL55" s="137">
        <f>SUM(K55:AK55)</f>
        <v/>
      </c>
      <c r="AM55" s="138">
        <f>MAX(0,$H55-AL55)</f>
        <v/>
      </c>
      <c r="AN55" s="96">
        <f>IF($AP55="WITHIN_HORIZON",IF(AND($AM55&gt;0,$AO55&gt;0),"SHORTAGE + LATE",IF($AM55&gt;0,"SHORTAGE",IF($AO55&gt;0,"LATE","OK"))),IF(AND($AP55="PARTIAL_HORIZON",$AM55=0,$AO55=0),"OK","OUT_OF_HORIZON"))</f>
        <v/>
      </c>
      <c r="AO55" s="97">
        <f>SUMPRODUCT(($K$42:$AK$42&gt;$J55)*(K55:AK55))</f>
        <v/>
      </c>
      <c r="AP55" s="96">
        <f>IF($I55&gt;$AK$42,"OUT_OF_HORIZON",IF($J55&gt;$AK$42,"PARTIAL_HORIZON","WITHIN_HORIZON"))</f>
        <v/>
      </c>
    </row>
    <row r="56" ht="16.5" customHeight="1" s="182">
      <c r="A56" s="132" t="inlineStr">
        <is>
          <t>D</t>
        </is>
      </c>
      <c r="B56" s="133" t="inlineStr">
        <is>
          <t>2026 Animal Animation Book</t>
        </is>
      </c>
      <c r="C56" s="133" t="inlineStr">
        <is>
          <t>UK</t>
        </is>
      </c>
      <c r="D56" s="133" t="inlineStr">
        <is>
          <t>Educational Toy</t>
        </is>
      </c>
      <c r="E56" s="133" t="inlineStr">
        <is>
          <t>456CD</t>
        </is>
      </c>
      <c r="F56" s="134" t="n">
        <v>5000</v>
      </c>
      <c r="G56" s="135" t="n">
        <v>46164</v>
      </c>
      <c r="H56" s="134" t="n">
        <v>9990</v>
      </c>
      <c r="I56" s="135">
        <f>G56-$B$8</f>
        <v/>
      </c>
      <c r="J56" s="135">
        <f>G56-$B$7</f>
        <v/>
      </c>
      <c r="K56" s="136" t="n">
        <v>0</v>
      </c>
      <c r="L56" s="136" t="n">
        <v>0</v>
      </c>
      <c r="M56" s="136" t="n">
        <v>0</v>
      </c>
      <c r="N56" s="136" t="n">
        <v>0</v>
      </c>
      <c r="O56" s="136" t="n">
        <v>0</v>
      </c>
      <c r="P56" s="136" t="n">
        <v>0</v>
      </c>
      <c r="Q56" s="136" t="n">
        <v>0</v>
      </c>
      <c r="R56" s="136" t="n">
        <v>0</v>
      </c>
      <c r="S56" s="136" t="n">
        <v>0</v>
      </c>
      <c r="T56" s="136" t="n">
        <v>0</v>
      </c>
      <c r="U56" s="136" t="n">
        <v>0</v>
      </c>
      <c r="V56" s="136" t="n">
        <v>0</v>
      </c>
      <c r="W56" s="136" t="n">
        <v>0</v>
      </c>
      <c r="X56" s="136" t="n">
        <v>0</v>
      </c>
      <c r="Y56" s="136" t="n">
        <v>0</v>
      </c>
      <c r="Z56" s="136" t="n">
        <v>0</v>
      </c>
      <c r="AA56" s="136" t="n">
        <v>0</v>
      </c>
      <c r="AB56" s="136" t="n">
        <v>0</v>
      </c>
      <c r="AC56" s="136" t="n">
        <v>0</v>
      </c>
      <c r="AD56" s="136" t="n">
        <v>0</v>
      </c>
      <c r="AE56" s="136" t="n">
        <v>0</v>
      </c>
      <c r="AF56" s="136" t="n">
        <v>0</v>
      </c>
      <c r="AG56" s="136" t="n">
        <v>0</v>
      </c>
      <c r="AH56" s="136" t="n">
        <v>833</v>
      </c>
      <c r="AI56" s="136" t="n">
        <v>833</v>
      </c>
      <c r="AJ56" s="136" t="n">
        <v>0</v>
      </c>
      <c r="AK56" s="136" t="n">
        <v>0</v>
      </c>
      <c r="AL56" s="137">
        <f>SUM(K56:AK56)</f>
        <v/>
      </c>
      <c r="AM56" s="138">
        <f>MAX(0,$H56-AL56)</f>
        <v/>
      </c>
      <c r="AN56" s="96">
        <f>IF($AP56="WITHIN_HORIZON",IF(AND($AM56&gt;0,$AO56&gt;0),"SHORTAGE + LATE",IF($AM56&gt;0,"SHORTAGE",IF($AO56&gt;0,"LATE","OK"))),IF(AND($AP56="PARTIAL_HORIZON",$AM56=0,$AO56=0),"OK","OUT_OF_HORIZON"))</f>
        <v/>
      </c>
      <c r="AO56" s="97">
        <f>SUMPRODUCT(($K$42:$AK$42&gt;$J56)*(K56:AK56))</f>
        <v/>
      </c>
      <c r="AP56" s="96">
        <f>IF($I56&gt;$AK$42,"OUT_OF_HORIZON",IF($J56&gt;$AK$42,"PARTIAL_HORIZON","WITHIN_HORIZON"))</f>
        <v/>
      </c>
    </row>
    <row r="57" ht="16.5" customHeight="1" s="182">
      <c r="A57" s="132" t="inlineStr">
        <is>
          <t>E</t>
        </is>
      </c>
      <c r="B57" s="133" t="inlineStr">
        <is>
          <t>2026 Scooter ver</t>
        </is>
      </c>
      <c r="C57" s="133" t="inlineStr">
        <is>
          <t>Australia</t>
        </is>
      </c>
      <c r="D57" s="133" t="inlineStr">
        <is>
          <t>Outdoor &amp; Sports Toy</t>
        </is>
      </c>
      <c r="E57" s="133" t="inlineStr">
        <is>
          <t>789EF</t>
        </is>
      </c>
      <c r="F57" s="134" t="n">
        <v>3000</v>
      </c>
      <c r="G57" s="135" t="n">
        <v>46164</v>
      </c>
      <c r="H57" s="134" t="n">
        <v>698</v>
      </c>
      <c r="I57" s="135">
        <f>G57-$B$8</f>
        <v/>
      </c>
      <c r="J57" s="135">
        <f>G57-$B$7</f>
        <v/>
      </c>
      <c r="K57" s="136" t="n">
        <v>0</v>
      </c>
      <c r="L57" s="136" t="n">
        <v>0</v>
      </c>
      <c r="M57" s="136" t="n">
        <v>0</v>
      </c>
      <c r="N57" s="136" t="n">
        <v>0</v>
      </c>
      <c r="O57" s="136" t="n">
        <v>0</v>
      </c>
      <c r="P57" s="136" t="n">
        <v>0</v>
      </c>
      <c r="Q57" s="136" t="n">
        <v>0</v>
      </c>
      <c r="R57" s="136" t="n">
        <v>0</v>
      </c>
      <c r="S57" s="136" t="n">
        <v>0</v>
      </c>
      <c r="T57" s="136" t="n">
        <v>0</v>
      </c>
      <c r="U57" s="136" t="n">
        <v>0</v>
      </c>
      <c r="V57" s="136" t="n">
        <v>0</v>
      </c>
      <c r="W57" s="136" t="n">
        <v>0</v>
      </c>
      <c r="X57" s="136" t="n">
        <v>0</v>
      </c>
      <c r="Y57" s="136" t="n">
        <v>0</v>
      </c>
      <c r="Z57" s="136" t="n">
        <v>0</v>
      </c>
      <c r="AA57" s="136" t="n">
        <v>0</v>
      </c>
      <c r="AB57" s="136" t="n">
        <v>0</v>
      </c>
      <c r="AC57" s="136" t="n">
        <v>0</v>
      </c>
      <c r="AD57" s="136" t="n">
        <v>0</v>
      </c>
      <c r="AE57" s="136" t="n">
        <v>0</v>
      </c>
      <c r="AF57" s="136" t="n">
        <v>500</v>
      </c>
      <c r="AG57" s="136" t="n">
        <v>0</v>
      </c>
      <c r="AH57" s="136" t="n">
        <v>198</v>
      </c>
      <c r="AI57" s="136" t="n">
        <v>0</v>
      </c>
      <c r="AJ57" s="136" t="n">
        <v>0</v>
      </c>
      <c r="AK57" s="136" t="n">
        <v>0</v>
      </c>
      <c r="AL57" s="137">
        <f>SUM(K57:AK57)</f>
        <v/>
      </c>
      <c r="AM57" s="138">
        <f>MAX(0,$H57-AL57)</f>
        <v/>
      </c>
      <c r="AN57" s="96">
        <f>IF($AP57="WITHIN_HORIZON",IF(AND($AM57&gt;0,$AO57&gt;0),"SHORTAGE + LATE",IF($AM57&gt;0,"SHORTAGE",IF($AO57&gt;0,"LATE","OK"))),IF(AND($AP57="PARTIAL_HORIZON",$AM57=0,$AO57=0),"OK","OUT_OF_HORIZON"))</f>
        <v/>
      </c>
      <c r="AO57" s="97">
        <f>SUMPRODUCT(($K$42:$AK$42&gt;$J57)*(K57:AK57))</f>
        <v/>
      </c>
      <c r="AP57" s="96">
        <f>IF($I57&gt;$AK$42,"OUT_OF_HORIZON",IF($J57&gt;$AK$42,"PARTIAL_HORIZON","WITHIN_HORIZON"))</f>
        <v/>
      </c>
    </row>
    <row r="58" ht="16.5" customHeight="1" s="182">
      <c r="A58" s="132" t="inlineStr">
        <is>
          <t>F</t>
        </is>
      </c>
      <c r="B58" s="133" t="inlineStr">
        <is>
          <t>2025 Fantasy Spaceship Model DIY kits</t>
        </is>
      </c>
      <c r="C58" s="133" t="inlineStr">
        <is>
          <t>US</t>
        </is>
      </c>
      <c r="D58" s="133" t="inlineStr">
        <is>
          <t>Arts &amp; Crafts Toy</t>
        </is>
      </c>
      <c r="E58" s="133" t="inlineStr">
        <is>
          <t>789EF</t>
        </is>
      </c>
      <c r="F58" s="134" t="n">
        <v>3000</v>
      </c>
      <c r="G58" s="135" t="n">
        <v>46164</v>
      </c>
      <c r="H58" s="134" t="n">
        <v>3802</v>
      </c>
      <c r="I58" s="135">
        <f>G58-$B$8</f>
        <v/>
      </c>
      <c r="J58" s="135">
        <f>G58-$B$7</f>
        <v/>
      </c>
      <c r="K58" s="136" t="n">
        <v>0</v>
      </c>
      <c r="L58" s="136" t="n">
        <v>0</v>
      </c>
      <c r="M58" s="136" t="n">
        <v>0</v>
      </c>
      <c r="N58" s="136" t="n">
        <v>0</v>
      </c>
      <c r="O58" s="136" t="n">
        <v>0</v>
      </c>
      <c r="P58" s="136" t="n">
        <v>0</v>
      </c>
      <c r="Q58" s="136" t="n">
        <v>0</v>
      </c>
      <c r="R58" s="136" t="n">
        <v>0</v>
      </c>
      <c r="S58" s="136" t="n">
        <v>0</v>
      </c>
      <c r="T58" s="136" t="n">
        <v>0</v>
      </c>
      <c r="U58" s="136" t="n">
        <v>0</v>
      </c>
      <c r="V58" s="136" t="n">
        <v>0</v>
      </c>
      <c r="W58" s="136" t="n">
        <v>0</v>
      </c>
      <c r="X58" s="136" t="n">
        <v>0</v>
      </c>
      <c r="Y58" s="136" t="n">
        <v>0</v>
      </c>
      <c r="Z58" s="136" t="n">
        <v>0</v>
      </c>
      <c r="AA58" s="136" t="n">
        <v>0</v>
      </c>
      <c r="AB58" s="136" t="n">
        <v>0</v>
      </c>
      <c r="AC58" s="136" t="n">
        <v>0</v>
      </c>
      <c r="AD58" s="136" t="n">
        <v>0</v>
      </c>
      <c r="AE58" s="136" t="n">
        <v>0</v>
      </c>
      <c r="AF58" s="136" t="n">
        <v>0</v>
      </c>
      <c r="AG58" s="136" t="n">
        <v>500</v>
      </c>
      <c r="AH58" s="136" t="n">
        <v>302</v>
      </c>
      <c r="AI58" s="136" t="n">
        <v>500</v>
      </c>
      <c r="AJ58" s="136" t="n">
        <v>500</v>
      </c>
      <c r="AK58" s="136" t="n">
        <v>500</v>
      </c>
      <c r="AL58" s="137">
        <f>SUM(K58:AK58)</f>
        <v/>
      </c>
      <c r="AM58" s="138">
        <f>MAX(0,$H58-AL58)</f>
        <v/>
      </c>
      <c r="AN58" s="96">
        <f>IF($AP58="WITHIN_HORIZON",IF(AND($AM58&gt;0,$AO58&gt;0),"SHORTAGE + LATE",IF($AM58&gt;0,"SHORTAGE",IF($AO58&gt;0,"LATE","OK"))),IF(AND($AP58="PARTIAL_HORIZON",$AM58=0,$AO58=0),"OK","OUT_OF_HORIZON"))</f>
        <v/>
      </c>
      <c r="AO58" s="97">
        <f>SUMPRODUCT(($K$42:$AK$42&gt;$J58)*(K58:AK58))</f>
        <v/>
      </c>
      <c r="AP58" s="96">
        <f>IF($I58&gt;$AK$42,"OUT_OF_HORIZON",IF($J58&gt;$AK$42,"PARTIAL_HORIZON","WITHIN_HORIZON"))</f>
        <v/>
      </c>
    </row>
    <row r="59" ht="16.5" customHeight="1" s="182">
      <c r="A59" s="132" t="inlineStr">
        <is>
          <t>A</t>
        </is>
      </c>
      <c r="B59" s="133" t="inlineStr">
        <is>
          <t>2026 Automatic Robot ver</t>
        </is>
      </c>
      <c r="C59" s="133" t="inlineStr">
        <is>
          <t>US</t>
        </is>
      </c>
      <c r="D59" s="133" t="inlineStr">
        <is>
          <t>Electronic Toy</t>
        </is>
      </c>
      <c r="E59" s="133" t="inlineStr">
        <is>
          <t>123AB</t>
        </is>
      </c>
      <c r="F59" s="134" t="n">
        <v>15000</v>
      </c>
      <c r="G59" s="135" t="n">
        <v>46171</v>
      </c>
      <c r="H59" s="134" t="n">
        <v>11000</v>
      </c>
      <c r="I59" s="135">
        <f>G59-$B$8</f>
        <v/>
      </c>
      <c r="J59" s="135">
        <f>G59-$B$7</f>
        <v/>
      </c>
      <c r="K59" s="136" t="n">
        <v>0</v>
      </c>
      <c r="L59" s="136" t="n">
        <v>0</v>
      </c>
      <c r="M59" s="136" t="n">
        <v>0</v>
      </c>
      <c r="N59" s="136" t="n">
        <v>0</v>
      </c>
      <c r="O59" s="136" t="n">
        <v>0</v>
      </c>
      <c r="P59" s="136" t="n">
        <v>0</v>
      </c>
      <c r="Q59" s="136" t="n">
        <v>0</v>
      </c>
      <c r="R59" s="136" t="n">
        <v>0</v>
      </c>
      <c r="S59" s="136" t="n">
        <v>0</v>
      </c>
      <c r="T59" s="136" t="n">
        <v>0</v>
      </c>
      <c r="U59" s="136" t="n">
        <v>0</v>
      </c>
      <c r="V59" s="136" t="n">
        <v>0</v>
      </c>
      <c r="W59" s="136" t="n">
        <v>0</v>
      </c>
      <c r="X59" s="136" t="n">
        <v>0</v>
      </c>
      <c r="Y59" s="136" t="n">
        <v>0</v>
      </c>
      <c r="Z59" s="136" t="n">
        <v>0</v>
      </c>
      <c r="AA59" s="136" t="n">
        <v>0</v>
      </c>
      <c r="AB59" s="136" t="n">
        <v>0</v>
      </c>
      <c r="AC59" s="136" t="n">
        <v>0</v>
      </c>
      <c r="AD59" s="136" t="n">
        <v>0</v>
      </c>
      <c r="AE59" s="136" t="n">
        <v>0</v>
      </c>
      <c r="AF59" s="136" t="n">
        <v>0</v>
      </c>
      <c r="AG59" s="136" t="n">
        <v>0</v>
      </c>
      <c r="AH59" s="136" t="n">
        <v>0</v>
      </c>
      <c r="AI59" s="136" t="n">
        <v>0</v>
      </c>
      <c r="AJ59" s="136" t="n">
        <v>0</v>
      </c>
      <c r="AK59" s="136" t="n">
        <v>0</v>
      </c>
      <c r="AL59" s="137">
        <f>SUM(K59:AK59)</f>
        <v/>
      </c>
      <c r="AM59" s="138">
        <f>MAX(0,$H59-AL59)</f>
        <v/>
      </c>
      <c r="AN59" s="96">
        <f>IF($AP59="WITHIN_HORIZON",IF(AND($AM59&gt;0,$AO59&gt;0),"SHORTAGE + LATE",IF($AM59&gt;0,"SHORTAGE",IF($AO59&gt;0,"LATE","OK"))),IF(AND($AP59="PARTIAL_HORIZON",$AM59=0,$AO59=0),"OK","OUT_OF_HORIZON"))</f>
        <v/>
      </c>
      <c r="AO59" s="97">
        <f>SUMPRODUCT(($K$42:$AK$42&gt;$J59)*(K59:AK59))</f>
        <v/>
      </c>
      <c r="AP59" s="96">
        <f>IF($I59&gt;$AK$42,"OUT_OF_HORIZON",IF($J59&gt;$AK$42,"PARTIAL_HORIZON","WITHIN_HORIZON"))</f>
        <v/>
      </c>
    </row>
    <row r="60" ht="16.5" customHeight="1" s="182">
      <c r="A60" s="132" t="inlineStr">
        <is>
          <t>B</t>
        </is>
      </c>
      <c r="B60" s="133" t="inlineStr">
        <is>
          <t>2025 Barbie ver colorful</t>
        </is>
      </c>
      <c r="C60" s="133" t="inlineStr">
        <is>
          <t>US</t>
        </is>
      </c>
      <c r="D60" s="133" t="inlineStr">
        <is>
          <t>Doll</t>
        </is>
      </c>
      <c r="E60" s="133" t="inlineStr">
        <is>
          <t>123AB</t>
        </is>
      </c>
      <c r="F60" s="134" t="n">
        <v>15000</v>
      </c>
      <c r="G60" s="135" t="n">
        <v>46171</v>
      </c>
      <c r="H60" s="134" t="n">
        <v>8865</v>
      </c>
      <c r="I60" s="135">
        <f>G60-$B$8</f>
        <v/>
      </c>
      <c r="J60" s="135">
        <f>G60-$B$7</f>
        <v/>
      </c>
      <c r="K60" s="136" t="n">
        <v>0</v>
      </c>
      <c r="L60" s="136" t="n">
        <v>0</v>
      </c>
      <c r="M60" s="136" t="n">
        <v>0</v>
      </c>
      <c r="N60" s="136" t="n">
        <v>0</v>
      </c>
      <c r="O60" s="136" t="n">
        <v>0</v>
      </c>
      <c r="P60" s="136" t="n">
        <v>0</v>
      </c>
      <c r="Q60" s="136" t="n">
        <v>0</v>
      </c>
      <c r="R60" s="136" t="n">
        <v>0</v>
      </c>
      <c r="S60" s="136" t="n">
        <v>0</v>
      </c>
      <c r="T60" s="136" t="n">
        <v>0</v>
      </c>
      <c r="U60" s="136" t="n">
        <v>0</v>
      </c>
      <c r="V60" s="136" t="n">
        <v>0</v>
      </c>
      <c r="W60" s="136" t="n">
        <v>0</v>
      </c>
      <c r="X60" s="136" t="n">
        <v>0</v>
      </c>
      <c r="Y60" s="136" t="n">
        <v>0</v>
      </c>
      <c r="Z60" s="136" t="n">
        <v>0</v>
      </c>
      <c r="AA60" s="136" t="n">
        <v>0</v>
      </c>
      <c r="AB60" s="136" t="n">
        <v>0</v>
      </c>
      <c r="AC60" s="136" t="n">
        <v>0</v>
      </c>
      <c r="AD60" s="136" t="n">
        <v>0</v>
      </c>
      <c r="AE60" s="136" t="n">
        <v>0</v>
      </c>
      <c r="AF60" s="136" t="n">
        <v>0</v>
      </c>
      <c r="AG60" s="136" t="n">
        <v>0</v>
      </c>
      <c r="AH60" s="136" t="n">
        <v>0</v>
      </c>
      <c r="AI60" s="136" t="n">
        <v>0</v>
      </c>
      <c r="AJ60" s="136" t="n">
        <v>0</v>
      </c>
      <c r="AK60" s="136" t="n">
        <v>0</v>
      </c>
      <c r="AL60" s="137">
        <f>SUM(K60:AK60)</f>
        <v/>
      </c>
      <c r="AM60" s="138">
        <f>MAX(0,$H60-AL60)</f>
        <v/>
      </c>
      <c r="AN60" s="96">
        <f>IF($AP60="WITHIN_HORIZON",IF(AND($AM60&gt;0,$AO60&gt;0),"SHORTAGE + LATE",IF($AM60&gt;0,"SHORTAGE",IF($AO60&gt;0,"LATE","OK"))),IF(AND($AP60="PARTIAL_HORIZON",$AM60=0,$AO60=0),"OK","OUT_OF_HORIZON"))</f>
        <v/>
      </c>
      <c r="AO60" s="97">
        <f>SUMPRODUCT(($K$42:$AK$42&gt;$J60)*(K60:AK60))</f>
        <v/>
      </c>
      <c r="AP60" s="96">
        <f>IF($I60&gt;$AK$42,"OUT_OF_HORIZON",IF($J60&gt;$AK$42,"PARTIAL_HORIZON","WITHIN_HORIZON"))</f>
        <v/>
      </c>
    </row>
    <row r="61" ht="16.5" customHeight="1" s="182">
      <c r="A61" s="132" t="inlineStr">
        <is>
          <t>C</t>
        </is>
      </c>
      <c r="B61" s="133" t="inlineStr">
        <is>
          <t>2026 Castle &amp; Farm Blocks</t>
        </is>
      </c>
      <c r="C61" s="133" t="inlineStr">
        <is>
          <t>UK</t>
        </is>
      </c>
      <c r="D61" s="133" t="inlineStr">
        <is>
          <t>Building &amp; Construction Toy</t>
        </is>
      </c>
      <c r="E61" s="133" t="inlineStr">
        <is>
          <t>456CD</t>
        </is>
      </c>
      <c r="F61" s="134" t="n">
        <v>5000</v>
      </c>
      <c r="G61" s="135" t="n">
        <v>46171</v>
      </c>
      <c r="H61" s="134" t="n">
        <v>11782</v>
      </c>
      <c r="I61" s="135">
        <f>G61-$B$8</f>
        <v/>
      </c>
      <c r="J61" s="135">
        <f>G61-$B$7</f>
        <v/>
      </c>
      <c r="K61" s="136" t="n">
        <v>0</v>
      </c>
      <c r="L61" s="136" t="n">
        <v>0</v>
      </c>
      <c r="M61" s="136" t="n">
        <v>0</v>
      </c>
      <c r="N61" s="136" t="n">
        <v>0</v>
      </c>
      <c r="O61" s="136" t="n">
        <v>0</v>
      </c>
      <c r="P61" s="136" t="n">
        <v>0</v>
      </c>
      <c r="Q61" s="136" t="n">
        <v>0</v>
      </c>
      <c r="R61" s="136" t="n">
        <v>0</v>
      </c>
      <c r="S61" s="136" t="n">
        <v>0</v>
      </c>
      <c r="T61" s="136" t="n">
        <v>0</v>
      </c>
      <c r="U61" s="136" t="n">
        <v>0</v>
      </c>
      <c r="V61" s="136" t="n">
        <v>0</v>
      </c>
      <c r="W61" s="136" t="n">
        <v>0</v>
      </c>
      <c r="X61" s="136" t="n">
        <v>0</v>
      </c>
      <c r="Y61" s="136" t="n">
        <v>0</v>
      </c>
      <c r="Z61" s="136" t="n">
        <v>0</v>
      </c>
      <c r="AA61" s="136" t="n">
        <v>0</v>
      </c>
      <c r="AB61" s="136" t="n">
        <v>0</v>
      </c>
      <c r="AC61" s="136" t="n">
        <v>0</v>
      </c>
      <c r="AD61" s="136" t="n">
        <v>0</v>
      </c>
      <c r="AE61" s="136" t="n">
        <v>0</v>
      </c>
      <c r="AF61" s="136" t="n">
        <v>0</v>
      </c>
      <c r="AG61" s="136" t="n">
        <v>0</v>
      </c>
      <c r="AH61" s="136" t="n">
        <v>0</v>
      </c>
      <c r="AI61" s="136" t="n">
        <v>0</v>
      </c>
      <c r="AJ61" s="136" t="n">
        <v>0</v>
      </c>
      <c r="AK61" s="136" t="n">
        <v>0</v>
      </c>
      <c r="AL61" s="137">
        <f>SUM(K61:AK61)</f>
        <v/>
      </c>
      <c r="AM61" s="138">
        <f>MAX(0,$H61-AL61)</f>
        <v/>
      </c>
      <c r="AN61" s="96">
        <f>IF($AP61="WITHIN_HORIZON",IF(AND($AM61&gt;0,$AO61&gt;0),"SHORTAGE + LATE",IF($AM61&gt;0,"SHORTAGE",IF($AO61&gt;0,"LATE","OK"))),IF(AND($AP61="PARTIAL_HORIZON",$AM61=0,$AO61=0),"OK","OUT_OF_HORIZON"))</f>
        <v/>
      </c>
      <c r="AO61" s="97">
        <f>SUMPRODUCT(($K$42:$AK$42&gt;$J61)*(K61:AK61))</f>
        <v/>
      </c>
      <c r="AP61" s="96">
        <f>IF($I61&gt;$AK$42,"OUT_OF_HORIZON",IF($J61&gt;$AK$42,"PARTIAL_HORIZON","WITHIN_HORIZON"))</f>
        <v/>
      </c>
    </row>
    <row r="62" ht="16.5" customHeight="1" s="182">
      <c r="A62" s="132" t="inlineStr">
        <is>
          <t>D</t>
        </is>
      </c>
      <c r="B62" s="133" t="inlineStr">
        <is>
          <t>2026 Animal Animation Book</t>
        </is>
      </c>
      <c r="C62" s="133" t="inlineStr">
        <is>
          <t>UK</t>
        </is>
      </c>
      <c r="D62" s="133" t="inlineStr">
        <is>
          <t>Educational Toy</t>
        </is>
      </c>
      <c r="E62" s="133" t="inlineStr">
        <is>
          <t>456CD</t>
        </is>
      </c>
      <c r="F62" s="134" t="n">
        <v>5000</v>
      </c>
      <c r="G62" s="135" t="n">
        <v>46171</v>
      </c>
      <c r="H62" s="134" t="n">
        <v>5840</v>
      </c>
      <c r="I62" s="135">
        <f>G62-$B$8</f>
        <v/>
      </c>
      <c r="J62" s="135">
        <f>G62-$B$7</f>
        <v/>
      </c>
      <c r="K62" s="136" t="n">
        <v>0</v>
      </c>
      <c r="L62" s="136" t="n">
        <v>0</v>
      </c>
      <c r="M62" s="136" t="n">
        <v>0</v>
      </c>
      <c r="N62" s="136" t="n">
        <v>0</v>
      </c>
      <c r="O62" s="136" t="n">
        <v>0</v>
      </c>
      <c r="P62" s="136" t="n">
        <v>0</v>
      </c>
      <c r="Q62" s="136" t="n">
        <v>0</v>
      </c>
      <c r="R62" s="136" t="n">
        <v>0</v>
      </c>
      <c r="S62" s="136" t="n">
        <v>0</v>
      </c>
      <c r="T62" s="136" t="n">
        <v>0</v>
      </c>
      <c r="U62" s="136" t="n">
        <v>0</v>
      </c>
      <c r="V62" s="136" t="n">
        <v>0</v>
      </c>
      <c r="W62" s="136" t="n">
        <v>0</v>
      </c>
      <c r="X62" s="136" t="n">
        <v>0</v>
      </c>
      <c r="Y62" s="136" t="n">
        <v>0</v>
      </c>
      <c r="Z62" s="136" t="n">
        <v>0</v>
      </c>
      <c r="AA62" s="136" t="n">
        <v>0</v>
      </c>
      <c r="AB62" s="136" t="n">
        <v>0</v>
      </c>
      <c r="AC62" s="136" t="n">
        <v>0</v>
      </c>
      <c r="AD62" s="136" t="n">
        <v>0</v>
      </c>
      <c r="AE62" s="136" t="n">
        <v>0</v>
      </c>
      <c r="AF62" s="136" t="n">
        <v>0</v>
      </c>
      <c r="AG62" s="136" t="n">
        <v>0</v>
      </c>
      <c r="AH62" s="136" t="n">
        <v>0</v>
      </c>
      <c r="AI62" s="136" t="n">
        <v>0</v>
      </c>
      <c r="AJ62" s="136" t="n">
        <v>0</v>
      </c>
      <c r="AK62" s="136" t="n">
        <v>833</v>
      </c>
      <c r="AL62" s="137">
        <f>SUM(K62:AK62)</f>
        <v/>
      </c>
      <c r="AM62" s="138">
        <f>MAX(0,$H62-AL62)</f>
        <v/>
      </c>
      <c r="AN62" s="96">
        <f>IF($AP62="WITHIN_HORIZON",IF(AND($AM62&gt;0,$AO62&gt;0),"SHORTAGE + LATE",IF($AM62&gt;0,"SHORTAGE",IF($AO62&gt;0,"LATE","OK"))),IF(AND($AP62="PARTIAL_HORIZON",$AM62=0,$AO62=0),"OK","OUT_OF_HORIZON"))</f>
        <v/>
      </c>
      <c r="AO62" s="97">
        <f>SUMPRODUCT(($K$42:$AK$42&gt;$J62)*(K62:AK62))</f>
        <v/>
      </c>
      <c r="AP62" s="96">
        <f>IF($I62&gt;$AK$42,"OUT_OF_HORIZON",IF($J62&gt;$AK$42,"PARTIAL_HORIZON","WITHIN_HORIZON"))</f>
        <v/>
      </c>
    </row>
    <row r="63" ht="16.5" customHeight="1" s="182">
      <c r="A63" s="132" t="inlineStr">
        <is>
          <t>F</t>
        </is>
      </c>
      <c r="B63" s="133" t="inlineStr">
        <is>
          <t>2025 Fantasy Spaceship Model DIY kits</t>
        </is>
      </c>
      <c r="C63" s="133" t="inlineStr">
        <is>
          <t>US</t>
        </is>
      </c>
      <c r="D63" s="133" t="inlineStr">
        <is>
          <t>Arts &amp; Crafts Toy</t>
        </is>
      </c>
      <c r="E63" s="133" t="inlineStr">
        <is>
          <t>789EF</t>
        </is>
      </c>
      <c r="F63" s="134" t="n">
        <v>3000</v>
      </c>
      <c r="G63" s="135" t="n">
        <v>46171</v>
      </c>
      <c r="H63" s="134" t="n">
        <v>4500</v>
      </c>
      <c r="I63" s="135">
        <f>G63-$B$8</f>
        <v/>
      </c>
      <c r="J63" s="135">
        <f>G63-$B$7</f>
        <v/>
      </c>
      <c r="K63" s="136" t="n">
        <v>0</v>
      </c>
      <c r="L63" s="136" t="n">
        <v>0</v>
      </c>
      <c r="M63" s="136" t="n">
        <v>0</v>
      </c>
      <c r="N63" s="136" t="n">
        <v>0</v>
      </c>
      <c r="O63" s="136" t="n">
        <v>0</v>
      </c>
      <c r="P63" s="136" t="n">
        <v>0</v>
      </c>
      <c r="Q63" s="136" t="n">
        <v>0</v>
      </c>
      <c r="R63" s="136" t="n">
        <v>0</v>
      </c>
      <c r="S63" s="136" t="n">
        <v>0</v>
      </c>
      <c r="T63" s="136" t="n">
        <v>0</v>
      </c>
      <c r="U63" s="136" t="n">
        <v>0</v>
      </c>
      <c r="V63" s="136" t="n">
        <v>0</v>
      </c>
      <c r="W63" s="136" t="n">
        <v>0</v>
      </c>
      <c r="X63" s="136" t="n">
        <v>0</v>
      </c>
      <c r="Y63" s="136" t="n">
        <v>0</v>
      </c>
      <c r="Z63" s="136" t="n">
        <v>0</v>
      </c>
      <c r="AA63" s="136" t="n">
        <v>0</v>
      </c>
      <c r="AB63" s="136" t="n">
        <v>0</v>
      </c>
      <c r="AC63" s="136" t="n">
        <v>0</v>
      </c>
      <c r="AD63" s="136" t="n">
        <v>0</v>
      </c>
      <c r="AE63" s="136" t="n">
        <v>0</v>
      </c>
      <c r="AF63" s="136" t="n">
        <v>0</v>
      </c>
      <c r="AG63" s="136" t="n">
        <v>0</v>
      </c>
      <c r="AH63" s="136" t="n">
        <v>0</v>
      </c>
      <c r="AI63" s="136" t="n">
        <v>0</v>
      </c>
      <c r="AJ63" s="136" t="n">
        <v>0</v>
      </c>
      <c r="AK63" s="136" t="n">
        <v>0</v>
      </c>
      <c r="AL63" s="137">
        <f>SUM(K63:AK63)</f>
        <v/>
      </c>
      <c r="AM63" s="138">
        <f>MAX(0,$H63-AL63)</f>
        <v/>
      </c>
      <c r="AN63" s="96">
        <f>IF($AP63="WITHIN_HORIZON",IF(AND($AM63&gt;0,$AO63&gt;0),"SHORTAGE + LATE",IF($AM63&gt;0,"SHORTAGE",IF($AO63&gt;0,"LATE","OK"))),IF(AND($AP63="PARTIAL_HORIZON",$AM63=0,$AO63=0),"OK","OUT_OF_HORIZON"))</f>
        <v/>
      </c>
      <c r="AO63" s="97">
        <f>SUMPRODUCT(($K$42:$AK$42&gt;$J63)*(K63:AK63))</f>
        <v/>
      </c>
      <c r="AP63" s="96">
        <f>IF($I63&gt;$AK$42,"OUT_OF_HORIZON",IF($J63&gt;$AK$42,"PARTIAL_HORIZON","WITHIN_HORIZON"))</f>
        <v/>
      </c>
    </row>
    <row r="64" ht="14.4" customHeight="1" s="182"/>
    <row r="66">
      <c r="U66" s="200" t="inlineStr">
        <is>
          <t>Scenario KPI Summary</t>
        </is>
      </c>
    </row>
    <row r="67">
      <c r="U67" t="inlineStr">
        <is>
          <t>Total shortage</t>
        </is>
      </c>
      <c r="V67">
        <f>SUM(AM43:AM63)</f>
        <v/>
      </c>
    </row>
    <row r="68">
      <c r="U68" t="inlineStr">
        <is>
          <t>Total late qty</t>
        </is>
      </c>
      <c r="V68">
        <f>SUM(AO43:AO63)</f>
        <v/>
      </c>
    </row>
    <row r="69">
      <c r="U69" t="inlineStr">
        <is>
          <t>Total air units</t>
        </is>
      </c>
      <c r="V69">
        <f>SUM(W6:W32)</f>
        <v/>
      </c>
    </row>
    <row r="70">
      <c r="U70" t="inlineStr">
        <is>
          <t>Total sea units</t>
        </is>
      </c>
      <c r="V70">
        <f>SUM(X6:X32)</f>
        <v/>
      </c>
    </row>
    <row r="71">
      <c r="U71" t="inlineStr">
        <is>
          <t>Estimated number of air shipments</t>
        </is>
      </c>
      <c r="V71">
        <f>ROUNDUP(V69/V77, 0)</f>
        <v/>
      </c>
    </row>
    <row r="72">
      <c r="U72" t="inlineStr">
        <is>
          <t>Estimated number of sea shipments</t>
        </is>
      </c>
      <c r="V72">
        <f>ROUNDUP(V70/V78, 0)</f>
        <v/>
      </c>
    </row>
    <row r="73">
      <c r="U73" t="inlineStr">
        <is>
          <t>Total logistics cost (USD)</t>
        </is>
      </c>
      <c r="V73">
        <f>(V69*2.0) + (V70*0.0)</f>
        <v/>
      </c>
    </row>
    <row r="76">
      <c r="U76" s="200" t="inlineStr">
        <is>
          <t>Shipment assumptions</t>
        </is>
      </c>
    </row>
    <row r="77">
      <c r="U77" t="inlineStr">
        <is>
          <t>Air shipment capacity per trip (PCBA units)</t>
        </is>
      </c>
      <c r="V77" t="n">
        <v>1700</v>
      </c>
    </row>
    <row r="78">
      <c r="U78" t="inlineStr">
        <is>
          <t>Sea shipment capacity per trip (PCBA units)</t>
        </is>
      </c>
      <c r="V78" t="n">
        <v>10000</v>
      </c>
    </row>
  </sheetData>
  <mergeCells count="40">
    <mergeCell ref="AM41:AM42"/>
    <mergeCell ref="Q14:S14"/>
    <mergeCell ref="B9:H9"/>
    <mergeCell ref="O41:T41"/>
    <mergeCell ref="U41:Z41"/>
    <mergeCell ref="B6:H6"/>
    <mergeCell ref="A41:A42"/>
    <mergeCell ref="H41:H42"/>
    <mergeCell ref="AG41:AK41"/>
    <mergeCell ref="I41:I42"/>
    <mergeCell ref="B5:H5"/>
    <mergeCell ref="AL41:AL42"/>
    <mergeCell ref="AA41:AF41"/>
    <mergeCell ref="AD1:AE1"/>
    <mergeCell ref="B4:H4"/>
    <mergeCell ref="AD10:AE10"/>
    <mergeCell ref="C41:C42"/>
    <mergeCell ref="D41:D42"/>
    <mergeCell ref="F41:F42"/>
    <mergeCell ref="B7:H7"/>
    <mergeCell ref="AN41:AN42"/>
    <mergeCell ref="B3:H3"/>
    <mergeCell ref="A14:J15"/>
    <mergeCell ref="U1:Z1"/>
    <mergeCell ref="B12:H12"/>
    <mergeCell ref="J41:J42"/>
    <mergeCell ref="E41:E42"/>
    <mergeCell ref="B11:H11"/>
    <mergeCell ref="G41:G42"/>
    <mergeCell ref="A1:H2"/>
    <mergeCell ref="AO41:AO42"/>
    <mergeCell ref="K41:N41"/>
    <mergeCell ref="B8:H8"/>
    <mergeCell ref="AP41:AP42"/>
    <mergeCell ref="J1:O1"/>
    <mergeCell ref="A10:H10"/>
    <mergeCell ref="A39:J40"/>
    <mergeCell ref="V4:X4"/>
    <mergeCell ref="B41:B42"/>
    <mergeCell ref="R1:S1"/>
  </mergeCells>
  <conditionalFormatting sqref="AN43:AN63">
    <cfRule type="expression" priority="1" dxfId="2">
      <formula>AN43="OK"</formula>
    </cfRule>
    <cfRule type="expression" priority="2" dxfId="6">
      <formula>AN43="LATE"</formula>
    </cfRule>
    <cfRule type="expression" priority="3" dxfId="4">
      <formula>AN43="SHORTAGE"</formula>
    </cfRule>
    <cfRule type="expression" priority="4" dxfId="4">
      <formula>AN43="SHORTAGE + LATE"</formula>
    </cfRule>
    <cfRule type="expression" priority="5" dxfId="0">
      <formula>AN43="OUT_OF_HORIZON"</formula>
    </cfRule>
  </conditionalFormatting>
  <conditionalFormatting sqref="AP43:AP63">
    <cfRule type="expression" priority="6" dxfId="2">
      <formula>AP43="WITHIN_HORIZON"</formula>
    </cfRule>
    <cfRule type="expression" priority="7" dxfId="1">
      <formula>AP43="PARTIAL_HORIZON"</formula>
    </cfRule>
    <cfRule type="expression" priority="8" dxfId="0">
      <formula>AP43="OUT_OF_HORIZON"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Tran Huu Thong (VN.OP-PMC)</dc:creator>
  <dcterms:created xsi:type="dcterms:W3CDTF">2026-04-02T02:37:40Z</dcterms:created>
  <dcterms:modified xsi:type="dcterms:W3CDTF">2026-04-14T18:42:31Z</dcterms:modified>
  <cp:lastModifiedBy>Đức Trí Phạm</cp:lastModifiedBy>
</cp:coreProperties>
</file>