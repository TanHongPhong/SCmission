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duction planning\"/>
    </mc:Choice>
  </mc:AlternateContent>
  <xr:revisionPtr revIDLastSave="0" documentId="13_ncr:1_{0F325E1E-0E5B-4697-98FC-0C6636E0221A}" xr6:coauthVersionLast="47" xr6:coauthVersionMax="47" xr10:uidLastSave="{00000000-0000-0000-0000-000000000000}"/>
  <bookViews>
    <workbookView xWindow="-108" yWindow="-108" windowWidth="23256" windowHeight="12456" firstSheet="6" activeTab="9" xr2:uid="{00000000-000D-0000-FFFF-FFFF00000000}"/>
  </bookViews>
  <sheets>
    <sheet name="Overall Case Study" sheetId="1" state="hidden" r:id="rId1"/>
    <sheet name="Sheet1" sheetId="2" state="hidden" r:id="rId2"/>
    <sheet name="Demand" sheetId="3" r:id="rId3"/>
    <sheet name="weekly_demand" sheetId="4" r:id="rId4"/>
    <sheet name="MPS" sheetId="5" r:id="rId5"/>
    <sheet name="BOM_demand" sheetId="6" r:id="rId6"/>
    <sheet name="MRP" sheetId="7" r:id="rId7"/>
    <sheet name="BOM &amp; Inventory" sheetId="8" r:id="rId8"/>
    <sheet name="FGs &amp; Log information " sheetId="9" r:id="rId9"/>
    <sheet name="Production Plan" sheetId="12" r:id="rId10"/>
    <sheet name="Demand for Production Plan" sheetId="10" state="hidden" r:id="rId11"/>
  </sheets>
  <externalReferences>
    <externalReference r:id="rId12"/>
    <externalReference r:id="rId13"/>
    <externalReference r:id="rId14"/>
  </externalReferences>
  <definedNames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2" l="1"/>
  <c r="M17" i="12"/>
  <c r="M15" i="12"/>
  <c r="H18" i="12" l="1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17" i="12"/>
  <c r="AO63" i="12"/>
  <c r="AL63" i="12"/>
  <c r="AM63" i="12" s="1"/>
  <c r="J63" i="12"/>
  <c r="I63" i="12"/>
  <c r="AP63" i="12" s="1"/>
  <c r="AP62" i="12"/>
  <c r="AO62" i="12"/>
  <c r="AL62" i="12"/>
  <c r="AM62" i="12" s="1"/>
  <c r="AN62" i="12" s="1"/>
  <c r="J62" i="12"/>
  <c r="I62" i="12"/>
  <c r="AL61" i="12"/>
  <c r="AM61" i="12" s="1"/>
  <c r="J61" i="12"/>
  <c r="AO61" i="12" s="1"/>
  <c r="I61" i="12"/>
  <c r="AP61" i="12" s="1"/>
  <c r="AN61" i="12" s="1"/>
  <c r="AP60" i="12"/>
  <c r="AO60" i="12"/>
  <c r="AL60" i="12"/>
  <c r="AM60" i="12" s="1"/>
  <c r="AN60" i="12" s="1"/>
  <c r="J60" i="12"/>
  <c r="I60" i="12"/>
  <c r="AL59" i="12"/>
  <c r="AM59" i="12" s="1"/>
  <c r="J59" i="12"/>
  <c r="AO59" i="12" s="1"/>
  <c r="I59" i="12"/>
  <c r="AP59" i="12" s="1"/>
  <c r="AP58" i="12"/>
  <c r="AL58" i="12"/>
  <c r="AM58" i="12" s="1"/>
  <c r="J58" i="12"/>
  <c r="AO58" i="12" s="1"/>
  <c r="I58" i="12"/>
  <c r="AL57" i="12"/>
  <c r="AM57" i="12" s="1"/>
  <c r="J57" i="12"/>
  <c r="AP57" i="12" s="1"/>
  <c r="I57" i="12"/>
  <c r="AL56" i="12"/>
  <c r="AM56" i="12" s="1"/>
  <c r="J56" i="12"/>
  <c r="AO56" i="12" s="1"/>
  <c r="I56" i="12"/>
  <c r="AP56" i="12" s="1"/>
  <c r="AN56" i="12" s="1"/>
  <c r="AP55" i="12"/>
  <c r="AO55" i="12"/>
  <c r="AL55" i="12"/>
  <c r="AM55" i="12" s="1"/>
  <c r="AN55" i="12" s="1"/>
  <c r="J55" i="12"/>
  <c r="I55" i="12"/>
  <c r="AL54" i="12"/>
  <c r="AM54" i="12" s="1"/>
  <c r="J54" i="12"/>
  <c r="AO54" i="12" s="1"/>
  <c r="I54" i="12"/>
  <c r="AP54" i="12" s="1"/>
  <c r="AP53" i="12"/>
  <c r="AO53" i="12"/>
  <c r="AL53" i="12"/>
  <c r="AM53" i="12" s="1"/>
  <c r="J53" i="12"/>
  <c r="I53" i="12"/>
  <c r="AL52" i="12"/>
  <c r="AM52" i="12" s="1"/>
  <c r="J52" i="12"/>
  <c r="AO52" i="12" s="1"/>
  <c r="I52" i="12"/>
  <c r="AP52" i="12" s="1"/>
  <c r="AN52" i="12" s="1"/>
  <c r="AO51" i="12"/>
  <c r="AL51" i="12"/>
  <c r="AM51" i="12" s="1"/>
  <c r="J51" i="12"/>
  <c r="I51" i="12"/>
  <c r="AP51" i="12" s="1"/>
  <c r="AP50" i="12"/>
  <c r="AO50" i="12"/>
  <c r="AL50" i="12"/>
  <c r="AM50" i="12" s="1"/>
  <c r="AN50" i="12" s="1"/>
  <c r="J50" i="12"/>
  <c r="I50" i="12"/>
  <c r="AL49" i="12"/>
  <c r="AM49" i="12" s="1"/>
  <c r="J49" i="12"/>
  <c r="AO49" i="12" s="1"/>
  <c r="I49" i="12"/>
  <c r="AP49" i="12" s="1"/>
  <c r="AN49" i="12" s="1"/>
  <c r="AP48" i="12"/>
  <c r="AO48" i="12"/>
  <c r="AL48" i="12"/>
  <c r="AM48" i="12" s="1"/>
  <c r="AN48" i="12" s="1"/>
  <c r="J48" i="12"/>
  <c r="I48" i="12"/>
  <c r="AL47" i="12"/>
  <c r="AM47" i="12" s="1"/>
  <c r="J47" i="12"/>
  <c r="AO47" i="12" s="1"/>
  <c r="I47" i="12"/>
  <c r="AP47" i="12" s="1"/>
  <c r="AP46" i="12"/>
  <c r="AL46" i="12"/>
  <c r="AM46" i="12" s="1"/>
  <c r="J46" i="12"/>
  <c r="AO46" i="12" s="1"/>
  <c r="I46" i="12"/>
  <c r="AL45" i="12"/>
  <c r="AM45" i="12" s="1"/>
  <c r="J45" i="12"/>
  <c r="AP45" i="12" s="1"/>
  <c r="I45" i="12"/>
  <c r="AL44" i="12"/>
  <c r="AM44" i="12" s="1"/>
  <c r="J44" i="12"/>
  <c r="AO44" i="12" s="1"/>
  <c r="I44" i="12"/>
  <c r="AP44" i="12" s="1"/>
  <c r="AN44" i="12" s="1"/>
  <c r="AP43" i="12"/>
  <c r="AO43" i="12"/>
  <c r="AL43" i="12"/>
  <c r="AM43" i="12" s="1"/>
  <c r="AN43" i="12" s="1"/>
  <c r="J43" i="12"/>
  <c r="I43" i="12"/>
  <c r="J37" i="12"/>
  <c r="I37" i="12"/>
  <c r="J36" i="12"/>
  <c r="I36" i="12"/>
  <c r="J35" i="12"/>
  <c r="I35" i="12"/>
  <c r="J34" i="12"/>
  <c r="I34" i="12"/>
  <c r="J33" i="12"/>
  <c r="I33" i="12"/>
  <c r="J32" i="12"/>
  <c r="I32" i="12"/>
  <c r="J31" i="12"/>
  <c r="I31" i="12"/>
  <c r="J30" i="12"/>
  <c r="I30" i="12"/>
  <c r="J29" i="12"/>
  <c r="I29" i="12"/>
  <c r="J28" i="12"/>
  <c r="I28" i="12"/>
  <c r="J27" i="12"/>
  <c r="I27" i="12"/>
  <c r="J26" i="12"/>
  <c r="I26" i="12"/>
  <c r="J25" i="12"/>
  <c r="I25" i="12"/>
  <c r="J24" i="12"/>
  <c r="I24" i="12"/>
  <c r="J23" i="12"/>
  <c r="I23" i="12"/>
  <c r="J22" i="12"/>
  <c r="I22" i="12"/>
  <c r="J21" i="12"/>
  <c r="I21" i="12"/>
  <c r="J20" i="12"/>
  <c r="I20" i="12"/>
  <c r="J19" i="12"/>
  <c r="I19" i="12"/>
  <c r="J18" i="12"/>
  <c r="I18" i="12"/>
  <c r="J17" i="12"/>
  <c r="I17" i="12"/>
  <c r="B12" i="12"/>
  <c r="B11" i="12"/>
  <c r="L7" i="12"/>
  <c r="L3" i="12"/>
  <c r="K4" i="12" s="1"/>
  <c r="L4" i="12" s="1"/>
  <c r="K3" i="12"/>
  <c r="AN47" i="12" l="1"/>
  <c r="AN59" i="12"/>
  <c r="AN51" i="12"/>
  <c r="AN63" i="12"/>
  <c r="AN46" i="12"/>
  <c r="AN53" i="12"/>
  <c r="AN54" i="12"/>
  <c r="M4" i="12"/>
  <c r="O17" i="12" s="1"/>
  <c r="K5" i="12"/>
  <c r="L5" i="12" s="1"/>
  <c r="AN58" i="12"/>
  <c r="N17" i="12"/>
  <c r="AO45" i="12"/>
  <c r="AN45" i="12" s="1"/>
  <c r="AO57" i="12"/>
  <c r="AN57" i="12" s="1"/>
  <c r="M3" i="12"/>
  <c r="N16" i="12" s="1"/>
  <c r="O16" i="12"/>
  <c r="N15" i="12"/>
  <c r="K6" i="12" l="1"/>
  <c r="L6" i="12" s="1"/>
  <c r="M5" i="12"/>
  <c r="O15" i="12"/>
  <c r="P15" i="12" l="1"/>
  <c r="P16" i="12"/>
  <c r="P17" i="12"/>
  <c r="M6" i="12"/>
  <c r="K7" i="12"/>
  <c r="M7" i="12" s="1"/>
  <c r="R15" i="12" l="1"/>
  <c r="R17" i="12"/>
  <c r="R16" i="12"/>
  <c r="Q15" i="12"/>
  <c r="Q17" i="12"/>
  <c r="Q16" i="12"/>
  <c r="S17" i="12"/>
  <c r="S16" i="12"/>
  <c r="S15" i="12" l="1"/>
  <c r="AK163" i="7"/>
  <c r="AJ163" i="7"/>
  <c r="AI163" i="7"/>
  <c r="AH163" i="7"/>
  <c r="AG163" i="7"/>
  <c r="AF163" i="7"/>
  <c r="AE163" i="7"/>
  <c r="B160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AI157" i="7"/>
  <c r="AH157" i="7"/>
  <c r="V157" i="7"/>
  <c r="U157" i="7"/>
  <c r="R157" i="7"/>
  <c r="Q157" i="7"/>
  <c r="E157" i="7"/>
  <c r="D157" i="7"/>
  <c r="C157" i="7" a="1"/>
  <c r="AK157" i="7" s="1"/>
  <c r="C157" i="7"/>
  <c r="AB156" i="7"/>
  <c r="G156" i="7"/>
  <c r="F156" i="7"/>
  <c r="C156" i="7" a="1"/>
  <c r="AG156" i="7" s="1"/>
  <c r="B156" i="7"/>
  <c r="AK153" i="7"/>
  <c r="AJ153" i="7"/>
  <c r="AI153" i="7"/>
  <c r="AH153" i="7"/>
  <c r="AG153" i="7"/>
  <c r="AF153" i="7"/>
  <c r="AE153" i="7"/>
  <c r="AD153" i="7"/>
  <c r="AC153" i="7"/>
  <c r="B150" i="7"/>
  <c r="AK148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AK147" i="7"/>
  <c r="AJ147" i="7"/>
  <c r="P147" i="7"/>
  <c r="O147" i="7"/>
  <c r="L147" i="7"/>
  <c r="H147" i="7"/>
  <c r="D147" i="7"/>
  <c r="C147" i="7" a="1"/>
  <c r="AI147" i="7" s="1"/>
  <c r="C146" i="7" a="1"/>
  <c r="Y146" i="7" s="1"/>
  <c r="B146" i="7"/>
  <c r="AK143" i="7"/>
  <c r="AJ143" i="7"/>
  <c r="AI143" i="7"/>
  <c r="AH143" i="7"/>
  <c r="AG143" i="7"/>
  <c r="B140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AJ137" i="7"/>
  <c r="AB137" i="7"/>
  <c r="V137" i="7"/>
  <c r="Q137" i="7"/>
  <c r="P137" i="7"/>
  <c r="O137" i="7"/>
  <c r="M137" i="7"/>
  <c r="L137" i="7"/>
  <c r="C137" i="7" a="1"/>
  <c r="S137" i="7" s="1"/>
  <c r="AG136" i="7"/>
  <c r="AF136" i="7"/>
  <c r="Y136" i="7"/>
  <c r="X136" i="7"/>
  <c r="G136" i="7"/>
  <c r="D136" i="7"/>
  <c r="C136" i="7" a="1"/>
  <c r="AK136" i="7" s="1"/>
  <c r="B136" i="7"/>
  <c r="AK133" i="7"/>
  <c r="AJ133" i="7"/>
  <c r="AI133" i="7"/>
  <c r="AH133" i="7"/>
  <c r="AG133" i="7"/>
  <c r="AF133" i="7"/>
  <c r="AE133" i="7"/>
  <c r="AD133" i="7"/>
  <c r="B130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AJ127" i="7"/>
  <c r="AD127" i="7"/>
  <c r="V127" i="7"/>
  <c r="U127" i="7"/>
  <c r="R127" i="7"/>
  <c r="C127" i="7" a="1"/>
  <c r="X127" i="7" s="1"/>
  <c r="C126" i="7" a="1"/>
  <c r="C126" i="7" s="1"/>
  <c r="B126" i="7"/>
  <c r="AK123" i="7"/>
  <c r="AJ123" i="7"/>
  <c r="AI123" i="7"/>
  <c r="B120" i="7"/>
  <c r="AK118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AJ117" i="7"/>
  <c r="AI117" i="7"/>
  <c r="AH117" i="7"/>
  <c r="AG117" i="7"/>
  <c r="AF117" i="7"/>
  <c r="Z117" i="7"/>
  <c r="W117" i="7"/>
  <c r="V117" i="7"/>
  <c r="U117" i="7"/>
  <c r="T117" i="7"/>
  <c r="S117" i="7"/>
  <c r="M117" i="7"/>
  <c r="J117" i="7"/>
  <c r="I117" i="7"/>
  <c r="H117" i="7"/>
  <c r="G117" i="7"/>
  <c r="F117" i="7"/>
  <c r="C117" i="7" a="1"/>
  <c r="AA117" i="7" s="1"/>
  <c r="AH116" i="7"/>
  <c r="AG116" i="7"/>
  <c r="AF116" i="7"/>
  <c r="AE116" i="7"/>
  <c r="AD116" i="7"/>
  <c r="U116" i="7"/>
  <c r="T116" i="7"/>
  <c r="S116" i="7"/>
  <c r="R116" i="7"/>
  <c r="Q116" i="7"/>
  <c r="H116" i="7"/>
  <c r="G116" i="7"/>
  <c r="F116" i="7"/>
  <c r="E116" i="7"/>
  <c r="D116" i="7"/>
  <c r="C116" i="7" a="1"/>
  <c r="AA116" i="7" s="1"/>
  <c r="B116" i="7"/>
  <c r="AK113" i="7"/>
  <c r="AJ113" i="7"/>
  <c r="AI113" i="7"/>
  <c r="AH113" i="7"/>
  <c r="AG113" i="7"/>
  <c r="AF113" i="7"/>
  <c r="AE113" i="7"/>
  <c r="AD113" i="7"/>
  <c r="AC113" i="7"/>
  <c r="AB113" i="7"/>
  <c r="AA113" i="7"/>
  <c r="B110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S107" i="7"/>
  <c r="Q107" i="7"/>
  <c r="P107" i="7"/>
  <c r="O107" i="7"/>
  <c r="D107" i="7"/>
  <c r="C107" i="7" a="1"/>
  <c r="C107" i="7" s="1"/>
  <c r="V106" i="7"/>
  <c r="C106" i="7" a="1"/>
  <c r="AI106" i="7" s="1"/>
  <c r="B106" i="7"/>
  <c r="AK103" i="7"/>
  <c r="AJ103" i="7"/>
  <c r="AI103" i="7"/>
  <c r="AH103" i="7"/>
  <c r="B100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D97" i="7"/>
  <c r="C97" i="7" a="1"/>
  <c r="C97" i="7" s="1"/>
  <c r="C96" i="7" a="1"/>
  <c r="AH96" i="7" s="1"/>
  <c r="B96" i="7"/>
  <c r="AK93" i="7"/>
  <c r="AJ93" i="7"/>
  <c r="AI93" i="7"/>
  <c r="AH93" i="7"/>
  <c r="AG93" i="7"/>
  <c r="AF93" i="7"/>
  <c r="AE93" i="7"/>
  <c r="AD93" i="7"/>
  <c r="AC93" i="7"/>
  <c r="B90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Z87" i="7"/>
  <c r="U87" i="7"/>
  <c r="H87" i="7"/>
  <c r="E87" i="7"/>
  <c r="C87" i="7" a="1"/>
  <c r="AH87" i="7" s="1"/>
  <c r="C86" i="7" a="1"/>
  <c r="C86" i="7" s="1"/>
  <c r="B86" i="7"/>
  <c r="AK83" i="7"/>
  <c r="AJ83" i="7"/>
  <c r="AI83" i="7"/>
  <c r="AH83" i="7"/>
  <c r="AG83" i="7"/>
  <c r="AF83" i="7"/>
  <c r="B80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AK77" i="7"/>
  <c r="AJ77" i="7"/>
  <c r="AI77" i="7"/>
  <c r="AB77" i="7"/>
  <c r="Z77" i="7"/>
  <c r="Y77" i="7"/>
  <c r="X77" i="7"/>
  <c r="W77" i="7"/>
  <c r="V77" i="7"/>
  <c r="N77" i="7"/>
  <c r="M77" i="7"/>
  <c r="L77" i="7"/>
  <c r="K77" i="7"/>
  <c r="J77" i="7"/>
  <c r="I77" i="7"/>
  <c r="C77" i="7" a="1"/>
  <c r="AA77" i="7" s="1"/>
  <c r="C77" i="7"/>
  <c r="AK76" i="7"/>
  <c r="AJ76" i="7"/>
  <c r="AI76" i="7"/>
  <c r="AH76" i="7"/>
  <c r="AG76" i="7"/>
  <c r="Y76" i="7"/>
  <c r="X76" i="7"/>
  <c r="W76" i="7"/>
  <c r="V76" i="7"/>
  <c r="U76" i="7"/>
  <c r="T76" i="7"/>
  <c r="L76" i="7"/>
  <c r="K76" i="7"/>
  <c r="J76" i="7"/>
  <c r="I76" i="7"/>
  <c r="H76" i="7"/>
  <c r="G76" i="7"/>
  <c r="C76" i="7" a="1"/>
  <c r="AA76" i="7" s="1"/>
  <c r="B76" i="7"/>
  <c r="AK73" i="7"/>
  <c r="AJ73" i="7"/>
  <c r="AI73" i="7"/>
  <c r="AH73" i="7"/>
  <c r="AG73" i="7"/>
  <c r="B70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K67" i="7"/>
  <c r="AJ67" i="7"/>
  <c r="AI67" i="7"/>
  <c r="AG67" i="7"/>
  <c r="AF67" i="7"/>
  <c r="AE67" i="7"/>
  <c r="T67" i="7"/>
  <c r="K67" i="7"/>
  <c r="I67" i="7"/>
  <c r="H67" i="7"/>
  <c r="G67" i="7"/>
  <c r="F67" i="7"/>
  <c r="E67" i="7"/>
  <c r="C67" i="7" a="1"/>
  <c r="AB67" i="7" s="1"/>
  <c r="C66" i="7" a="1"/>
  <c r="AC66" i="7" s="1"/>
  <c r="B66" i="7"/>
  <c r="AK63" i="7"/>
  <c r="AJ63" i="7"/>
  <c r="AI63" i="7"/>
  <c r="AH63" i="7"/>
  <c r="AG63" i="7"/>
  <c r="AF63" i="7"/>
  <c r="AE63" i="7"/>
  <c r="AD63" i="7"/>
  <c r="AC63" i="7"/>
  <c r="AB63" i="7"/>
  <c r="B60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V57" i="7"/>
  <c r="G57" i="7"/>
  <c r="C57" i="7" a="1"/>
  <c r="AA57" i="7" s="1"/>
  <c r="AC56" i="7"/>
  <c r="AB56" i="7"/>
  <c r="Z56" i="7"/>
  <c r="W56" i="7"/>
  <c r="V56" i="7"/>
  <c r="U56" i="7"/>
  <c r="K56" i="7"/>
  <c r="J56" i="7"/>
  <c r="I56" i="7"/>
  <c r="H56" i="7"/>
  <c r="G56" i="7"/>
  <c r="F56" i="7"/>
  <c r="C56" i="7" a="1"/>
  <c r="AA56" i="7" s="1"/>
  <c r="B56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B50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C47" i="7" a="1"/>
  <c r="AA47" i="7" s="1"/>
  <c r="G46" i="7"/>
  <c r="C46" i="7" a="1"/>
  <c r="T46" i="7" s="1"/>
  <c r="B46" i="7"/>
  <c r="AK43" i="7"/>
  <c r="AJ43" i="7"/>
  <c r="AI43" i="7"/>
  <c r="B40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K37" i="7"/>
  <c r="AB37" i="7"/>
  <c r="Z37" i="7"/>
  <c r="Y37" i="7"/>
  <c r="Q37" i="7"/>
  <c r="P37" i="7"/>
  <c r="O37" i="7"/>
  <c r="N37" i="7"/>
  <c r="E37" i="7"/>
  <c r="C37" i="7" a="1"/>
  <c r="X37" i="7" s="1"/>
  <c r="C37" i="7"/>
  <c r="D36" i="7"/>
  <c r="C36" i="7" a="1"/>
  <c r="C36" i="7" s="1"/>
  <c r="B36" i="7"/>
  <c r="AK33" i="7"/>
  <c r="AJ33" i="7"/>
  <c r="B30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E27" i="7"/>
  <c r="AD27" i="7"/>
  <c r="AB27" i="7"/>
  <c r="Z27" i="7"/>
  <c r="R27" i="7"/>
  <c r="Q27" i="7"/>
  <c r="N27" i="7"/>
  <c r="M27" i="7"/>
  <c r="E27" i="7"/>
  <c r="D27" i="7"/>
  <c r="C27" i="7" a="1"/>
  <c r="AA27" i="7" s="1"/>
  <c r="C27" i="7"/>
  <c r="C26" i="7" a="1"/>
  <c r="AA26" i="7" s="1"/>
  <c r="B26" i="7"/>
  <c r="AK23" i="7"/>
  <c r="B20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I17" i="7"/>
  <c r="AH17" i="7"/>
  <c r="Z17" i="7"/>
  <c r="W17" i="7"/>
  <c r="V17" i="7"/>
  <c r="U17" i="7"/>
  <c r="T17" i="7"/>
  <c r="S17" i="7"/>
  <c r="I17" i="7"/>
  <c r="H17" i="7"/>
  <c r="G17" i="7"/>
  <c r="F17" i="7"/>
  <c r="E17" i="7"/>
  <c r="D17" i="7"/>
  <c r="C17" i="7" a="1"/>
  <c r="AA17" i="7" s="1"/>
  <c r="AE16" i="7"/>
  <c r="AD16" i="7"/>
  <c r="AC16" i="7"/>
  <c r="AB16" i="7"/>
  <c r="Z16" i="7"/>
  <c r="W16" i="7"/>
  <c r="V16" i="7"/>
  <c r="S16" i="7"/>
  <c r="P16" i="7"/>
  <c r="N16" i="7"/>
  <c r="K16" i="7"/>
  <c r="J16" i="7"/>
  <c r="I16" i="7"/>
  <c r="H16" i="7"/>
  <c r="G16" i="7"/>
  <c r="D16" i="7"/>
  <c r="C16" i="7" a="1"/>
  <c r="AA16" i="7" s="1"/>
  <c r="B16" i="7"/>
  <c r="V8" i="7"/>
  <c r="B159" i="7" s="1"/>
  <c r="U8" i="7"/>
  <c r="B149" i="7" s="1"/>
  <c r="U149" i="7" s="1"/>
  <c r="T8" i="7"/>
  <c r="B139" i="7" s="1"/>
  <c r="U139" i="7" s="1"/>
  <c r="S8" i="7"/>
  <c r="B129" i="7" s="1"/>
  <c r="R8" i="7"/>
  <c r="B119" i="7" s="1"/>
  <c r="AB119" i="7" s="1"/>
  <c r="Q8" i="7"/>
  <c r="B109" i="7" s="1"/>
  <c r="P8" i="7"/>
  <c r="B99" i="7" s="1"/>
  <c r="AJ99" i="7" s="1"/>
  <c r="O8" i="7"/>
  <c r="B89" i="7" s="1"/>
  <c r="F89" i="7" s="1"/>
  <c r="N8" i="7"/>
  <c r="B79" i="7" s="1"/>
  <c r="M8" i="7"/>
  <c r="B69" i="7" s="1"/>
  <c r="L8" i="7"/>
  <c r="B59" i="7" s="1"/>
  <c r="K8" i="7"/>
  <c r="B49" i="7" s="1"/>
  <c r="J8" i="7"/>
  <c r="B39" i="7" s="1"/>
  <c r="I8" i="7"/>
  <c r="B29" i="7" s="1"/>
  <c r="AJ29" i="7" s="1"/>
  <c r="H8" i="7"/>
  <c r="B19" i="7" s="1"/>
  <c r="X19" i="7" s="1"/>
  <c r="V200" i="6"/>
  <c r="U200" i="6"/>
  <c r="T200" i="6"/>
  <c r="S200" i="6"/>
  <c r="R200" i="6"/>
  <c r="Q200" i="6"/>
  <c r="P200" i="6"/>
  <c r="O200" i="6"/>
  <c r="N200" i="6"/>
  <c r="M200" i="6"/>
  <c r="L200" i="6"/>
  <c r="K200" i="6"/>
  <c r="J200" i="6"/>
  <c r="I200" i="6"/>
  <c r="H200" i="6"/>
  <c r="G200" i="6"/>
  <c r="F200" i="6"/>
  <c r="E200" i="6"/>
  <c r="D200" i="6"/>
  <c r="C200" i="6"/>
  <c r="B200" i="6"/>
  <c r="V199" i="6"/>
  <c r="U199" i="6"/>
  <c r="T199" i="6"/>
  <c r="S199" i="6"/>
  <c r="R199" i="6"/>
  <c r="Q199" i="6"/>
  <c r="P199" i="6"/>
  <c r="O199" i="6"/>
  <c r="N199" i="6"/>
  <c r="M199" i="6"/>
  <c r="L199" i="6"/>
  <c r="K199" i="6"/>
  <c r="J199" i="6"/>
  <c r="I199" i="6"/>
  <c r="H199" i="6"/>
  <c r="G199" i="6"/>
  <c r="F199" i="6"/>
  <c r="E199" i="6"/>
  <c r="D199" i="6"/>
  <c r="C199" i="6"/>
  <c r="B199" i="6"/>
  <c r="V198" i="6"/>
  <c r="U198" i="6"/>
  <c r="T198" i="6"/>
  <c r="S198" i="6"/>
  <c r="R198" i="6"/>
  <c r="Q198" i="6"/>
  <c r="P198" i="6"/>
  <c r="O198" i="6"/>
  <c r="N198" i="6"/>
  <c r="M198" i="6"/>
  <c r="L198" i="6"/>
  <c r="K198" i="6"/>
  <c r="J198" i="6"/>
  <c r="I198" i="6"/>
  <c r="H198" i="6"/>
  <c r="G198" i="6"/>
  <c r="F198" i="6"/>
  <c r="E198" i="6"/>
  <c r="D198" i="6"/>
  <c r="C198" i="6"/>
  <c r="B198" i="6"/>
  <c r="V197" i="6"/>
  <c r="U197" i="6"/>
  <c r="T197" i="6"/>
  <c r="S197" i="6"/>
  <c r="R197" i="6"/>
  <c r="Q197" i="6"/>
  <c r="P197" i="6"/>
  <c r="O197" i="6"/>
  <c r="N197" i="6"/>
  <c r="M197" i="6"/>
  <c r="L197" i="6"/>
  <c r="K197" i="6"/>
  <c r="J197" i="6"/>
  <c r="I197" i="6"/>
  <c r="H197" i="6"/>
  <c r="G197" i="6"/>
  <c r="F197" i="6"/>
  <c r="E197" i="6"/>
  <c r="D197" i="6"/>
  <c r="C197" i="6"/>
  <c r="B197" i="6"/>
  <c r="V196" i="6"/>
  <c r="U196" i="6"/>
  <c r="T196" i="6"/>
  <c r="S196" i="6"/>
  <c r="R196" i="6"/>
  <c r="Q196" i="6"/>
  <c r="P196" i="6"/>
  <c r="O196" i="6"/>
  <c r="N196" i="6"/>
  <c r="M196" i="6"/>
  <c r="L196" i="6"/>
  <c r="K196" i="6"/>
  <c r="J196" i="6"/>
  <c r="I196" i="6"/>
  <c r="H196" i="6"/>
  <c r="G196" i="6"/>
  <c r="F196" i="6"/>
  <c r="E196" i="6"/>
  <c r="D196" i="6"/>
  <c r="C196" i="6"/>
  <c r="B196" i="6"/>
  <c r="V195" i="6"/>
  <c r="U195" i="6"/>
  <c r="T195" i="6"/>
  <c r="S195" i="6"/>
  <c r="R195" i="6"/>
  <c r="Q195" i="6"/>
  <c r="P195" i="6"/>
  <c r="O195" i="6"/>
  <c r="N195" i="6"/>
  <c r="M195" i="6"/>
  <c r="L195" i="6"/>
  <c r="K195" i="6"/>
  <c r="J195" i="6"/>
  <c r="I195" i="6"/>
  <c r="H195" i="6"/>
  <c r="G195" i="6"/>
  <c r="F195" i="6"/>
  <c r="E195" i="6"/>
  <c r="D195" i="6"/>
  <c r="C195" i="6"/>
  <c r="B195" i="6"/>
  <c r="V194" i="6"/>
  <c r="U194" i="6"/>
  <c r="T194" i="6"/>
  <c r="S194" i="6"/>
  <c r="R194" i="6"/>
  <c r="Q194" i="6"/>
  <c r="P194" i="6"/>
  <c r="O194" i="6"/>
  <c r="N194" i="6"/>
  <c r="M194" i="6"/>
  <c r="L194" i="6"/>
  <c r="K194" i="6"/>
  <c r="J194" i="6"/>
  <c r="I194" i="6"/>
  <c r="H194" i="6"/>
  <c r="G194" i="6"/>
  <c r="F194" i="6"/>
  <c r="E194" i="6"/>
  <c r="D194" i="6"/>
  <c r="C194" i="6"/>
  <c r="B194" i="6"/>
  <c r="V193" i="6"/>
  <c r="U193" i="6"/>
  <c r="T193" i="6"/>
  <c r="S193" i="6"/>
  <c r="R193" i="6"/>
  <c r="Q193" i="6"/>
  <c r="P193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C193" i="6"/>
  <c r="B193" i="6"/>
  <c r="V192" i="6"/>
  <c r="U192" i="6"/>
  <c r="T192" i="6"/>
  <c r="S192" i="6"/>
  <c r="R192" i="6"/>
  <c r="Q192" i="6"/>
  <c r="P192" i="6"/>
  <c r="O192" i="6"/>
  <c r="N192" i="6"/>
  <c r="M192" i="6"/>
  <c r="L192" i="6"/>
  <c r="K192" i="6"/>
  <c r="J192" i="6"/>
  <c r="I192" i="6"/>
  <c r="H192" i="6"/>
  <c r="G192" i="6"/>
  <c r="F192" i="6"/>
  <c r="E192" i="6"/>
  <c r="D192" i="6"/>
  <c r="C192" i="6"/>
  <c r="B192" i="6"/>
  <c r="V191" i="6"/>
  <c r="U191" i="6"/>
  <c r="T191" i="6"/>
  <c r="S191" i="6"/>
  <c r="R191" i="6"/>
  <c r="Q191" i="6"/>
  <c r="P191" i="6"/>
  <c r="O191" i="6"/>
  <c r="N191" i="6"/>
  <c r="M191" i="6"/>
  <c r="L191" i="6"/>
  <c r="K191" i="6"/>
  <c r="J191" i="6"/>
  <c r="I191" i="6"/>
  <c r="H191" i="6"/>
  <c r="G191" i="6"/>
  <c r="F191" i="6"/>
  <c r="E191" i="6"/>
  <c r="D191" i="6"/>
  <c r="C191" i="6"/>
  <c r="B191" i="6"/>
  <c r="V190" i="6"/>
  <c r="U190" i="6"/>
  <c r="T190" i="6"/>
  <c r="S190" i="6"/>
  <c r="R190" i="6"/>
  <c r="Q190" i="6"/>
  <c r="P190" i="6"/>
  <c r="O190" i="6"/>
  <c r="N190" i="6"/>
  <c r="M190" i="6"/>
  <c r="L190" i="6"/>
  <c r="K190" i="6"/>
  <c r="J190" i="6"/>
  <c r="I190" i="6"/>
  <c r="H190" i="6"/>
  <c r="G190" i="6"/>
  <c r="F190" i="6"/>
  <c r="E190" i="6"/>
  <c r="D190" i="6"/>
  <c r="C190" i="6"/>
  <c r="B190" i="6"/>
  <c r="V189" i="6"/>
  <c r="U189" i="6"/>
  <c r="T189" i="6"/>
  <c r="S189" i="6"/>
  <c r="R189" i="6"/>
  <c r="Q189" i="6"/>
  <c r="P189" i="6"/>
  <c r="O189" i="6"/>
  <c r="N189" i="6"/>
  <c r="M189" i="6"/>
  <c r="L189" i="6"/>
  <c r="K189" i="6"/>
  <c r="J189" i="6"/>
  <c r="I189" i="6"/>
  <c r="H189" i="6"/>
  <c r="G189" i="6"/>
  <c r="F189" i="6"/>
  <c r="E189" i="6"/>
  <c r="D189" i="6"/>
  <c r="C189" i="6"/>
  <c r="B189" i="6"/>
  <c r="V188" i="6"/>
  <c r="U188" i="6"/>
  <c r="T188" i="6"/>
  <c r="S188" i="6"/>
  <c r="R188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D188" i="6"/>
  <c r="C188" i="6"/>
  <c r="B188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D187" i="6"/>
  <c r="C187" i="6"/>
  <c r="B187" i="6"/>
  <c r="V186" i="6"/>
  <c r="U186" i="6"/>
  <c r="T186" i="6"/>
  <c r="S186" i="6"/>
  <c r="R186" i="6"/>
  <c r="Q186" i="6"/>
  <c r="P186" i="6"/>
  <c r="O186" i="6"/>
  <c r="N186" i="6"/>
  <c r="M186" i="6"/>
  <c r="L186" i="6"/>
  <c r="K186" i="6"/>
  <c r="J186" i="6"/>
  <c r="I186" i="6"/>
  <c r="H186" i="6"/>
  <c r="G186" i="6"/>
  <c r="F186" i="6"/>
  <c r="E186" i="6"/>
  <c r="D186" i="6"/>
  <c r="C186" i="6"/>
  <c r="B186" i="6"/>
  <c r="V185" i="6"/>
  <c r="U185" i="6"/>
  <c r="T185" i="6"/>
  <c r="S185" i="6"/>
  <c r="R185" i="6"/>
  <c r="Q185" i="6"/>
  <c r="P185" i="6"/>
  <c r="O185" i="6"/>
  <c r="N185" i="6"/>
  <c r="M185" i="6"/>
  <c r="L185" i="6"/>
  <c r="K185" i="6"/>
  <c r="J185" i="6"/>
  <c r="I185" i="6"/>
  <c r="H185" i="6"/>
  <c r="G185" i="6"/>
  <c r="F185" i="6"/>
  <c r="E185" i="6"/>
  <c r="D185" i="6"/>
  <c r="C185" i="6"/>
  <c r="B185" i="6"/>
  <c r="V184" i="6"/>
  <c r="U184" i="6"/>
  <c r="T184" i="6"/>
  <c r="S184" i="6"/>
  <c r="R184" i="6"/>
  <c r="Q184" i="6"/>
  <c r="P184" i="6"/>
  <c r="O184" i="6"/>
  <c r="N184" i="6"/>
  <c r="M184" i="6"/>
  <c r="L184" i="6"/>
  <c r="K184" i="6"/>
  <c r="J184" i="6"/>
  <c r="I184" i="6"/>
  <c r="H184" i="6"/>
  <c r="G184" i="6"/>
  <c r="F184" i="6"/>
  <c r="E184" i="6"/>
  <c r="D184" i="6"/>
  <c r="C184" i="6"/>
  <c r="B184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J183" i="6"/>
  <c r="I183" i="6"/>
  <c r="H183" i="6"/>
  <c r="G183" i="6"/>
  <c r="F183" i="6"/>
  <c r="E183" i="6"/>
  <c r="D183" i="6"/>
  <c r="C183" i="6"/>
  <c r="B183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C182" i="6"/>
  <c r="B182" i="6"/>
  <c r="V181" i="6"/>
  <c r="U181" i="6"/>
  <c r="T181" i="6"/>
  <c r="S181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F181" i="6"/>
  <c r="E181" i="6"/>
  <c r="D181" i="6"/>
  <c r="C181" i="6"/>
  <c r="B181" i="6"/>
  <c r="V180" i="6"/>
  <c r="U180" i="6"/>
  <c r="T180" i="6"/>
  <c r="S180" i="6"/>
  <c r="R180" i="6"/>
  <c r="Q180" i="6"/>
  <c r="P180" i="6"/>
  <c r="O180" i="6"/>
  <c r="N180" i="6"/>
  <c r="M180" i="6"/>
  <c r="L180" i="6"/>
  <c r="K180" i="6"/>
  <c r="J180" i="6"/>
  <c r="I180" i="6"/>
  <c r="H180" i="6"/>
  <c r="G180" i="6"/>
  <c r="F180" i="6"/>
  <c r="E180" i="6"/>
  <c r="D180" i="6"/>
  <c r="C180" i="6"/>
  <c r="B180" i="6"/>
  <c r="V179" i="6"/>
  <c r="U179" i="6"/>
  <c r="T179" i="6"/>
  <c r="S179" i="6"/>
  <c r="R179" i="6"/>
  <c r="Q179" i="6"/>
  <c r="P179" i="6"/>
  <c r="O179" i="6"/>
  <c r="N179" i="6"/>
  <c r="M179" i="6"/>
  <c r="L179" i="6"/>
  <c r="K179" i="6"/>
  <c r="J179" i="6"/>
  <c r="I179" i="6"/>
  <c r="H179" i="6"/>
  <c r="G179" i="6"/>
  <c r="F179" i="6"/>
  <c r="E179" i="6"/>
  <c r="D179" i="6"/>
  <c r="C179" i="6"/>
  <c r="B179" i="6"/>
  <c r="V178" i="6"/>
  <c r="U178" i="6"/>
  <c r="T178" i="6"/>
  <c r="S178" i="6"/>
  <c r="R178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E178" i="6"/>
  <c r="D178" i="6"/>
  <c r="C178" i="6"/>
  <c r="B178" i="6"/>
  <c r="V177" i="6"/>
  <c r="U177" i="6"/>
  <c r="T177" i="6"/>
  <c r="S177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E177" i="6"/>
  <c r="D177" i="6"/>
  <c r="C177" i="6"/>
  <c r="B177" i="6"/>
  <c r="V176" i="6"/>
  <c r="U176" i="6"/>
  <c r="T176" i="6"/>
  <c r="S176" i="6"/>
  <c r="R176" i="6"/>
  <c r="Q176" i="6"/>
  <c r="P176" i="6"/>
  <c r="O176" i="6"/>
  <c r="N176" i="6"/>
  <c r="M176" i="6"/>
  <c r="L176" i="6"/>
  <c r="K176" i="6"/>
  <c r="J176" i="6"/>
  <c r="I176" i="6"/>
  <c r="H176" i="6"/>
  <c r="G176" i="6"/>
  <c r="F176" i="6"/>
  <c r="E176" i="6"/>
  <c r="D176" i="6"/>
  <c r="C176" i="6"/>
  <c r="B176" i="6"/>
  <c r="V175" i="6"/>
  <c r="U175" i="6"/>
  <c r="T175" i="6"/>
  <c r="S175" i="6"/>
  <c r="R175" i="6"/>
  <c r="Q175" i="6"/>
  <c r="P175" i="6"/>
  <c r="O175" i="6"/>
  <c r="N175" i="6"/>
  <c r="M175" i="6"/>
  <c r="L175" i="6"/>
  <c r="K175" i="6"/>
  <c r="J175" i="6"/>
  <c r="I175" i="6"/>
  <c r="H175" i="6"/>
  <c r="G175" i="6"/>
  <c r="F175" i="6"/>
  <c r="E175" i="6"/>
  <c r="D175" i="6"/>
  <c r="C175" i="6"/>
  <c r="B175" i="6"/>
  <c r="V174" i="6"/>
  <c r="U174" i="6"/>
  <c r="T174" i="6"/>
  <c r="S174" i="6"/>
  <c r="R174" i="6"/>
  <c r="Q174" i="6"/>
  <c r="P174" i="6"/>
  <c r="O174" i="6"/>
  <c r="N174" i="6"/>
  <c r="M174" i="6"/>
  <c r="L174" i="6"/>
  <c r="K174" i="6"/>
  <c r="J174" i="6"/>
  <c r="I174" i="6"/>
  <c r="H174" i="6"/>
  <c r="G174" i="6"/>
  <c r="F174" i="6"/>
  <c r="E174" i="6"/>
  <c r="D174" i="6"/>
  <c r="C174" i="6"/>
  <c r="B174" i="6"/>
  <c r="V173" i="6"/>
  <c r="U173" i="6"/>
  <c r="T173" i="6"/>
  <c r="S173" i="6"/>
  <c r="R173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C173" i="6"/>
  <c r="B173" i="6"/>
  <c r="V172" i="6"/>
  <c r="U172" i="6"/>
  <c r="T172" i="6"/>
  <c r="S172" i="6"/>
  <c r="R172" i="6"/>
  <c r="Q172" i="6"/>
  <c r="P172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C172" i="6"/>
  <c r="B172" i="6"/>
  <c r="V171" i="6"/>
  <c r="U171" i="6"/>
  <c r="T171" i="6"/>
  <c r="S171" i="6"/>
  <c r="R171" i="6"/>
  <c r="Q171" i="6"/>
  <c r="P171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C171" i="6"/>
  <c r="B171" i="6"/>
  <c r="V170" i="6"/>
  <c r="U170" i="6"/>
  <c r="T170" i="6"/>
  <c r="S170" i="6"/>
  <c r="R170" i="6"/>
  <c r="Q170" i="6"/>
  <c r="P170" i="6"/>
  <c r="O170" i="6"/>
  <c r="N170" i="6"/>
  <c r="M170" i="6"/>
  <c r="L170" i="6"/>
  <c r="K170" i="6"/>
  <c r="J170" i="6"/>
  <c r="I170" i="6"/>
  <c r="H170" i="6"/>
  <c r="G170" i="6"/>
  <c r="F170" i="6"/>
  <c r="E170" i="6"/>
  <c r="D170" i="6"/>
  <c r="C170" i="6"/>
  <c r="B170" i="6"/>
  <c r="V169" i="6"/>
  <c r="U169" i="6"/>
  <c r="T169" i="6"/>
  <c r="S169" i="6"/>
  <c r="R169" i="6"/>
  <c r="Q169" i="6"/>
  <c r="P169" i="6"/>
  <c r="O169" i="6"/>
  <c r="N169" i="6"/>
  <c r="M169" i="6"/>
  <c r="L169" i="6"/>
  <c r="K169" i="6"/>
  <c r="J169" i="6"/>
  <c r="I169" i="6"/>
  <c r="H169" i="6"/>
  <c r="G169" i="6"/>
  <c r="F169" i="6"/>
  <c r="E169" i="6"/>
  <c r="D169" i="6"/>
  <c r="C169" i="6"/>
  <c r="B169" i="6"/>
  <c r="V168" i="6"/>
  <c r="U168" i="6"/>
  <c r="T168" i="6"/>
  <c r="S168" i="6"/>
  <c r="R168" i="6"/>
  <c r="Q168" i="6"/>
  <c r="P168" i="6"/>
  <c r="O168" i="6"/>
  <c r="N168" i="6"/>
  <c r="M168" i="6"/>
  <c r="L168" i="6"/>
  <c r="K168" i="6"/>
  <c r="J168" i="6"/>
  <c r="I168" i="6"/>
  <c r="H168" i="6"/>
  <c r="G168" i="6"/>
  <c r="F168" i="6"/>
  <c r="E168" i="6"/>
  <c r="D168" i="6"/>
  <c r="C168" i="6"/>
  <c r="B168" i="6"/>
  <c r="V167" i="6"/>
  <c r="U167" i="6"/>
  <c r="T167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F167" i="6"/>
  <c r="E167" i="6"/>
  <c r="D167" i="6"/>
  <c r="C167" i="6"/>
  <c r="B167" i="6"/>
  <c r="V166" i="6"/>
  <c r="U166" i="6"/>
  <c r="T166" i="6"/>
  <c r="S166" i="6"/>
  <c r="R166" i="6"/>
  <c r="Q166" i="6"/>
  <c r="P166" i="6"/>
  <c r="O166" i="6"/>
  <c r="N166" i="6"/>
  <c r="M166" i="6"/>
  <c r="L166" i="6"/>
  <c r="K166" i="6"/>
  <c r="J166" i="6"/>
  <c r="I166" i="6"/>
  <c r="H166" i="6"/>
  <c r="G166" i="6"/>
  <c r="F166" i="6"/>
  <c r="E166" i="6"/>
  <c r="D166" i="6"/>
  <c r="C166" i="6"/>
  <c r="B166" i="6"/>
  <c r="V165" i="6"/>
  <c r="U165" i="6"/>
  <c r="T165" i="6"/>
  <c r="S165" i="6"/>
  <c r="R165" i="6"/>
  <c r="Q165" i="6"/>
  <c r="P165" i="6"/>
  <c r="O165" i="6"/>
  <c r="N165" i="6"/>
  <c r="M165" i="6"/>
  <c r="L165" i="6"/>
  <c r="K165" i="6"/>
  <c r="J165" i="6"/>
  <c r="I165" i="6"/>
  <c r="H165" i="6"/>
  <c r="G165" i="6"/>
  <c r="F165" i="6"/>
  <c r="E165" i="6"/>
  <c r="D165" i="6"/>
  <c r="C165" i="6"/>
  <c r="B165" i="6"/>
  <c r="V164" i="6"/>
  <c r="U164" i="6"/>
  <c r="T164" i="6"/>
  <c r="S164" i="6"/>
  <c r="R164" i="6"/>
  <c r="Q164" i="6"/>
  <c r="P164" i="6"/>
  <c r="O164" i="6"/>
  <c r="N164" i="6"/>
  <c r="M164" i="6"/>
  <c r="L164" i="6"/>
  <c r="K164" i="6"/>
  <c r="J164" i="6"/>
  <c r="I164" i="6"/>
  <c r="H164" i="6"/>
  <c r="G164" i="6"/>
  <c r="F164" i="6"/>
  <c r="E164" i="6"/>
  <c r="D164" i="6"/>
  <c r="C164" i="6"/>
  <c r="B164" i="6"/>
  <c r="V163" i="6"/>
  <c r="U163" i="6"/>
  <c r="T163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F163" i="6"/>
  <c r="E163" i="6"/>
  <c r="D163" i="6"/>
  <c r="C163" i="6"/>
  <c r="B163" i="6"/>
  <c r="V162" i="6"/>
  <c r="U162" i="6"/>
  <c r="T162" i="6"/>
  <c r="S162" i="6"/>
  <c r="R162" i="6"/>
  <c r="Q162" i="6"/>
  <c r="P162" i="6"/>
  <c r="O162" i="6"/>
  <c r="N162" i="6"/>
  <c r="M162" i="6"/>
  <c r="L162" i="6"/>
  <c r="K162" i="6"/>
  <c r="J162" i="6"/>
  <c r="I162" i="6"/>
  <c r="H162" i="6"/>
  <c r="G162" i="6"/>
  <c r="F162" i="6"/>
  <c r="E162" i="6"/>
  <c r="D162" i="6"/>
  <c r="C162" i="6"/>
  <c r="B162" i="6"/>
  <c r="V161" i="6"/>
  <c r="U161" i="6"/>
  <c r="T161" i="6"/>
  <c r="S161" i="6"/>
  <c r="R161" i="6"/>
  <c r="Q161" i="6"/>
  <c r="P161" i="6"/>
  <c r="O161" i="6"/>
  <c r="N161" i="6"/>
  <c r="M161" i="6"/>
  <c r="L161" i="6"/>
  <c r="K161" i="6"/>
  <c r="J161" i="6"/>
  <c r="I161" i="6"/>
  <c r="H161" i="6"/>
  <c r="G161" i="6"/>
  <c r="F161" i="6"/>
  <c r="E161" i="6"/>
  <c r="D161" i="6"/>
  <c r="C161" i="6"/>
  <c r="B161" i="6"/>
  <c r="V160" i="6"/>
  <c r="U160" i="6"/>
  <c r="T160" i="6"/>
  <c r="S160" i="6"/>
  <c r="R160" i="6"/>
  <c r="Q160" i="6"/>
  <c r="P160" i="6"/>
  <c r="O160" i="6"/>
  <c r="N160" i="6"/>
  <c r="M160" i="6"/>
  <c r="L160" i="6"/>
  <c r="K160" i="6"/>
  <c r="J160" i="6"/>
  <c r="I160" i="6"/>
  <c r="H160" i="6"/>
  <c r="G160" i="6"/>
  <c r="F160" i="6"/>
  <c r="E160" i="6"/>
  <c r="D160" i="6"/>
  <c r="C160" i="6"/>
  <c r="B160" i="6"/>
  <c r="V159" i="6"/>
  <c r="U159" i="6"/>
  <c r="T159" i="6"/>
  <c r="S159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C159" i="6"/>
  <c r="B159" i="6"/>
  <c r="V158" i="6"/>
  <c r="U158" i="6"/>
  <c r="T158" i="6"/>
  <c r="S158" i="6"/>
  <c r="R158" i="6"/>
  <c r="Q158" i="6"/>
  <c r="P158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C158" i="6"/>
  <c r="B158" i="6"/>
  <c r="V157" i="6"/>
  <c r="U157" i="6"/>
  <c r="T157" i="6"/>
  <c r="S157" i="6"/>
  <c r="R157" i="6"/>
  <c r="Q157" i="6"/>
  <c r="P157" i="6"/>
  <c r="O157" i="6"/>
  <c r="N157" i="6"/>
  <c r="M157" i="6"/>
  <c r="L157" i="6"/>
  <c r="K157" i="6"/>
  <c r="J157" i="6"/>
  <c r="I157" i="6"/>
  <c r="H157" i="6"/>
  <c r="G157" i="6"/>
  <c r="F157" i="6"/>
  <c r="E157" i="6"/>
  <c r="D157" i="6"/>
  <c r="C157" i="6"/>
  <c r="B157" i="6"/>
  <c r="V156" i="6"/>
  <c r="U156" i="6"/>
  <c r="T156" i="6"/>
  <c r="S156" i="6"/>
  <c r="R156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C156" i="6"/>
  <c r="B156" i="6"/>
  <c r="V155" i="6"/>
  <c r="U155" i="6"/>
  <c r="T155" i="6"/>
  <c r="S155" i="6"/>
  <c r="R155" i="6"/>
  <c r="Q155" i="6"/>
  <c r="P155" i="6"/>
  <c r="O155" i="6"/>
  <c r="N155" i="6"/>
  <c r="M155" i="6"/>
  <c r="L155" i="6"/>
  <c r="K155" i="6"/>
  <c r="J155" i="6"/>
  <c r="I155" i="6"/>
  <c r="H155" i="6"/>
  <c r="G155" i="6"/>
  <c r="F155" i="6"/>
  <c r="E155" i="6"/>
  <c r="D155" i="6"/>
  <c r="C155" i="6"/>
  <c r="B155" i="6"/>
  <c r="V154" i="6"/>
  <c r="U154" i="6"/>
  <c r="T154" i="6"/>
  <c r="S154" i="6"/>
  <c r="R154" i="6"/>
  <c r="Q154" i="6"/>
  <c r="P154" i="6"/>
  <c r="O154" i="6"/>
  <c r="N154" i="6"/>
  <c r="M154" i="6"/>
  <c r="L154" i="6"/>
  <c r="K154" i="6"/>
  <c r="J154" i="6"/>
  <c r="I154" i="6"/>
  <c r="H154" i="6"/>
  <c r="G154" i="6"/>
  <c r="F154" i="6"/>
  <c r="E154" i="6"/>
  <c r="D154" i="6"/>
  <c r="C154" i="6"/>
  <c r="B154" i="6"/>
  <c r="V153" i="6"/>
  <c r="U153" i="6"/>
  <c r="T153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C153" i="6"/>
  <c r="B153" i="6"/>
  <c r="V152" i="6"/>
  <c r="U152" i="6"/>
  <c r="T152" i="6"/>
  <c r="S152" i="6"/>
  <c r="R152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C152" i="6"/>
  <c r="B152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C151" i="6"/>
  <c r="B151" i="6"/>
  <c r="V150" i="6"/>
  <c r="U150" i="6"/>
  <c r="T150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C150" i="6"/>
  <c r="B150" i="6"/>
  <c r="V149" i="6"/>
  <c r="U149" i="6"/>
  <c r="T149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C149" i="6"/>
  <c r="B149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C148" i="6"/>
  <c r="B148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C147" i="6"/>
  <c r="B147" i="6"/>
  <c r="V146" i="6"/>
  <c r="U146" i="6"/>
  <c r="T146" i="6"/>
  <c r="S146" i="6"/>
  <c r="R146" i="6"/>
  <c r="Q146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C146" i="6"/>
  <c r="B146" i="6"/>
  <c r="V145" i="6"/>
  <c r="U145" i="6"/>
  <c r="T145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C145" i="6"/>
  <c r="B145" i="6"/>
  <c r="V144" i="6"/>
  <c r="U144" i="6"/>
  <c r="T144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C144" i="6"/>
  <c r="B144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C143" i="6"/>
  <c r="B143" i="6"/>
  <c r="V142" i="6"/>
  <c r="U142" i="6"/>
  <c r="T142" i="6"/>
  <c r="S142" i="6"/>
  <c r="R142" i="6"/>
  <c r="Q142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C142" i="6"/>
  <c r="B142" i="6"/>
  <c r="V141" i="6"/>
  <c r="U141" i="6"/>
  <c r="T141" i="6"/>
  <c r="S141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C141" i="6"/>
  <c r="B141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C140" i="6"/>
  <c r="B140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V138" i="6"/>
  <c r="U138" i="6"/>
  <c r="T138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C138" i="6"/>
  <c r="B138" i="6"/>
  <c r="V137" i="6"/>
  <c r="U137" i="6"/>
  <c r="T137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B137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V134" i="6"/>
  <c r="U134" i="6"/>
  <c r="T134" i="6"/>
  <c r="S134" i="6"/>
  <c r="R134" i="6"/>
  <c r="Q134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C134" i="6"/>
  <c r="B134" i="6"/>
  <c r="V133" i="6"/>
  <c r="U133" i="6"/>
  <c r="T133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C133" i="6"/>
  <c r="B133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32" i="6"/>
  <c r="B132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C131" i="6"/>
  <c r="B131" i="6"/>
  <c r="V130" i="6"/>
  <c r="U130" i="6"/>
  <c r="T130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C130" i="6"/>
  <c r="B130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B129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B128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C127" i="6"/>
  <c r="B127" i="6"/>
  <c r="V126" i="6"/>
  <c r="U126" i="6"/>
  <c r="T126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C126" i="6"/>
  <c r="B126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B125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B124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B123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B122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B121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B120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B118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B117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B115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B114" i="6"/>
  <c r="V113" i="6"/>
  <c r="U113" i="6"/>
  <c r="T113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B113" i="6"/>
  <c r="V112" i="6"/>
  <c r="U112" i="6"/>
  <c r="T112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B112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C111" i="6"/>
  <c r="B111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B109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B107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B106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B105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B99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B98" i="6"/>
  <c r="V97" i="6"/>
  <c r="U97" i="6"/>
  <c r="T97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V90" i="6"/>
  <c r="U90" i="6"/>
  <c r="T90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B90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B78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D1999" i="5"/>
  <c r="A1999" i="5"/>
  <c r="K1998" i="5"/>
  <c r="D1998" i="5"/>
  <c r="A1998" i="5"/>
  <c r="M1997" i="5"/>
  <c r="A1997" i="5"/>
  <c r="M1996" i="5"/>
  <c r="L1996" i="5"/>
  <c r="K1996" i="5"/>
  <c r="H1996" i="5"/>
  <c r="G1996" i="5"/>
  <c r="F1996" i="5"/>
  <c r="A1996" i="5"/>
  <c r="I1996" i="5" s="1"/>
  <c r="H1995" i="5"/>
  <c r="A1995" i="5"/>
  <c r="M1994" i="5"/>
  <c r="K1994" i="5"/>
  <c r="I1994" i="5"/>
  <c r="H1994" i="5"/>
  <c r="G1994" i="5"/>
  <c r="D1994" i="5"/>
  <c r="C1994" i="5"/>
  <c r="B1994" i="5"/>
  <c r="A1994" i="5"/>
  <c r="J1994" i="5" s="1"/>
  <c r="L1993" i="5"/>
  <c r="K1993" i="5"/>
  <c r="J1993" i="5"/>
  <c r="H1993" i="5"/>
  <c r="G1993" i="5"/>
  <c r="F1993" i="5"/>
  <c r="D1993" i="5"/>
  <c r="C1993" i="5"/>
  <c r="B1993" i="5"/>
  <c r="A1993" i="5"/>
  <c r="M1993" i="5" s="1"/>
  <c r="M1992" i="5"/>
  <c r="H1992" i="5"/>
  <c r="F1992" i="5"/>
  <c r="D1992" i="5"/>
  <c r="A1992" i="5"/>
  <c r="E1992" i="5" s="1"/>
  <c r="L1991" i="5"/>
  <c r="A1991" i="5"/>
  <c r="I1991" i="5" s="1"/>
  <c r="M1990" i="5"/>
  <c r="K1990" i="5"/>
  <c r="H1990" i="5"/>
  <c r="E1990" i="5"/>
  <c r="A1990" i="5"/>
  <c r="J1990" i="5" s="1"/>
  <c r="M1989" i="5"/>
  <c r="H1989" i="5"/>
  <c r="A1989" i="5"/>
  <c r="G1989" i="5" s="1"/>
  <c r="H1988" i="5"/>
  <c r="E1988" i="5"/>
  <c r="C1988" i="5"/>
  <c r="A1988" i="5"/>
  <c r="D1988" i="5" s="1"/>
  <c r="J1987" i="5"/>
  <c r="A1987" i="5"/>
  <c r="J1986" i="5"/>
  <c r="I1986" i="5"/>
  <c r="F1986" i="5"/>
  <c r="E1986" i="5"/>
  <c r="D1986" i="5"/>
  <c r="B1986" i="5"/>
  <c r="A1986" i="5"/>
  <c r="M1986" i="5" s="1"/>
  <c r="M1985" i="5"/>
  <c r="H1985" i="5"/>
  <c r="G1985" i="5"/>
  <c r="D1985" i="5"/>
  <c r="A1985" i="5"/>
  <c r="J1985" i="5" s="1"/>
  <c r="M1984" i="5"/>
  <c r="K1984" i="5"/>
  <c r="H1984" i="5"/>
  <c r="G1984" i="5"/>
  <c r="A1984" i="5"/>
  <c r="L1984" i="5" s="1"/>
  <c r="A1983" i="5"/>
  <c r="M1982" i="5"/>
  <c r="F1982" i="5"/>
  <c r="A1982" i="5"/>
  <c r="I1981" i="5"/>
  <c r="A1981" i="5"/>
  <c r="L1980" i="5"/>
  <c r="J1980" i="5"/>
  <c r="F1980" i="5"/>
  <c r="E1980" i="5"/>
  <c r="C1980" i="5"/>
  <c r="A1980" i="5"/>
  <c r="H1980" i="5" s="1"/>
  <c r="M1979" i="5"/>
  <c r="I1979" i="5"/>
  <c r="E1979" i="5"/>
  <c r="D1979" i="5"/>
  <c r="A1979" i="5"/>
  <c r="A1978" i="5"/>
  <c r="F1977" i="5"/>
  <c r="A1977" i="5"/>
  <c r="A1976" i="5"/>
  <c r="C1976" i="5" s="1"/>
  <c r="B1975" i="5"/>
  <c r="A1975" i="5"/>
  <c r="K1974" i="5"/>
  <c r="D1974" i="5"/>
  <c r="A1974" i="5"/>
  <c r="M1973" i="5"/>
  <c r="K1973" i="5"/>
  <c r="J1973" i="5"/>
  <c r="H1973" i="5"/>
  <c r="D1973" i="5"/>
  <c r="A1973" i="5"/>
  <c r="L1973" i="5" s="1"/>
  <c r="K1972" i="5"/>
  <c r="G1972" i="5"/>
  <c r="E1972" i="5"/>
  <c r="B1972" i="5"/>
  <c r="A1972" i="5"/>
  <c r="M1972" i="5" s="1"/>
  <c r="L1971" i="5"/>
  <c r="F1971" i="5"/>
  <c r="C1971" i="5"/>
  <c r="B1971" i="5"/>
  <c r="A1971" i="5"/>
  <c r="G1971" i="5" s="1"/>
  <c r="A1970" i="5"/>
  <c r="H1970" i="5" s="1"/>
  <c r="L1969" i="5"/>
  <c r="J1969" i="5"/>
  <c r="H1969" i="5"/>
  <c r="D1969" i="5"/>
  <c r="A1969" i="5"/>
  <c r="A1968" i="5"/>
  <c r="K1967" i="5"/>
  <c r="J1967" i="5"/>
  <c r="G1967" i="5"/>
  <c r="F1967" i="5"/>
  <c r="E1967" i="5"/>
  <c r="B1967" i="5"/>
  <c r="A1967" i="5"/>
  <c r="L1967" i="5" s="1"/>
  <c r="C1966" i="5"/>
  <c r="A1966" i="5"/>
  <c r="G1965" i="5"/>
  <c r="D1965" i="5"/>
  <c r="A1965" i="5"/>
  <c r="L1965" i="5" s="1"/>
  <c r="M1964" i="5"/>
  <c r="J1964" i="5"/>
  <c r="H1964" i="5"/>
  <c r="G1964" i="5"/>
  <c r="C1964" i="5"/>
  <c r="A1964" i="5"/>
  <c r="I1964" i="5" s="1"/>
  <c r="K1963" i="5"/>
  <c r="I1963" i="5"/>
  <c r="H1963" i="5"/>
  <c r="E1963" i="5"/>
  <c r="D1963" i="5"/>
  <c r="C1963" i="5"/>
  <c r="A1963" i="5"/>
  <c r="F1963" i="5" s="1"/>
  <c r="K1962" i="5"/>
  <c r="G1962" i="5"/>
  <c r="A1962" i="5"/>
  <c r="G1961" i="5"/>
  <c r="E1961" i="5"/>
  <c r="C1961" i="5"/>
  <c r="A1961" i="5"/>
  <c r="K1961" i="5" s="1"/>
  <c r="H1960" i="5"/>
  <c r="D1960" i="5"/>
  <c r="A1960" i="5"/>
  <c r="E1960" i="5" s="1"/>
  <c r="J1959" i="5"/>
  <c r="A1959" i="5"/>
  <c r="K1958" i="5"/>
  <c r="J1958" i="5"/>
  <c r="H1958" i="5"/>
  <c r="G1958" i="5"/>
  <c r="F1958" i="5"/>
  <c r="B1958" i="5"/>
  <c r="A1958" i="5"/>
  <c r="M1958" i="5" s="1"/>
  <c r="L1957" i="5"/>
  <c r="I1957" i="5"/>
  <c r="H1957" i="5"/>
  <c r="F1957" i="5"/>
  <c r="E1957" i="5"/>
  <c r="D1957" i="5"/>
  <c r="B1957" i="5"/>
  <c r="A1957" i="5"/>
  <c r="M1957" i="5" s="1"/>
  <c r="A1956" i="5"/>
  <c r="A1955" i="5"/>
  <c r="D1955" i="5" s="1"/>
  <c r="M1954" i="5"/>
  <c r="L1954" i="5"/>
  <c r="J1954" i="5"/>
  <c r="H1954" i="5"/>
  <c r="G1954" i="5"/>
  <c r="E1954" i="5"/>
  <c r="C1954" i="5"/>
  <c r="B1954" i="5"/>
  <c r="A1954" i="5"/>
  <c r="K1954" i="5" s="1"/>
  <c r="L1953" i="5"/>
  <c r="C1953" i="5"/>
  <c r="A1953" i="5"/>
  <c r="A1952" i="5"/>
  <c r="D1952" i="5" s="1"/>
  <c r="H1951" i="5"/>
  <c r="D1951" i="5"/>
  <c r="A1951" i="5"/>
  <c r="B1951" i="5" s="1"/>
  <c r="L1950" i="5"/>
  <c r="K1950" i="5"/>
  <c r="I1950" i="5"/>
  <c r="G1950" i="5"/>
  <c r="F1950" i="5"/>
  <c r="D1950" i="5"/>
  <c r="C1950" i="5"/>
  <c r="B1950" i="5"/>
  <c r="A1950" i="5"/>
  <c r="M1950" i="5" s="1"/>
  <c r="A1949" i="5"/>
  <c r="G1949" i="5" s="1"/>
  <c r="I1948" i="5"/>
  <c r="C1948" i="5"/>
  <c r="B1948" i="5"/>
  <c r="A1948" i="5"/>
  <c r="E1948" i="5" s="1"/>
  <c r="A1947" i="5"/>
  <c r="B1947" i="5" s="1"/>
  <c r="A1946" i="5"/>
  <c r="D1945" i="5"/>
  <c r="A1945" i="5"/>
  <c r="M1944" i="5"/>
  <c r="K1944" i="5"/>
  <c r="H1944" i="5"/>
  <c r="G1944" i="5"/>
  <c r="E1944" i="5"/>
  <c r="D1944" i="5"/>
  <c r="C1944" i="5"/>
  <c r="A1944" i="5"/>
  <c r="L1944" i="5" s="1"/>
  <c r="A1943" i="5"/>
  <c r="F1942" i="5"/>
  <c r="A1942" i="5"/>
  <c r="E1942" i="5" s="1"/>
  <c r="M1941" i="5"/>
  <c r="K1941" i="5"/>
  <c r="D1941" i="5"/>
  <c r="A1941" i="5"/>
  <c r="G1941" i="5" s="1"/>
  <c r="J1940" i="5"/>
  <c r="A1940" i="5"/>
  <c r="A1939" i="5"/>
  <c r="M1939" i="5" s="1"/>
  <c r="M1938" i="5"/>
  <c r="K1938" i="5"/>
  <c r="J1938" i="5"/>
  <c r="G1938" i="5"/>
  <c r="E1938" i="5"/>
  <c r="D1938" i="5"/>
  <c r="C1938" i="5"/>
  <c r="A1938" i="5"/>
  <c r="L1938" i="5" s="1"/>
  <c r="A1937" i="5"/>
  <c r="K1936" i="5"/>
  <c r="I1936" i="5"/>
  <c r="G1936" i="5"/>
  <c r="F1936" i="5"/>
  <c r="E1936" i="5"/>
  <c r="D1936" i="5"/>
  <c r="C1936" i="5"/>
  <c r="B1936" i="5"/>
  <c r="A1936" i="5"/>
  <c r="G1935" i="5"/>
  <c r="F1935" i="5"/>
  <c r="C1935" i="5"/>
  <c r="A1935" i="5"/>
  <c r="J1934" i="5"/>
  <c r="I1934" i="5"/>
  <c r="B1934" i="5"/>
  <c r="A1934" i="5"/>
  <c r="A1933" i="5"/>
  <c r="L1932" i="5"/>
  <c r="H1932" i="5"/>
  <c r="A1932" i="5"/>
  <c r="A1931" i="5"/>
  <c r="M1930" i="5"/>
  <c r="G1930" i="5"/>
  <c r="F1930" i="5"/>
  <c r="A1930" i="5"/>
  <c r="J1929" i="5"/>
  <c r="F1929" i="5"/>
  <c r="E1929" i="5"/>
  <c r="C1929" i="5"/>
  <c r="A1929" i="5"/>
  <c r="M1929" i="5" s="1"/>
  <c r="M1928" i="5"/>
  <c r="J1928" i="5"/>
  <c r="H1928" i="5"/>
  <c r="D1928" i="5"/>
  <c r="C1928" i="5"/>
  <c r="A1928" i="5"/>
  <c r="L1927" i="5"/>
  <c r="K1927" i="5"/>
  <c r="I1927" i="5"/>
  <c r="H1927" i="5"/>
  <c r="D1927" i="5"/>
  <c r="A1927" i="5"/>
  <c r="I1926" i="5"/>
  <c r="H1926" i="5"/>
  <c r="F1926" i="5"/>
  <c r="E1926" i="5"/>
  <c r="D1926" i="5"/>
  <c r="A1926" i="5"/>
  <c r="L1926" i="5" s="1"/>
  <c r="I1925" i="5"/>
  <c r="F1925" i="5"/>
  <c r="A1925" i="5"/>
  <c r="A1924" i="5"/>
  <c r="M1923" i="5"/>
  <c r="H1923" i="5"/>
  <c r="D1923" i="5"/>
  <c r="A1923" i="5"/>
  <c r="E1922" i="5"/>
  <c r="D1922" i="5"/>
  <c r="A1922" i="5"/>
  <c r="A1921" i="5"/>
  <c r="M1921" i="5" s="1"/>
  <c r="M1920" i="5"/>
  <c r="I1920" i="5"/>
  <c r="G1920" i="5"/>
  <c r="B1920" i="5"/>
  <c r="A1920" i="5"/>
  <c r="M1919" i="5"/>
  <c r="L1919" i="5"/>
  <c r="K1919" i="5"/>
  <c r="F1919" i="5"/>
  <c r="C1919" i="5"/>
  <c r="B1919" i="5"/>
  <c r="A1919" i="5"/>
  <c r="H1919" i="5" s="1"/>
  <c r="K1918" i="5"/>
  <c r="H1918" i="5"/>
  <c r="E1918" i="5"/>
  <c r="A1918" i="5"/>
  <c r="A1917" i="5"/>
  <c r="D1917" i="5" s="1"/>
  <c r="M1916" i="5"/>
  <c r="K1916" i="5"/>
  <c r="G1916" i="5"/>
  <c r="F1916" i="5"/>
  <c r="C1916" i="5"/>
  <c r="A1916" i="5"/>
  <c r="C1915" i="5"/>
  <c r="B1915" i="5"/>
  <c r="A1915" i="5"/>
  <c r="L1914" i="5"/>
  <c r="I1914" i="5"/>
  <c r="A1914" i="5"/>
  <c r="A1913" i="5"/>
  <c r="A1912" i="5"/>
  <c r="M1911" i="5"/>
  <c r="A1911" i="5"/>
  <c r="C1911" i="5" s="1"/>
  <c r="G1910" i="5"/>
  <c r="A1910" i="5"/>
  <c r="M1909" i="5"/>
  <c r="K1909" i="5"/>
  <c r="E1909" i="5"/>
  <c r="D1909" i="5"/>
  <c r="A1909" i="5"/>
  <c r="A1908" i="5"/>
  <c r="C1907" i="5"/>
  <c r="A1907" i="5"/>
  <c r="H1906" i="5"/>
  <c r="C1906" i="5"/>
  <c r="B1906" i="5"/>
  <c r="A1906" i="5"/>
  <c r="K1906" i="5" s="1"/>
  <c r="M1905" i="5"/>
  <c r="L1905" i="5"/>
  <c r="J1905" i="5"/>
  <c r="G1905" i="5"/>
  <c r="F1905" i="5"/>
  <c r="E1905" i="5"/>
  <c r="B1905" i="5"/>
  <c r="A1905" i="5"/>
  <c r="M1904" i="5"/>
  <c r="K1904" i="5"/>
  <c r="J1904" i="5"/>
  <c r="F1904" i="5"/>
  <c r="A1904" i="5"/>
  <c r="G1904" i="5" s="1"/>
  <c r="B1903" i="5"/>
  <c r="A1903" i="5"/>
  <c r="M1902" i="5"/>
  <c r="K1902" i="5"/>
  <c r="I1902" i="5"/>
  <c r="H1902" i="5"/>
  <c r="F1902" i="5"/>
  <c r="E1902" i="5"/>
  <c r="D1902" i="5"/>
  <c r="A1902" i="5"/>
  <c r="L1902" i="5" s="1"/>
  <c r="K1901" i="5"/>
  <c r="H1901" i="5"/>
  <c r="G1901" i="5"/>
  <c r="F1901" i="5"/>
  <c r="B1901" i="5"/>
  <c r="A1901" i="5"/>
  <c r="M1901" i="5" s="1"/>
  <c r="A1900" i="5"/>
  <c r="B1900" i="5" s="1"/>
  <c r="I1899" i="5"/>
  <c r="D1899" i="5"/>
  <c r="A1899" i="5"/>
  <c r="F1899" i="5" s="1"/>
  <c r="B1898" i="5"/>
  <c r="A1898" i="5"/>
  <c r="M1897" i="5"/>
  <c r="L1897" i="5"/>
  <c r="H1897" i="5"/>
  <c r="E1897" i="5"/>
  <c r="D1897" i="5"/>
  <c r="C1897" i="5"/>
  <c r="A1897" i="5"/>
  <c r="K1896" i="5"/>
  <c r="D1896" i="5"/>
  <c r="A1896" i="5"/>
  <c r="M1895" i="5"/>
  <c r="L1895" i="5"/>
  <c r="A1895" i="5"/>
  <c r="A1894" i="5"/>
  <c r="B1894" i="5" s="1"/>
  <c r="L1893" i="5"/>
  <c r="H1893" i="5"/>
  <c r="G1893" i="5"/>
  <c r="B1893" i="5"/>
  <c r="A1893" i="5"/>
  <c r="K1892" i="5"/>
  <c r="J1892" i="5"/>
  <c r="F1892" i="5"/>
  <c r="E1892" i="5"/>
  <c r="B1892" i="5"/>
  <c r="A1892" i="5"/>
  <c r="L1891" i="5"/>
  <c r="K1891" i="5"/>
  <c r="J1891" i="5"/>
  <c r="H1891" i="5"/>
  <c r="G1891" i="5"/>
  <c r="F1891" i="5"/>
  <c r="E1891" i="5"/>
  <c r="D1891" i="5"/>
  <c r="C1891" i="5"/>
  <c r="B1891" i="5"/>
  <c r="A1891" i="5"/>
  <c r="M1891" i="5" s="1"/>
  <c r="A1890" i="5"/>
  <c r="A1889" i="5"/>
  <c r="L1888" i="5"/>
  <c r="K1888" i="5"/>
  <c r="I1888" i="5"/>
  <c r="G1888" i="5"/>
  <c r="F1888" i="5"/>
  <c r="E1888" i="5"/>
  <c r="B1888" i="5"/>
  <c r="A1888" i="5"/>
  <c r="A1887" i="5"/>
  <c r="K1886" i="5"/>
  <c r="I1886" i="5"/>
  <c r="B1886" i="5"/>
  <c r="A1886" i="5"/>
  <c r="D1886" i="5" s="1"/>
  <c r="A1885" i="5"/>
  <c r="F1885" i="5" s="1"/>
  <c r="A1884" i="5"/>
  <c r="K1883" i="5"/>
  <c r="F1883" i="5"/>
  <c r="E1883" i="5"/>
  <c r="C1883" i="5"/>
  <c r="A1883" i="5"/>
  <c r="B1882" i="5"/>
  <c r="A1882" i="5"/>
  <c r="H1881" i="5"/>
  <c r="A1881" i="5"/>
  <c r="M1880" i="5"/>
  <c r="K1880" i="5"/>
  <c r="H1880" i="5"/>
  <c r="F1880" i="5"/>
  <c r="C1880" i="5"/>
  <c r="A1880" i="5"/>
  <c r="H1879" i="5"/>
  <c r="G1879" i="5"/>
  <c r="E1879" i="5"/>
  <c r="D1879" i="5"/>
  <c r="A1879" i="5"/>
  <c r="L1879" i="5" s="1"/>
  <c r="L1878" i="5"/>
  <c r="K1878" i="5"/>
  <c r="A1878" i="5"/>
  <c r="I1878" i="5" s="1"/>
  <c r="M1877" i="5"/>
  <c r="H1877" i="5"/>
  <c r="G1877" i="5"/>
  <c r="E1877" i="5"/>
  <c r="B1877" i="5"/>
  <c r="A1877" i="5"/>
  <c r="L1877" i="5" s="1"/>
  <c r="A1876" i="5"/>
  <c r="C1875" i="5"/>
  <c r="A1875" i="5"/>
  <c r="M1874" i="5"/>
  <c r="L1874" i="5"/>
  <c r="H1874" i="5"/>
  <c r="G1874" i="5"/>
  <c r="A1874" i="5"/>
  <c r="A1873" i="5"/>
  <c r="I1873" i="5" s="1"/>
  <c r="G1872" i="5"/>
  <c r="F1872" i="5"/>
  <c r="C1872" i="5"/>
  <c r="B1872" i="5"/>
  <c r="A1872" i="5"/>
  <c r="M1872" i="5" s="1"/>
  <c r="H1871" i="5"/>
  <c r="A1871" i="5"/>
  <c r="M1870" i="5"/>
  <c r="K1870" i="5"/>
  <c r="G1870" i="5"/>
  <c r="F1870" i="5"/>
  <c r="D1870" i="5"/>
  <c r="C1870" i="5"/>
  <c r="B1870" i="5"/>
  <c r="A1870" i="5"/>
  <c r="L1870" i="5" s="1"/>
  <c r="A1869" i="5"/>
  <c r="M1868" i="5"/>
  <c r="C1868" i="5"/>
  <c r="B1868" i="5"/>
  <c r="A1868" i="5"/>
  <c r="G1868" i="5" s="1"/>
  <c r="K1867" i="5"/>
  <c r="J1867" i="5"/>
  <c r="I1867" i="5"/>
  <c r="G1867" i="5"/>
  <c r="F1867" i="5"/>
  <c r="E1867" i="5"/>
  <c r="C1867" i="5"/>
  <c r="B1867" i="5"/>
  <c r="A1867" i="5"/>
  <c r="A1866" i="5"/>
  <c r="K1865" i="5"/>
  <c r="H1865" i="5"/>
  <c r="F1865" i="5"/>
  <c r="D1865" i="5"/>
  <c r="A1865" i="5"/>
  <c r="M1865" i="5" s="1"/>
  <c r="I1864" i="5"/>
  <c r="A1864" i="5"/>
  <c r="D1863" i="5"/>
  <c r="A1863" i="5"/>
  <c r="M1862" i="5"/>
  <c r="L1862" i="5"/>
  <c r="I1862" i="5"/>
  <c r="H1862" i="5"/>
  <c r="G1862" i="5"/>
  <c r="E1862" i="5"/>
  <c r="D1862" i="5"/>
  <c r="C1862" i="5"/>
  <c r="B1862" i="5"/>
  <c r="A1862" i="5"/>
  <c r="K1862" i="5" s="1"/>
  <c r="K1861" i="5"/>
  <c r="I1861" i="5"/>
  <c r="E1861" i="5"/>
  <c r="C1861" i="5"/>
  <c r="A1861" i="5"/>
  <c r="D1861" i="5" s="1"/>
  <c r="C1860" i="5"/>
  <c r="A1860" i="5"/>
  <c r="B1860" i="5" s="1"/>
  <c r="M1859" i="5"/>
  <c r="E1859" i="5"/>
  <c r="A1859" i="5"/>
  <c r="H1859" i="5" s="1"/>
  <c r="H1858" i="5"/>
  <c r="G1858" i="5"/>
  <c r="F1858" i="5"/>
  <c r="C1858" i="5"/>
  <c r="A1858" i="5"/>
  <c r="M1858" i="5" s="1"/>
  <c r="A1857" i="5"/>
  <c r="A1856" i="5"/>
  <c r="L1855" i="5"/>
  <c r="J1855" i="5"/>
  <c r="I1855" i="5"/>
  <c r="H1855" i="5"/>
  <c r="F1855" i="5"/>
  <c r="D1855" i="5"/>
  <c r="B1855" i="5"/>
  <c r="A1855" i="5"/>
  <c r="A1854" i="5"/>
  <c r="M1853" i="5"/>
  <c r="B1853" i="5"/>
  <c r="A1853" i="5"/>
  <c r="H1853" i="5" s="1"/>
  <c r="F1852" i="5"/>
  <c r="A1852" i="5"/>
  <c r="M1852" i="5" s="1"/>
  <c r="A1851" i="5"/>
  <c r="L1850" i="5"/>
  <c r="K1850" i="5"/>
  <c r="I1850" i="5"/>
  <c r="H1850" i="5"/>
  <c r="A1850" i="5"/>
  <c r="M1849" i="5"/>
  <c r="J1849" i="5"/>
  <c r="I1849" i="5"/>
  <c r="F1849" i="5"/>
  <c r="E1849" i="5"/>
  <c r="D1849" i="5"/>
  <c r="A1849" i="5"/>
  <c r="L1849" i="5" s="1"/>
  <c r="A1848" i="5"/>
  <c r="A1847" i="5"/>
  <c r="K1847" i="5" s="1"/>
  <c r="K1846" i="5"/>
  <c r="I1846" i="5"/>
  <c r="F1846" i="5"/>
  <c r="E1846" i="5"/>
  <c r="D1846" i="5"/>
  <c r="C1846" i="5"/>
  <c r="A1846" i="5"/>
  <c r="A1845" i="5"/>
  <c r="A1844" i="5"/>
  <c r="L1843" i="5"/>
  <c r="J1843" i="5"/>
  <c r="I1843" i="5"/>
  <c r="H1843" i="5"/>
  <c r="F1843" i="5"/>
  <c r="E1843" i="5"/>
  <c r="B1843" i="5"/>
  <c r="A1843" i="5"/>
  <c r="D1842" i="5"/>
  <c r="A1842" i="5"/>
  <c r="L1841" i="5"/>
  <c r="J1841" i="5"/>
  <c r="F1841" i="5"/>
  <c r="A1841" i="5"/>
  <c r="M1840" i="5"/>
  <c r="K1840" i="5"/>
  <c r="J1840" i="5"/>
  <c r="I1840" i="5"/>
  <c r="F1840" i="5"/>
  <c r="E1840" i="5"/>
  <c r="C1840" i="5"/>
  <c r="A1840" i="5"/>
  <c r="L1840" i="5" s="1"/>
  <c r="M1839" i="5"/>
  <c r="L1839" i="5"/>
  <c r="K1839" i="5"/>
  <c r="I1839" i="5"/>
  <c r="F1839" i="5"/>
  <c r="C1839" i="5"/>
  <c r="A1839" i="5"/>
  <c r="G1838" i="5"/>
  <c r="A1838" i="5"/>
  <c r="C1838" i="5" s="1"/>
  <c r="K1837" i="5"/>
  <c r="J1837" i="5"/>
  <c r="A1837" i="5"/>
  <c r="I1837" i="5" s="1"/>
  <c r="M1836" i="5"/>
  <c r="I1836" i="5"/>
  <c r="F1836" i="5"/>
  <c r="D1836" i="5"/>
  <c r="A1836" i="5"/>
  <c r="M1835" i="5"/>
  <c r="K1835" i="5"/>
  <c r="J1835" i="5"/>
  <c r="H1835" i="5"/>
  <c r="E1835" i="5"/>
  <c r="D1835" i="5"/>
  <c r="A1835" i="5"/>
  <c r="F1834" i="5"/>
  <c r="A1834" i="5"/>
  <c r="C1834" i="5" s="1"/>
  <c r="E1833" i="5"/>
  <c r="D1833" i="5"/>
  <c r="A1833" i="5"/>
  <c r="C1832" i="5"/>
  <c r="A1832" i="5"/>
  <c r="M1832" i="5" s="1"/>
  <c r="B1831" i="5"/>
  <c r="A1831" i="5"/>
  <c r="M1830" i="5"/>
  <c r="L1830" i="5"/>
  <c r="I1830" i="5"/>
  <c r="D1830" i="5"/>
  <c r="A1830" i="5"/>
  <c r="A1829" i="5"/>
  <c r="M1828" i="5"/>
  <c r="A1828" i="5"/>
  <c r="L1827" i="5"/>
  <c r="J1827" i="5"/>
  <c r="A1827" i="5"/>
  <c r="J1826" i="5"/>
  <c r="I1826" i="5"/>
  <c r="H1826" i="5"/>
  <c r="D1826" i="5"/>
  <c r="A1826" i="5"/>
  <c r="M1826" i="5" s="1"/>
  <c r="I1825" i="5"/>
  <c r="A1825" i="5"/>
  <c r="L1825" i="5" s="1"/>
  <c r="A1824" i="5"/>
  <c r="M1823" i="5"/>
  <c r="J1823" i="5"/>
  <c r="H1823" i="5"/>
  <c r="F1823" i="5"/>
  <c r="E1823" i="5"/>
  <c r="A1823" i="5"/>
  <c r="A1822" i="5"/>
  <c r="H1821" i="5"/>
  <c r="G1821" i="5"/>
  <c r="F1821" i="5"/>
  <c r="C1821" i="5"/>
  <c r="A1821" i="5"/>
  <c r="M1820" i="5"/>
  <c r="K1820" i="5"/>
  <c r="H1820" i="5"/>
  <c r="G1820" i="5"/>
  <c r="E1820" i="5"/>
  <c r="D1820" i="5"/>
  <c r="C1820" i="5"/>
  <c r="A1820" i="5"/>
  <c r="L1820" i="5" s="1"/>
  <c r="L1819" i="5"/>
  <c r="K1819" i="5"/>
  <c r="J1819" i="5"/>
  <c r="I1819" i="5"/>
  <c r="H1819" i="5"/>
  <c r="G1819" i="5"/>
  <c r="F1819" i="5"/>
  <c r="D1819" i="5"/>
  <c r="C1819" i="5"/>
  <c r="B1819" i="5"/>
  <c r="A1819" i="5"/>
  <c r="M1819" i="5" s="1"/>
  <c r="A1818" i="5"/>
  <c r="M1817" i="5"/>
  <c r="L1817" i="5"/>
  <c r="G1817" i="5"/>
  <c r="A1817" i="5"/>
  <c r="H1816" i="5"/>
  <c r="G1816" i="5"/>
  <c r="E1816" i="5"/>
  <c r="C1816" i="5"/>
  <c r="A1816" i="5"/>
  <c r="M1816" i="5" s="1"/>
  <c r="M1815" i="5"/>
  <c r="L1815" i="5"/>
  <c r="I1815" i="5"/>
  <c r="H1815" i="5"/>
  <c r="F1815" i="5"/>
  <c r="D1815" i="5"/>
  <c r="C1815" i="5"/>
  <c r="A1815" i="5"/>
  <c r="E1815" i="5" s="1"/>
  <c r="M1814" i="5"/>
  <c r="L1814" i="5"/>
  <c r="I1814" i="5"/>
  <c r="H1814" i="5"/>
  <c r="G1814" i="5"/>
  <c r="E1814" i="5"/>
  <c r="D1814" i="5"/>
  <c r="A1814" i="5"/>
  <c r="H1813" i="5"/>
  <c r="F1813" i="5"/>
  <c r="E1813" i="5"/>
  <c r="D1813" i="5"/>
  <c r="A1813" i="5"/>
  <c r="G1813" i="5" s="1"/>
  <c r="A1812" i="5"/>
  <c r="M1811" i="5"/>
  <c r="L1811" i="5"/>
  <c r="G1811" i="5"/>
  <c r="A1811" i="5"/>
  <c r="H1810" i="5"/>
  <c r="G1810" i="5"/>
  <c r="F1810" i="5"/>
  <c r="E1810" i="5"/>
  <c r="A1810" i="5"/>
  <c r="M1810" i="5" s="1"/>
  <c r="D1809" i="5"/>
  <c r="A1809" i="5"/>
  <c r="M1808" i="5"/>
  <c r="H1808" i="5"/>
  <c r="G1808" i="5"/>
  <c r="F1808" i="5"/>
  <c r="E1808" i="5"/>
  <c r="C1808" i="5"/>
  <c r="A1808" i="5"/>
  <c r="K1807" i="5"/>
  <c r="J1807" i="5"/>
  <c r="I1807" i="5"/>
  <c r="G1807" i="5"/>
  <c r="E1807" i="5"/>
  <c r="A1807" i="5"/>
  <c r="L1807" i="5" s="1"/>
  <c r="I1806" i="5"/>
  <c r="H1806" i="5"/>
  <c r="F1806" i="5"/>
  <c r="E1806" i="5"/>
  <c r="A1806" i="5"/>
  <c r="M1806" i="5" s="1"/>
  <c r="A1805" i="5"/>
  <c r="L1804" i="5"/>
  <c r="G1804" i="5"/>
  <c r="E1804" i="5"/>
  <c r="A1804" i="5"/>
  <c r="F1804" i="5" s="1"/>
  <c r="G1803" i="5"/>
  <c r="C1803" i="5"/>
  <c r="A1803" i="5"/>
  <c r="L1803" i="5" s="1"/>
  <c r="M1802" i="5"/>
  <c r="L1802" i="5"/>
  <c r="I1802" i="5"/>
  <c r="H1802" i="5"/>
  <c r="C1802" i="5"/>
  <c r="A1802" i="5"/>
  <c r="G1802" i="5" s="1"/>
  <c r="D1801" i="5"/>
  <c r="A1801" i="5"/>
  <c r="L1800" i="5"/>
  <c r="E1800" i="5"/>
  <c r="A1800" i="5"/>
  <c r="F1800" i="5" s="1"/>
  <c r="C1799" i="5"/>
  <c r="A1799" i="5"/>
  <c r="C1798" i="5"/>
  <c r="A1798" i="5"/>
  <c r="L1797" i="5"/>
  <c r="H1797" i="5"/>
  <c r="G1797" i="5"/>
  <c r="F1797" i="5"/>
  <c r="D1797" i="5"/>
  <c r="C1797" i="5"/>
  <c r="A1797" i="5"/>
  <c r="M1797" i="5" s="1"/>
  <c r="K1796" i="5"/>
  <c r="C1796" i="5"/>
  <c r="A1796" i="5"/>
  <c r="L1795" i="5"/>
  <c r="C1795" i="5"/>
  <c r="B1795" i="5"/>
  <c r="A1795" i="5"/>
  <c r="A1794" i="5"/>
  <c r="M1793" i="5"/>
  <c r="L1793" i="5"/>
  <c r="I1793" i="5"/>
  <c r="H1793" i="5"/>
  <c r="D1793" i="5"/>
  <c r="A1793" i="5"/>
  <c r="G1793" i="5" s="1"/>
  <c r="L1792" i="5"/>
  <c r="I1792" i="5"/>
  <c r="H1792" i="5"/>
  <c r="G1792" i="5"/>
  <c r="E1792" i="5"/>
  <c r="A1792" i="5"/>
  <c r="F1792" i="5" s="1"/>
  <c r="A1791" i="5"/>
  <c r="C1790" i="5"/>
  <c r="A1790" i="5"/>
  <c r="M1789" i="5"/>
  <c r="L1789" i="5"/>
  <c r="I1789" i="5"/>
  <c r="H1789" i="5"/>
  <c r="F1789" i="5"/>
  <c r="C1789" i="5"/>
  <c r="A1789" i="5"/>
  <c r="L1788" i="5"/>
  <c r="F1788" i="5"/>
  <c r="E1788" i="5"/>
  <c r="D1788" i="5"/>
  <c r="C1788" i="5"/>
  <c r="A1788" i="5"/>
  <c r="M1788" i="5" s="1"/>
  <c r="D1787" i="5"/>
  <c r="A1787" i="5"/>
  <c r="A1786" i="5"/>
  <c r="M1786" i="5" s="1"/>
  <c r="H1785" i="5"/>
  <c r="G1785" i="5"/>
  <c r="F1785" i="5"/>
  <c r="C1785" i="5"/>
  <c r="A1785" i="5"/>
  <c r="M1785" i="5" s="1"/>
  <c r="A1784" i="5"/>
  <c r="J1783" i="5"/>
  <c r="A1783" i="5"/>
  <c r="L1783" i="5" s="1"/>
  <c r="L1782" i="5"/>
  <c r="G1782" i="5"/>
  <c r="E1782" i="5"/>
  <c r="A1782" i="5"/>
  <c r="D1781" i="5"/>
  <c r="A1781" i="5"/>
  <c r="A1780" i="5"/>
  <c r="L1779" i="5"/>
  <c r="I1779" i="5"/>
  <c r="G1779" i="5"/>
  <c r="A1779" i="5"/>
  <c r="M1779" i="5" s="1"/>
  <c r="A1778" i="5"/>
  <c r="A1777" i="5"/>
  <c r="M1776" i="5"/>
  <c r="L1776" i="5"/>
  <c r="I1776" i="5"/>
  <c r="G1776" i="5"/>
  <c r="C1776" i="5"/>
  <c r="A1776" i="5"/>
  <c r="F1776" i="5" s="1"/>
  <c r="H1775" i="5"/>
  <c r="G1775" i="5"/>
  <c r="F1775" i="5"/>
  <c r="E1775" i="5"/>
  <c r="C1775" i="5"/>
  <c r="A1775" i="5"/>
  <c r="M1775" i="5" s="1"/>
  <c r="A1774" i="5"/>
  <c r="L1774" i="5" s="1"/>
  <c r="A1773" i="5"/>
  <c r="M1772" i="5"/>
  <c r="K1772" i="5"/>
  <c r="H1772" i="5"/>
  <c r="F1772" i="5"/>
  <c r="C1772" i="5"/>
  <c r="A1772" i="5"/>
  <c r="G1772" i="5" s="1"/>
  <c r="K1771" i="5"/>
  <c r="H1771" i="5"/>
  <c r="G1771" i="5"/>
  <c r="F1771" i="5"/>
  <c r="E1771" i="5"/>
  <c r="C1771" i="5"/>
  <c r="B1771" i="5"/>
  <c r="A1771" i="5"/>
  <c r="M1771" i="5" s="1"/>
  <c r="A1770" i="5"/>
  <c r="E1769" i="5"/>
  <c r="A1769" i="5"/>
  <c r="F1769" i="5" s="1"/>
  <c r="G1768" i="5"/>
  <c r="C1768" i="5"/>
  <c r="A1768" i="5"/>
  <c r="L1768" i="5" s="1"/>
  <c r="M1767" i="5"/>
  <c r="L1767" i="5"/>
  <c r="I1767" i="5"/>
  <c r="H1767" i="5"/>
  <c r="C1767" i="5"/>
  <c r="A1767" i="5"/>
  <c r="G1767" i="5" s="1"/>
  <c r="D1766" i="5"/>
  <c r="A1766" i="5"/>
  <c r="C1765" i="5"/>
  <c r="A1765" i="5"/>
  <c r="M1764" i="5"/>
  <c r="A1764" i="5"/>
  <c r="L1764" i="5" s="1"/>
  <c r="H1763" i="5"/>
  <c r="G1763" i="5"/>
  <c r="F1763" i="5"/>
  <c r="C1763" i="5"/>
  <c r="A1763" i="5"/>
  <c r="M1763" i="5" s="1"/>
  <c r="A1762" i="5"/>
  <c r="F1761" i="5"/>
  <c r="E1761" i="5"/>
  <c r="D1761" i="5"/>
  <c r="A1761" i="5"/>
  <c r="M1760" i="5"/>
  <c r="A1760" i="5"/>
  <c r="C1760" i="5" s="1"/>
  <c r="K1759" i="5"/>
  <c r="H1759" i="5"/>
  <c r="G1759" i="5"/>
  <c r="F1759" i="5"/>
  <c r="E1759" i="5"/>
  <c r="C1759" i="5"/>
  <c r="A1759" i="5"/>
  <c r="M1759" i="5" s="1"/>
  <c r="H1758" i="5"/>
  <c r="G1758" i="5"/>
  <c r="F1758" i="5"/>
  <c r="E1758" i="5"/>
  <c r="A1758" i="5"/>
  <c r="D1758" i="5" s="1"/>
  <c r="I1757" i="5"/>
  <c r="G1757" i="5"/>
  <c r="A1757" i="5"/>
  <c r="H1756" i="5"/>
  <c r="G1756" i="5"/>
  <c r="F1756" i="5"/>
  <c r="E1756" i="5"/>
  <c r="A1756" i="5"/>
  <c r="L1756" i="5" s="1"/>
  <c r="L1755" i="5"/>
  <c r="K1755" i="5"/>
  <c r="G1755" i="5"/>
  <c r="A1755" i="5"/>
  <c r="H1755" i="5" s="1"/>
  <c r="A1754" i="5"/>
  <c r="M1753" i="5"/>
  <c r="F1753" i="5"/>
  <c r="C1753" i="5"/>
  <c r="A1753" i="5"/>
  <c r="E1753" i="5" s="1"/>
  <c r="C1752" i="5"/>
  <c r="A1752" i="5"/>
  <c r="G1751" i="5"/>
  <c r="A1751" i="5"/>
  <c r="H1751" i="5" s="1"/>
  <c r="K1750" i="5"/>
  <c r="F1750" i="5"/>
  <c r="E1750" i="5"/>
  <c r="D1750" i="5"/>
  <c r="C1750" i="5"/>
  <c r="A1750" i="5"/>
  <c r="L1750" i="5" s="1"/>
  <c r="L1749" i="5"/>
  <c r="A1749" i="5"/>
  <c r="J1749" i="5" s="1"/>
  <c r="C1748" i="5"/>
  <c r="A1748" i="5"/>
  <c r="L1747" i="5"/>
  <c r="K1747" i="5"/>
  <c r="J1747" i="5"/>
  <c r="I1747" i="5"/>
  <c r="H1747" i="5"/>
  <c r="G1747" i="5"/>
  <c r="F1747" i="5"/>
  <c r="E1747" i="5"/>
  <c r="C1747" i="5"/>
  <c r="B1747" i="5"/>
  <c r="A1747" i="5"/>
  <c r="M1747" i="5" s="1"/>
  <c r="M1746" i="5"/>
  <c r="G1746" i="5"/>
  <c r="F1746" i="5"/>
  <c r="D1746" i="5"/>
  <c r="A1746" i="5"/>
  <c r="D1745" i="5"/>
  <c r="A1745" i="5"/>
  <c r="I1744" i="5"/>
  <c r="G1744" i="5"/>
  <c r="A1744" i="5"/>
  <c r="F1744" i="5" s="1"/>
  <c r="A1743" i="5"/>
  <c r="L1742" i="5"/>
  <c r="K1742" i="5"/>
  <c r="H1742" i="5"/>
  <c r="C1742" i="5"/>
  <c r="A1742" i="5"/>
  <c r="D1741" i="5"/>
  <c r="C1741" i="5"/>
  <c r="A1741" i="5"/>
  <c r="A1740" i="5"/>
  <c r="A1739" i="5"/>
  <c r="K1738" i="5"/>
  <c r="G1738" i="5"/>
  <c r="F1738" i="5"/>
  <c r="A1738" i="5"/>
  <c r="E1738" i="5" s="1"/>
  <c r="A1737" i="5"/>
  <c r="J1736" i="5"/>
  <c r="A1736" i="5"/>
  <c r="K1736" i="5" s="1"/>
  <c r="J1735" i="5"/>
  <c r="I1735" i="5"/>
  <c r="H1735" i="5"/>
  <c r="G1735" i="5"/>
  <c r="E1735" i="5"/>
  <c r="A1735" i="5"/>
  <c r="M1735" i="5" s="1"/>
  <c r="H1734" i="5"/>
  <c r="F1734" i="5"/>
  <c r="E1734" i="5"/>
  <c r="D1734" i="5"/>
  <c r="A1734" i="5"/>
  <c r="M1734" i="5" s="1"/>
  <c r="A1733" i="5"/>
  <c r="C1732" i="5"/>
  <c r="A1732" i="5"/>
  <c r="M1731" i="5"/>
  <c r="L1731" i="5"/>
  <c r="K1731" i="5"/>
  <c r="I1731" i="5"/>
  <c r="H1731" i="5"/>
  <c r="F1731" i="5"/>
  <c r="A1731" i="5"/>
  <c r="G1731" i="5" s="1"/>
  <c r="M1730" i="5"/>
  <c r="L1730" i="5"/>
  <c r="K1730" i="5"/>
  <c r="I1730" i="5"/>
  <c r="H1730" i="5"/>
  <c r="G1730" i="5"/>
  <c r="E1730" i="5"/>
  <c r="D1730" i="5"/>
  <c r="C1730" i="5"/>
  <c r="A1730" i="5"/>
  <c r="A1729" i="5"/>
  <c r="G1728" i="5"/>
  <c r="E1728" i="5"/>
  <c r="D1728" i="5"/>
  <c r="C1728" i="5"/>
  <c r="A1728" i="5"/>
  <c r="M1728" i="5" s="1"/>
  <c r="C1727" i="5"/>
  <c r="A1727" i="5"/>
  <c r="A1726" i="5"/>
  <c r="M1725" i="5"/>
  <c r="L1725" i="5"/>
  <c r="J1725" i="5"/>
  <c r="H1725" i="5"/>
  <c r="F1725" i="5"/>
  <c r="A1725" i="5"/>
  <c r="G1725" i="5" s="1"/>
  <c r="M1724" i="5"/>
  <c r="K1724" i="5"/>
  <c r="J1724" i="5"/>
  <c r="H1724" i="5"/>
  <c r="G1724" i="5"/>
  <c r="F1724" i="5"/>
  <c r="E1724" i="5"/>
  <c r="D1724" i="5"/>
  <c r="C1724" i="5"/>
  <c r="A1724" i="5"/>
  <c r="L1723" i="5"/>
  <c r="K1723" i="5"/>
  <c r="J1723" i="5"/>
  <c r="I1723" i="5"/>
  <c r="H1723" i="5"/>
  <c r="G1723" i="5"/>
  <c r="F1723" i="5"/>
  <c r="E1723" i="5"/>
  <c r="D1723" i="5"/>
  <c r="C1723" i="5"/>
  <c r="B1723" i="5"/>
  <c r="A1723" i="5"/>
  <c r="M1723" i="5" s="1"/>
  <c r="D1722" i="5"/>
  <c r="A1722" i="5"/>
  <c r="H1721" i="5"/>
  <c r="A1721" i="5"/>
  <c r="M1721" i="5" s="1"/>
  <c r="C1720" i="5"/>
  <c r="A1720" i="5"/>
  <c r="E1720" i="5" s="1"/>
  <c r="A1719" i="5"/>
  <c r="L1718" i="5"/>
  <c r="I1718" i="5"/>
  <c r="H1718" i="5"/>
  <c r="G1718" i="5"/>
  <c r="E1718" i="5"/>
  <c r="C1718" i="5"/>
  <c r="A1718" i="5"/>
  <c r="F1718" i="5" s="1"/>
  <c r="A1717" i="5"/>
  <c r="M1716" i="5"/>
  <c r="L1716" i="5"/>
  <c r="K1716" i="5"/>
  <c r="J1716" i="5"/>
  <c r="I1716" i="5"/>
  <c r="G1716" i="5"/>
  <c r="D1716" i="5"/>
  <c r="B1716" i="5"/>
  <c r="A1716" i="5"/>
  <c r="E1716" i="5" s="1"/>
  <c r="B1715" i="5"/>
  <c r="A1715" i="5"/>
  <c r="L1714" i="5"/>
  <c r="K1714" i="5"/>
  <c r="F1714" i="5"/>
  <c r="A1714" i="5"/>
  <c r="G1714" i="5" s="1"/>
  <c r="J1713" i="5"/>
  <c r="G1713" i="5"/>
  <c r="E1713" i="5"/>
  <c r="D1713" i="5"/>
  <c r="C1713" i="5"/>
  <c r="A1713" i="5"/>
  <c r="L1713" i="5" s="1"/>
  <c r="A1712" i="5"/>
  <c r="D1711" i="5"/>
  <c r="B1711" i="5"/>
  <c r="A1711" i="5"/>
  <c r="D1710" i="5"/>
  <c r="A1710" i="5"/>
  <c r="F1710" i="5" s="1"/>
  <c r="A1709" i="5"/>
  <c r="F1708" i="5"/>
  <c r="E1708" i="5"/>
  <c r="A1708" i="5"/>
  <c r="D1707" i="5"/>
  <c r="B1707" i="5"/>
  <c r="A1707" i="5"/>
  <c r="C1707" i="5" s="1"/>
  <c r="G1706" i="5"/>
  <c r="E1706" i="5"/>
  <c r="D1706" i="5"/>
  <c r="C1706" i="5"/>
  <c r="A1706" i="5"/>
  <c r="F1706" i="5" s="1"/>
  <c r="M1705" i="5"/>
  <c r="L1705" i="5"/>
  <c r="E1705" i="5"/>
  <c r="C1705" i="5"/>
  <c r="A1705" i="5"/>
  <c r="F1705" i="5" s="1"/>
  <c r="M1704" i="5"/>
  <c r="L1704" i="5"/>
  <c r="K1704" i="5"/>
  <c r="J1704" i="5"/>
  <c r="E1704" i="5"/>
  <c r="A1704" i="5"/>
  <c r="I1704" i="5" s="1"/>
  <c r="H1703" i="5"/>
  <c r="G1703" i="5"/>
  <c r="E1703" i="5"/>
  <c r="C1703" i="5"/>
  <c r="A1703" i="5"/>
  <c r="B1703" i="5" s="1"/>
  <c r="A1702" i="5"/>
  <c r="L1701" i="5"/>
  <c r="I1701" i="5"/>
  <c r="D1701" i="5"/>
  <c r="A1701" i="5"/>
  <c r="J1701" i="5" s="1"/>
  <c r="M1700" i="5"/>
  <c r="J1700" i="5"/>
  <c r="I1700" i="5"/>
  <c r="H1700" i="5"/>
  <c r="F1700" i="5"/>
  <c r="E1700" i="5"/>
  <c r="D1700" i="5"/>
  <c r="C1700" i="5"/>
  <c r="A1700" i="5"/>
  <c r="K1700" i="5" s="1"/>
  <c r="L1699" i="5"/>
  <c r="K1699" i="5"/>
  <c r="J1699" i="5"/>
  <c r="I1699" i="5"/>
  <c r="H1699" i="5"/>
  <c r="G1699" i="5"/>
  <c r="F1699" i="5"/>
  <c r="E1699" i="5"/>
  <c r="D1699" i="5"/>
  <c r="C1699" i="5"/>
  <c r="B1699" i="5"/>
  <c r="A1699" i="5"/>
  <c r="M1699" i="5" s="1"/>
  <c r="M1698" i="5"/>
  <c r="J1698" i="5"/>
  <c r="H1698" i="5"/>
  <c r="G1698" i="5"/>
  <c r="F1698" i="5"/>
  <c r="D1698" i="5"/>
  <c r="A1698" i="5"/>
  <c r="E1698" i="5" s="1"/>
  <c r="A1697" i="5"/>
  <c r="B1697" i="5" s="1"/>
  <c r="A1696" i="5"/>
  <c r="M1695" i="5"/>
  <c r="I1695" i="5"/>
  <c r="H1695" i="5"/>
  <c r="F1695" i="5"/>
  <c r="C1695" i="5"/>
  <c r="A1695" i="5"/>
  <c r="D1695" i="5" s="1"/>
  <c r="K1694" i="5"/>
  <c r="J1694" i="5"/>
  <c r="I1694" i="5"/>
  <c r="H1694" i="5"/>
  <c r="E1694" i="5"/>
  <c r="A1694" i="5"/>
  <c r="F1694" i="5" s="1"/>
  <c r="A1693" i="5"/>
  <c r="L1692" i="5"/>
  <c r="K1692" i="5"/>
  <c r="B1692" i="5"/>
  <c r="A1692" i="5"/>
  <c r="M1692" i="5" s="1"/>
  <c r="M1691" i="5"/>
  <c r="L1691" i="5"/>
  <c r="K1691" i="5"/>
  <c r="J1691" i="5"/>
  <c r="E1691" i="5"/>
  <c r="C1691" i="5"/>
  <c r="A1691" i="5"/>
  <c r="H1691" i="5" s="1"/>
  <c r="M1690" i="5"/>
  <c r="L1690" i="5"/>
  <c r="K1690" i="5"/>
  <c r="I1690" i="5"/>
  <c r="G1690" i="5"/>
  <c r="A1690" i="5"/>
  <c r="H1690" i="5" s="1"/>
  <c r="A1689" i="5"/>
  <c r="K1688" i="5"/>
  <c r="J1688" i="5"/>
  <c r="I1688" i="5"/>
  <c r="A1688" i="5"/>
  <c r="H1688" i="5" s="1"/>
  <c r="F1687" i="5"/>
  <c r="E1687" i="5"/>
  <c r="D1687" i="5"/>
  <c r="C1687" i="5"/>
  <c r="A1687" i="5"/>
  <c r="M1687" i="5" s="1"/>
  <c r="A1686" i="5"/>
  <c r="A1685" i="5"/>
  <c r="A1684" i="5"/>
  <c r="J1683" i="5"/>
  <c r="I1683" i="5"/>
  <c r="F1683" i="5"/>
  <c r="A1683" i="5"/>
  <c r="G1683" i="5" s="1"/>
  <c r="G1682" i="5"/>
  <c r="E1682" i="5"/>
  <c r="D1682" i="5"/>
  <c r="C1682" i="5"/>
  <c r="A1682" i="5"/>
  <c r="F1682" i="5" s="1"/>
  <c r="A1681" i="5"/>
  <c r="E1681" i="5" s="1"/>
  <c r="A1680" i="5"/>
  <c r="L1679" i="5"/>
  <c r="K1679" i="5"/>
  <c r="J1679" i="5"/>
  <c r="F1679" i="5"/>
  <c r="A1679" i="5"/>
  <c r="M1679" i="5" s="1"/>
  <c r="I1678" i="5"/>
  <c r="H1678" i="5"/>
  <c r="D1678" i="5"/>
  <c r="A1678" i="5"/>
  <c r="M1677" i="5"/>
  <c r="I1677" i="5"/>
  <c r="H1677" i="5"/>
  <c r="G1677" i="5"/>
  <c r="D1677" i="5"/>
  <c r="B1677" i="5"/>
  <c r="A1677" i="5"/>
  <c r="C1677" i="5" s="1"/>
  <c r="A1676" i="5"/>
  <c r="L1675" i="5"/>
  <c r="A1675" i="5"/>
  <c r="L1674" i="5"/>
  <c r="K1674" i="5"/>
  <c r="J1674" i="5"/>
  <c r="H1674" i="5"/>
  <c r="G1674" i="5"/>
  <c r="F1674" i="5"/>
  <c r="A1674" i="5"/>
  <c r="H1673" i="5"/>
  <c r="G1673" i="5"/>
  <c r="F1673" i="5"/>
  <c r="E1673" i="5"/>
  <c r="A1673" i="5"/>
  <c r="L1673" i="5" s="1"/>
  <c r="C1672" i="5"/>
  <c r="A1672" i="5"/>
  <c r="K1671" i="5"/>
  <c r="J1671" i="5"/>
  <c r="H1671" i="5"/>
  <c r="D1671" i="5"/>
  <c r="B1671" i="5"/>
  <c r="A1671" i="5"/>
  <c r="C1671" i="5" s="1"/>
  <c r="K1670" i="5"/>
  <c r="J1670" i="5"/>
  <c r="I1670" i="5"/>
  <c r="H1670" i="5"/>
  <c r="E1670" i="5"/>
  <c r="A1670" i="5"/>
  <c r="F1670" i="5" s="1"/>
  <c r="I1669" i="5"/>
  <c r="F1669" i="5"/>
  <c r="E1669" i="5"/>
  <c r="D1669" i="5"/>
  <c r="A1669" i="5"/>
  <c r="C1669" i="5" s="1"/>
  <c r="A1668" i="5"/>
  <c r="D1668" i="5" s="1"/>
  <c r="A1667" i="5"/>
  <c r="M1666" i="5"/>
  <c r="L1666" i="5"/>
  <c r="K1666" i="5"/>
  <c r="I1666" i="5"/>
  <c r="F1666" i="5"/>
  <c r="D1666" i="5"/>
  <c r="B1666" i="5"/>
  <c r="A1666" i="5"/>
  <c r="A1665" i="5"/>
  <c r="J1664" i="5"/>
  <c r="I1664" i="5"/>
  <c r="H1664" i="5"/>
  <c r="F1664" i="5"/>
  <c r="C1664" i="5"/>
  <c r="A1664" i="5"/>
  <c r="D1664" i="5" s="1"/>
  <c r="K1663" i="5"/>
  <c r="H1663" i="5"/>
  <c r="G1663" i="5"/>
  <c r="F1663" i="5"/>
  <c r="E1663" i="5"/>
  <c r="C1663" i="5"/>
  <c r="A1663" i="5"/>
  <c r="M1663" i="5" s="1"/>
  <c r="H1662" i="5"/>
  <c r="A1662" i="5"/>
  <c r="A1661" i="5"/>
  <c r="M1660" i="5"/>
  <c r="J1660" i="5"/>
  <c r="I1660" i="5"/>
  <c r="H1660" i="5"/>
  <c r="G1660" i="5"/>
  <c r="E1660" i="5"/>
  <c r="C1660" i="5"/>
  <c r="A1660" i="5"/>
  <c r="L1660" i="5" s="1"/>
  <c r="M1659" i="5"/>
  <c r="K1659" i="5"/>
  <c r="I1659" i="5"/>
  <c r="H1659" i="5"/>
  <c r="F1659" i="5"/>
  <c r="A1659" i="5"/>
  <c r="J1659" i="5" s="1"/>
  <c r="L1658" i="5"/>
  <c r="K1658" i="5"/>
  <c r="J1658" i="5"/>
  <c r="I1658" i="5"/>
  <c r="H1658" i="5"/>
  <c r="G1658" i="5"/>
  <c r="E1658" i="5"/>
  <c r="D1658" i="5"/>
  <c r="C1658" i="5"/>
  <c r="B1658" i="5"/>
  <c r="A1658" i="5"/>
  <c r="F1658" i="5" s="1"/>
  <c r="A1657" i="5"/>
  <c r="E1656" i="5"/>
  <c r="A1656" i="5"/>
  <c r="J1656" i="5" s="1"/>
  <c r="B1655" i="5"/>
  <c r="A1655" i="5"/>
  <c r="M1654" i="5"/>
  <c r="L1654" i="5"/>
  <c r="K1654" i="5"/>
  <c r="G1654" i="5"/>
  <c r="F1654" i="5"/>
  <c r="C1654" i="5"/>
  <c r="A1654" i="5"/>
  <c r="A1653" i="5"/>
  <c r="A1652" i="5"/>
  <c r="B1651" i="5"/>
  <c r="A1651" i="5"/>
  <c r="C1650" i="5"/>
  <c r="A1650" i="5"/>
  <c r="M1649" i="5"/>
  <c r="L1649" i="5"/>
  <c r="K1649" i="5"/>
  <c r="I1649" i="5"/>
  <c r="H1649" i="5"/>
  <c r="G1649" i="5"/>
  <c r="B1649" i="5"/>
  <c r="A1649" i="5"/>
  <c r="F1649" i="5" s="1"/>
  <c r="A1648" i="5"/>
  <c r="I1648" i="5" s="1"/>
  <c r="M1647" i="5"/>
  <c r="J1647" i="5"/>
  <c r="I1647" i="5"/>
  <c r="H1647" i="5"/>
  <c r="G1647" i="5"/>
  <c r="D1647" i="5"/>
  <c r="C1647" i="5"/>
  <c r="A1647" i="5"/>
  <c r="K1647" i="5" s="1"/>
  <c r="L1646" i="5"/>
  <c r="K1646" i="5"/>
  <c r="J1646" i="5"/>
  <c r="I1646" i="5"/>
  <c r="H1646" i="5"/>
  <c r="G1646" i="5"/>
  <c r="E1646" i="5"/>
  <c r="D1646" i="5"/>
  <c r="B1646" i="5"/>
  <c r="A1646" i="5"/>
  <c r="F1646" i="5" s="1"/>
  <c r="K1645" i="5"/>
  <c r="I1645" i="5"/>
  <c r="H1645" i="5"/>
  <c r="F1645" i="5"/>
  <c r="D1645" i="5"/>
  <c r="A1645" i="5"/>
  <c r="E1645" i="5" s="1"/>
  <c r="A1644" i="5"/>
  <c r="A1643" i="5"/>
  <c r="M1642" i="5"/>
  <c r="L1642" i="5"/>
  <c r="H1642" i="5"/>
  <c r="G1642" i="5"/>
  <c r="D1642" i="5"/>
  <c r="C1642" i="5"/>
  <c r="A1642" i="5"/>
  <c r="L1641" i="5"/>
  <c r="B1641" i="5"/>
  <c r="A1641" i="5"/>
  <c r="M1640" i="5"/>
  <c r="K1640" i="5"/>
  <c r="E1640" i="5"/>
  <c r="D1640" i="5"/>
  <c r="A1640" i="5"/>
  <c r="B1640" i="5" s="1"/>
  <c r="F1639" i="5"/>
  <c r="E1639" i="5"/>
  <c r="D1639" i="5"/>
  <c r="C1639" i="5"/>
  <c r="A1639" i="5"/>
  <c r="M1639" i="5" s="1"/>
  <c r="A1638" i="5"/>
  <c r="M1637" i="5"/>
  <c r="L1637" i="5"/>
  <c r="K1637" i="5"/>
  <c r="I1637" i="5"/>
  <c r="H1637" i="5"/>
  <c r="G1637" i="5"/>
  <c r="E1637" i="5"/>
  <c r="B1637" i="5"/>
  <c r="A1637" i="5"/>
  <c r="D1637" i="5" s="1"/>
  <c r="A1636" i="5"/>
  <c r="I1636" i="5" s="1"/>
  <c r="K1635" i="5"/>
  <c r="J1635" i="5"/>
  <c r="I1635" i="5"/>
  <c r="A1635" i="5"/>
  <c r="D1635" i="5" s="1"/>
  <c r="L1634" i="5"/>
  <c r="K1634" i="5"/>
  <c r="I1634" i="5"/>
  <c r="E1634" i="5"/>
  <c r="D1634" i="5"/>
  <c r="C1634" i="5"/>
  <c r="B1634" i="5"/>
  <c r="A1634" i="5"/>
  <c r="F1634" i="5" s="1"/>
  <c r="D1633" i="5"/>
  <c r="C1633" i="5"/>
  <c r="A1633" i="5"/>
  <c r="K1632" i="5"/>
  <c r="F1632" i="5"/>
  <c r="A1632" i="5"/>
  <c r="I1632" i="5" s="1"/>
  <c r="A1631" i="5"/>
  <c r="F1630" i="5"/>
  <c r="D1630" i="5"/>
  <c r="A1630" i="5"/>
  <c r="A1629" i="5"/>
  <c r="E1628" i="5"/>
  <c r="A1628" i="5"/>
  <c r="M1628" i="5" s="1"/>
  <c r="K1627" i="5"/>
  <c r="H1627" i="5"/>
  <c r="G1627" i="5"/>
  <c r="F1627" i="5"/>
  <c r="E1627" i="5"/>
  <c r="C1627" i="5"/>
  <c r="A1627" i="5"/>
  <c r="M1627" i="5" s="1"/>
  <c r="F1626" i="5"/>
  <c r="A1626" i="5"/>
  <c r="M1625" i="5"/>
  <c r="L1625" i="5"/>
  <c r="H1625" i="5"/>
  <c r="A1625" i="5"/>
  <c r="I1625" i="5" s="1"/>
  <c r="H1624" i="5"/>
  <c r="G1624" i="5"/>
  <c r="E1624" i="5"/>
  <c r="C1624" i="5"/>
  <c r="A1624" i="5"/>
  <c r="B1624" i="5" s="1"/>
  <c r="A1623" i="5"/>
  <c r="L1622" i="5"/>
  <c r="K1622" i="5"/>
  <c r="J1622" i="5"/>
  <c r="I1622" i="5"/>
  <c r="H1622" i="5"/>
  <c r="G1622" i="5"/>
  <c r="E1622" i="5"/>
  <c r="C1622" i="5"/>
  <c r="B1622" i="5"/>
  <c r="A1622" i="5"/>
  <c r="F1622" i="5" s="1"/>
  <c r="M1621" i="5"/>
  <c r="K1621" i="5"/>
  <c r="J1621" i="5"/>
  <c r="I1621" i="5"/>
  <c r="F1621" i="5"/>
  <c r="A1621" i="5"/>
  <c r="H1621" i="5" s="1"/>
  <c r="L1620" i="5"/>
  <c r="I1620" i="5"/>
  <c r="G1620" i="5"/>
  <c r="F1620" i="5"/>
  <c r="E1620" i="5"/>
  <c r="B1620" i="5"/>
  <c r="A1620" i="5"/>
  <c r="D1620" i="5" s="1"/>
  <c r="A1619" i="5"/>
  <c r="A1618" i="5"/>
  <c r="M1617" i="5"/>
  <c r="J1617" i="5"/>
  <c r="I1617" i="5"/>
  <c r="A1617" i="5"/>
  <c r="A1616" i="5"/>
  <c r="A1615" i="5"/>
  <c r="A1614" i="5"/>
  <c r="M1613" i="5"/>
  <c r="G1613" i="5"/>
  <c r="A1613" i="5"/>
  <c r="C1612" i="5"/>
  <c r="A1612" i="5"/>
  <c r="M1611" i="5"/>
  <c r="J1611" i="5"/>
  <c r="G1611" i="5"/>
  <c r="D1611" i="5"/>
  <c r="C1611" i="5"/>
  <c r="B1611" i="5"/>
  <c r="A1611" i="5"/>
  <c r="K1611" i="5" s="1"/>
  <c r="D1610" i="5"/>
  <c r="C1610" i="5"/>
  <c r="B1610" i="5"/>
  <c r="A1610" i="5"/>
  <c r="K1609" i="5"/>
  <c r="J1609" i="5"/>
  <c r="H1609" i="5"/>
  <c r="F1609" i="5"/>
  <c r="C1609" i="5"/>
  <c r="A1609" i="5"/>
  <c r="E1609" i="5" s="1"/>
  <c r="G1608" i="5"/>
  <c r="A1608" i="5"/>
  <c r="M1607" i="5"/>
  <c r="A1607" i="5"/>
  <c r="A1606" i="5"/>
  <c r="F1606" i="5" s="1"/>
  <c r="L1605" i="5"/>
  <c r="J1605" i="5"/>
  <c r="I1605" i="5"/>
  <c r="G1605" i="5"/>
  <c r="E1605" i="5"/>
  <c r="C1605" i="5"/>
  <c r="B1605" i="5"/>
  <c r="A1605" i="5"/>
  <c r="D1605" i="5" s="1"/>
  <c r="I1604" i="5"/>
  <c r="H1604" i="5"/>
  <c r="D1604" i="5"/>
  <c r="C1604" i="5"/>
  <c r="A1604" i="5"/>
  <c r="L1603" i="5"/>
  <c r="K1603" i="5"/>
  <c r="J1603" i="5"/>
  <c r="H1603" i="5"/>
  <c r="E1603" i="5"/>
  <c r="D1603" i="5"/>
  <c r="C1603" i="5"/>
  <c r="B1603" i="5"/>
  <c r="A1603" i="5"/>
  <c r="M1603" i="5" s="1"/>
  <c r="M1602" i="5"/>
  <c r="A1602" i="5"/>
  <c r="L1602" i="5" s="1"/>
  <c r="A1601" i="5"/>
  <c r="M1600" i="5"/>
  <c r="L1600" i="5"/>
  <c r="J1600" i="5"/>
  <c r="I1600" i="5"/>
  <c r="G1600" i="5"/>
  <c r="F1600" i="5"/>
  <c r="B1600" i="5"/>
  <c r="A1600" i="5"/>
  <c r="E1600" i="5" s="1"/>
  <c r="J1599" i="5"/>
  <c r="F1599" i="5"/>
  <c r="D1599" i="5"/>
  <c r="B1599" i="5"/>
  <c r="A1599" i="5"/>
  <c r="K1599" i="5" s="1"/>
  <c r="G1598" i="5"/>
  <c r="D1598" i="5"/>
  <c r="B1598" i="5"/>
  <c r="A1598" i="5"/>
  <c r="A1597" i="5"/>
  <c r="K1596" i="5"/>
  <c r="J1596" i="5"/>
  <c r="A1596" i="5"/>
  <c r="B1596" i="5" s="1"/>
  <c r="A1595" i="5"/>
  <c r="M1594" i="5"/>
  <c r="L1594" i="5"/>
  <c r="K1594" i="5"/>
  <c r="I1594" i="5"/>
  <c r="H1594" i="5"/>
  <c r="F1594" i="5"/>
  <c r="E1594" i="5"/>
  <c r="B1594" i="5"/>
  <c r="A1594" i="5"/>
  <c r="D1594" i="5" s="1"/>
  <c r="A1593" i="5"/>
  <c r="F1593" i="5" s="1"/>
  <c r="F1592" i="5"/>
  <c r="A1592" i="5"/>
  <c r="H1592" i="5" s="1"/>
  <c r="K1591" i="5"/>
  <c r="H1591" i="5"/>
  <c r="G1591" i="5"/>
  <c r="F1591" i="5"/>
  <c r="E1591" i="5"/>
  <c r="C1591" i="5"/>
  <c r="A1591" i="5"/>
  <c r="M1591" i="5" s="1"/>
  <c r="A1590" i="5"/>
  <c r="E1590" i="5" s="1"/>
  <c r="A1589" i="5"/>
  <c r="L1588" i="5"/>
  <c r="K1588" i="5"/>
  <c r="J1588" i="5"/>
  <c r="I1588" i="5"/>
  <c r="G1588" i="5"/>
  <c r="F1588" i="5"/>
  <c r="A1588" i="5"/>
  <c r="M1588" i="5" s="1"/>
  <c r="M1587" i="5"/>
  <c r="J1587" i="5"/>
  <c r="I1587" i="5"/>
  <c r="G1587" i="5"/>
  <c r="F1587" i="5"/>
  <c r="B1587" i="5"/>
  <c r="A1587" i="5"/>
  <c r="D1587" i="5" s="1"/>
  <c r="J1586" i="5"/>
  <c r="E1586" i="5"/>
  <c r="A1586" i="5"/>
  <c r="G1586" i="5" s="1"/>
  <c r="I1585" i="5"/>
  <c r="F1585" i="5"/>
  <c r="D1585" i="5"/>
  <c r="B1585" i="5"/>
  <c r="A1585" i="5"/>
  <c r="M1585" i="5" s="1"/>
  <c r="M1584" i="5"/>
  <c r="L1584" i="5"/>
  <c r="K1584" i="5"/>
  <c r="A1584" i="5"/>
  <c r="J1583" i="5"/>
  <c r="H1583" i="5"/>
  <c r="A1583" i="5"/>
  <c r="F1582" i="5"/>
  <c r="A1582" i="5"/>
  <c r="A1581" i="5"/>
  <c r="M1580" i="5"/>
  <c r="L1580" i="5"/>
  <c r="K1580" i="5"/>
  <c r="I1580" i="5"/>
  <c r="H1580" i="5"/>
  <c r="G1580" i="5"/>
  <c r="E1580" i="5"/>
  <c r="D1580" i="5"/>
  <c r="C1580" i="5"/>
  <c r="B1580" i="5"/>
  <c r="A1580" i="5"/>
  <c r="M1579" i="5"/>
  <c r="L1579" i="5"/>
  <c r="J1579" i="5"/>
  <c r="I1579" i="5"/>
  <c r="H1579" i="5"/>
  <c r="F1579" i="5"/>
  <c r="E1579" i="5"/>
  <c r="D1579" i="5"/>
  <c r="B1579" i="5"/>
  <c r="A1579" i="5"/>
  <c r="C1579" i="5" s="1"/>
  <c r="B1578" i="5"/>
  <c r="A1578" i="5"/>
  <c r="D1578" i="5" s="1"/>
  <c r="B1577" i="5"/>
  <c r="A1577" i="5"/>
  <c r="I1576" i="5"/>
  <c r="F1576" i="5"/>
  <c r="D1576" i="5"/>
  <c r="A1576" i="5"/>
  <c r="E1576" i="5" s="1"/>
  <c r="B1575" i="5"/>
  <c r="A1575" i="5"/>
  <c r="A1574" i="5"/>
  <c r="L1573" i="5"/>
  <c r="B1573" i="5"/>
  <c r="A1573" i="5"/>
  <c r="M1572" i="5"/>
  <c r="L1572" i="5"/>
  <c r="J1572" i="5"/>
  <c r="A1572" i="5"/>
  <c r="K1572" i="5" s="1"/>
  <c r="L1571" i="5"/>
  <c r="I1571" i="5"/>
  <c r="E1571" i="5"/>
  <c r="D1571" i="5"/>
  <c r="B1571" i="5"/>
  <c r="A1571" i="5"/>
  <c r="M1571" i="5" s="1"/>
  <c r="M1570" i="5"/>
  <c r="A1570" i="5"/>
  <c r="K1570" i="5" s="1"/>
  <c r="J1569" i="5"/>
  <c r="H1569" i="5"/>
  <c r="G1569" i="5"/>
  <c r="A1569" i="5"/>
  <c r="M1568" i="5"/>
  <c r="K1568" i="5"/>
  <c r="I1568" i="5"/>
  <c r="H1568" i="5"/>
  <c r="E1568" i="5"/>
  <c r="D1568" i="5"/>
  <c r="A1568" i="5"/>
  <c r="L1568" i="5" s="1"/>
  <c r="M1567" i="5"/>
  <c r="L1567" i="5"/>
  <c r="J1567" i="5"/>
  <c r="I1567" i="5"/>
  <c r="H1567" i="5"/>
  <c r="F1567" i="5"/>
  <c r="E1567" i="5"/>
  <c r="D1567" i="5"/>
  <c r="B1567" i="5"/>
  <c r="A1567" i="5"/>
  <c r="C1567" i="5" s="1"/>
  <c r="K1566" i="5"/>
  <c r="J1566" i="5"/>
  <c r="I1566" i="5"/>
  <c r="G1566" i="5"/>
  <c r="E1566" i="5"/>
  <c r="A1566" i="5"/>
  <c r="F1566" i="5" s="1"/>
  <c r="L1565" i="5"/>
  <c r="J1565" i="5"/>
  <c r="H1565" i="5"/>
  <c r="G1565" i="5"/>
  <c r="F1565" i="5"/>
  <c r="E1565" i="5"/>
  <c r="D1565" i="5"/>
  <c r="C1565" i="5"/>
  <c r="B1565" i="5"/>
  <c r="A1565" i="5"/>
  <c r="M1565" i="5" s="1"/>
  <c r="E1564" i="5"/>
  <c r="D1564" i="5"/>
  <c r="A1564" i="5"/>
  <c r="A1563" i="5"/>
  <c r="K1562" i="5"/>
  <c r="A1562" i="5"/>
  <c r="M1562" i="5" s="1"/>
  <c r="L1561" i="5"/>
  <c r="J1561" i="5"/>
  <c r="I1561" i="5"/>
  <c r="H1561" i="5"/>
  <c r="G1561" i="5"/>
  <c r="F1561" i="5"/>
  <c r="D1561" i="5"/>
  <c r="C1561" i="5"/>
  <c r="B1561" i="5"/>
  <c r="A1561" i="5"/>
  <c r="E1561" i="5" s="1"/>
  <c r="E1560" i="5"/>
  <c r="A1560" i="5"/>
  <c r="L1559" i="5"/>
  <c r="K1559" i="5"/>
  <c r="J1559" i="5"/>
  <c r="I1559" i="5"/>
  <c r="D1559" i="5"/>
  <c r="A1559" i="5"/>
  <c r="E1559" i="5" s="1"/>
  <c r="A1558" i="5"/>
  <c r="A1557" i="5"/>
  <c r="M1556" i="5"/>
  <c r="K1556" i="5"/>
  <c r="I1556" i="5"/>
  <c r="H1556" i="5"/>
  <c r="G1556" i="5"/>
  <c r="D1556" i="5"/>
  <c r="A1556" i="5"/>
  <c r="L1556" i="5" s="1"/>
  <c r="L1555" i="5"/>
  <c r="J1555" i="5"/>
  <c r="I1555" i="5"/>
  <c r="H1555" i="5"/>
  <c r="F1555" i="5"/>
  <c r="E1555" i="5"/>
  <c r="D1555" i="5"/>
  <c r="C1555" i="5"/>
  <c r="A1555" i="5"/>
  <c r="M1555" i="5" s="1"/>
  <c r="M1554" i="5"/>
  <c r="I1554" i="5"/>
  <c r="G1554" i="5"/>
  <c r="F1554" i="5"/>
  <c r="E1554" i="5"/>
  <c r="C1554" i="5"/>
  <c r="A1554" i="5"/>
  <c r="D1554" i="5" s="1"/>
  <c r="K1553" i="5"/>
  <c r="G1553" i="5"/>
  <c r="F1553" i="5"/>
  <c r="E1553" i="5"/>
  <c r="D1553" i="5"/>
  <c r="B1553" i="5"/>
  <c r="A1553" i="5"/>
  <c r="M1553" i="5" s="1"/>
  <c r="A1552" i="5"/>
  <c r="A1551" i="5"/>
  <c r="F1550" i="5"/>
  <c r="C1550" i="5"/>
  <c r="A1550" i="5"/>
  <c r="B1550" i="5" s="1"/>
  <c r="L1549" i="5"/>
  <c r="K1549" i="5"/>
  <c r="I1549" i="5"/>
  <c r="F1549" i="5"/>
  <c r="D1549" i="5"/>
  <c r="C1549" i="5"/>
  <c r="B1549" i="5"/>
  <c r="A1549" i="5"/>
  <c r="E1549" i="5" s="1"/>
  <c r="M1548" i="5"/>
  <c r="L1548" i="5"/>
  <c r="J1548" i="5"/>
  <c r="D1548" i="5"/>
  <c r="A1548" i="5"/>
  <c r="E1548" i="5" s="1"/>
  <c r="L1547" i="5"/>
  <c r="K1547" i="5"/>
  <c r="J1547" i="5"/>
  <c r="I1547" i="5"/>
  <c r="B1547" i="5"/>
  <c r="A1547" i="5"/>
  <c r="D1547" i="5" s="1"/>
  <c r="B1546" i="5"/>
  <c r="A1546" i="5"/>
  <c r="G1545" i="5"/>
  <c r="F1545" i="5"/>
  <c r="A1545" i="5"/>
  <c r="M1544" i="5"/>
  <c r="L1544" i="5"/>
  <c r="K1544" i="5"/>
  <c r="I1544" i="5"/>
  <c r="H1544" i="5"/>
  <c r="G1544" i="5"/>
  <c r="E1544" i="5"/>
  <c r="D1544" i="5"/>
  <c r="A1544" i="5"/>
  <c r="M1543" i="5"/>
  <c r="L1543" i="5"/>
  <c r="J1543" i="5"/>
  <c r="I1543" i="5"/>
  <c r="F1543" i="5"/>
  <c r="A1543" i="5"/>
  <c r="H1543" i="5" s="1"/>
  <c r="M1542" i="5"/>
  <c r="J1542" i="5"/>
  <c r="I1542" i="5"/>
  <c r="G1542" i="5"/>
  <c r="F1542" i="5"/>
  <c r="E1542" i="5"/>
  <c r="D1542" i="5"/>
  <c r="C1542" i="5"/>
  <c r="B1542" i="5"/>
  <c r="A1542" i="5"/>
  <c r="K1542" i="5" s="1"/>
  <c r="L1541" i="5"/>
  <c r="H1541" i="5"/>
  <c r="G1541" i="5"/>
  <c r="F1541" i="5"/>
  <c r="E1541" i="5"/>
  <c r="C1541" i="5"/>
  <c r="A1541" i="5"/>
  <c r="M1541" i="5" s="1"/>
  <c r="C1540" i="5"/>
  <c r="A1540" i="5"/>
  <c r="E1539" i="5"/>
  <c r="D1539" i="5"/>
  <c r="A1539" i="5"/>
  <c r="B1539" i="5" s="1"/>
  <c r="M1538" i="5"/>
  <c r="G1538" i="5"/>
  <c r="C1538" i="5"/>
  <c r="A1538" i="5"/>
  <c r="F1538" i="5" s="1"/>
  <c r="K1537" i="5"/>
  <c r="J1537" i="5"/>
  <c r="I1537" i="5"/>
  <c r="H1537" i="5"/>
  <c r="F1537" i="5"/>
  <c r="A1537" i="5"/>
  <c r="E1537" i="5" s="1"/>
  <c r="A1536" i="5"/>
  <c r="L1535" i="5"/>
  <c r="K1535" i="5"/>
  <c r="J1535" i="5"/>
  <c r="I1535" i="5"/>
  <c r="B1535" i="5"/>
  <c r="A1535" i="5"/>
  <c r="D1535" i="5" s="1"/>
  <c r="B1534" i="5"/>
  <c r="A1534" i="5"/>
  <c r="G1533" i="5"/>
  <c r="A1533" i="5"/>
  <c r="A1532" i="5"/>
  <c r="M1531" i="5"/>
  <c r="L1531" i="5"/>
  <c r="J1531" i="5"/>
  <c r="I1531" i="5"/>
  <c r="H1531" i="5"/>
  <c r="F1531" i="5"/>
  <c r="E1531" i="5"/>
  <c r="C1531" i="5"/>
  <c r="A1531" i="5"/>
  <c r="D1531" i="5" s="1"/>
  <c r="K1530" i="5"/>
  <c r="J1530" i="5"/>
  <c r="I1530" i="5"/>
  <c r="G1530" i="5"/>
  <c r="E1530" i="5"/>
  <c r="A1530" i="5"/>
  <c r="F1530" i="5" s="1"/>
  <c r="L1529" i="5"/>
  <c r="J1529" i="5"/>
  <c r="H1529" i="5"/>
  <c r="G1529" i="5"/>
  <c r="F1529" i="5"/>
  <c r="E1529" i="5"/>
  <c r="D1529" i="5"/>
  <c r="C1529" i="5"/>
  <c r="B1529" i="5"/>
  <c r="A1529" i="5"/>
  <c r="M1529" i="5" s="1"/>
  <c r="A1528" i="5"/>
  <c r="M1527" i="5"/>
  <c r="A1527" i="5"/>
  <c r="A1526" i="5"/>
  <c r="L1525" i="5"/>
  <c r="K1525" i="5"/>
  <c r="J1525" i="5"/>
  <c r="I1525" i="5"/>
  <c r="H1525" i="5"/>
  <c r="G1525" i="5"/>
  <c r="F1525" i="5"/>
  <c r="D1525" i="5"/>
  <c r="C1525" i="5"/>
  <c r="B1525" i="5"/>
  <c r="A1525" i="5"/>
  <c r="E1525" i="5" s="1"/>
  <c r="L1524" i="5"/>
  <c r="K1524" i="5"/>
  <c r="J1524" i="5"/>
  <c r="D1524" i="5"/>
  <c r="A1524" i="5"/>
  <c r="M1523" i="5"/>
  <c r="A1523" i="5"/>
  <c r="I1522" i="5"/>
  <c r="G1522" i="5"/>
  <c r="B1522" i="5"/>
  <c r="A1522" i="5"/>
  <c r="L1521" i="5"/>
  <c r="A1521" i="5"/>
  <c r="J1521" i="5" s="1"/>
  <c r="K1520" i="5"/>
  <c r="I1520" i="5"/>
  <c r="H1520" i="5"/>
  <c r="G1520" i="5"/>
  <c r="D1520" i="5"/>
  <c r="A1520" i="5"/>
  <c r="E1520" i="5" s="1"/>
  <c r="M1519" i="5"/>
  <c r="J1519" i="5"/>
  <c r="F1519" i="5"/>
  <c r="E1519" i="5"/>
  <c r="D1519" i="5"/>
  <c r="C1519" i="5"/>
  <c r="A1519" i="5"/>
  <c r="L1519" i="5" s="1"/>
  <c r="D1518" i="5"/>
  <c r="C1518" i="5"/>
  <c r="B1518" i="5"/>
  <c r="A1518" i="5"/>
  <c r="C1517" i="5"/>
  <c r="A1517" i="5"/>
  <c r="D1517" i="5" s="1"/>
  <c r="A1516" i="5"/>
  <c r="I1515" i="5"/>
  <c r="A1515" i="5"/>
  <c r="H1515" i="5" s="1"/>
  <c r="A1514" i="5"/>
  <c r="L1513" i="5"/>
  <c r="K1513" i="5"/>
  <c r="J1513" i="5"/>
  <c r="I1513" i="5"/>
  <c r="H1513" i="5"/>
  <c r="G1513" i="5"/>
  <c r="F1513" i="5"/>
  <c r="D1513" i="5"/>
  <c r="C1513" i="5"/>
  <c r="B1513" i="5"/>
  <c r="A1513" i="5"/>
  <c r="E1513" i="5" s="1"/>
  <c r="M1512" i="5"/>
  <c r="K1512" i="5"/>
  <c r="A1512" i="5"/>
  <c r="C1512" i="5" s="1"/>
  <c r="A1511" i="5"/>
  <c r="D1511" i="5" s="1"/>
  <c r="I1510" i="5"/>
  <c r="B1510" i="5"/>
  <c r="A1510" i="5"/>
  <c r="L1509" i="5"/>
  <c r="A1509" i="5"/>
  <c r="M1509" i="5" s="1"/>
  <c r="E1508" i="5"/>
  <c r="A1508" i="5"/>
  <c r="M1507" i="5"/>
  <c r="L1507" i="5"/>
  <c r="J1507" i="5"/>
  <c r="I1507" i="5"/>
  <c r="H1507" i="5"/>
  <c r="F1507" i="5"/>
  <c r="E1507" i="5"/>
  <c r="D1507" i="5"/>
  <c r="A1507" i="5"/>
  <c r="M1506" i="5"/>
  <c r="I1506" i="5"/>
  <c r="G1506" i="5"/>
  <c r="F1506" i="5"/>
  <c r="E1506" i="5"/>
  <c r="C1506" i="5"/>
  <c r="A1506" i="5"/>
  <c r="D1506" i="5" s="1"/>
  <c r="L1505" i="5"/>
  <c r="J1505" i="5"/>
  <c r="G1505" i="5"/>
  <c r="F1505" i="5"/>
  <c r="E1505" i="5"/>
  <c r="D1505" i="5"/>
  <c r="B1505" i="5"/>
  <c r="A1505" i="5"/>
  <c r="M1505" i="5" s="1"/>
  <c r="A1504" i="5"/>
  <c r="A1503" i="5"/>
  <c r="F1503" i="5" s="1"/>
  <c r="A1502" i="5"/>
  <c r="I1501" i="5"/>
  <c r="A1501" i="5"/>
  <c r="M1500" i="5"/>
  <c r="L1500" i="5"/>
  <c r="H1500" i="5"/>
  <c r="D1500" i="5"/>
  <c r="A1500" i="5"/>
  <c r="G1500" i="5" s="1"/>
  <c r="A1499" i="5"/>
  <c r="J1498" i="5"/>
  <c r="A1498" i="5"/>
  <c r="M1497" i="5"/>
  <c r="L1497" i="5"/>
  <c r="J1497" i="5"/>
  <c r="A1497" i="5"/>
  <c r="K1497" i="5" s="1"/>
  <c r="I1496" i="5"/>
  <c r="A1496" i="5"/>
  <c r="L1495" i="5"/>
  <c r="J1495" i="5"/>
  <c r="I1495" i="5"/>
  <c r="H1495" i="5"/>
  <c r="F1495" i="5"/>
  <c r="A1495" i="5"/>
  <c r="G1494" i="5"/>
  <c r="F1494" i="5"/>
  <c r="E1494" i="5"/>
  <c r="A1494" i="5"/>
  <c r="D1493" i="5"/>
  <c r="A1493" i="5"/>
  <c r="E1493" i="5" s="1"/>
  <c r="F1492" i="5"/>
  <c r="A1492" i="5"/>
  <c r="D1491" i="5"/>
  <c r="A1491" i="5"/>
  <c r="J1490" i="5"/>
  <c r="I1490" i="5"/>
  <c r="G1490" i="5"/>
  <c r="F1490" i="5"/>
  <c r="B1490" i="5"/>
  <c r="A1490" i="5"/>
  <c r="L1489" i="5"/>
  <c r="I1489" i="5"/>
  <c r="H1489" i="5"/>
  <c r="G1489" i="5"/>
  <c r="F1489" i="5"/>
  <c r="C1489" i="5"/>
  <c r="A1489" i="5"/>
  <c r="E1489" i="5" s="1"/>
  <c r="A1488" i="5"/>
  <c r="C1488" i="5" s="1"/>
  <c r="F1487" i="5"/>
  <c r="D1487" i="5"/>
  <c r="B1487" i="5"/>
  <c r="A1487" i="5"/>
  <c r="F1486" i="5"/>
  <c r="A1486" i="5"/>
  <c r="K1486" i="5" s="1"/>
  <c r="L1485" i="5"/>
  <c r="K1485" i="5"/>
  <c r="J1485" i="5"/>
  <c r="A1485" i="5"/>
  <c r="M1484" i="5"/>
  <c r="L1484" i="5"/>
  <c r="K1484" i="5"/>
  <c r="I1484" i="5"/>
  <c r="C1484" i="5"/>
  <c r="A1484" i="5"/>
  <c r="H1484" i="5" s="1"/>
  <c r="A1483" i="5"/>
  <c r="F1482" i="5"/>
  <c r="A1482" i="5"/>
  <c r="A1481" i="5"/>
  <c r="M1480" i="5"/>
  <c r="L1480" i="5"/>
  <c r="K1480" i="5"/>
  <c r="I1480" i="5"/>
  <c r="H1480" i="5"/>
  <c r="G1480" i="5"/>
  <c r="E1480" i="5"/>
  <c r="A1480" i="5"/>
  <c r="F1480" i="5" s="1"/>
  <c r="L1479" i="5"/>
  <c r="J1479" i="5"/>
  <c r="I1479" i="5"/>
  <c r="H1479" i="5"/>
  <c r="G1479" i="5"/>
  <c r="F1479" i="5"/>
  <c r="E1479" i="5"/>
  <c r="D1479" i="5"/>
  <c r="A1479" i="5"/>
  <c r="M1479" i="5" s="1"/>
  <c r="M1478" i="5"/>
  <c r="I1478" i="5"/>
  <c r="H1478" i="5"/>
  <c r="G1478" i="5"/>
  <c r="F1478" i="5"/>
  <c r="C1478" i="5"/>
  <c r="A1478" i="5"/>
  <c r="E1478" i="5" s="1"/>
  <c r="K1477" i="5"/>
  <c r="H1477" i="5"/>
  <c r="G1477" i="5"/>
  <c r="F1477" i="5"/>
  <c r="D1477" i="5"/>
  <c r="B1477" i="5"/>
  <c r="A1477" i="5"/>
  <c r="E1477" i="5" s="1"/>
  <c r="J1476" i="5"/>
  <c r="H1476" i="5"/>
  <c r="G1476" i="5"/>
  <c r="E1476" i="5"/>
  <c r="A1476" i="5"/>
  <c r="M1475" i="5"/>
  <c r="I1475" i="5"/>
  <c r="H1475" i="5"/>
  <c r="E1475" i="5"/>
  <c r="A1475" i="5"/>
  <c r="E1474" i="5"/>
  <c r="A1474" i="5"/>
  <c r="B1474" i="5" s="1"/>
  <c r="A1473" i="5"/>
  <c r="A1472" i="5"/>
  <c r="L1472" i="5" s="1"/>
  <c r="C1471" i="5"/>
  <c r="A1471" i="5"/>
  <c r="B1471" i="5" s="1"/>
  <c r="M1470" i="5"/>
  <c r="J1470" i="5"/>
  <c r="G1470" i="5"/>
  <c r="A1470" i="5"/>
  <c r="I1470" i="5" s="1"/>
  <c r="K1469" i="5"/>
  <c r="J1469" i="5"/>
  <c r="H1469" i="5"/>
  <c r="G1469" i="5"/>
  <c r="E1469" i="5"/>
  <c r="A1469" i="5"/>
  <c r="M1469" i="5" s="1"/>
  <c r="K1468" i="5"/>
  <c r="I1468" i="5"/>
  <c r="H1468" i="5"/>
  <c r="G1468" i="5"/>
  <c r="E1468" i="5"/>
  <c r="A1468" i="5"/>
  <c r="F1468" i="5" s="1"/>
  <c r="M1467" i="5"/>
  <c r="J1467" i="5"/>
  <c r="G1467" i="5"/>
  <c r="F1467" i="5"/>
  <c r="E1467" i="5"/>
  <c r="D1467" i="5"/>
  <c r="A1467" i="5"/>
  <c r="L1467" i="5" s="1"/>
  <c r="M1466" i="5"/>
  <c r="E1466" i="5"/>
  <c r="C1466" i="5"/>
  <c r="B1466" i="5"/>
  <c r="A1466" i="5"/>
  <c r="D1465" i="5"/>
  <c r="C1465" i="5"/>
  <c r="B1465" i="5"/>
  <c r="A1465" i="5"/>
  <c r="A1464" i="5"/>
  <c r="J1463" i="5"/>
  <c r="I1463" i="5"/>
  <c r="H1463" i="5"/>
  <c r="E1463" i="5"/>
  <c r="D1463" i="5"/>
  <c r="B1463" i="5"/>
  <c r="A1463" i="5"/>
  <c r="M1462" i="5"/>
  <c r="I1462" i="5"/>
  <c r="G1462" i="5"/>
  <c r="F1462" i="5"/>
  <c r="C1462" i="5"/>
  <c r="A1462" i="5"/>
  <c r="E1462" i="5" s="1"/>
  <c r="B1461" i="5"/>
  <c r="A1461" i="5"/>
  <c r="L1461" i="5" s="1"/>
  <c r="L1460" i="5"/>
  <c r="K1460" i="5"/>
  <c r="A1460" i="5"/>
  <c r="A1459" i="5"/>
  <c r="A1458" i="5"/>
  <c r="J1457" i="5"/>
  <c r="B1457" i="5"/>
  <c r="A1457" i="5"/>
  <c r="M1456" i="5"/>
  <c r="L1456" i="5"/>
  <c r="I1456" i="5"/>
  <c r="A1456" i="5"/>
  <c r="K1456" i="5" s="1"/>
  <c r="L1455" i="5"/>
  <c r="H1455" i="5"/>
  <c r="G1455" i="5"/>
  <c r="F1455" i="5"/>
  <c r="E1455" i="5"/>
  <c r="A1455" i="5"/>
  <c r="M1455" i="5" s="1"/>
  <c r="A1454" i="5"/>
  <c r="B1453" i="5"/>
  <c r="A1453" i="5"/>
  <c r="L1452" i="5"/>
  <c r="A1452" i="5"/>
  <c r="G1452" i="5" s="1"/>
  <c r="A1451" i="5"/>
  <c r="I1450" i="5"/>
  <c r="G1450" i="5"/>
  <c r="E1450" i="5"/>
  <c r="A1450" i="5"/>
  <c r="M1450" i="5" s="1"/>
  <c r="D1449" i="5"/>
  <c r="C1449" i="5"/>
  <c r="B1449" i="5"/>
  <c r="A1449" i="5"/>
  <c r="A1448" i="5"/>
  <c r="M1447" i="5"/>
  <c r="L1447" i="5"/>
  <c r="J1447" i="5"/>
  <c r="I1447" i="5"/>
  <c r="D1447" i="5"/>
  <c r="B1447" i="5"/>
  <c r="A1447" i="5"/>
  <c r="C1447" i="5" s="1"/>
  <c r="A1446" i="5"/>
  <c r="I1446" i="5" s="1"/>
  <c r="L1445" i="5"/>
  <c r="K1445" i="5"/>
  <c r="J1445" i="5"/>
  <c r="H1445" i="5"/>
  <c r="G1445" i="5"/>
  <c r="F1445" i="5"/>
  <c r="E1445" i="5"/>
  <c r="D1445" i="5"/>
  <c r="C1445" i="5"/>
  <c r="B1445" i="5"/>
  <c r="A1445" i="5"/>
  <c r="M1445" i="5" s="1"/>
  <c r="K1444" i="5"/>
  <c r="C1444" i="5"/>
  <c r="A1444" i="5"/>
  <c r="M1443" i="5"/>
  <c r="L1443" i="5"/>
  <c r="I1443" i="5"/>
  <c r="H1443" i="5"/>
  <c r="G1443" i="5"/>
  <c r="A1443" i="5"/>
  <c r="M1442" i="5"/>
  <c r="I1442" i="5"/>
  <c r="H1442" i="5"/>
  <c r="G1442" i="5"/>
  <c r="F1442" i="5"/>
  <c r="C1442" i="5"/>
  <c r="A1442" i="5"/>
  <c r="E1442" i="5" s="1"/>
  <c r="A1441" i="5"/>
  <c r="A1440" i="5"/>
  <c r="K1439" i="5"/>
  <c r="J1439" i="5"/>
  <c r="E1439" i="5"/>
  <c r="D1439" i="5"/>
  <c r="A1439" i="5"/>
  <c r="I1438" i="5"/>
  <c r="F1438" i="5"/>
  <c r="A1438" i="5"/>
  <c r="M1438" i="5" s="1"/>
  <c r="M1437" i="5"/>
  <c r="L1437" i="5"/>
  <c r="H1437" i="5"/>
  <c r="G1437" i="5"/>
  <c r="E1437" i="5"/>
  <c r="D1437" i="5"/>
  <c r="C1437" i="5"/>
  <c r="A1437" i="5"/>
  <c r="M1436" i="5"/>
  <c r="L1436" i="5"/>
  <c r="I1436" i="5"/>
  <c r="H1436" i="5"/>
  <c r="F1436" i="5"/>
  <c r="A1436" i="5"/>
  <c r="G1436" i="5" s="1"/>
  <c r="B1435" i="5"/>
  <c r="A1435" i="5"/>
  <c r="K1434" i="5"/>
  <c r="J1434" i="5"/>
  <c r="I1434" i="5"/>
  <c r="H1434" i="5"/>
  <c r="G1434" i="5"/>
  <c r="F1434" i="5"/>
  <c r="E1434" i="5"/>
  <c r="D1434" i="5"/>
  <c r="B1434" i="5"/>
  <c r="A1434" i="5"/>
  <c r="M1434" i="5" s="1"/>
  <c r="K1433" i="5"/>
  <c r="J1433" i="5"/>
  <c r="I1433" i="5"/>
  <c r="H1433" i="5"/>
  <c r="G1433" i="5"/>
  <c r="F1433" i="5"/>
  <c r="E1433" i="5"/>
  <c r="D1433" i="5"/>
  <c r="B1433" i="5"/>
  <c r="A1433" i="5"/>
  <c r="M1433" i="5" s="1"/>
  <c r="I1432" i="5"/>
  <c r="H1432" i="5"/>
  <c r="G1432" i="5"/>
  <c r="E1432" i="5"/>
  <c r="A1432" i="5"/>
  <c r="M1432" i="5" s="1"/>
  <c r="A1431" i="5"/>
  <c r="A1430" i="5"/>
  <c r="B1430" i="5" s="1"/>
  <c r="L1429" i="5"/>
  <c r="K1429" i="5"/>
  <c r="D1429" i="5"/>
  <c r="C1429" i="5"/>
  <c r="B1429" i="5"/>
  <c r="A1429" i="5"/>
  <c r="A1428" i="5"/>
  <c r="A1427" i="5"/>
  <c r="M1426" i="5"/>
  <c r="L1426" i="5"/>
  <c r="K1426" i="5"/>
  <c r="G1426" i="5"/>
  <c r="F1426" i="5"/>
  <c r="A1426" i="5"/>
  <c r="M1425" i="5"/>
  <c r="L1425" i="5"/>
  <c r="K1425" i="5"/>
  <c r="H1425" i="5"/>
  <c r="E1425" i="5"/>
  <c r="A1425" i="5"/>
  <c r="F1425" i="5" s="1"/>
  <c r="L1424" i="5"/>
  <c r="G1424" i="5"/>
  <c r="E1424" i="5"/>
  <c r="D1424" i="5"/>
  <c r="C1424" i="5"/>
  <c r="A1424" i="5"/>
  <c r="M1424" i="5" s="1"/>
  <c r="M1423" i="5"/>
  <c r="C1423" i="5"/>
  <c r="B1423" i="5"/>
  <c r="A1423" i="5"/>
  <c r="I1422" i="5"/>
  <c r="B1422" i="5"/>
  <c r="A1422" i="5"/>
  <c r="L1421" i="5"/>
  <c r="K1421" i="5"/>
  <c r="A1421" i="5"/>
  <c r="G1420" i="5"/>
  <c r="F1420" i="5"/>
  <c r="A1420" i="5"/>
  <c r="D1420" i="5" s="1"/>
  <c r="M1419" i="5"/>
  <c r="H1419" i="5"/>
  <c r="A1419" i="5"/>
  <c r="M1418" i="5"/>
  <c r="J1418" i="5"/>
  <c r="I1418" i="5"/>
  <c r="H1418" i="5"/>
  <c r="G1418" i="5"/>
  <c r="C1418" i="5"/>
  <c r="A1418" i="5"/>
  <c r="F1418" i="5" s="1"/>
  <c r="A1417" i="5"/>
  <c r="A1416" i="5"/>
  <c r="M1415" i="5"/>
  <c r="K1415" i="5"/>
  <c r="J1415" i="5"/>
  <c r="B1415" i="5"/>
  <c r="A1415" i="5"/>
  <c r="I1415" i="5" s="1"/>
  <c r="A1414" i="5"/>
  <c r="B1414" i="5" s="1"/>
  <c r="M1413" i="5"/>
  <c r="L1413" i="5"/>
  <c r="G1413" i="5"/>
  <c r="E1413" i="5"/>
  <c r="A1413" i="5"/>
  <c r="F1413" i="5" s="1"/>
  <c r="A1412" i="5"/>
  <c r="M1411" i="5"/>
  <c r="J1411" i="5"/>
  <c r="I1411" i="5"/>
  <c r="H1411" i="5"/>
  <c r="G1411" i="5"/>
  <c r="E1411" i="5"/>
  <c r="D1411" i="5"/>
  <c r="C1411" i="5"/>
  <c r="A1411" i="5"/>
  <c r="K1410" i="5"/>
  <c r="J1410" i="5"/>
  <c r="I1410" i="5"/>
  <c r="H1410" i="5"/>
  <c r="G1410" i="5"/>
  <c r="F1410" i="5"/>
  <c r="E1410" i="5"/>
  <c r="D1410" i="5"/>
  <c r="B1410" i="5"/>
  <c r="A1410" i="5"/>
  <c r="M1410" i="5" s="1"/>
  <c r="K1409" i="5"/>
  <c r="J1409" i="5"/>
  <c r="I1409" i="5"/>
  <c r="H1409" i="5"/>
  <c r="G1409" i="5"/>
  <c r="F1409" i="5"/>
  <c r="E1409" i="5"/>
  <c r="D1409" i="5"/>
  <c r="B1409" i="5"/>
  <c r="A1409" i="5"/>
  <c r="M1409" i="5" s="1"/>
  <c r="L1408" i="5"/>
  <c r="K1408" i="5"/>
  <c r="I1408" i="5"/>
  <c r="H1408" i="5"/>
  <c r="D1408" i="5"/>
  <c r="A1408" i="5"/>
  <c r="G1408" i="5" s="1"/>
  <c r="F1407" i="5"/>
  <c r="A1407" i="5"/>
  <c r="K1406" i="5"/>
  <c r="J1406" i="5"/>
  <c r="H1406" i="5"/>
  <c r="A1406" i="5"/>
  <c r="M1406" i="5" s="1"/>
  <c r="M1405" i="5"/>
  <c r="K1405" i="5"/>
  <c r="J1405" i="5"/>
  <c r="I1405" i="5"/>
  <c r="H1405" i="5"/>
  <c r="G1405" i="5"/>
  <c r="D1405" i="5"/>
  <c r="C1405" i="5"/>
  <c r="B1405" i="5"/>
  <c r="A1405" i="5"/>
  <c r="L1405" i="5" s="1"/>
  <c r="A1404" i="5"/>
  <c r="F1403" i="5"/>
  <c r="E1403" i="5"/>
  <c r="D1403" i="5"/>
  <c r="B1403" i="5"/>
  <c r="A1403" i="5"/>
  <c r="L1403" i="5" s="1"/>
  <c r="M1402" i="5"/>
  <c r="A1402" i="5"/>
  <c r="L1401" i="5"/>
  <c r="H1401" i="5"/>
  <c r="G1401" i="5"/>
  <c r="F1401" i="5"/>
  <c r="D1401" i="5"/>
  <c r="C1401" i="5"/>
  <c r="B1401" i="5"/>
  <c r="A1401" i="5"/>
  <c r="M1401" i="5" s="1"/>
  <c r="A1400" i="5"/>
  <c r="H1399" i="5"/>
  <c r="F1399" i="5"/>
  <c r="E1399" i="5"/>
  <c r="B1399" i="5"/>
  <c r="A1399" i="5"/>
  <c r="M1399" i="5" s="1"/>
  <c r="A1398" i="5"/>
  <c r="C1397" i="5"/>
  <c r="B1397" i="5"/>
  <c r="A1397" i="5"/>
  <c r="L1396" i="5"/>
  <c r="D1396" i="5"/>
  <c r="A1396" i="5"/>
  <c r="J1395" i="5"/>
  <c r="I1395" i="5"/>
  <c r="G1395" i="5"/>
  <c r="A1395" i="5"/>
  <c r="M1395" i="5" s="1"/>
  <c r="B1394" i="5"/>
  <c r="A1394" i="5"/>
  <c r="F1394" i="5" s="1"/>
  <c r="A1393" i="5"/>
  <c r="M1393" i="5" s="1"/>
  <c r="M1392" i="5"/>
  <c r="L1392" i="5"/>
  <c r="K1392" i="5"/>
  <c r="J1392" i="5"/>
  <c r="I1392" i="5"/>
  <c r="H1392" i="5"/>
  <c r="E1392" i="5"/>
  <c r="D1392" i="5"/>
  <c r="C1392" i="5"/>
  <c r="B1392" i="5"/>
  <c r="A1392" i="5"/>
  <c r="M1391" i="5"/>
  <c r="L1391" i="5"/>
  <c r="K1391" i="5"/>
  <c r="I1391" i="5"/>
  <c r="F1391" i="5"/>
  <c r="D1391" i="5"/>
  <c r="C1391" i="5"/>
  <c r="B1391" i="5"/>
  <c r="A1391" i="5"/>
  <c r="D1390" i="5"/>
  <c r="A1390" i="5"/>
  <c r="A1389" i="5"/>
  <c r="A1388" i="5"/>
  <c r="A1387" i="5"/>
  <c r="K1386" i="5"/>
  <c r="J1386" i="5"/>
  <c r="I1386" i="5"/>
  <c r="H1386" i="5"/>
  <c r="G1386" i="5"/>
  <c r="F1386" i="5"/>
  <c r="E1386" i="5"/>
  <c r="D1386" i="5"/>
  <c r="C1386" i="5"/>
  <c r="B1386" i="5"/>
  <c r="A1386" i="5"/>
  <c r="M1386" i="5" s="1"/>
  <c r="L1385" i="5"/>
  <c r="K1385" i="5"/>
  <c r="J1385" i="5"/>
  <c r="I1385" i="5"/>
  <c r="H1385" i="5"/>
  <c r="G1385" i="5"/>
  <c r="F1385" i="5"/>
  <c r="E1385" i="5"/>
  <c r="D1385" i="5"/>
  <c r="C1385" i="5"/>
  <c r="B1385" i="5"/>
  <c r="A1385" i="5"/>
  <c r="M1385" i="5" s="1"/>
  <c r="L1384" i="5"/>
  <c r="K1384" i="5"/>
  <c r="J1384" i="5"/>
  <c r="I1384" i="5"/>
  <c r="F1384" i="5"/>
  <c r="A1384" i="5"/>
  <c r="M1384" i="5" s="1"/>
  <c r="E1383" i="5"/>
  <c r="A1383" i="5"/>
  <c r="M1382" i="5"/>
  <c r="B1382" i="5"/>
  <c r="A1382" i="5"/>
  <c r="H1381" i="5"/>
  <c r="A1381" i="5"/>
  <c r="K1380" i="5"/>
  <c r="J1380" i="5"/>
  <c r="I1380" i="5"/>
  <c r="H1380" i="5"/>
  <c r="E1380" i="5"/>
  <c r="C1380" i="5"/>
  <c r="A1380" i="5"/>
  <c r="M1380" i="5" s="1"/>
  <c r="M1379" i="5"/>
  <c r="J1379" i="5"/>
  <c r="I1379" i="5"/>
  <c r="F1379" i="5"/>
  <c r="E1379" i="5"/>
  <c r="C1379" i="5"/>
  <c r="A1379" i="5"/>
  <c r="D1379" i="5" s="1"/>
  <c r="C1378" i="5"/>
  <c r="A1378" i="5"/>
  <c r="E1378" i="5" s="1"/>
  <c r="A1377" i="5"/>
  <c r="M1376" i="5"/>
  <c r="I1376" i="5"/>
  <c r="H1376" i="5"/>
  <c r="E1376" i="5"/>
  <c r="A1376" i="5"/>
  <c r="J1375" i="5"/>
  <c r="H1375" i="5"/>
  <c r="G1375" i="5"/>
  <c r="F1375" i="5"/>
  <c r="D1375" i="5"/>
  <c r="B1375" i="5"/>
  <c r="A1375" i="5"/>
  <c r="M1375" i="5" s="1"/>
  <c r="K1374" i="5"/>
  <c r="J1374" i="5"/>
  <c r="I1374" i="5"/>
  <c r="H1374" i="5"/>
  <c r="G1374" i="5"/>
  <c r="F1374" i="5"/>
  <c r="E1374" i="5"/>
  <c r="D1374" i="5"/>
  <c r="B1374" i="5"/>
  <c r="A1374" i="5"/>
  <c r="M1374" i="5" s="1"/>
  <c r="K1373" i="5"/>
  <c r="J1373" i="5"/>
  <c r="I1373" i="5"/>
  <c r="H1373" i="5"/>
  <c r="G1373" i="5"/>
  <c r="F1373" i="5"/>
  <c r="E1373" i="5"/>
  <c r="D1373" i="5"/>
  <c r="B1373" i="5"/>
  <c r="A1373" i="5"/>
  <c r="M1373" i="5" s="1"/>
  <c r="A1372" i="5"/>
  <c r="G1372" i="5" s="1"/>
  <c r="M1371" i="5"/>
  <c r="A1371" i="5"/>
  <c r="A1370" i="5"/>
  <c r="L1369" i="5"/>
  <c r="K1369" i="5"/>
  <c r="J1369" i="5"/>
  <c r="H1369" i="5"/>
  <c r="A1369" i="5"/>
  <c r="M1369" i="5" s="1"/>
  <c r="E1368" i="5"/>
  <c r="D1368" i="5"/>
  <c r="B1368" i="5"/>
  <c r="A1368" i="5"/>
  <c r="A1367" i="5"/>
  <c r="C1367" i="5" s="1"/>
  <c r="M1366" i="5"/>
  <c r="L1366" i="5"/>
  <c r="J1366" i="5"/>
  <c r="E1366" i="5"/>
  <c r="D1366" i="5"/>
  <c r="C1366" i="5"/>
  <c r="B1366" i="5"/>
  <c r="A1366" i="5"/>
  <c r="K1366" i="5" s="1"/>
  <c r="A1365" i="5"/>
  <c r="L1364" i="5"/>
  <c r="I1364" i="5"/>
  <c r="H1364" i="5"/>
  <c r="E1364" i="5"/>
  <c r="A1364" i="5"/>
  <c r="F1364" i="5" s="1"/>
  <c r="D1363" i="5"/>
  <c r="C1363" i="5"/>
  <c r="A1363" i="5"/>
  <c r="J1362" i="5"/>
  <c r="C1362" i="5"/>
  <c r="B1362" i="5"/>
  <c r="A1362" i="5"/>
  <c r="J1361" i="5"/>
  <c r="C1361" i="5"/>
  <c r="A1361" i="5"/>
  <c r="A1360" i="5"/>
  <c r="M1359" i="5"/>
  <c r="L1359" i="5"/>
  <c r="K1359" i="5"/>
  <c r="H1359" i="5"/>
  <c r="A1359" i="5"/>
  <c r="A1358" i="5"/>
  <c r="A1357" i="5"/>
  <c r="A1356" i="5"/>
  <c r="C1356" i="5" s="1"/>
  <c r="A1355" i="5"/>
  <c r="A1354" i="5"/>
  <c r="M1353" i="5"/>
  <c r="L1353" i="5"/>
  <c r="K1353" i="5"/>
  <c r="H1353" i="5"/>
  <c r="G1353" i="5"/>
  <c r="F1353" i="5"/>
  <c r="E1353" i="5"/>
  <c r="D1353" i="5"/>
  <c r="C1353" i="5"/>
  <c r="B1353" i="5"/>
  <c r="A1353" i="5"/>
  <c r="A1352" i="5"/>
  <c r="C1351" i="5"/>
  <c r="A1351" i="5"/>
  <c r="D1351" i="5" s="1"/>
  <c r="K1350" i="5"/>
  <c r="I1350" i="5"/>
  <c r="H1350" i="5"/>
  <c r="G1350" i="5"/>
  <c r="F1350" i="5"/>
  <c r="E1350" i="5"/>
  <c r="D1350" i="5"/>
  <c r="C1350" i="5"/>
  <c r="B1350" i="5"/>
  <c r="A1350" i="5"/>
  <c r="M1350" i="5" s="1"/>
  <c r="L1349" i="5"/>
  <c r="K1349" i="5"/>
  <c r="I1349" i="5"/>
  <c r="H1349" i="5"/>
  <c r="G1349" i="5"/>
  <c r="F1349" i="5"/>
  <c r="E1349" i="5"/>
  <c r="D1349" i="5"/>
  <c r="C1349" i="5"/>
  <c r="B1349" i="5"/>
  <c r="A1349" i="5"/>
  <c r="M1349" i="5" s="1"/>
  <c r="H1348" i="5"/>
  <c r="A1348" i="5"/>
  <c r="A1347" i="5"/>
  <c r="M1346" i="5"/>
  <c r="K1346" i="5"/>
  <c r="J1346" i="5"/>
  <c r="H1346" i="5"/>
  <c r="G1346" i="5"/>
  <c r="F1346" i="5"/>
  <c r="B1346" i="5"/>
  <c r="A1346" i="5"/>
  <c r="L1346" i="5" s="1"/>
  <c r="I1345" i="5"/>
  <c r="G1345" i="5"/>
  <c r="C1345" i="5"/>
  <c r="A1345" i="5"/>
  <c r="C1344" i="5"/>
  <c r="A1344" i="5"/>
  <c r="D1344" i="5" s="1"/>
  <c r="A1343" i="5"/>
  <c r="L1342" i="5"/>
  <c r="K1342" i="5"/>
  <c r="G1342" i="5"/>
  <c r="F1342" i="5"/>
  <c r="B1342" i="5"/>
  <c r="A1342" i="5"/>
  <c r="E1342" i="5" s="1"/>
  <c r="D1341" i="5"/>
  <c r="C1341" i="5"/>
  <c r="A1341" i="5"/>
  <c r="A1340" i="5"/>
  <c r="J1339" i="5"/>
  <c r="H1339" i="5"/>
  <c r="G1339" i="5"/>
  <c r="F1339" i="5"/>
  <c r="E1339" i="5"/>
  <c r="B1339" i="5"/>
  <c r="A1339" i="5"/>
  <c r="M1339" i="5" s="1"/>
  <c r="J1338" i="5"/>
  <c r="I1338" i="5"/>
  <c r="H1338" i="5"/>
  <c r="G1338" i="5"/>
  <c r="E1338" i="5"/>
  <c r="C1338" i="5"/>
  <c r="A1338" i="5"/>
  <c r="M1338" i="5" s="1"/>
  <c r="J1337" i="5"/>
  <c r="I1337" i="5"/>
  <c r="H1337" i="5"/>
  <c r="G1337" i="5"/>
  <c r="E1337" i="5"/>
  <c r="C1337" i="5"/>
  <c r="A1337" i="5"/>
  <c r="M1337" i="5" s="1"/>
  <c r="A1336" i="5"/>
  <c r="A1335" i="5"/>
  <c r="M1334" i="5"/>
  <c r="L1334" i="5"/>
  <c r="A1334" i="5"/>
  <c r="M1333" i="5"/>
  <c r="L1333" i="5"/>
  <c r="K1333" i="5"/>
  <c r="J1333" i="5"/>
  <c r="G1333" i="5"/>
  <c r="A1333" i="5"/>
  <c r="L1332" i="5"/>
  <c r="I1332" i="5"/>
  <c r="E1332" i="5"/>
  <c r="C1332" i="5"/>
  <c r="B1332" i="5"/>
  <c r="A1332" i="5"/>
  <c r="M1332" i="5" s="1"/>
  <c r="J1331" i="5"/>
  <c r="I1331" i="5"/>
  <c r="F1331" i="5"/>
  <c r="C1331" i="5"/>
  <c r="A1331" i="5"/>
  <c r="M1331" i="5" s="1"/>
  <c r="C1330" i="5"/>
  <c r="A1330" i="5"/>
  <c r="F1330" i="5" s="1"/>
  <c r="A1329" i="5"/>
  <c r="D1329" i="5" s="1"/>
  <c r="A1328" i="5"/>
  <c r="M1327" i="5"/>
  <c r="I1327" i="5"/>
  <c r="F1327" i="5"/>
  <c r="D1327" i="5"/>
  <c r="C1327" i="5"/>
  <c r="A1327" i="5"/>
  <c r="K1326" i="5"/>
  <c r="J1326" i="5"/>
  <c r="H1326" i="5"/>
  <c r="E1326" i="5"/>
  <c r="D1326" i="5"/>
  <c r="C1326" i="5"/>
  <c r="B1326" i="5"/>
  <c r="A1326" i="5"/>
  <c r="M1326" i="5" s="1"/>
  <c r="L1325" i="5"/>
  <c r="K1325" i="5"/>
  <c r="J1325" i="5"/>
  <c r="H1325" i="5"/>
  <c r="E1325" i="5"/>
  <c r="D1325" i="5"/>
  <c r="C1325" i="5"/>
  <c r="B1325" i="5"/>
  <c r="A1325" i="5"/>
  <c r="M1325" i="5" s="1"/>
  <c r="K1324" i="5"/>
  <c r="I1324" i="5"/>
  <c r="G1324" i="5"/>
  <c r="A1324" i="5"/>
  <c r="I1323" i="5"/>
  <c r="H1323" i="5"/>
  <c r="G1323" i="5"/>
  <c r="E1323" i="5"/>
  <c r="A1323" i="5"/>
  <c r="M1323" i="5" s="1"/>
  <c r="G1322" i="5"/>
  <c r="F1322" i="5"/>
  <c r="C1322" i="5"/>
  <c r="B1322" i="5"/>
  <c r="A1322" i="5"/>
  <c r="B1321" i="5"/>
  <c r="A1321" i="5"/>
  <c r="A1320" i="5"/>
  <c r="M1319" i="5"/>
  <c r="L1319" i="5"/>
  <c r="K1319" i="5"/>
  <c r="J1319" i="5"/>
  <c r="E1319" i="5"/>
  <c r="A1319" i="5"/>
  <c r="L1318" i="5"/>
  <c r="G1318" i="5"/>
  <c r="F1318" i="5"/>
  <c r="C1318" i="5"/>
  <c r="B1318" i="5"/>
  <c r="A1318" i="5"/>
  <c r="M1318" i="5" s="1"/>
  <c r="H1317" i="5"/>
  <c r="G1317" i="5"/>
  <c r="F1317" i="5"/>
  <c r="C1317" i="5"/>
  <c r="A1317" i="5"/>
  <c r="M1317" i="5" s="1"/>
  <c r="A1316" i="5"/>
  <c r="D1315" i="5"/>
  <c r="A1315" i="5"/>
  <c r="K1314" i="5"/>
  <c r="J1314" i="5"/>
  <c r="H1314" i="5"/>
  <c r="F1314" i="5"/>
  <c r="D1314" i="5"/>
  <c r="A1314" i="5"/>
  <c r="A1313" i="5"/>
  <c r="M1312" i="5"/>
  <c r="L1312" i="5"/>
  <c r="K1312" i="5"/>
  <c r="A1312" i="5"/>
  <c r="L1311" i="5"/>
  <c r="K1311" i="5"/>
  <c r="J1311" i="5"/>
  <c r="G1311" i="5"/>
  <c r="A1311" i="5"/>
  <c r="I1311" i="5" s="1"/>
  <c r="J1310" i="5"/>
  <c r="H1310" i="5"/>
  <c r="G1310" i="5"/>
  <c r="A1310" i="5"/>
  <c r="I1310" i="5" s="1"/>
  <c r="A1309" i="5"/>
  <c r="M1308" i="5"/>
  <c r="L1308" i="5"/>
  <c r="I1308" i="5"/>
  <c r="H1308" i="5"/>
  <c r="G1308" i="5"/>
  <c r="E1308" i="5"/>
  <c r="D1308" i="5"/>
  <c r="B1308" i="5"/>
  <c r="A1308" i="5"/>
  <c r="K1308" i="5" s="1"/>
  <c r="D1307" i="5"/>
  <c r="C1307" i="5"/>
  <c r="A1307" i="5"/>
  <c r="M1306" i="5"/>
  <c r="J1306" i="5"/>
  <c r="H1306" i="5"/>
  <c r="G1306" i="5"/>
  <c r="F1306" i="5"/>
  <c r="E1306" i="5"/>
  <c r="D1306" i="5"/>
  <c r="C1306" i="5"/>
  <c r="B1306" i="5"/>
  <c r="A1306" i="5"/>
  <c r="K1306" i="5" s="1"/>
  <c r="M1305" i="5"/>
  <c r="H1305" i="5"/>
  <c r="G1305" i="5"/>
  <c r="F1305" i="5"/>
  <c r="E1305" i="5"/>
  <c r="C1305" i="5"/>
  <c r="B1305" i="5"/>
  <c r="A1305" i="5"/>
  <c r="F1304" i="5"/>
  <c r="A1304" i="5"/>
  <c r="H1303" i="5"/>
  <c r="G1303" i="5"/>
  <c r="E1303" i="5"/>
  <c r="A1303" i="5"/>
  <c r="M1302" i="5"/>
  <c r="K1302" i="5"/>
  <c r="F1302" i="5"/>
  <c r="E1302" i="5"/>
  <c r="A1302" i="5"/>
  <c r="G1302" i="5" s="1"/>
  <c r="M1301" i="5"/>
  <c r="L1301" i="5"/>
  <c r="I1301" i="5"/>
  <c r="F1301" i="5"/>
  <c r="E1301" i="5"/>
  <c r="C1301" i="5"/>
  <c r="B1301" i="5"/>
  <c r="A1301" i="5"/>
  <c r="D1301" i="5" s="1"/>
  <c r="M1300" i="5"/>
  <c r="L1300" i="5"/>
  <c r="K1300" i="5"/>
  <c r="H1300" i="5"/>
  <c r="D1300" i="5"/>
  <c r="C1300" i="5"/>
  <c r="B1300" i="5"/>
  <c r="A1300" i="5"/>
  <c r="L1299" i="5"/>
  <c r="K1299" i="5"/>
  <c r="I1299" i="5"/>
  <c r="G1299" i="5"/>
  <c r="C1299" i="5"/>
  <c r="B1299" i="5"/>
  <c r="A1299" i="5"/>
  <c r="A1298" i="5"/>
  <c r="M1297" i="5"/>
  <c r="L1297" i="5"/>
  <c r="I1297" i="5"/>
  <c r="G1297" i="5"/>
  <c r="D1297" i="5"/>
  <c r="A1297" i="5"/>
  <c r="M1296" i="5"/>
  <c r="L1296" i="5"/>
  <c r="K1296" i="5"/>
  <c r="H1296" i="5"/>
  <c r="G1296" i="5"/>
  <c r="F1296" i="5"/>
  <c r="E1296" i="5"/>
  <c r="D1296" i="5"/>
  <c r="C1296" i="5"/>
  <c r="B1296" i="5"/>
  <c r="A1296" i="5"/>
  <c r="I1296" i="5" s="1"/>
  <c r="M1295" i="5"/>
  <c r="L1295" i="5"/>
  <c r="K1295" i="5"/>
  <c r="H1295" i="5"/>
  <c r="G1295" i="5"/>
  <c r="F1295" i="5"/>
  <c r="E1295" i="5"/>
  <c r="D1295" i="5"/>
  <c r="B1295" i="5"/>
  <c r="A1295" i="5"/>
  <c r="J1295" i="5" s="1"/>
  <c r="A1294" i="5"/>
  <c r="M1293" i="5"/>
  <c r="J1293" i="5"/>
  <c r="H1293" i="5"/>
  <c r="G1293" i="5"/>
  <c r="F1293" i="5"/>
  <c r="E1293" i="5"/>
  <c r="D1293" i="5"/>
  <c r="C1293" i="5"/>
  <c r="B1293" i="5"/>
  <c r="A1293" i="5"/>
  <c r="L1293" i="5" s="1"/>
  <c r="L1292" i="5"/>
  <c r="K1292" i="5"/>
  <c r="I1292" i="5"/>
  <c r="H1292" i="5"/>
  <c r="G1292" i="5"/>
  <c r="F1292" i="5"/>
  <c r="E1292" i="5"/>
  <c r="D1292" i="5"/>
  <c r="C1292" i="5"/>
  <c r="B1292" i="5"/>
  <c r="A1292" i="5"/>
  <c r="M1292" i="5" s="1"/>
  <c r="I1291" i="5"/>
  <c r="H1291" i="5"/>
  <c r="G1291" i="5"/>
  <c r="F1291" i="5"/>
  <c r="E1291" i="5"/>
  <c r="C1291" i="5"/>
  <c r="A1291" i="5"/>
  <c r="M1291" i="5" s="1"/>
  <c r="E1290" i="5"/>
  <c r="D1290" i="5"/>
  <c r="A1290" i="5"/>
  <c r="M1289" i="5"/>
  <c r="G1289" i="5"/>
  <c r="F1289" i="5"/>
  <c r="C1289" i="5"/>
  <c r="A1289" i="5"/>
  <c r="M1288" i="5"/>
  <c r="L1288" i="5"/>
  <c r="I1288" i="5"/>
  <c r="F1288" i="5"/>
  <c r="D1288" i="5"/>
  <c r="B1288" i="5"/>
  <c r="A1288" i="5"/>
  <c r="A1287" i="5"/>
  <c r="M1286" i="5"/>
  <c r="K1286" i="5"/>
  <c r="I1286" i="5"/>
  <c r="C1286" i="5"/>
  <c r="A1286" i="5"/>
  <c r="M1285" i="5"/>
  <c r="L1285" i="5"/>
  <c r="K1285" i="5"/>
  <c r="I1285" i="5"/>
  <c r="G1285" i="5"/>
  <c r="B1285" i="5"/>
  <c r="A1285" i="5"/>
  <c r="G1284" i="5"/>
  <c r="F1284" i="5"/>
  <c r="A1284" i="5"/>
  <c r="M1283" i="5"/>
  <c r="L1283" i="5"/>
  <c r="K1283" i="5"/>
  <c r="H1283" i="5"/>
  <c r="G1283" i="5"/>
  <c r="F1283" i="5"/>
  <c r="E1283" i="5"/>
  <c r="D1283" i="5"/>
  <c r="C1283" i="5"/>
  <c r="B1283" i="5"/>
  <c r="A1283" i="5"/>
  <c r="J1283" i="5" s="1"/>
  <c r="M1282" i="5"/>
  <c r="L1282" i="5"/>
  <c r="J1282" i="5"/>
  <c r="H1282" i="5"/>
  <c r="G1282" i="5"/>
  <c r="F1282" i="5"/>
  <c r="E1282" i="5"/>
  <c r="D1282" i="5"/>
  <c r="B1282" i="5"/>
  <c r="A1282" i="5"/>
  <c r="K1282" i="5" s="1"/>
  <c r="K1281" i="5"/>
  <c r="J1281" i="5"/>
  <c r="H1281" i="5"/>
  <c r="G1281" i="5"/>
  <c r="E1281" i="5"/>
  <c r="D1281" i="5"/>
  <c r="A1281" i="5"/>
  <c r="H1280" i="5"/>
  <c r="G1280" i="5"/>
  <c r="E1280" i="5"/>
  <c r="D1280" i="5"/>
  <c r="A1280" i="5"/>
  <c r="J1280" i="5" s="1"/>
  <c r="M1279" i="5"/>
  <c r="K1279" i="5"/>
  <c r="I1279" i="5"/>
  <c r="H1279" i="5"/>
  <c r="G1279" i="5"/>
  <c r="F1279" i="5"/>
  <c r="E1279" i="5"/>
  <c r="D1279" i="5"/>
  <c r="C1279" i="5"/>
  <c r="A1279" i="5"/>
  <c r="B1279" i="5" s="1"/>
  <c r="A1278" i="5"/>
  <c r="L1277" i="5"/>
  <c r="H1277" i="5"/>
  <c r="G1277" i="5"/>
  <c r="E1277" i="5"/>
  <c r="C1277" i="5"/>
  <c r="A1277" i="5"/>
  <c r="K1276" i="5"/>
  <c r="G1276" i="5"/>
  <c r="F1276" i="5"/>
  <c r="D1276" i="5"/>
  <c r="C1276" i="5"/>
  <c r="B1276" i="5"/>
  <c r="A1276" i="5"/>
  <c r="M1276" i="5" s="1"/>
  <c r="B1275" i="5"/>
  <c r="A1275" i="5"/>
  <c r="M1274" i="5"/>
  <c r="L1274" i="5"/>
  <c r="K1274" i="5"/>
  <c r="D1274" i="5"/>
  <c r="A1274" i="5"/>
  <c r="L1273" i="5"/>
  <c r="K1273" i="5"/>
  <c r="I1273" i="5"/>
  <c r="F1273" i="5"/>
  <c r="C1273" i="5"/>
  <c r="B1273" i="5"/>
  <c r="A1273" i="5"/>
  <c r="M1273" i="5" s="1"/>
  <c r="A1272" i="5"/>
  <c r="M1271" i="5"/>
  <c r="L1271" i="5"/>
  <c r="K1271" i="5"/>
  <c r="G1271" i="5"/>
  <c r="A1271" i="5"/>
  <c r="M1270" i="5"/>
  <c r="L1270" i="5"/>
  <c r="J1270" i="5"/>
  <c r="H1270" i="5"/>
  <c r="G1270" i="5"/>
  <c r="F1270" i="5"/>
  <c r="E1270" i="5"/>
  <c r="D1270" i="5"/>
  <c r="C1270" i="5"/>
  <c r="B1270" i="5"/>
  <c r="A1270" i="5"/>
  <c r="K1270" i="5" s="1"/>
  <c r="M1269" i="5"/>
  <c r="K1269" i="5"/>
  <c r="J1269" i="5"/>
  <c r="H1269" i="5"/>
  <c r="G1269" i="5"/>
  <c r="F1269" i="5"/>
  <c r="E1269" i="5"/>
  <c r="D1269" i="5"/>
  <c r="B1269" i="5"/>
  <c r="A1269" i="5"/>
  <c r="L1269" i="5" s="1"/>
  <c r="K1268" i="5"/>
  <c r="J1268" i="5"/>
  <c r="I1268" i="5"/>
  <c r="H1268" i="5"/>
  <c r="G1268" i="5"/>
  <c r="F1268" i="5"/>
  <c r="E1268" i="5"/>
  <c r="D1268" i="5"/>
  <c r="B1268" i="5"/>
  <c r="A1268" i="5"/>
  <c r="M1268" i="5" s="1"/>
  <c r="A1267" i="5"/>
  <c r="M1266" i="5"/>
  <c r="K1266" i="5"/>
  <c r="I1266" i="5"/>
  <c r="H1266" i="5"/>
  <c r="G1266" i="5"/>
  <c r="F1266" i="5"/>
  <c r="E1266" i="5"/>
  <c r="D1266" i="5"/>
  <c r="B1266" i="5"/>
  <c r="A1266" i="5"/>
  <c r="C1266" i="5" s="1"/>
  <c r="M1265" i="5"/>
  <c r="I1265" i="5"/>
  <c r="H1265" i="5"/>
  <c r="G1265" i="5"/>
  <c r="F1265" i="5"/>
  <c r="E1265" i="5"/>
  <c r="C1265" i="5"/>
  <c r="B1265" i="5"/>
  <c r="A1265" i="5"/>
  <c r="A1264" i="5"/>
  <c r="A1263" i="5"/>
  <c r="M1262" i="5"/>
  <c r="L1262" i="5"/>
  <c r="I1262" i="5"/>
  <c r="E1262" i="5"/>
  <c r="D1262" i="5"/>
  <c r="C1262" i="5"/>
  <c r="B1262" i="5"/>
  <c r="A1262" i="5"/>
  <c r="A1261" i="5"/>
  <c r="A1260" i="5"/>
  <c r="M1259" i="5"/>
  <c r="L1259" i="5"/>
  <c r="K1259" i="5"/>
  <c r="H1259" i="5"/>
  <c r="E1259" i="5"/>
  <c r="B1259" i="5"/>
  <c r="A1259" i="5"/>
  <c r="A1258" i="5"/>
  <c r="M1257" i="5"/>
  <c r="K1257" i="5"/>
  <c r="J1257" i="5"/>
  <c r="H1257" i="5"/>
  <c r="G1257" i="5"/>
  <c r="F1257" i="5"/>
  <c r="E1257" i="5"/>
  <c r="D1257" i="5"/>
  <c r="C1257" i="5"/>
  <c r="B1257" i="5"/>
  <c r="A1257" i="5"/>
  <c r="L1257" i="5" s="1"/>
  <c r="L1256" i="5"/>
  <c r="K1256" i="5"/>
  <c r="J1256" i="5"/>
  <c r="I1256" i="5"/>
  <c r="H1256" i="5"/>
  <c r="G1256" i="5"/>
  <c r="F1256" i="5"/>
  <c r="E1256" i="5"/>
  <c r="D1256" i="5"/>
  <c r="C1256" i="5"/>
  <c r="B1256" i="5"/>
  <c r="A1256" i="5"/>
  <c r="M1256" i="5" s="1"/>
  <c r="M1255" i="5"/>
  <c r="A1255" i="5"/>
  <c r="L1254" i="5"/>
  <c r="K1254" i="5"/>
  <c r="I1254" i="5"/>
  <c r="H1254" i="5"/>
  <c r="G1254" i="5"/>
  <c r="F1254" i="5"/>
  <c r="E1254" i="5"/>
  <c r="D1254" i="5"/>
  <c r="A1254" i="5"/>
  <c r="M1253" i="5"/>
  <c r="K1253" i="5"/>
  <c r="I1253" i="5"/>
  <c r="H1253" i="5"/>
  <c r="G1253" i="5"/>
  <c r="F1253" i="5"/>
  <c r="E1253" i="5"/>
  <c r="C1253" i="5"/>
  <c r="B1253" i="5"/>
  <c r="A1253" i="5"/>
  <c r="D1253" i="5" s="1"/>
  <c r="H1252" i="5"/>
  <c r="G1252" i="5"/>
  <c r="D1252" i="5"/>
  <c r="C1252" i="5"/>
  <c r="A1252" i="5"/>
  <c r="M1252" i="5" s="1"/>
  <c r="A1251" i="5"/>
  <c r="A1250" i="5"/>
  <c r="M1249" i="5"/>
  <c r="L1249" i="5"/>
  <c r="I1249" i="5"/>
  <c r="G1249" i="5"/>
  <c r="D1249" i="5"/>
  <c r="A1249" i="5"/>
  <c r="K1248" i="5"/>
  <c r="G1248" i="5"/>
  <c r="D1248" i="5"/>
  <c r="C1248" i="5"/>
  <c r="A1248" i="5"/>
  <c r="M1248" i="5" s="1"/>
  <c r="E1247" i="5"/>
  <c r="C1247" i="5"/>
  <c r="A1247" i="5"/>
  <c r="A1246" i="5"/>
  <c r="M1245" i="5"/>
  <c r="K1245" i="5"/>
  <c r="J1245" i="5"/>
  <c r="H1245" i="5"/>
  <c r="F1245" i="5"/>
  <c r="A1245" i="5"/>
  <c r="J1244" i="5"/>
  <c r="I1244" i="5"/>
  <c r="H1244" i="5"/>
  <c r="G1244" i="5"/>
  <c r="F1244" i="5"/>
  <c r="C1244" i="5"/>
  <c r="A1244" i="5"/>
  <c r="L1244" i="5" s="1"/>
  <c r="M1243" i="5"/>
  <c r="L1243" i="5"/>
  <c r="K1243" i="5"/>
  <c r="I1243" i="5"/>
  <c r="H1243" i="5"/>
  <c r="G1243" i="5"/>
  <c r="F1243" i="5"/>
  <c r="E1243" i="5"/>
  <c r="D1243" i="5"/>
  <c r="C1243" i="5"/>
  <c r="A1243" i="5"/>
  <c r="B1243" i="5" s="1"/>
  <c r="G1242" i="5"/>
  <c r="F1242" i="5"/>
  <c r="B1242" i="5"/>
  <c r="A1242" i="5"/>
  <c r="K1241" i="5"/>
  <c r="C1241" i="5"/>
  <c r="B1241" i="5"/>
  <c r="A1241" i="5"/>
  <c r="A1240" i="5"/>
  <c r="M1239" i="5"/>
  <c r="L1239" i="5"/>
  <c r="I1239" i="5"/>
  <c r="G1239" i="5"/>
  <c r="D1239" i="5"/>
  <c r="A1239" i="5"/>
  <c r="K1238" i="5"/>
  <c r="I1238" i="5"/>
  <c r="E1238" i="5"/>
  <c r="D1238" i="5"/>
  <c r="A1238" i="5"/>
  <c r="G1238" i="5" s="1"/>
  <c r="A1237" i="5"/>
  <c r="A1236" i="5"/>
  <c r="L1235" i="5"/>
  <c r="K1235" i="5"/>
  <c r="J1235" i="5"/>
  <c r="I1235" i="5"/>
  <c r="H1235" i="5"/>
  <c r="G1235" i="5"/>
  <c r="F1235" i="5"/>
  <c r="E1235" i="5"/>
  <c r="D1235" i="5"/>
  <c r="C1235" i="5"/>
  <c r="B1235" i="5"/>
  <c r="A1235" i="5"/>
  <c r="M1235" i="5" s="1"/>
  <c r="A1234" i="5"/>
  <c r="C1234" i="5" s="1"/>
  <c r="L1233" i="5"/>
  <c r="D1233" i="5"/>
  <c r="A1233" i="5"/>
  <c r="M1232" i="5"/>
  <c r="L1232" i="5"/>
  <c r="K1232" i="5"/>
  <c r="I1232" i="5"/>
  <c r="A1232" i="5"/>
  <c r="J1232" i="5" s="1"/>
  <c r="A1231" i="5"/>
  <c r="I1230" i="5"/>
  <c r="H1230" i="5"/>
  <c r="G1230" i="5"/>
  <c r="E1230" i="5"/>
  <c r="C1230" i="5"/>
  <c r="B1230" i="5"/>
  <c r="A1230" i="5"/>
  <c r="M1230" i="5" s="1"/>
  <c r="A1229" i="5"/>
  <c r="D1229" i="5" s="1"/>
  <c r="B1228" i="5"/>
  <c r="A1228" i="5"/>
  <c r="L1227" i="5"/>
  <c r="K1227" i="5"/>
  <c r="J1227" i="5"/>
  <c r="H1227" i="5"/>
  <c r="F1227" i="5"/>
  <c r="E1227" i="5"/>
  <c r="D1227" i="5"/>
  <c r="C1227" i="5"/>
  <c r="A1227" i="5"/>
  <c r="L1226" i="5"/>
  <c r="K1226" i="5"/>
  <c r="G1226" i="5"/>
  <c r="F1226" i="5"/>
  <c r="A1226" i="5"/>
  <c r="D1226" i="5" s="1"/>
  <c r="A1225" i="5"/>
  <c r="H1224" i="5"/>
  <c r="G1224" i="5"/>
  <c r="F1224" i="5"/>
  <c r="E1224" i="5"/>
  <c r="B1224" i="5"/>
  <c r="A1224" i="5"/>
  <c r="M1224" i="5" s="1"/>
  <c r="H1223" i="5"/>
  <c r="G1223" i="5"/>
  <c r="F1223" i="5"/>
  <c r="E1223" i="5"/>
  <c r="D1223" i="5"/>
  <c r="B1223" i="5"/>
  <c r="A1223" i="5"/>
  <c r="M1223" i="5" s="1"/>
  <c r="D1222" i="5"/>
  <c r="C1222" i="5"/>
  <c r="A1222" i="5"/>
  <c r="K1221" i="5"/>
  <c r="J1221" i="5"/>
  <c r="I1221" i="5"/>
  <c r="H1221" i="5"/>
  <c r="G1221" i="5"/>
  <c r="E1221" i="5"/>
  <c r="D1221" i="5"/>
  <c r="A1221" i="5"/>
  <c r="C1221" i="5" s="1"/>
  <c r="A1220" i="5"/>
  <c r="M1220" i="5" s="1"/>
  <c r="M1219" i="5"/>
  <c r="L1219" i="5"/>
  <c r="J1219" i="5"/>
  <c r="H1219" i="5"/>
  <c r="A1219" i="5"/>
  <c r="F1219" i="5" s="1"/>
  <c r="G1218" i="5"/>
  <c r="E1218" i="5"/>
  <c r="A1218" i="5"/>
  <c r="A1217" i="5"/>
  <c r="G1216" i="5"/>
  <c r="E1216" i="5"/>
  <c r="D1216" i="5"/>
  <c r="B1216" i="5"/>
  <c r="A1216" i="5"/>
  <c r="M1216" i="5" s="1"/>
  <c r="K1215" i="5"/>
  <c r="H1215" i="5"/>
  <c r="F1215" i="5"/>
  <c r="E1215" i="5"/>
  <c r="D1215" i="5"/>
  <c r="C1215" i="5"/>
  <c r="B1215" i="5"/>
  <c r="A1215" i="5"/>
  <c r="M1215" i="5" s="1"/>
  <c r="A1214" i="5"/>
  <c r="E1213" i="5"/>
  <c r="A1213" i="5"/>
  <c r="M1212" i="5"/>
  <c r="K1212" i="5"/>
  <c r="I1212" i="5"/>
  <c r="H1212" i="5"/>
  <c r="G1212" i="5"/>
  <c r="F1212" i="5"/>
  <c r="E1212" i="5"/>
  <c r="B1212" i="5"/>
  <c r="A1212" i="5"/>
  <c r="L1211" i="5"/>
  <c r="K1211" i="5"/>
  <c r="J1211" i="5"/>
  <c r="I1211" i="5"/>
  <c r="H1211" i="5"/>
  <c r="G1211" i="5"/>
  <c r="F1211" i="5"/>
  <c r="E1211" i="5"/>
  <c r="D1211" i="5"/>
  <c r="C1211" i="5"/>
  <c r="B1211" i="5"/>
  <c r="A1211" i="5"/>
  <c r="M1211" i="5" s="1"/>
  <c r="M1210" i="5"/>
  <c r="K1210" i="5"/>
  <c r="J1210" i="5"/>
  <c r="I1210" i="5"/>
  <c r="H1210" i="5"/>
  <c r="G1210" i="5"/>
  <c r="E1210" i="5"/>
  <c r="D1210" i="5"/>
  <c r="C1210" i="5"/>
  <c r="A1210" i="5"/>
  <c r="I1209" i="5"/>
  <c r="H1209" i="5"/>
  <c r="G1209" i="5"/>
  <c r="F1209" i="5"/>
  <c r="E1209" i="5"/>
  <c r="B1209" i="5"/>
  <c r="A1209" i="5"/>
  <c r="C1209" i="5" s="1"/>
  <c r="F1208" i="5"/>
  <c r="A1208" i="5"/>
  <c r="G1208" i="5" s="1"/>
  <c r="A1207" i="5"/>
  <c r="A1206" i="5"/>
  <c r="M1205" i="5"/>
  <c r="L1205" i="5"/>
  <c r="J1205" i="5"/>
  <c r="H1205" i="5"/>
  <c r="F1205" i="5"/>
  <c r="A1205" i="5"/>
  <c r="I1205" i="5" s="1"/>
  <c r="I1204" i="5"/>
  <c r="G1204" i="5"/>
  <c r="D1204" i="5"/>
  <c r="A1204" i="5"/>
  <c r="K1203" i="5"/>
  <c r="C1203" i="5"/>
  <c r="B1203" i="5"/>
  <c r="A1203" i="5"/>
  <c r="M1203" i="5" s="1"/>
  <c r="F1202" i="5"/>
  <c r="E1202" i="5"/>
  <c r="A1202" i="5"/>
  <c r="D1202" i="5" s="1"/>
  <c r="A1201" i="5"/>
  <c r="A1200" i="5"/>
  <c r="L1199" i="5"/>
  <c r="J1199" i="5"/>
  <c r="I1199" i="5"/>
  <c r="H1199" i="5"/>
  <c r="G1199" i="5"/>
  <c r="F1199" i="5"/>
  <c r="E1199" i="5"/>
  <c r="D1199" i="5"/>
  <c r="C1199" i="5"/>
  <c r="B1199" i="5"/>
  <c r="A1199" i="5"/>
  <c r="M1199" i="5" s="1"/>
  <c r="I1198" i="5"/>
  <c r="H1198" i="5"/>
  <c r="D1198" i="5"/>
  <c r="A1198" i="5"/>
  <c r="A1197" i="5"/>
  <c r="M1196" i="5"/>
  <c r="A1196" i="5"/>
  <c r="H1195" i="5"/>
  <c r="G1195" i="5"/>
  <c r="F1195" i="5"/>
  <c r="B1195" i="5"/>
  <c r="A1195" i="5"/>
  <c r="M1195" i="5" s="1"/>
  <c r="E1194" i="5"/>
  <c r="C1194" i="5"/>
  <c r="A1194" i="5"/>
  <c r="A1193" i="5"/>
  <c r="M1193" i="5" s="1"/>
  <c r="M1192" i="5"/>
  <c r="K1192" i="5"/>
  <c r="J1192" i="5"/>
  <c r="I1192" i="5"/>
  <c r="D1192" i="5"/>
  <c r="A1192" i="5"/>
  <c r="G1192" i="5" s="1"/>
  <c r="K1191" i="5"/>
  <c r="H1191" i="5"/>
  <c r="F1191" i="5"/>
  <c r="E1191" i="5"/>
  <c r="D1191" i="5"/>
  <c r="C1191" i="5"/>
  <c r="B1191" i="5"/>
  <c r="A1191" i="5"/>
  <c r="M1191" i="5" s="1"/>
  <c r="E1190" i="5"/>
  <c r="D1190" i="5"/>
  <c r="A1190" i="5"/>
  <c r="G1189" i="5"/>
  <c r="E1189" i="5"/>
  <c r="D1189" i="5"/>
  <c r="A1189" i="5"/>
  <c r="M1189" i="5" s="1"/>
  <c r="A1188" i="5"/>
  <c r="A1187" i="5"/>
  <c r="I1187" i="5" s="1"/>
  <c r="C1186" i="5"/>
  <c r="A1186" i="5"/>
  <c r="K1185" i="5"/>
  <c r="A1185" i="5"/>
  <c r="L1185" i="5" s="1"/>
  <c r="M1184" i="5"/>
  <c r="L1184" i="5"/>
  <c r="K1184" i="5"/>
  <c r="I1184" i="5"/>
  <c r="A1184" i="5"/>
  <c r="J1184" i="5" s="1"/>
  <c r="K1183" i="5"/>
  <c r="J1183" i="5"/>
  <c r="H1183" i="5"/>
  <c r="G1183" i="5"/>
  <c r="F1183" i="5"/>
  <c r="D1183" i="5"/>
  <c r="A1183" i="5"/>
  <c r="M1183" i="5" s="1"/>
  <c r="A1182" i="5"/>
  <c r="A1181" i="5"/>
  <c r="A1180" i="5"/>
  <c r="C1180" i="5" s="1"/>
  <c r="K1179" i="5"/>
  <c r="C1179" i="5"/>
  <c r="B1179" i="5"/>
  <c r="A1179" i="5"/>
  <c r="M1179" i="5" s="1"/>
  <c r="M1178" i="5"/>
  <c r="L1178" i="5"/>
  <c r="K1178" i="5"/>
  <c r="I1178" i="5"/>
  <c r="G1178" i="5"/>
  <c r="F1178" i="5"/>
  <c r="D1178" i="5"/>
  <c r="A1178" i="5"/>
  <c r="L1177" i="5"/>
  <c r="J1177" i="5"/>
  <c r="H1177" i="5"/>
  <c r="G1177" i="5"/>
  <c r="F1177" i="5"/>
  <c r="E1177" i="5"/>
  <c r="A1177" i="5"/>
  <c r="M1177" i="5" s="1"/>
  <c r="A1176" i="5"/>
  <c r="A1175" i="5"/>
  <c r="G1174" i="5"/>
  <c r="E1174" i="5"/>
  <c r="D1174" i="5"/>
  <c r="C1174" i="5"/>
  <c r="A1174" i="5"/>
  <c r="F1173" i="5"/>
  <c r="E1173" i="5"/>
  <c r="B1173" i="5"/>
  <c r="A1173" i="5"/>
  <c r="A1172" i="5"/>
  <c r="C1172" i="5" s="1"/>
  <c r="A1171" i="5"/>
  <c r="M1170" i="5"/>
  <c r="L1170" i="5"/>
  <c r="K1170" i="5"/>
  <c r="I1170" i="5"/>
  <c r="H1170" i="5"/>
  <c r="G1170" i="5"/>
  <c r="E1170" i="5"/>
  <c r="B1170" i="5"/>
  <c r="A1170" i="5"/>
  <c r="M1169" i="5"/>
  <c r="L1169" i="5"/>
  <c r="J1169" i="5"/>
  <c r="I1169" i="5"/>
  <c r="H1169" i="5"/>
  <c r="F1169" i="5"/>
  <c r="D1169" i="5"/>
  <c r="C1169" i="5"/>
  <c r="B1169" i="5"/>
  <c r="A1169" i="5"/>
  <c r="C1168" i="5"/>
  <c r="B1168" i="5"/>
  <c r="A1168" i="5"/>
  <c r="M1168" i="5" s="1"/>
  <c r="A1167" i="5"/>
  <c r="A1166" i="5"/>
  <c r="C1166" i="5" s="1"/>
  <c r="M1165" i="5"/>
  <c r="L1165" i="5"/>
  <c r="J1165" i="5"/>
  <c r="H1165" i="5"/>
  <c r="G1165" i="5"/>
  <c r="E1165" i="5"/>
  <c r="A1165" i="5"/>
  <c r="K1164" i="5"/>
  <c r="I1164" i="5"/>
  <c r="H1164" i="5"/>
  <c r="G1164" i="5"/>
  <c r="F1164" i="5"/>
  <c r="B1164" i="5"/>
  <c r="A1164" i="5"/>
  <c r="E1164" i="5" s="1"/>
  <c r="H1163" i="5"/>
  <c r="G1163" i="5"/>
  <c r="F1163" i="5"/>
  <c r="E1163" i="5"/>
  <c r="D1163" i="5"/>
  <c r="B1163" i="5"/>
  <c r="A1163" i="5"/>
  <c r="M1163" i="5" s="1"/>
  <c r="K1162" i="5"/>
  <c r="I1162" i="5"/>
  <c r="H1162" i="5"/>
  <c r="G1162" i="5"/>
  <c r="E1162" i="5"/>
  <c r="D1162" i="5"/>
  <c r="C1162" i="5"/>
  <c r="A1162" i="5"/>
  <c r="M1162" i="5" s="1"/>
  <c r="A1161" i="5"/>
  <c r="F1160" i="5"/>
  <c r="C1160" i="5"/>
  <c r="A1160" i="5"/>
  <c r="G1160" i="5" s="1"/>
  <c r="D1159" i="5"/>
  <c r="A1159" i="5"/>
  <c r="L1158" i="5"/>
  <c r="B1158" i="5"/>
  <c r="A1158" i="5"/>
  <c r="M1158" i="5" s="1"/>
  <c r="M1157" i="5"/>
  <c r="L1157" i="5"/>
  <c r="A1157" i="5"/>
  <c r="A1156" i="5"/>
  <c r="M1155" i="5"/>
  <c r="L1155" i="5"/>
  <c r="K1155" i="5"/>
  <c r="H1155" i="5"/>
  <c r="F1155" i="5"/>
  <c r="C1155" i="5"/>
  <c r="A1155" i="5"/>
  <c r="J1155" i="5" s="1"/>
  <c r="M1154" i="5"/>
  <c r="L1154" i="5"/>
  <c r="K1154" i="5"/>
  <c r="I1154" i="5"/>
  <c r="G1154" i="5"/>
  <c r="F1154" i="5"/>
  <c r="D1154" i="5"/>
  <c r="B1154" i="5"/>
  <c r="A1154" i="5"/>
  <c r="E1154" i="5" s="1"/>
  <c r="F1153" i="5"/>
  <c r="E1153" i="5"/>
  <c r="C1153" i="5"/>
  <c r="A1153" i="5"/>
  <c r="A1152" i="5"/>
  <c r="L1151" i="5"/>
  <c r="D1151" i="5"/>
  <c r="C1151" i="5"/>
  <c r="A1151" i="5"/>
  <c r="H1150" i="5"/>
  <c r="F1150" i="5"/>
  <c r="E1150" i="5"/>
  <c r="C1150" i="5"/>
  <c r="A1150" i="5"/>
  <c r="M1150" i="5" s="1"/>
  <c r="K1149" i="5"/>
  <c r="J1149" i="5"/>
  <c r="I1149" i="5"/>
  <c r="H1149" i="5"/>
  <c r="G1149" i="5"/>
  <c r="E1149" i="5"/>
  <c r="D1149" i="5"/>
  <c r="A1149" i="5"/>
  <c r="C1149" i="5" s="1"/>
  <c r="E1148" i="5"/>
  <c r="A1148" i="5"/>
  <c r="B1147" i="5"/>
  <c r="A1147" i="5"/>
  <c r="F1147" i="5" s="1"/>
  <c r="A1146" i="5"/>
  <c r="M1145" i="5"/>
  <c r="L1145" i="5"/>
  <c r="A1145" i="5"/>
  <c r="M1144" i="5"/>
  <c r="A1144" i="5"/>
  <c r="K1144" i="5" s="1"/>
  <c r="M1143" i="5"/>
  <c r="L1143" i="5"/>
  <c r="K1143" i="5"/>
  <c r="J1143" i="5"/>
  <c r="H1143" i="5"/>
  <c r="D1143" i="5"/>
  <c r="A1143" i="5"/>
  <c r="F1143" i="5" s="1"/>
  <c r="A1142" i="5"/>
  <c r="L1141" i="5"/>
  <c r="D1141" i="5"/>
  <c r="B1141" i="5"/>
  <c r="A1141" i="5"/>
  <c r="M1141" i="5" s="1"/>
  <c r="I1140" i="5"/>
  <c r="H1140" i="5"/>
  <c r="F1140" i="5"/>
  <c r="A1140" i="5"/>
  <c r="M1140" i="5" s="1"/>
  <c r="J1139" i="5"/>
  <c r="I1139" i="5"/>
  <c r="H1139" i="5"/>
  <c r="G1139" i="5"/>
  <c r="F1139" i="5"/>
  <c r="D1139" i="5"/>
  <c r="A1139" i="5"/>
  <c r="M1139" i="5" s="1"/>
  <c r="M1138" i="5"/>
  <c r="K1138" i="5"/>
  <c r="J1138" i="5"/>
  <c r="I1138" i="5"/>
  <c r="H1138" i="5"/>
  <c r="G1138" i="5"/>
  <c r="F1138" i="5"/>
  <c r="D1138" i="5"/>
  <c r="C1138" i="5"/>
  <c r="A1138" i="5"/>
  <c r="E1138" i="5" s="1"/>
  <c r="I1137" i="5"/>
  <c r="H1137" i="5"/>
  <c r="G1137" i="5"/>
  <c r="F1137" i="5"/>
  <c r="E1137" i="5"/>
  <c r="B1137" i="5"/>
  <c r="A1137" i="5"/>
  <c r="C1137" i="5" s="1"/>
  <c r="A1136" i="5"/>
  <c r="F1135" i="5"/>
  <c r="D1135" i="5"/>
  <c r="A1135" i="5"/>
  <c r="B1135" i="5" s="1"/>
  <c r="E1134" i="5"/>
  <c r="A1134" i="5"/>
  <c r="C1133" i="5"/>
  <c r="A1133" i="5"/>
  <c r="B1133" i="5" s="1"/>
  <c r="M1132" i="5"/>
  <c r="L1132" i="5"/>
  <c r="A1132" i="5"/>
  <c r="B1132" i="5" s="1"/>
  <c r="M1131" i="5"/>
  <c r="A1131" i="5"/>
  <c r="L1130" i="5"/>
  <c r="A1130" i="5"/>
  <c r="K1130" i="5" s="1"/>
  <c r="I1129" i="5"/>
  <c r="A1129" i="5"/>
  <c r="A1128" i="5"/>
  <c r="I1128" i="5" s="1"/>
  <c r="L1127" i="5"/>
  <c r="D1127" i="5"/>
  <c r="C1127" i="5"/>
  <c r="A1127" i="5"/>
  <c r="M1126" i="5"/>
  <c r="K1126" i="5"/>
  <c r="J1126" i="5"/>
  <c r="A1126" i="5"/>
  <c r="L1126" i="5" s="1"/>
  <c r="A1125" i="5"/>
  <c r="A1124" i="5"/>
  <c r="M1123" i="5"/>
  <c r="K1123" i="5"/>
  <c r="J1123" i="5"/>
  <c r="A1123" i="5"/>
  <c r="K1122" i="5"/>
  <c r="J1122" i="5"/>
  <c r="A1122" i="5"/>
  <c r="A1121" i="5"/>
  <c r="A1120" i="5"/>
  <c r="L1119" i="5"/>
  <c r="K1119" i="5"/>
  <c r="A1119" i="5"/>
  <c r="J1119" i="5" s="1"/>
  <c r="L1118" i="5"/>
  <c r="A1118" i="5"/>
  <c r="L1117" i="5"/>
  <c r="A1117" i="5"/>
  <c r="J1117" i="5" s="1"/>
  <c r="M1116" i="5"/>
  <c r="K1116" i="5"/>
  <c r="A1116" i="5"/>
  <c r="I1116" i="5" s="1"/>
  <c r="A1115" i="5"/>
  <c r="C1115" i="5" s="1"/>
  <c r="J1114" i="5"/>
  <c r="A1114" i="5"/>
  <c r="M1113" i="5"/>
  <c r="L1113" i="5"/>
  <c r="J1113" i="5"/>
  <c r="A1113" i="5"/>
  <c r="K1113" i="5" s="1"/>
  <c r="L1112" i="5"/>
  <c r="J1112" i="5"/>
  <c r="A1112" i="5"/>
  <c r="M1112" i="5" s="1"/>
  <c r="M1111" i="5"/>
  <c r="L1111" i="5"/>
  <c r="J1111" i="5"/>
  <c r="A1111" i="5"/>
  <c r="K1111" i="5" s="1"/>
  <c r="K1110" i="5"/>
  <c r="A1110" i="5"/>
  <c r="M1110" i="5" s="1"/>
  <c r="K1109" i="5"/>
  <c r="J1109" i="5"/>
  <c r="A1109" i="5"/>
  <c r="M1108" i="5"/>
  <c r="L1108" i="5"/>
  <c r="A1108" i="5"/>
  <c r="K1108" i="5" s="1"/>
  <c r="A1107" i="5"/>
  <c r="A1106" i="5"/>
  <c r="L1105" i="5"/>
  <c r="A1105" i="5"/>
  <c r="J1104" i="5"/>
  <c r="I1104" i="5"/>
  <c r="A1104" i="5"/>
  <c r="K1104" i="5" s="1"/>
  <c r="L1103" i="5"/>
  <c r="K1103" i="5"/>
  <c r="I1103" i="5"/>
  <c r="C1103" i="5"/>
  <c r="B1103" i="5"/>
  <c r="A1103" i="5"/>
  <c r="M1103" i="5" s="1"/>
  <c r="M1102" i="5"/>
  <c r="L1102" i="5"/>
  <c r="A1102" i="5"/>
  <c r="J1102" i="5" s="1"/>
  <c r="A1101" i="5"/>
  <c r="A1100" i="5"/>
  <c r="M1099" i="5"/>
  <c r="A1099" i="5"/>
  <c r="L1099" i="5" s="1"/>
  <c r="A1098" i="5"/>
  <c r="M1097" i="5"/>
  <c r="A1097" i="5"/>
  <c r="K1097" i="5" s="1"/>
  <c r="A1096" i="5"/>
  <c r="J1096" i="5" s="1"/>
  <c r="A1095" i="5"/>
  <c r="K1095" i="5" s="1"/>
  <c r="A1094" i="5"/>
  <c r="L1093" i="5"/>
  <c r="A1093" i="5"/>
  <c r="M1093" i="5" s="1"/>
  <c r="A1092" i="5"/>
  <c r="K1092" i="5" s="1"/>
  <c r="L1091" i="5"/>
  <c r="K1091" i="5"/>
  <c r="J1091" i="5"/>
  <c r="I1091" i="5"/>
  <c r="H1091" i="5"/>
  <c r="F1091" i="5"/>
  <c r="E1091" i="5"/>
  <c r="C1091" i="5"/>
  <c r="A1091" i="5"/>
  <c r="M1091" i="5" s="1"/>
  <c r="A1090" i="5"/>
  <c r="M1089" i="5"/>
  <c r="A1089" i="5"/>
  <c r="L1089" i="5" s="1"/>
  <c r="A1088" i="5"/>
  <c r="J1088" i="5" s="1"/>
  <c r="M1087" i="5"/>
  <c r="K1087" i="5"/>
  <c r="A1087" i="5"/>
  <c r="L1087" i="5" s="1"/>
  <c r="M1086" i="5"/>
  <c r="A1086" i="5"/>
  <c r="J1086" i="5" s="1"/>
  <c r="M1085" i="5"/>
  <c r="J1085" i="5"/>
  <c r="A1085" i="5"/>
  <c r="L1085" i="5" s="1"/>
  <c r="K1084" i="5"/>
  <c r="A1084" i="5"/>
  <c r="M1084" i="5" s="1"/>
  <c r="A1083" i="5"/>
  <c r="J1083" i="5" s="1"/>
  <c r="A1082" i="5"/>
  <c r="L1082" i="5" s="1"/>
  <c r="A1081" i="5"/>
  <c r="I1080" i="5"/>
  <c r="A1080" i="5"/>
  <c r="H1079" i="5"/>
  <c r="G1079" i="5"/>
  <c r="F1079" i="5"/>
  <c r="E1079" i="5"/>
  <c r="D1079" i="5"/>
  <c r="B1079" i="5"/>
  <c r="A1079" i="5"/>
  <c r="M1079" i="5" s="1"/>
  <c r="A1078" i="5"/>
  <c r="L1078" i="5" s="1"/>
  <c r="A1077" i="5"/>
  <c r="A1076" i="5"/>
  <c r="L1076" i="5" s="1"/>
  <c r="A1075" i="5"/>
  <c r="M1074" i="5"/>
  <c r="L1074" i="5"/>
  <c r="J1074" i="5"/>
  <c r="A1074" i="5"/>
  <c r="K1074" i="5" s="1"/>
  <c r="L1073" i="5"/>
  <c r="J1073" i="5"/>
  <c r="A1073" i="5"/>
  <c r="M1073" i="5" s="1"/>
  <c r="M1072" i="5"/>
  <c r="K1072" i="5"/>
  <c r="A1072" i="5"/>
  <c r="J1072" i="5" s="1"/>
  <c r="M1071" i="5"/>
  <c r="J1071" i="5"/>
  <c r="A1071" i="5"/>
  <c r="K1071" i="5" s="1"/>
  <c r="A1070" i="5"/>
  <c r="K1070" i="5" s="1"/>
  <c r="M1069" i="5"/>
  <c r="J1069" i="5"/>
  <c r="A1069" i="5"/>
  <c r="L1069" i="5" s="1"/>
  <c r="A1068" i="5"/>
  <c r="L1067" i="5"/>
  <c r="K1067" i="5"/>
  <c r="I1067" i="5"/>
  <c r="H1067" i="5"/>
  <c r="G1067" i="5"/>
  <c r="F1067" i="5"/>
  <c r="E1067" i="5"/>
  <c r="D1067" i="5"/>
  <c r="C1067" i="5"/>
  <c r="B1067" i="5"/>
  <c r="A1067" i="5"/>
  <c r="M1067" i="5" s="1"/>
  <c r="M1066" i="5"/>
  <c r="A1066" i="5"/>
  <c r="L1066" i="5" s="1"/>
  <c r="A1065" i="5"/>
  <c r="L1065" i="5" s="1"/>
  <c r="A1064" i="5"/>
  <c r="J1064" i="5" s="1"/>
  <c r="M1063" i="5"/>
  <c r="J1063" i="5"/>
  <c r="A1063" i="5"/>
  <c r="L1063" i="5" s="1"/>
  <c r="A1062" i="5"/>
  <c r="J1062" i="5" s="1"/>
  <c r="K1061" i="5"/>
  <c r="J1061" i="5"/>
  <c r="A1061" i="5"/>
  <c r="M1061" i="5" s="1"/>
  <c r="M1060" i="5"/>
  <c r="L1060" i="5"/>
  <c r="A1060" i="5"/>
  <c r="J1060" i="5" s="1"/>
  <c r="A1059" i="5"/>
  <c r="L1059" i="5" s="1"/>
  <c r="I1058" i="5"/>
  <c r="A1058" i="5"/>
  <c r="A1057" i="5"/>
  <c r="M1056" i="5"/>
  <c r="K1056" i="5"/>
  <c r="J1056" i="5"/>
  <c r="A1056" i="5"/>
  <c r="L1055" i="5"/>
  <c r="J1055" i="5"/>
  <c r="I1055" i="5"/>
  <c r="H1055" i="5"/>
  <c r="G1055" i="5"/>
  <c r="F1055" i="5"/>
  <c r="E1055" i="5"/>
  <c r="D1055" i="5"/>
  <c r="C1055" i="5"/>
  <c r="B1055" i="5"/>
  <c r="A1055" i="5"/>
  <c r="M1055" i="5" s="1"/>
  <c r="A1054" i="5"/>
  <c r="A1053" i="5"/>
  <c r="A1052" i="5"/>
  <c r="L1052" i="5" s="1"/>
  <c r="K1051" i="5"/>
  <c r="A1051" i="5"/>
  <c r="J1051" i="5" s="1"/>
  <c r="M1050" i="5"/>
  <c r="J1050" i="5"/>
  <c r="A1050" i="5"/>
  <c r="L1050" i="5" s="1"/>
  <c r="A1049" i="5"/>
  <c r="J1049" i="5" s="1"/>
  <c r="M1048" i="5"/>
  <c r="L1048" i="5"/>
  <c r="K1048" i="5"/>
  <c r="J1048" i="5"/>
  <c r="A1048" i="5"/>
  <c r="A1047" i="5"/>
  <c r="M1046" i="5"/>
  <c r="K1046" i="5"/>
  <c r="A1046" i="5"/>
  <c r="L1046" i="5" s="1"/>
  <c r="A1045" i="5"/>
  <c r="H1045" i="5" s="1"/>
  <c r="K1044" i="5"/>
  <c r="J1044" i="5"/>
  <c r="A1044" i="5"/>
  <c r="I1044" i="5" s="1"/>
  <c r="G1043" i="5"/>
  <c r="F1043" i="5"/>
  <c r="D1043" i="5"/>
  <c r="C1043" i="5"/>
  <c r="A1043" i="5"/>
  <c r="M1043" i="5" s="1"/>
  <c r="A1042" i="5"/>
  <c r="A1041" i="5"/>
  <c r="A1040" i="5"/>
  <c r="L1039" i="5"/>
  <c r="K1039" i="5"/>
  <c r="A1039" i="5"/>
  <c r="J1039" i="5" s="1"/>
  <c r="A1038" i="5"/>
  <c r="A1037" i="5"/>
  <c r="I1036" i="5"/>
  <c r="A1036" i="5"/>
  <c r="M1035" i="5"/>
  <c r="L1035" i="5"/>
  <c r="J1035" i="5"/>
  <c r="A1035" i="5"/>
  <c r="K1035" i="5" s="1"/>
  <c r="A1034" i="5"/>
  <c r="H1034" i="5" s="1"/>
  <c r="J1033" i="5"/>
  <c r="I1033" i="5"/>
  <c r="A1033" i="5"/>
  <c r="M1033" i="5" s="1"/>
  <c r="A1032" i="5"/>
  <c r="A1031" i="5"/>
  <c r="M1030" i="5"/>
  <c r="K1030" i="5"/>
  <c r="J1030" i="5"/>
  <c r="A1030" i="5"/>
  <c r="L1030" i="5" s="1"/>
  <c r="I1029" i="5"/>
  <c r="A1029" i="5"/>
  <c r="L1028" i="5"/>
  <c r="K1028" i="5"/>
  <c r="A1028" i="5"/>
  <c r="A1027" i="5"/>
  <c r="L1026" i="5"/>
  <c r="K1026" i="5"/>
  <c r="E1026" i="5"/>
  <c r="A1026" i="5"/>
  <c r="M1026" i="5" s="1"/>
  <c r="E1025" i="5"/>
  <c r="A1025" i="5"/>
  <c r="I1025" i="5" s="1"/>
  <c r="K1024" i="5"/>
  <c r="J1024" i="5"/>
  <c r="A1024" i="5"/>
  <c r="E1024" i="5" s="1"/>
  <c r="E1023" i="5"/>
  <c r="A1023" i="5"/>
  <c r="A1022" i="5"/>
  <c r="G1022" i="5" s="1"/>
  <c r="L1021" i="5"/>
  <c r="A1021" i="5"/>
  <c r="M1021" i="5" s="1"/>
  <c r="M1020" i="5"/>
  <c r="K1020" i="5"/>
  <c r="J1020" i="5"/>
  <c r="I1020" i="5"/>
  <c r="H1020" i="5"/>
  <c r="G1020" i="5"/>
  <c r="E1020" i="5"/>
  <c r="A1020" i="5"/>
  <c r="L1019" i="5"/>
  <c r="K1019" i="5"/>
  <c r="I1019" i="5"/>
  <c r="H1019" i="5"/>
  <c r="G1019" i="5"/>
  <c r="F1019" i="5"/>
  <c r="E1019" i="5"/>
  <c r="D1019" i="5"/>
  <c r="C1019" i="5"/>
  <c r="B1019" i="5"/>
  <c r="A1019" i="5"/>
  <c r="M1019" i="5" s="1"/>
  <c r="F1018" i="5"/>
  <c r="A1018" i="5"/>
  <c r="A1017" i="5"/>
  <c r="M1016" i="5"/>
  <c r="L1016" i="5"/>
  <c r="K1016" i="5"/>
  <c r="J1016" i="5"/>
  <c r="I1016" i="5"/>
  <c r="H1016" i="5"/>
  <c r="F1016" i="5"/>
  <c r="A1016" i="5"/>
  <c r="F1015" i="5"/>
  <c r="A1015" i="5"/>
  <c r="A1014" i="5"/>
  <c r="M1013" i="5"/>
  <c r="K1013" i="5"/>
  <c r="J1013" i="5"/>
  <c r="H1013" i="5"/>
  <c r="A1013" i="5"/>
  <c r="L1013" i="5" s="1"/>
  <c r="G1012" i="5"/>
  <c r="E1012" i="5"/>
  <c r="A1012" i="5"/>
  <c r="M1011" i="5"/>
  <c r="L1011" i="5"/>
  <c r="H1011" i="5"/>
  <c r="A1011" i="5"/>
  <c r="K1011" i="5" s="1"/>
  <c r="H1010" i="5"/>
  <c r="G1010" i="5"/>
  <c r="A1010" i="5"/>
  <c r="E1009" i="5"/>
  <c r="A1009" i="5"/>
  <c r="M1008" i="5"/>
  <c r="K1008" i="5"/>
  <c r="H1008" i="5"/>
  <c r="A1008" i="5"/>
  <c r="J1008" i="5" s="1"/>
  <c r="L1007" i="5"/>
  <c r="K1007" i="5"/>
  <c r="J1007" i="5"/>
  <c r="I1007" i="5"/>
  <c r="H1007" i="5"/>
  <c r="G1007" i="5"/>
  <c r="E1007" i="5"/>
  <c r="D1007" i="5"/>
  <c r="B1007" i="5"/>
  <c r="A1007" i="5"/>
  <c r="M1007" i="5" s="1"/>
  <c r="L1006" i="5"/>
  <c r="K1006" i="5"/>
  <c r="I1006" i="5"/>
  <c r="H1006" i="5"/>
  <c r="A1006" i="5"/>
  <c r="F1006" i="5" s="1"/>
  <c r="F1005" i="5"/>
  <c r="A1005" i="5"/>
  <c r="I1004" i="5"/>
  <c r="A1004" i="5"/>
  <c r="M1003" i="5"/>
  <c r="L1003" i="5"/>
  <c r="K1003" i="5"/>
  <c r="I1003" i="5"/>
  <c r="A1003" i="5"/>
  <c r="J1003" i="5" s="1"/>
  <c r="A1002" i="5"/>
  <c r="A1001" i="5"/>
  <c r="L1001" i="5" s="1"/>
  <c r="M1000" i="5"/>
  <c r="K1000" i="5"/>
  <c r="J1000" i="5"/>
  <c r="C1000" i="5"/>
  <c r="A1000" i="5"/>
  <c r="L1000" i="5" s="1"/>
  <c r="M999" i="5"/>
  <c r="L999" i="5"/>
  <c r="K999" i="5"/>
  <c r="I999" i="5"/>
  <c r="E999" i="5"/>
  <c r="C999" i="5"/>
  <c r="B999" i="5"/>
  <c r="A999" i="5"/>
  <c r="D999" i="5" s="1"/>
  <c r="A998" i="5"/>
  <c r="K997" i="5"/>
  <c r="A997" i="5"/>
  <c r="L996" i="5"/>
  <c r="K996" i="5"/>
  <c r="I996" i="5"/>
  <c r="C996" i="5"/>
  <c r="B996" i="5"/>
  <c r="A996" i="5"/>
  <c r="M996" i="5" s="1"/>
  <c r="M995" i="5"/>
  <c r="I995" i="5"/>
  <c r="G995" i="5"/>
  <c r="F995" i="5"/>
  <c r="C995" i="5"/>
  <c r="A995" i="5"/>
  <c r="H995" i="5" s="1"/>
  <c r="I994" i="5"/>
  <c r="H994" i="5"/>
  <c r="G994" i="5"/>
  <c r="F994" i="5"/>
  <c r="E994" i="5"/>
  <c r="B994" i="5"/>
  <c r="A994" i="5"/>
  <c r="C994" i="5" s="1"/>
  <c r="H993" i="5"/>
  <c r="G993" i="5"/>
  <c r="E993" i="5"/>
  <c r="C993" i="5"/>
  <c r="A993" i="5"/>
  <c r="D993" i="5" s="1"/>
  <c r="G992" i="5"/>
  <c r="A992" i="5"/>
  <c r="M991" i="5"/>
  <c r="K991" i="5"/>
  <c r="J991" i="5"/>
  <c r="H991" i="5"/>
  <c r="A991" i="5"/>
  <c r="L991" i="5" s="1"/>
  <c r="M990" i="5"/>
  <c r="L990" i="5"/>
  <c r="K990" i="5"/>
  <c r="J990" i="5"/>
  <c r="I990" i="5"/>
  <c r="F990" i="5"/>
  <c r="B990" i="5"/>
  <c r="A990" i="5"/>
  <c r="H990" i="5" s="1"/>
  <c r="A989" i="5"/>
  <c r="A988" i="5"/>
  <c r="M987" i="5"/>
  <c r="L987" i="5"/>
  <c r="I987" i="5"/>
  <c r="E987" i="5"/>
  <c r="B987" i="5"/>
  <c r="A987" i="5"/>
  <c r="K987" i="5" s="1"/>
  <c r="L986" i="5"/>
  <c r="J986" i="5"/>
  <c r="F986" i="5"/>
  <c r="E986" i="5"/>
  <c r="D986" i="5"/>
  <c r="B986" i="5"/>
  <c r="A986" i="5"/>
  <c r="C986" i="5" s="1"/>
  <c r="D985" i="5"/>
  <c r="A985" i="5"/>
  <c r="F985" i="5" s="1"/>
  <c r="L984" i="5"/>
  <c r="K984" i="5"/>
  <c r="J984" i="5"/>
  <c r="I984" i="5"/>
  <c r="H984" i="5"/>
  <c r="F984" i="5"/>
  <c r="E984" i="5"/>
  <c r="C984" i="5"/>
  <c r="A984" i="5"/>
  <c r="M984" i="5" s="1"/>
  <c r="A983" i="5"/>
  <c r="D983" i="5" s="1"/>
  <c r="K982" i="5"/>
  <c r="J982" i="5"/>
  <c r="I982" i="5"/>
  <c r="G982" i="5"/>
  <c r="F982" i="5"/>
  <c r="D982" i="5"/>
  <c r="A982" i="5"/>
  <c r="C982" i="5" s="1"/>
  <c r="L981" i="5"/>
  <c r="K981" i="5"/>
  <c r="J981" i="5"/>
  <c r="I981" i="5"/>
  <c r="H981" i="5"/>
  <c r="F981" i="5"/>
  <c r="E981" i="5"/>
  <c r="B981" i="5"/>
  <c r="A981" i="5"/>
  <c r="D981" i="5" s="1"/>
  <c r="K980" i="5"/>
  <c r="J980" i="5"/>
  <c r="I980" i="5"/>
  <c r="H980" i="5"/>
  <c r="G980" i="5"/>
  <c r="D980" i="5"/>
  <c r="A980" i="5"/>
  <c r="E980" i="5" s="1"/>
  <c r="A979" i="5"/>
  <c r="F978" i="5"/>
  <c r="A978" i="5"/>
  <c r="B978" i="5" s="1"/>
  <c r="M977" i="5"/>
  <c r="L977" i="5"/>
  <c r="K977" i="5"/>
  <c r="J977" i="5"/>
  <c r="I977" i="5"/>
  <c r="B977" i="5"/>
  <c r="A977" i="5"/>
  <c r="G977" i="5" s="1"/>
  <c r="A976" i="5"/>
  <c r="B975" i="5"/>
  <c r="A975" i="5"/>
  <c r="D975" i="5" s="1"/>
  <c r="B974" i="5"/>
  <c r="A974" i="5"/>
  <c r="C974" i="5" s="1"/>
  <c r="K973" i="5"/>
  <c r="G973" i="5"/>
  <c r="E973" i="5"/>
  <c r="D973" i="5"/>
  <c r="A973" i="5"/>
  <c r="B973" i="5" s="1"/>
  <c r="G972" i="5"/>
  <c r="F972" i="5"/>
  <c r="D972" i="5"/>
  <c r="C972" i="5"/>
  <c r="A972" i="5"/>
  <c r="M972" i="5" s="1"/>
  <c r="E971" i="5"/>
  <c r="A971" i="5"/>
  <c r="A970" i="5"/>
  <c r="A969" i="5"/>
  <c r="L968" i="5"/>
  <c r="K968" i="5"/>
  <c r="J968" i="5"/>
  <c r="I968" i="5"/>
  <c r="G968" i="5"/>
  <c r="F968" i="5"/>
  <c r="A968" i="5"/>
  <c r="E968" i="5" s="1"/>
  <c r="M967" i="5"/>
  <c r="L967" i="5"/>
  <c r="K967" i="5"/>
  <c r="J967" i="5"/>
  <c r="I967" i="5"/>
  <c r="H967" i="5"/>
  <c r="E967" i="5"/>
  <c r="A967" i="5"/>
  <c r="M966" i="5"/>
  <c r="F966" i="5"/>
  <c r="B966" i="5"/>
  <c r="A966" i="5"/>
  <c r="L966" i="5" s="1"/>
  <c r="J965" i="5"/>
  <c r="I965" i="5"/>
  <c r="C965" i="5"/>
  <c r="B965" i="5"/>
  <c r="A965" i="5"/>
  <c r="G965" i="5" s="1"/>
  <c r="A964" i="5"/>
  <c r="M963" i="5"/>
  <c r="L963" i="5"/>
  <c r="K963" i="5"/>
  <c r="I963" i="5"/>
  <c r="E963" i="5"/>
  <c r="D963" i="5"/>
  <c r="B963" i="5"/>
  <c r="A963" i="5"/>
  <c r="M962" i="5"/>
  <c r="C962" i="5"/>
  <c r="B962" i="5"/>
  <c r="A962" i="5"/>
  <c r="L962" i="5" s="1"/>
  <c r="F961" i="5"/>
  <c r="E961" i="5"/>
  <c r="C961" i="5"/>
  <c r="B961" i="5"/>
  <c r="A961" i="5"/>
  <c r="D961" i="5" s="1"/>
  <c r="L960" i="5"/>
  <c r="K960" i="5"/>
  <c r="J960" i="5"/>
  <c r="I960" i="5"/>
  <c r="H960" i="5"/>
  <c r="G960" i="5"/>
  <c r="F960" i="5"/>
  <c r="E960" i="5"/>
  <c r="C960" i="5"/>
  <c r="B960" i="5"/>
  <c r="A960" i="5"/>
  <c r="M960" i="5" s="1"/>
  <c r="D959" i="5"/>
  <c r="A959" i="5"/>
  <c r="C959" i="5" s="1"/>
  <c r="K958" i="5"/>
  <c r="J958" i="5"/>
  <c r="I958" i="5"/>
  <c r="H958" i="5"/>
  <c r="G958" i="5"/>
  <c r="E958" i="5"/>
  <c r="D958" i="5"/>
  <c r="A958" i="5"/>
  <c r="C958" i="5" s="1"/>
  <c r="L957" i="5"/>
  <c r="K957" i="5"/>
  <c r="J957" i="5"/>
  <c r="I957" i="5"/>
  <c r="H957" i="5"/>
  <c r="G957" i="5"/>
  <c r="F957" i="5"/>
  <c r="C957" i="5"/>
  <c r="B957" i="5"/>
  <c r="A957" i="5"/>
  <c r="D957" i="5" s="1"/>
  <c r="L956" i="5"/>
  <c r="K956" i="5"/>
  <c r="J956" i="5"/>
  <c r="I956" i="5"/>
  <c r="H956" i="5"/>
  <c r="G956" i="5"/>
  <c r="F956" i="5"/>
  <c r="D956" i="5"/>
  <c r="A956" i="5"/>
  <c r="E956" i="5" s="1"/>
  <c r="J955" i="5"/>
  <c r="I955" i="5"/>
  <c r="E955" i="5"/>
  <c r="A955" i="5"/>
  <c r="G955" i="5" s="1"/>
  <c r="A954" i="5"/>
  <c r="M953" i="5"/>
  <c r="L953" i="5"/>
  <c r="K953" i="5"/>
  <c r="J953" i="5"/>
  <c r="I953" i="5"/>
  <c r="B953" i="5"/>
  <c r="A953" i="5"/>
  <c r="G953" i="5" s="1"/>
  <c r="H952" i="5"/>
  <c r="D952" i="5"/>
  <c r="B952" i="5"/>
  <c r="A952" i="5"/>
  <c r="A951" i="5"/>
  <c r="A950" i="5"/>
  <c r="D949" i="5"/>
  <c r="B949" i="5"/>
  <c r="A949" i="5"/>
  <c r="M949" i="5" s="1"/>
  <c r="L948" i="5"/>
  <c r="K948" i="5"/>
  <c r="I948" i="5"/>
  <c r="C948" i="5"/>
  <c r="B948" i="5"/>
  <c r="A948" i="5"/>
  <c r="M948" i="5" s="1"/>
  <c r="M947" i="5"/>
  <c r="I947" i="5"/>
  <c r="G947" i="5"/>
  <c r="F947" i="5"/>
  <c r="D947" i="5"/>
  <c r="A947" i="5"/>
  <c r="H947" i="5" s="1"/>
  <c r="K946" i="5"/>
  <c r="J946" i="5"/>
  <c r="I946" i="5"/>
  <c r="H946" i="5"/>
  <c r="G946" i="5"/>
  <c r="E946" i="5"/>
  <c r="D946" i="5"/>
  <c r="A946" i="5"/>
  <c r="C946" i="5" s="1"/>
  <c r="L945" i="5"/>
  <c r="K945" i="5"/>
  <c r="J945" i="5"/>
  <c r="I945" i="5"/>
  <c r="H945" i="5"/>
  <c r="G945" i="5"/>
  <c r="F945" i="5"/>
  <c r="C945" i="5"/>
  <c r="B945" i="5"/>
  <c r="A945" i="5"/>
  <c r="D945" i="5" s="1"/>
  <c r="L944" i="5"/>
  <c r="K944" i="5"/>
  <c r="J944" i="5"/>
  <c r="I944" i="5"/>
  <c r="H944" i="5"/>
  <c r="G944" i="5"/>
  <c r="F944" i="5"/>
  <c r="D944" i="5"/>
  <c r="A944" i="5"/>
  <c r="E944" i="5" s="1"/>
  <c r="A943" i="5"/>
  <c r="M942" i="5"/>
  <c r="L942" i="5"/>
  <c r="K942" i="5"/>
  <c r="I942" i="5"/>
  <c r="H942" i="5"/>
  <c r="B942" i="5"/>
  <c r="A942" i="5"/>
  <c r="J942" i="5" s="1"/>
  <c r="A941" i="5"/>
  <c r="C941" i="5" s="1"/>
  <c r="L940" i="5"/>
  <c r="C940" i="5"/>
  <c r="B940" i="5"/>
  <c r="A940" i="5"/>
  <c r="B939" i="5"/>
  <c r="A939" i="5"/>
  <c r="M938" i="5"/>
  <c r="L938" i="5"/>
  <c r="J938" i="5"/>
  <c r="E938" i="5"/>
  <c r="D938" i="5"/>
  <c r="B938" i="5"/>
  <c r="A938" i="5"/>
  <c r="F938" i="5" s="1"/>
  <c r="E937" i="5"/>
  <c r="D937" i="5"/>
  <c r="B937" i="5"/>
  <c r="A937" i="5"/>
  <c r="D936" i="5"/>
  <c r="A936" i="5"/>
  <c r="E936" i="5" s="1"/>
  <c r="C935" i="5"/>
  <c r="A935" i="5"/>
  <c r="I935" i="5" s="1"/>
  <c r="B934" i="5"/>
  <c r="A934" i="5"/>
  <c r="E933" i="5"/>
  <c r="C933" i="5"/>
  <c r="A933" i="5"/>
  <c r="L932" i="5"/>
  <c r="A932" i="5"/>
  <c r="I931" i="5"/>
  <c r="H931" i="5"/>
  <c r="G931" i="5"/>
  <c r="E931" i="5"/>
  <c r="A931" i="5"/>
  <c r="M930" i="5"/>
  <c r="A930" i="5"/>
  <c r="K930" i="5" s="1"/>
  <c r="A929" i="5"/>
  <c r="K929" i="5" s="1"/>
  <c r="A928" i="5"/>
  <c r="E927" i="5"/>
  <c r="D927" i="5"/>
  <c r="B927" i="5"/>
  <c r="A927" i="5"/>
  <c r="C927" i="5" s="1"/>
  <c r="A926" i="5"/>
  <c r="M925" i="5"/>
  <c r="K925" i="5"/>
  <c r="G925" i="5"/>
  <c r="F925" i="5"/>
  <c r="E925" i="5"/>
  <c r="D925" i="5"/>
  <c r="A925" i="5"/>
  <c r="L924" i="5"/>
  <c r="K924" i="5"/>
  <c r="J924" i="5"/>
  <c r="I924" i="5"/>
  <c r="H924" i="5"/>
  <c r="G924" i="5"/>
  <c r="F924" i="5"/>
  <c r="E924" i="5"/>
  <c r="D924" i="5"/>
  <c r="C924" i="5"/>
  <c r="B924" i="5"/>
  <c r="A924" i="5"/>
  <c r="M924" i="5" s="1"/>
  <c r="I923" i="5"/>
  <c r="H923" i="5"/>
  <c r="G923" i="5"/>
  <c r="F923" i="5"/>
  <c r="E923" i="5"/>
  <c r="C923" i="5"/>
  <c r="A923" i="5"/>
  <c r="D923" i="5" s="1"/>
  <c r="F922" i="5"/>
  <c r="B922" i="5"/>
  <c r="A922" i="5"/>
  <c r="E922" i="5" s="1"/>
  <c r="E921" i="5"/>
  <c r="C921" i="5"/>
  <c r="A921" i="5"/>
  <c r="I920" i="5"/>
  <c r="G920" i="5"/>
  <c r="F920" i="5"/>
  <c r="C920" i="5"/>
  <c r="A920" i="5"/>
  <c r="M920" i="5" s="1"/>
  <c r="A919" i="5"/>
  <c r="L918" i="5"/>
  <c r="F918" i="5"/>
  <c r="A918" i="5"/>
  <c r="A917" i="5"/>
  <c r="M916" i="5"/>
  <c r="A916" i="5"/>
  <c r="L916" i="5" s="1"/>
  <c r="A915" i="5"/>
  <c r="L914" i="5"/>
  <c r="A914" i="5"/>
  <c r="M914" i="5" s="1"/>
  <c r="M913" i="5"/>
  <c r="K913" i="5"/>
  <c r="J913" i="5"/>
  <c r="H913" i="5"/>
  <c r="G913" i="5"/>
  <c r="F913" i="5"/>
  <c r="D913" i="5"/>
  <c r="B913" i="5"/>
  <c r="A913" i="5"/>
  <c r="E913" i="5" s="1"/>
  <c r="L912" i="5"/>
  <c r="K912" i="5"/>
  <c r="J912" i="5"/>
  <c r="I912" i="5"/>
  <c r="H912" i="5"/>
  <c r="G912" i="5"/>
  <c r="F912" i="5"/>
  <c r="E912" i="5"/>
  <c r="C912" i="5"/>
  <c r="B912" i="5"/>
  <c r="A912" i="5"/>
  <c r="M912" i="5" s="1"/>
  <c r="M911" i="5"/>
  <c r="L911" i="5"/>
  <c r="J911" i="5"/>
  <c r="I911" i="5"/>
  <c r="H911" i="5"/>
  <c r="G911" i="5"/>
  <c r="F911" i="5"/>
  <c r="E911" i="5"/>
  <c r="A911" i="5"/>
  <c r="F910" i="5"/>
  <c r="E910" i="5"/>
  <c r="B910" i="5"/>
  <c r="A910" i="5"/>
  <c r="A909" i="5"/>
  <c r="J908" i="5"/>
  <c r="H908" i="5"/>
  <c r="A908" i="5"/>
  <c r="I908" i="5" s="1"/>
  <c r="D907" i="5"/>
  <c r="B907" i="5"/>
  <c r="A907" i="5"/>
  <c r="M907" i="5" s="1"/>
  <c r="M906" i="5"/>
  <c r="H906" i="5"/>
  <c r="C906" i="5"/>
  <c r="B906" i="5"/>
  <c r="A906" i="5"/>
  <c r="F906" i="5" s="1"/>
  <c r="C905" i="5"/>
  <c r="A905" i="5"/>
  <c r="B905" i="5" s="1"/>
  <c r="A904" i="5"/>
  <c r="A903" i="5"/>
  <c r="M902" i="5"/>
  <c r="L902" i="5"/>
  <c r="B902" i="5"/>
  <c r="A902" i="5"/>
  <c r="G902" i="5" s="1"/>
  <c r="H901" i="5"/>
  <c r="F901" i="5"/>
  <c r="A901" i="5"/>
  <c r="K901" i="5" s="1"/>
  <c r="L900" i="5"/>
  <c r="K900" i="5"/>
  <c r="I900" i="5"/>
  <c r="C900" i="5"/>
  <c r="B900" i="5"/>
  <c r="A900" i="5"/>
  <c r="M900" i="5" s="1"/>
  <c r="A899" i="5"/>
  <c r="M898" i="5"/>
  <c r="K898" i="5"/>
  <c r="J898" i="5"/>
  <c r="I898" i="5"/>
  <c r="G898" i="5"/>
  <c r="F898" i="5"/>
  <c r="A898" i="5"/>
  <c r="H898" i="5" s="1"/>
  <c r="L897" i="5"/>
  <c r="K897" i="5"/>
  <c r="J897" i="5"/>
  <c r="I897" i="5"/>
  <c r="H897" i="5"/>
  <c r="G897" i="5"/>
  <c r="F897" i="5"/>
  <c r="C897" i="5"/>
  <c r="B897" i="5"/>
  <c r="A897" i="5"/>
  <c r="D897" i="5" s="1"/>
  <c r="I896" i="5"/>
  <c r="H896" i="5"/>
  <c r="F896" i="5"/>
  <c r="D896" i="5"/>
  <c r="A896" i="5"/>
  <c r="L896" i="5" s="1"/>
  <c r="G895" i="5"/>
  <c r="A895" i="5"/>
  <c r="E895" i="5" s="1"/>
  <c r="A894" i="5"/>
  <c r="E894" i="5" s="1"/>
  <c r="F893" i="5"/>
  <c r="D893" i="5"/>
  <c r="B893" i="5"/>
  <c r="A893" i="5"/>
  <c r="M893" i="5" s="1"/>
  <c r="D892" i="5"/>
  <c r="C892" i="5"/>
  <c r="A892" i="5"/>
  <c r="M891" i="5"/>
  <c r="D891" i="5"/>
  <c r="C891" i="5"/>
  <c r="A891" i="5"/>
  <c r="K891" i="5" s="1"/>
  <c r="C890" i="5"/>
  <c r="B890" i="5"/>
  <c r="A890" i="5"/>
  <c r="M890" i="5" s="1"/>
  <c r="M889" i="5"/>
  <c r="K889" i="5"/>
  <c r="G889" i="5"/>
  <c r="B889" i="5"/>
  <c r="A889" i="5"/>
  <c r="J889" i="5" s="1"/>
  <c r="L888" i="5"/>
  <c r="K888" i="5"/>
  <c r="J888" i="5"/>
  <c r="I888" i="5"/>
  <c r="H888" i="5"/>
  <c r="G888" i="5"/>
  <c r="F888" i="5"/>
  <c r="E888" i="5"/>
  <c r="C888" i="5"/>
  <c r="B888" i="5"/>
  <c r="A888" i="5"/>
  <c r="M888" i="5" s="1"/>
  <c r="A887" i="5"/>
  <c r="J886" i="5"/>
  <c r="I886" i="5"/>
  <c r="H886" i="5"/>
  <c r="G886" i="5"/>
  <c r="F886" i="5"/>
  <c r="B886" i="5"/>
  <c r="A886" i="5"/>
  <c r="E886" i="5" s="1"/>
  <c r="H885" i="5"/>
  <c r="G885" i="5"/>
  <c r="E885" i="5"/>
  <c r="C885" i="5"/>
  <c r="A885" i="5"/>
  <c r="D885" i="5" s="1"/>
  <c r="M884" i="5"/>
  <c r="L884" i="5"/>
  <c r="K884" i="5"/>
  <c r="J884" i="5"/>
  <c r="I884" i="5"/>
  <c r="H884" i="5"/>
  <c r="G884" i="5"/>
  <c r="F884" i="5"/>
  <c r="D884" i="5"/>
  <c r="C884" i="5"/>
  <c r="A884" i="5"/>
  <c r="M883" i="5"/>
  <c r="L883" i="5"/>
  <c r="K883" i="5"/>
  <c r="J883" i="5"/>
  <c r="I883" i="5"/>
  <c r="H883" i="5"/>
  <c r="G883" i="5"/>
  <c r="E883" i="5"/>
  <c r="D883" i="5"/>
  <c r="C883" i="5"/>
  <c r="B883" i="5"/>
  <c r="A883" i="5"/>
  <c r="F883" i="5" s="1"/>
  <c r="M882" i="5"/>
  <c r="L882" i="5"/>
  <c r="K882" i="5"/>
  <c r="J882" i="5"/>
  <c r="I882" i="5"/>
  <c r="H882" i="5"/>
  <c r="F882" i="5"/>
  <c r="E882" i="5"/>
  <c r="D882" i="5"/>
  <c r="C882" i="5"/>
  <c r="B882" i="5"/>
  <c r="A882" i="5"/>
  <c r="G882" i="5" s="1"/>
  <c r="M881" i="5"/>
  <c r="L881" i="5"/>
  <c r="K881" i="5"/>
  <c r="J881" i="5"/>
  <c r="I881" i="5"/>
  <c r="G881" i="5"/>
  <c r="F881" i="5"/>
  <c r="E881" i="5"/>
  <c r="D881" i="5"/>
  <c r="C881" i="5"/>
  <c r="B881" i="5"/>
  <c r="A881" i="5"/>
  <c r="H881" i="5" s="1"/>
  <c r="M880" i="5"/>
  <c r="L880" i="5"/>
  <c r="J880" i="5"/>
  <c r="H880" i="5"/>
  <c r="G880" i="5"/>
  <c r="F880" i="5"/>
  <c r="E880" i="5"/>
  <c r="D880" i="5"/>
  <c r="C880" i="5"/>
  <c r="B880" i="5"/>
  <c r="A880" i="5"/>
  <c r="I880" i="5" s="1"/>
  <c r="M879" i="5"/>
  <c r="L879" i="5"/>
  <c r="I879" i="5"/>
  <c r="H879" i="5"/>
  <c r="G879" i="5"/>
  <c r="F879" i="5"/>
  <c r="E879" i="5"/>
  <c r="D879" i="5"/>
  <c r="C879" i="5"/>
  <c r="B879" i="5"/>
  <c r="A879" i="5"/>
  <c r="J879" i="5" s="1"/>
  <c r="M878" i="5"/>
  <c r="L878" i="5"/>
  <c r="I878" i="5"/>
  <c r="H878" i="5"/>
  <c r="G878" i="5"/>
  <c r="F878" i="5"/>
  <c r="E878" i="5"/>
  <c r="D878" i="5"/>
  <c r="C878" i="5"/>
  <c r="B878" i="5"/>
  <c r="A878" i="5"/>
  <c r="K878" i="5" s="1"/>
  <c r="M877" i="5"/>
  <c r="K877" i="5"/>
  <c r="I877" i="5"/>
  <c r="H877" i="5"/>
  <c r="G877" i="5"/>
  <c r="F877" i="5"/>
  <c r="E877" i="5"/>
  <c r="D877" i="5"/>
  <c r="C877" i="5"/>
  <c r="B877" i="5"/>
  <c r="A877" i="5"/>
  <c r="L877" i="5" s="1"/>
  <c r="L876" i="5"/>
  <c r="K876" i="5"/>
  <c r="I876" i="5"/>
  <c r="H876" i="5"/>
  <c r="G876" i="5"/>
  <c r="F876" i="5"/>
  <c r="E876" i="5"/>
  <c r="D876" i="5"/>
  <c r="C876" i="5"/>
  <c r="B876" i="5"/>
  <c r="A876" i="5"/>
  <c r="M876" i="5" s="1"/>
  <c r="M875" i="5"/>
  <c r="L875" i="5"/>
  <c r="J875" i="5"/>
  <c r="I875" i="5"/>
  <c r="H875" i="5"/>
  <c r="G875" i="5"/>
  <c r="F875" i="5"/>
  <c r="E875" i="5"/>
  <c r="D875" i="5"/>
  <c r="C875" i="5"/>
  <c r="A875" i="5"/>
  <c r="B875" i="5" s="1"/>
  <c r="E874" i="5"/>
  <c r="A874" i="5"/>
  <c r="M874" i="5" s="1"/>
  <c r="A873" i="5"/>
  <c r="M872" i="5"/>
  <c r="J872" i="5"/>
  <c r="C872" i="5"/>
  <c r="B872" i="5"/>
  <c r="A872" i="5"/>
  <c r="E872" i="5" s="1"/>
  <c r="M871" i="5"/>
  <c r="K871" i="5"/>
  <c r="I871" i="5"/>
  <c r="B871" i="5"/>
  <c r="A871" i="5"/>
  <c r="A870" i="5"/>
  <c r="M869" i="5"/>
  <c r="K869" i="5"/>
  <c r="J869" i="5"/>
  <c r="I869" i="5"/>
  <c r="F869" i="5"/>
  <c r="E869" i="5"/>
  <c r="C869" i="5"/>
  <c r="A869" i="5"/>
  <c r="H869" i="5" s="1"/>
  <c r="M868" i="5"/>
  <c r="K868" i="5"/>
  <c r="J868" i="5"/>
  <c r="H868" i="5"/>
  <c r="G868" i="5"/>
  <c r="E868" i="5"/>
  <c r="D868" i="5"/>
  <c r="B868" i="5"/>
  <c r="A868" i="5"/>
  <c r="I868" i="5" s="1"/>
  <c r="K867" i="5"/>
  <c r="I867" i="5"/>
  <c r="H867" i="5"/>
  <c r="G867" i="5"/>
  <c r="F867" i="5"/>
  <c r="D867" i="5"/>
  <c r="A867" i="5"/>
  <c r="J867" i="5" s="1"/>
  <c r="M866" i="5"/>
  <c r="J866" i="5"/>
  <c r="I866" i="5"/>
  <c r="H866" i="5"/>
  <c r="G866" i="5"/>
  <c r="F866" i="5"/>
  <c r="E866" i="5"/>
  <c r="D866" i="5"/>
  <c r="C866" i="5"/>
  <c r="B866" i="5"/>
  <c r="A866" i="5"/>
  <c r="K866" i="5" s="1"/>
  <c r="H865" i="5"/>
  <c r="G865" i="5"/>
  <c r="F865" i="5"/>
  <c r="E865" i="5"/>
  <c r="D865" i="5"/>
  <c r="B865" i="5"/>
  <c r="A865" i="5"/>
  <c r="L865" i="5" s="1"/>
  <c r="H864" i="5"/>
  <c r="G864" i="5"/>
  <c r="F864" i="5"/>
  <c r="E864" i="5"/>
  <c r="D864" i="5"/>
  <c r="B864" i="5"/>
  <c r="A864" i="5"/>
  <c r="M864" i="5" s="1"/>
  <c r="E863" i="5"/>
  <c r="A863" i="5"/>
  <c r="H863" i="5" s="1"/>
  <c r="M862" i="5"/>
  <c r="J862" i="5"/>
  <c r="I862" i="5"/>
  <c r="H862" i="5"/>
  <c r="G862" i="5"/>
  <c r="F862" i="5"/>
  <c r="E862" i="5"/>
  <c r="D862" i="5"/>
  <c r="B862" i="5"/>
  <c r="A862" i="5"/>
  <c r="C862" i="5" s="1"/>
  <c r="M861" i="5"/>
  <c r="F861" i="5"/>
  <c r="A861" i="5"/>
  <c r="D860" i="5"/>
  <c r="C860" i="5"/>
  <c r="A860" i="5"/>
  <c r="K859" i="5"/>
  <c r="F859" i="5"/>
  <c r="E859" i="5"/>
  <c r="C859" i="5"/>
  <c r="A859" i="5"/>
  <c r="M859" i="5" s="1"/>
  <c r="K858" i="5"/>
  <c r="J858" i="5"/>
  <c r="I858" i="5"/>
  <c r="H858" i="5"/>
  <c r="G858" i="5"/>
  <c r="E858" i="5"/>
  <c r="D858" i="5"/>
  <c r="B858" i="5"/>
  <c r="A858" i="5"/>
  <c r="M858" i="5" s="1"/>
  <c r="A857" i="5"/>
  <c r="A856" i="5"/>
  <c r="A855" i="5"/>
  <c r="A854" i="5"/>
  <c r="M853" i="5"/>
  <c r="L853" i="5"/>
  <c r="A853" i="5"/>
  <c r="M852" i="5"/>
  <c r="D852" i="5"/>
  <c r="C852" i="5"/>
  <c r="A852" i="5"/>
  <c r="L852" i="5" s="1"/>
  <c r="L851" i="5"/>
  <c r="A851" i="5"/>
  <c r="M851" i="5" s="1"/>
  <c r="L850" i="5"/>
  <c r="J850" i="5"/>
  <c r="H850" i="5"/>
  <c r="G850" i="5"/>
  <c r="E850" i="5"/>
  <c r="D850" i="5"/>
  <c r="A850" i="5"/>
  <c r="M850" i="5" s="1"/>
  <c r="A849" i="5"/>
  <c r="L848" i="5"/>
  <c r="I848" i="5"/>
  <c r="C848" i="5"/>
  <c r="B848" i="5"/>
  <c r="A848" i="5"/>
  <c r="M848" i="5" s="1"/>
  <c r="M847" i="5"/>
  <c r="H847" i="5"/>
  <c r="F847" i="5"/>
  <c r="E847" i="5"/>
  <c r="C847" i="5"/>
  <c r="A847" i="5"/>
  <c r="K847" i="5" s="1"/>
  <c r="K846" i="5"/>
  <c r="J846" i="5"/>
  <c r="I846" i="5"/>
  <c r="H846" i="5"/>
  <c r="G846" i="5"/>
  <c r="E846" i="5"/>
  <c r="D846" i="5"/>
  <c r="B846" i="5"/>
  <c r="A846" i="5"/>
  <c r="M846" i="5" s="1"/>
  <c r="L845" i="5"/>
  <c r="H845" i="5"/>
  <c r="G845" i="5"/>
  <c r="F845" i="5"/>
  <c r="E845" i="5"/>
  <c r="C845" i="5"/>
  <c r="A845" i="5"/>
  <c r="M845" i="5" s="1"/>
  <c r="F844" i="5"/>
  <c r="B844" i="5"/>
  <c r="A844" i="5"/>
  <c r="B843" i="5"/>
  <c r="A843" i="5"/>
  <c r="C842" i="5"/>
  <c r="B842" i="5"/>
  <c r="A842" i="5"/>
  <c r="M842" i="5" s="1"/>
  <c r="M841" i="5"/>
  <c r="B841" i="5"/>
  <c r="A841" i="5"/>
  <c r="K840" i="5"/>
  <c r="A840" i="5"/>
  <c r="A839" i="5"/>
  <c r="L838" i="5"/>
  <c r="C838" i="5"/>
  <c r="B838" i="5"/>
  <c r="A838" i="5"/>
  <c r="M838" i="5" s="1"/>
  <c r="K837" i="5"/>
  <c r="I837" i="5"/>
  <c r="G837" i="5"/>
  <c r="F837" i="5"/>
  <c r="D837" i="5"/>
  <c r="B837" i="5"/>
  <c r="A837" i="5"/>
  <c r="M837" i="5" s="1"/>
  <c r="L836" i="5"/>
  <c r="J836" i="5"/>
  <c r="I836" i="5"/>
  <c r="H836" i="5"/>
  <c r="G836" i="5"/>
  <c r="E836" i="5"/>
  <c r="D836" i="5"/>
  <c r="B836" i="5"/>
  <c r="A836" i="5"/>
  <c r="M836" i="5" s="1"/>
  <c r="K835" i="5"/>
  <c r="J835" i="5"/>
  <c r="I835" i="5"/>
  <c r="H835" i="5"/>
  <c r="G835" i="5"/>
  <c r="E835" i="5"/>
  <c r="A835" i="5"/>
  <c r="F835" i="5" s="1"/>
  <c r="J834" i="5"/>
  <c r="I834" i="5"/>
  <c r="H834" i="5"/>
  <c r="G834" i="5"/>
  <c r="F834" i="5"/>
  <c r="D834" i="5"/>
  <c r="A834" i="5"/>
  <c r="M834" i="5" s="1"/>
  <c r="M833" i="5"/>
  <c r="I833" i="5"/>
  <c r="H833" i="5"/>
  <c r="G833" i="5"/>
  <c r="F833" i="5"/>
  <c r="E833" i="5"/>
  <c r="C833" i="5"/>
  <c r="A833" i="5"/>
  <c r="L833" i="5" s="1"/>
  <c r="L832" i="5"/>
  <c r="A832" i="5"/>
  <c r="A831" i="5"/>
  <c r="A830" i="5"/>
  <c r="M829" i="5"/>
  <c r="A829" i="5"/>
  <c r="C829" i="5" s="1"/>
  <c r="A828" i="5"/>
  <c r="A827" i="5"/>
  <c r="M826" i="5"/>
  <c r="L826" i="5"/>
  <c r="H826" i="5"/>
  <c r="G826" i="5"/>
  <c r="D826" i="5"/>
  <c r="C826" i="5"/>
  <c r="A826" i="5"/>
  <c r="J826" i="5" s="1"/>
  <c r="M825" i="5"/>
  <c r="K825" i="5"/>
  <c r="I825" i="5"/>
  <c r="H825" i="5"/>
  <c r="G825" i="5"/>
  <c r="E825" i="5"/>
  <c r="A825" i="5"/>
  <c r="F825" i="5" s="1"/>
  <c r="L824" i="5"/>
  <c r="J824" i="5"/>
  <c r="I824" i="5"/>
  <c r="H824" i="5"/>
  <c r="G824" i="5"/>
  <c r="F824" i="5"/>
  <c r="E824" i="5"/>
  <c r="D824" i="5"/>
  <c r="C824" i="5"/>
  <c r="B824" i="5"/>
  <c r="A824" i="5"/>
  <c r="M824" i="5" s="1"/>
  <c r="G823" i="5"/>
  <c r="F823" i="5"/>
  <c r="A823" i="5"/>
  <c r="M823" i="5" s="1"/>
  <c r="L822" i="5"/>
  <c r="K822" i="5"/>
  <c r="I822" i="5"/>
  <c r="C822" i="5"/>
  <c r="B822" i="5"/>
  <c r="A822" i="5"/>
  <c r="M822" i="5" s="1"/>
  <c r="J821" i="5"/>
  <c r="I821" i="5"/>
  <c r="H821" i="5"/>
  <c r="G821" i="5"/>
  <c r="F821" i="5"/>
  <c r="A821" i="5"/>
  <c r="B821" i="5" s="1"/>
  <c r="G820" i="5"/>
  <c r="F820" i="5"/>
  <c r="A820" i="5"/>
  <c r="C820" i="5" s="1"/>
  <c r="J819" i="5"/>
  <c r="I819" i="5"/>
  <c r="H819" i="5"/>
  <c r="G819" i="5"/>
  <c r="F819" i="5"/>
  <c r="A819" i="5"/>
  <c r="D819" i="5" s="1"/>
  <c r="G818" i="5"/>
  <c r="F818" i="5"/>
  <c r="A818" i="5"/>
  <c r="E818" i="5" s="1"/>
  <c r="J817" i="5"/>
  <c r="I817" i="5"/>
  <c r="H817" i="5"/>
  <c r="G817" i="5"/>
  <c r="E817" i="5"/>
  <c r="A817" i="5"/>
  <c r="F817" i="5" s="1"/>
  <c r="F816" i="5"/>
  <c r="E816" i="5"/>
  <c r="A816" i="5"/>
  <c r="G816" i="5" s="1"/>
  <c r="J815" i="5"/>
  <c r="I815" i="5"/>
  <c r="G815" i="5"/>
  <c r="F815" i="5"/>
  <c r="E815" i="5"/>
  <c r="A815" i="5"/>
  <c r="H815" i="5" s="1"/>
  <c r="F814" i="5"/>
  <c r="E814" i="5"/>
  <c r="A814" i="5"/>
  <c r="I814" i="5" s="1"/>
  <c r="I813" i="5"/>
  <c r="H813" i="5"/>
  <c r="G813" i="5"/>
  <c r="F813" i="5"/>
  <c r="E813" i="5"/>
  <c r="A813" i="5"/>
  <c r="J813" i="5" s="1"/>
  <c r="F812" i="5"/>
  <c r="E812" i="5"/>
  <c r="A812" i="5"/>
  <c r="K812" i="5" s="1"/>
  <c r="I811" i="5"/>
  <c r="H811" i="5"/>
  <c r="G811" i="5"/>
  <c r="F811" i="5"/>
  <c r="E811" i="5"/>
  <c r="A811" i="5"/>
  <c r="L811" i="5" s="1"/>
  <c r="L810" i="5"/>
  <c r="K810" i="5"/>
  <c r="J810" i="5"/>
  <c r="I810" i="5"/>
  <c r="H810" i="5"/>
  <c r="G810" i="5"/>
  <c r="F810" i="5"/>
  <c r="E810" i="5"/>
  <c r="D810" i="5"/>
  <c r="C810" i="5"/>
  <c r="B810" i="5"/>
  <c r="A810" i="5"/>
  <c r="M810" i="5" s="1"/>
  <c r="G809" i="5"/>
  <c r="F809" i="5"/>
  <c r="A809" i="5"/>
  <c r="B809" i="5" s="1"/>
  <c r="J808" i="5"/>
  <c r="I808" i="5"/>
  <c r="H808" i="5"/>
  <c r="G808" i="5"/>
  <c r="F808" i="5"/>
  <c r="A808" i="5"/>
  <c r="C808" i="5" s="1"/>
  <c r="G807" i="5"/>
  <c r="A807" i="5"/>
  <c r="J806" i="5"/>
  <c r="I806" i="5"/>
  <c r="H806" i="5"/>
  <c r="G806" i="5"/>
  <c r="F806" i="5"/>
  <c r="A806" i="5"/>
  <c r="E806" i="5" s="1"/>
  <c r="G805" i="5"/>
  <c r="E805" i="5"/>
  <c r="A805" i="5"/>
  <c r="J804" i="5"/>
  <c r="I804" i="5"/>
  <c r="F804" i="5"/>
  <c r="E804" i="5"/>
  <c r="A804" i="5"/>
  <c r="G804" i="5" s="1"/>
  <c r="A803" i="5"/>
  <c r="J802" i="5"/>
  <c r="H802" i="5"/>
  <c r="F802" i="5"/>
  <c r="E802" i="5"/>
  <c r="A802" i="5"/>
  <c r="I802" i="5" s="1"/>
  <c r="F801" i="5"/>
  <c r="E801" i="5"/>
  <c r="A801" i="5"/>
  <c r="I800" i="5"/>
  <c r="H800" i="5"/>
  <c r="F800" i="5"/>
  <c r="E800" i="5"/>
  <c r="A800" i="5"/>
  <c r="K800" i="5" s="1"/>
  <c r="F799" i="5"/>
  <c r="E799" i="5"/>
  <c r="A799" i="5"/>
  <c r="L798" i="5"/>
  <c r="K798" i="5"/>
  <c r="I798" i="5"/>
  <c r="A798" i="5"/>
  <c r="J797" i="5"/>
  <c r="I797" i="5"/>
  <c r="G797" i="5"/>
  <c r="F797" i="5"/>
  <c r="A797" i="5"/>
  <c r="B797" i="5" s="1"/>
  <c r="F796" i="5"/>
  <c r="A796" i="5"/>
  <c r="G796" i="5" s="1"/>
  <c r="J795" i="5"/>
  <c r="I795" i="5"/>
  <c r="G795" i="5"/>
  <c r="F795" i="5"/>
  <c r="A795" i="5"/>
  <c r="D795" i="5" s="1"/>
  <c r="A794" i="5"/>
  <c r="J793" i="5"/>
  <c r="I793" i="5"/>
  <c r="G793" i="5"/>
  <c r="E793" i="5"/>
  <c r="A793" i="5"/>
  <c r="F793" i="5" s="1"/>
  <c r="A792" i="5"/>
  <c r="J791" i="5"/>
  <c r="I791" i="5"/>
  <c r="F791" i="5"/>
  <c r="E791" i="5"/>
  <c r="A791" i="5"/>
  <c r="H791" i="5" s="1"/>
  <c r="E790" i="5"/>
  <c r="A790" i="5"/>
  <c r="F790" i="5" s="1"/>
  <c r="I789" i="5"/>
  <c r="H789" i="5"/>
  <c r="F789" i="5"/>
  <c r="E789" i="5"/>
  <c r="A789" i="5"/>
  <c r="J789" i="5" s="1"/>
  <c r="A788" i="5"/>
  <c r="I787" i="5"/>
  <c r="H787" i="5"/>
  <c r="F787" i="5"/>
  <c r="E787" i="5"/>
  <c r="A787" i="5"/>
  <c r="L787" i="5" s="1"/>
  <c r="L786" i="5"/>
  <c r="K786" i="5"/>
  <c r="J786" i="5"/>
  <c r="I786" i="5"/>
  <c r="H786" i="5"/>
  <c r="G786" i="5"/>
  <c r="F786" i="5"/>
  <c r="E786" i="5"/>
  <c r="C786" i="5"/>
  <c r="B786" i="5"/>
  <c r="A786" i="5"/>
  <c r="M786" i="5" s="1"/>
  <c r="G785" i="5"/>
  <c r="F785" i="5"/>
  <c r="A785" i="5"/>
  <c r="J784" i="5"/>
  <c r="I784" i="5"/>
  <c r="G784" i="5"/>
  <c r="F784" i="5"/>
  <c r="A784" i="5"/>
  <c r="C784" i="5" s="1"/>
  <c r="A783" i="5"/>
  <c r="J782" i="5"/>
  <c r="I782" i="5"/>
  <c r="G782" i="5"/>
  <c r="F782" i="5"/>
  <c r="A782" i="5"/>
  <c r="E782" i="5" s="1"/>
  <c r="A781" i="5"/>
  <c r="E781" i="5" s="1"/>
  <c r="J780" i="5"/>
  <c r="I780" i="5"/>
  <c r="F780" i="5"/>
  <c r="E780" i="5"/>
  <c r="A780" i="5"/>
  <c r="G780" i="5" s="1"/>
  <c r="F779" i="5"/>
  <c r="E779" i="5"/>
  <c r="A779" i="5"/>
  <c r="J778" i="5"/>
  <c r="H778" i="5"/>
  <c r="F778" i="5"/>
  <c r="E778" i="5"/>
  <c r="A778" i="5"/>
  <c r="I778" i="5" s="1"/>
  <c r="A777" i="5"/>
  <c r="I776" i="5"/>
  <c r="H776" i="5"/>
  <c r="F776" i="5"/>
  <c r="E776" i="5"/>
  <c r="A776" i="5"/>
  <c r="K776" i="5" s="1"/>
  <c r="F775" i="5"/>
  <c r="E775" i="5"/>
  <c r="A775" i="5"/>
  <c r="L774" i="5"/>
  <c r="C774" i="5"/>
  <c r="A774" i="5"/>
  <c r="J773" i="5"/>
  <c r="I773" i="5"/>
  <c r="G773" i="5"/>
  <c r="F773" i="5"/>
  <c r="A773" i="5"/>
  <c r="B773" i="5" s="1"/>
  <c r="G772" i="5"/>
  <c r="F772" i="5"/>
  <c r="A772" i="5"/>
  <c r="J771" i="5"/>
  <c r="I771" i="5"/>
  <c r="G771" i="5"/>
  <c r="F771" i="5"/>
  <c r="A771" i="5"/>
  <c r="D771" i="5" s="1"/>
  <c r="A770" i="5"/>
  <c r="J769" i="5"/>
  <c r="I769" i="5"/>
  <c r="G769" i="5"/>
  <c r="E769" i="5"/>
  <c r="A769" i="5"/>
  <c r="F769" i="5" s="1"/>
  <c r="F768" i="5"/>
  <c r="A768" i="5"/>
  <c r="J767" i="5"/>
  <c r="I767" i="5"/>
  <c r="F767" i="5"/>
  <c r="E767" i="5"/>
  <c r="A767" i="5"/>
  <c r="H767" i="5" s="1"/>
  <c r="F766" i="5"/>
  <c r="E766" i="5"/>
  <c r="A766" i="5"/>
  <c r="I765" i="5"/>
  <c r="H765" i="5"/>
  <c r="F765" i="5"/>
  <c r="E765" i="5"/>
  <c r="A765" i="5"/>
  <c r="J765" i="5" s="1"/>
  <c r="A764" i="5"/>
  <c r="I763" i="5"/>
  <c r="H763" i="5"/>
  <c r="F763" i="5"/>
  <c r="E763" i="5"/>
  <c r="A763" i="5"/>
  <c r="L763" i="5" s="1"/>
  <c r="I762" i="5"/>
  <c r="H762" i="5"/>
  <c r="G762" i="5"/>
  <c r="F762" i="5"/>
  <c r="E762" i="5"/>
  <c r="C762" i="5"/>
  <c r="B762" i="5"/>
  <c r="A762" i="5"/>
  <c r="M762" i="5" s="1"/>
  <c r="G761" i="5"/>
  <c r="F761" i="5"/>
  <c r="A761" i="5"/>
  <c r="J760" i="5"/>
  <c r="I760" i="5"/>
  <c r="G760" i="5"/>
  <c r="F760" i="5"/>
  <c r="A760" i="5"/>
  <c r="C760" i="5" s="1"/>
  <c r="A759" i="5"/>
  <c r="J758" i="5"/>
  <c r="I758" i="5"/>
  <c r="G758" i="5"/>
  <c r="F758" i="5"/>
  <c r="A758" i="5"/>
  <c r="E758" i="5" s="1"/>
  <c r="G757" i="5"/>
  <c r="A757" i="5"/>
  <c r="J756" i="5"/>
  <c r="I756" i="5"/>
  <c r="F756" i="5"/>
  <c r="E756" i="5"/>
  <c r="A756" i="5"/>
  <c r="G756" i="5" s="1"/>
  <c r="F755" i="5"/>
  <c r="E755" i="5"/>
  <c r="A755" i="5"/>
  <c r="J754" i="5"/>
  <c r="H754" i="5"/>
  <c r="F754" i="5"/>
  <c r="E754" i="5"/>
  <c r="A754" i="5"/>
  <c r="I754" i="5" s="1"/>
  <c r="A753" i="5"/>
  <c r="I752" i="5"/>
  <c r="H752" i="5"/>
  <c r="F752" i="5"/>
  <c r="E752" i="5"/>
  <c r="A752" i="5"/>
  <c r="K752" i="5" s="1"/>
  <c r="F751" i="5"/>
  <c r="A751" i="5"/>
  <c r="C750" i="5"/>
  <c r="B750" i="5"/>
  <c r="A750" i="5"/>
  <c r="J749" i="5"/>
  <c r="I749" i="5"/>
  <c r="G749" i="5"/>
  <c r="F749" i="5"/>
  <c r="A749" i="5"/>
  <c r="B749" i="5" s="1"/>
  <c r="H748" i="5"/>
  <c r="A748" i="5"/>
  <c r="A747" i="5"/>
  <c r="A746" i="5"/>
  <c r="H746" i="5" s="1"/>
  <c r="J745" i="5"/>
  <c r="E745" i="5"/>
  <c r="A745" i="5"/>
  <c r="H745" i="5" s="1"/>
  <c r="E744" i="5"/>
  <c r="D744" i="5"/>
  <c r="B744" i="5"/>
  <c r="A744" i="5"/>
  <c r="F744" i="5" s="1"/>
  <c r="A743" i="5"/>
  <c r="C743" i="5" s="1"/>
  <c r="A742" i="5"/>
  <c r="M741" i="5"/>
  <c r="L741" i="5"/>
  <c r="K741" i="5"/>
  <c r="E741" i="5"/>
  <c r="A741" i="5"/>
  <c r="I741" i="5" s="1"/>
  <c r="B740" i="5"/>
  <c r="A740" i="5"/>
  <c r="A739" i="5"/>
  <c r="M738" i="5"/>
  <c r="L738" i="5"/>
  <c r="D738" i="5"/>
  <c r="C738" i="5"/>
  <c r="B738" i="5"/>
  <c r="A738" i="5"/>
  <c r="H738" i="5" s="1"/>
  <c r="A737" i="5"/>
  <c r="J736" i="5"/>
  <c r="F736" i="5"/>
  <c r="E736" i="5"/>
  <c r="D736" i="5"/>
  <c r="C736" i="5"/>
  <c r="B736" i="5"/>
  <c r="A736" i="5"/>
  <c r="M736" i="5" s="1"/>
  <c r="A735" i="5"/>
  <c r="L734" i="5"/>
  <c r="K734" i="5"/>
  <c r="I734" i="5"/>
  <c r="H734" i="5"/>
  <c r="F734" i="5"/>
  <c r="E734" i="5"/>
  <c r="D734" i="5"/>
  <c r="C734" i="5"/>
  <c r="B734" i="5"/>
  <c r="A734" i="5"/>
  <c r="M734" i="5" s="1"/>
  <c r="M733" i="5"/>
  <c r="I733" i="5"/>
  <c r="H733" i="5"/>
  <c r="F733" i="5"/>
  <c r="E733" i="5"/>
  <c r="A733" i="5"/>
  <c r="A732" i="5"/>
  <c r="B732" i="5" s="1"/>
  <c r="L731" i="5"/>
  <c r="K731" i="5"/>
  <c r="C731" i="5"/>
  <c r="A731" i="5"/>
  <c r="A730" i="5"/>
  <c r="A729" i="5"/>
  <c r="M728" i="5"/>
  <c r="L728" i="5"/>
  <c r="K728" i="5"/>
  <c r="F728" i="5"/>
  <c r="B728" i="5"/>
  <c r="A728" i="5"/>
  <c r="J728" i="5" s="1"/>
  <c r="C727" i="5"/>
  <c r="B727" i="5"/>
  <c r="A727" i="5"/>
  <c r="A726" i="5"/>
  <c r="M726" i="5" s="1"/>
  <c r="A725" i="5"/>
  <c r="A724" i="5"/>
  <c r="K723" i="5"/>
  <c r="G723" i="5"/>
  <c r="F723" i="5"/>
  <c r="E723" i="5"/>
  <c r="C723" i="5"/>
  <c r="B723" i="5"/>
  <c r="A723" i="5"/>
  <c r="M723" i="5" s="1"/>
  <c r="H722" i="5"/>
  <c r="G722" i="5"/>
  <c r="F722" i="5"/>
  <c r="E722" i="5"/>
  <c r="D722" i="5"/>
  <c r="B722" i="5"/>
  <c r="A722" i="5"/>
  <c r="M722" i="5" s="1"/>
  <c r="A721" i="5"/>
  <c r="J720" i="5"/>
  <c r="I720" i="5"/>
  <c r="H720" i="5"/>
  <c r="G720" i="5"/>
  <c r="F720" i="5"/>
  <c r="E720" i="5"/>
  <c r="D720" i="5"/>
  <c r="B720" i="5"/>
  <c r="A720" i="5"/>
  <c r="C720" i="5" s="1"/>
  <c r="L719" i="5"/>
  <c r="K719" i="5"/>
  <c r="J719" i="5"/>
  <c r="I719" i="5"/>
  <c r="H719" i="5"/>
  <c r="G719" i="5"/>
  <c r="F719" i="5"/>
  <c r="E719" i="5"/>
  <c r="D719" i="5"/>
  <c r="C719" i="5"/>
  <c r="B719" i="5"/>
  <c r="A719" i="5"/>
  <c r="M719" i="5" s="1"/>
  <c r="L718" i="5"/>
  <c r="F718" i="5"/>
  <c r="A718" i="5"/>
  <c r="A717" i="5"/>
  <c r="L716" i="5"/>
  <c r="K716" i="5"/>
  <c r="F716" i="5"/>
  <c r="B716" i="5"/>
  <c r="A716" i="5"/>
  <c r="M716" i="5" s="1"/>
  <c r="K715" i="5"/>
  <c r="G715" i="5"/>
  <c r="C715" i="5"/>
  <c r="B715" i="5"/>
  <c r="A715" i="5"/>
  <c r="A714" i="5"/>
  <c r="A713" i="5"/>
  <c r="J712" i="5"/>
  <c r="F712" i="5"/>
  <c r="E712" i="5"/>
  <c r="D712" i="5"/>
  <c r="B712" i="5"/>
  <c r="A712" i="5"/>
  <c r="M712" i="5" s="1"/>
  <c r="D711" i="5"/>
  <c r="C711" i="5"/>
  <c r="A711" i="5"/>
  <c r="A710" i="5"/>
  <c r="H710" i="5" s="1"/>
  <c r="A709" i="5"/>
  <c r="J708" i="5"/>
  <c r="I708" i="5"/>
  <c r="G708" i="5"/>
  <c r="F708" i="5"/>
  <c r="E708" i="5"/>
  <c r="D708" i="5"/>
  <c r="B708" i="5"/>
  <c r="A708" i="5"/>
  <c r="C708" i="5" s="1"/>
  <c r="L707" i="5"/>
  <c r="K707" i="5"/>
  <c r="J707" i="5"/>
  <c r="I707" i="5"/>
  <c r="H707" i="5"/>
  <c r="F707" i="5"/>
  <c r="E707" i="5"/>
  <c r="D707" i="5"/>
  <c r="C707" i="5"/>
  <c r="A707" i="5"/>
  <c r="M707" i="5" s="1"/>
  <c r="L706" i="5"/>
  <c r="K706" i="5"/>
  <c r="J706" i="5"/>
  <c r="I706" i="5"/>
  <c r="H706" i="5"/>
  <c r="F706" i="5"/>
  <c r="D706" i="5"/>
  <c r="C706" i="5"/>
  <c r="A706" i="5"/>
  <c r="E706" i="5" s="1"/>
  <c r="J705" i="5"/>
  <c r="A705" i="5"/>
  <c r="A704" i="5"/>
  <c r="L703" i="5"/>
  <c r="K703" i="5"/>
  <c r="G703" i="5"/>
  <c r="C703" i="5"/>
  <c r="A703" i="5"/>
  <c r="M703" i="5" s="1"/>
  <c r="A702" i="5"/>
  <c r="M701" i="5"/>
  <c r="I701" i="5"/>
  <c r="D701" i="5"/>
  <c r="B701" i="5"/>
  <c r="A701" i="5"/>
  <c r="A700" i="5"/>
  <c r="J700" i="5" s="1"/>
  <c r="K699" i="5"/>
  <c r="G699" i="5"/>
  <c r="F699" i="5"/>
  <c r="E699" i="5"/>
  <c r="C699" i="5"/>
  <c r="B699" i="5"/>
  <c r="A699" i="5"/>
  <c r="M699" i="5" s="1"/>
  <c r="H698" i="5"/>
  <c r="G698" i="5"/>
  <c r="F698" i="5"/>
  <c r="E698" i="5"/>
  <c r="D698" i="5"/>
  <c r="B698" i="5"/>
  <c r="A698" i="5"/>
  <c r="M698" i="5" s="1"/>
  <c r="F697" i="5"/>
  <c r="A697" i="5"/>
  <c r="J696" i="5"/>
  <c r="I696" i="5"/>
  <c r="H696" i="5"/>
  <c r="F696" i="5"/>
  <c r="E696" i="5"/>
  <c r="D696" i="5"/>
  <c r="B696" i="5"/>
  <c r="A696" i="5"/>
  <c r="C696" i="5" s="1"/>
  <c r="K695" i="5"/>
  <c r="J695" i="5"/>
  <c r="I695" i="5"/>
  <c r="H695" i="5"/>
  <c r="G695" i="5"/>
  <c r="E695" i="5"/>
  <c r="D695" i="5"/>
  <c r="C695" i="5"/>
  <c r="B695" i="5"/>
  <c r="A695" i="5"/>
  <c r="M695" i="5" s="1"/>
  <c r="K694" i="5"/>
  <c r="J694" i="5"/>
  <c r="I694" i="5"/>
  <c r="H694" i="5"/>
  <c r="G694" i="5"/>
  <c r="D694" i="5"/>
  <c r="C694" i="5"/>
  <c r="A694" i="5"/>
  <c r="E694" i="5" s="1"/>
  <c r="A693" i="5"/>
  <c r="J692" i="5"/>
  <c r="A692" i="5"/>
  <c r="M691" i="5"/>
  <c r="L691" i="5"/>
  <c r="C691" i="5"/>
  <c r="B691" i="5"/>
  <c r="A691" i="5"/>
  <c r="K691" i="5" s="1"/>
  <c r="A690" i="5"/>
  <c r="C690" i="5" s="1"/>
  <c r="A689" i="5"/>
  <c r="J688" i="5"/>
  <c r="E688" i="5"/>
  <c r="D688" i="5"/>
  <c r="C688" i="5"/>
  <c r="B688" i="5"/>
  <c r="A688" i="5"/>
  <c r="M688" i="5" s="1"/>
  <c r="K687" i="5"/>
  <c r="G687" i="5"/>
  <c r="F687" i="5"/>
  <c r="E687" i="5"/>
  <c r="D687" i="5"/>
  <c r="C687" i="5"/>
  <c r="A687" i="5"/>
  <c r="B687" i="5" s="1"/>
  <c r="L686" i="5"/>
  <c r="D686" i="5"/>
  <c r="A686" i="5"/>
  <c r="I685" i="5"/>
  <c r="H685" i="5"/>
  <c r="A685" i="5"/>
  <c r="M685" i="5" s="1"/>
  <c r="J684" i="5"/>
  <c r="I684" i="5"/>
  <c r="H684" i="5"/>
  <c r="G684" i="5"/>
  <c r="F684" i="5"/>
  <c r="E684" i="5"/>
  <c r="D684" i="5"/>
  <c r="B684" i="5"/>
  <c r="A684" i="5"/>
  <c r="C684" i="5" s="1"/>
  <c r="L683" i="5"/>
  <c r="K683" i="5"/>
  <c r="J683" i="5"/>
  <c r="I683" i="5"/>
  <c r="H683" i="5"/>
  <c r="G683" i="5"/>
  <c r="F683" i="5"/>
  <c r="E683" i="5"/>
  <c r="D683" i="5"/>
  <c r="C683" i="5"/>
  <c r="B683" i="5"/>
  <c r="A683" i="5"/>
  <c r="M683" i="5" s="1"/>
  <c r="F682" i="5"/>
  <c r="A682" i="5"/>
  <c r="M681" i="5"/>
  <c r="K681" i="5"/>
  <c r="I681" i="5"/>
  <c r="E681" i="5"/>
  <c r="A681" i="5"/>
  <c r="L681" i="5" s="1"/>
  <c r="A680" i="5"/>
  <c r="A679" i="5"/>
  <c r="L678" i="5"/>
  <c r="H678" i="5"/>
  <c r="D678" i="5"/>
  <c r="C678" i="5"/>
  <c r="A678" i="5"/>
  <c r="M678" i="5" s="1"/>
  <c r="A677" i="5"/>
  <c r="J676" i="5"/>
  <c r="F676" i="5"/>
  <c r="E676" i="5"/>
  <c r="D676" i="5"/>
  <c r="B676" i="5"/>
  <c r="A676" i="5"/>
  <c r="M676" i="5" s="1"/>
  <c r="D675" i="5"/>
  <c r="C675" i="5"/>
  <c r="B675" i="5"/>
  <c r="A675" i="5"/>
  <c r="I674" i="5"/>
  <c r="C674" i="5"/>
  <c r="B674" i="5"/>
  <c r="A674" i="5"/>
  <c r="M673" i="5"/>
  <c r="I673" i="5"/>
  <c r="F673" i="5"/>
  <c r="E673" i="5"/>
  <c r="A673" i="5"/>
  <c r="G673" i="5" s="1"/>
  <c r="J672" i="5"/>
  <c r="I672" i="5"/>
  <c r="H672" i="5"/>
  <c r="G672" i="5"/>
  <c r="F672" i="5"/>
  <c r="E672" i="5"/>
  <c r="D672" i="5"/>
  <c r="B672" i="5"/>
  <c r="A672" i="5"/>
  <c r="C672" i="5" s="1"/>
  <c r="L671" i="5"/>
  <c r="K671" i="5"/>
  <c r="J671" i="5"/>
  <c r="I671" i="5"/>
  <c r="H671" i="5"/>
  <c r="G671" i="5"/>
  <c r="F671" i="5"/>
  <c r="E671" i="5"/>
  <c r="D671" i="5"/>
  <c r="C671" i="5"/>
  <c r="B671" i="5"/>
  <c r="A671" i="5"/>
  <c r="M671" i="5" s="1"/>
  <c r="D670" i="5"/>
  <c r="A670" i="5"/>
  <c r="A669" i="5"/>
  <c r="L668" i="5"/>
  <c r="K668" i="5"/>
  <c r="A668" i="5"/>
  <c r="M668" i="5" s="1"/>
  <c r="C667" i="5"/>
  <c r="A667" i="5"/>
  <c r="B667" i="5" s="1"/>
  <c r="M666" i="5"/>
  <c r="L666" i="5"/>
  <c r="H666" i="5"/>
  <c r="C666" i="5"/>
  <c r="B666" i="5"/>
  <c r="A666" i="5"/>
  <c r="I665" i="5"/>
  <c r="E665" i="5"/>
  <c r="D665" i="5"/>
  <c r="C665" i="5"/>
  <c r="A665" i="5"/>
  <c r="M665" i="5" s="1"/>
  <c r="A664" i="5"/>
  <c r="J664" i="5" s="1"/>
  <c r="A663" i="5"/>
  <c r="L662" i="5"/>
  <c r="A662" i="5"/>
  <c r="A661" i="5"/>
  <c r="F661" i="5" s="1"/>
  <c r="J660" i="5"/>
  <c r="I660" i="5"/>
  <c r="G660" i="5"/>
  <c r="F660" i="5"/>
  <c r="E660" i="5"/>
  <c r="D660" i="5"/>
  <c r="A660" i="5"/>
  <c r="C660" i="5" s="1"/>
  <c r="L659" i="5"/>
  <c r="K659" i="5"/>
  <c r="J659" i="5"/>
  <c r="I659" i="5"/>
  <c r="H659" i="5"/>
  <c r="F659" i="5"/>
  <c r="E659" i="5"/>
  <c r="D659" i="5"/>
  <c r="C659" i="5"/>
  <c r="A659" i="5"/>
  <c r="M659" i="5" s="1"/>
  <c r="L658" i="5"/>
  <c r="K658" i="5"/>
  <c r="J658" i="5"/>
  <c r="I658" i="5"/>
  <c r="H658" i="5"/>
  <c r="F658" i="5"/>
  <c r="D658" i="5"/>
  <c r="C658" i="5"/>
  <c r="A658" i="5"/>
  <c r="E658" i="5" s="1"/>
  <c r="A657" i="5"/>
  <c r="J657" i="5" s="1"/>
  <c r="A656" i="5"/>
  <c r="L655" i="5"/>
  <c r="K655" i="5"/>
  <c r="G655" i="5"/>
  <c r="C655" i="5"/>
  <c r="A655" i="5"/>
  <c r="M655" i="5" s="1"/>
  <c r="A654" i="5"/>
  <c r="A653" i="5"/>
  <c r="E653" i="5" s="1"/>
  <c r="J652" i="5"/>
  <c r="E652" i="5"/>
  <c r="D652" i="5"/>
  <c r="C652" i="5"/>
  <c r="B652" i="5"/>
  <c r="A652" i="5"/>
  <c r="M652" i="5" s="1"/>
  <c r="K651" i="5"/>
  <c r="G651" i="5"/>
  <c r="F651" i="5"/>
  <c r="E651" i="5"/>
  <c r="D651" i="5"/>
  <c r="C651" i="5"/>
  <c r="A651" i="5"/>
  <c r="B651" i="5" s="1"/>
  <c r="L650" i="5"/>
  <c r="E650" i="5"/>
  <c r="A650" i="5"/>
  <c r="A649" i="5"/>
  <c r="D648" i="5"/>
  <c r="A648" i="5"/>
  <c r="L647" i="5"/>
  <c r="K647" i="5"/>
  <c r="I647" i="5"/>
  <c r="C647" i="5"/>
  <c r="B647" i="5"/>
  <c r="A647" i="5"/>
  <c r="L646" i="5"/>
  <c r="K646" i="5"/>
  <c r="I646" i="5"/>
  <c r="A646" i="5"/>
  <c r="A645" i="5"/>
  <c r="J645" i="5" s="1"/>
  <c r="A644" i="5"/>
  <c r="M643" i="5"/>
  <c r="L643" i="5"/>
  <c r="A643" i="5"/>
  <c r="K643" i="5" s="1"/>
  <c r="A642" i="5"/>
  <c r="C642" i="5" s="1"/>
  <c r="M641" i="5"/>
  <c r="I641" i="5"/>
  <c r="C641" i="5"/>
  <c r="A641" i="5"/>
  <c r="E641" i="5" s="1"/>
  <c r="D640" i="5"/>
  <c r="C640" i="5"/>
  <c r="B640" i="5"/>
  <c r="A640" i="5"/>
  <c r="K639" i="5"/>
  <c r="F639" i="5"/>
  <c r="E639" i="5"/>
  <c r="D639" i="5"/>
  <c r="C639" i="5"/>
  <c r="A639" i="5"/>
  <c r="B639" i="5" s="1"/>
  <c r="K638" i="5"/>
  <c r="I638" i="5"/>
  <c r="H638" i="5"/>
  <c r="G638" i="5"/>
  <c r="F638" i="5"/>
  <c r="D638" i="5"/>
  <c r="C638" i="5"/>
  <c r="B638" i="5"/>
  <c r="A638" i="5"/>
  <c r="M638" i="5" s="1"/>
  <c r="H637" i="5"/>
  <c r="A637" i="5"/>
  <c r="A636" i="5"/>
  <c r="J636" i="5" s="1"/>
  <c r="L635" i="5"/>
  <c r="J635" i="5"/>
  <c r="I635" i="5"/>
  <c r="A635" i="5"/>
  <c r="L634" i="5"/>
  <c r="K634" i="5"/>
  <c r="J634" i="5"/>
  <c r="I634" i="5"/>
  <c r="G634" i="5"/>
  <c r="F634" i="5"/>
  <c r="D634" i="5"/>
  <c r="C634" i="5"/>
  <c r="A634" i="5"/>
  <c r="E634" i="5" s="1"/>
  <c r="L633" i="5"/>
  <c r="A633" i="5"/>
  <c r="M633" i="5" s="1"/>
  <c r="A632" i="5"/>
  <c r="B632" i="5" s="1"/>
  <c r="M631" i="5"/>
  <c r="K631" i="5"/>
  <c r="C631" i="5"/>
  <c r="B631" i="5"/>
  <c r="A631" i="5"/>
  <c r="L631" i="5" s="1"/>
  <c r="D630" i="5"/>
  <c r="A630" i="5"/>
  <c r="A629" i="5"/>
  <c r="F628" i="5"/>
  <c r="E628" i="5"/>
  <c r="D628" i="5"/>
  <c r="C628" i="5"/>
  <c r="B628" i="5"/>
  <c r="A628" i="5"/>
  <c r="M628" i="5" s="1"/>
  <c r="E627" i="5"/>
  <c r="A627" i="5"/>
  <c r="L626" i="5"/>
  <c r="K626" i="5"/>
  <c r="I626" i="5"/>
  <c r="H626" i="5"/>
  <c r="G626" i="5"/>
  <c r="F626" i="5"/>
  <c r="E626" i="5"/>
  <c r="D626" i="5"/>
  <c r="C626" i="5"/>
  <c r="B626" i="5"/>
  <c r="A626" i="5"/>
  <c r="M626" i="5" s="1"/>
  <c r="M625" i="5"/>
  <c r="I625" i="5"/>
  <c r="H625" i="5"/>
  <c r="A625" i="5"/>
  <c r="H624" i="5"/>
  <c r="G624" i="5"/>
  <c r="F624" i="5"/>
  <c r="E624" i="5"/>
  <c r="D624" i="5"/>
  <c r="A624" i="5"/>
  <c r="G623" i="5"/>
  <c r="F623" i="5"/>
  <c r="E623" i="5"/>
  <c r="D623" i="5"/>
  <c r="A623" i="5"/>
  <c r="G622" i="5"/>
  <c r="F622" i="5"/>
  <c r="D622" i="5"/>
  <c r="A622" i="5"/>
  <c r="L621" i="5"/>
  <c r="K621" i="5"/>
  <c r="I621" i="5"/>
  <c r="E621" i="5"/>
  <c r="A621" i="5"/>
  <c r="M621" i="5" s="1"/>
  <c r="J620" i="5"/>
  <c r="A620" i="5"/>
  <c r="A619" i="5"/>
  <c r="M618" i="5"/>
  <c r="A618" i="5"/>
  <c r="A617" i="5"/>
  <c r="J616" i="5"/>
  <c r="F616" i="5"/>
  <c r="E616" i="5"/>
  <c r="C616" i="5"/>
  <c r="A616" i="5"/>
  <c r="M616" i="5" s="1"/>
  <c r="A615" i="5"/>
  <c r="A614" i="5"/>
  <c r="L614" i="5" s="1"/>
  <c r="M613" i="5"/>
  <c r="I613" i="5"/>
  <c r="F613" i="5"/>
  <c r="A613" i="5"/>
  <c r="H613" i="5" s="1"/>
  <c r="J612" i="5"/>
  <c r="I612" i="5"/>
  <c r="H612" i="5"/>
  <c r="G612" i="5"/>
  <c r="F612" i="5"/>
  <c r="E612" i="5"/>
  <c r="D612" i="5"/>
  <c r="B612" i="5"/>
  <c r="A612" i="5"/>
  <c r="C612" i="5" s="1"/>
  <c r="L611" i="5"/>
  <c r="K611" i="5"/>
  <c r="J611" i="5"/>
  <c r="I611" i="5"/>
  <c r="H611" i="5"/>
  <c r="G611" i="5"/>
  <c r="F611" i="5"/>
  <c r="E611" i="5"/>
  <c r="D611" i="5"/>
  <c r="C611" i="5"/>
  <c r="B611" i="5"/>
  <c r="A611" i="5"/>
  <c r="M611" i="5" s="1"/>
  <c r="F610" i="5"/>
  <c r="D610" i="5"/>
  <c r="C610" i="5"/>
  <c r="A610" i="5"/>
  <c r="G609" i="5"/>
  <c r="A609" i="5"/>
  <c r="B608" i="5"/>
  <c r="A608" i="5"/>
  <c r="M607" i="5"/>
  <c r="L607" i="5"/>
  <c r="K607" i="5"/>
  <c r="I607" i="5"/>
  <c r="A607" i="5"/>
  <c r="J607" i="5" s="1"/>
  <c r="C606" i="5"/>
  <c r="B606" i="5"/>
  <c r="A606" i="5"/>
  <c r="C605" i="5"/>
  <c r="A605" i="5"/>
  <c r="L604" i="5"/>
  <c r="A604" i="5"/>
  <c r="A603" i="5"/>
  <c r="F603" i="5" s="1"/>
  <c r="L602" i="5"/>
  <c r="K602" i="5"/>
  <c r="I602" i="5"/>
  <c r="F602" i="5"/>
  <c r="E602" i="5"/>
  <c r="D602" i="5"/>
  <c r="C602" i="5"/>
  <c r="B602" i="5"/>
  <c r="A602" i="5"/>
  <c r="M602" i="5" s="1"/>
  <c r="A601" i="5"/>
  <c r="C601" i="5" s="1"/>
  <c r="D600" i="5"/>
  <c r="A600" i="5"/>
  <c r="L599" i="5"/>
  <c r="A599" i="5"/>
  <c r="A598" i="5"/>
  <c r="M597" i="5"/>
  <c r="L597" i="5"/>
  <c r="K597" i="5"/>
  <c r="I597" i="5"/>
  <c r="A597" i="5"/>
  <c r="J597" i="5" s="1"/>
  <c r="A596" i="5"/>
  <c r="C595" i="5"/>
  <c r="B595" i="5"/>
  <c r="A595" i="5"/>
  <c r="A594" i="5"/>
  <c r="M594" i="5" s="1"/>
  <c r="M593" i="5"/>
  <c r="L593" i="5"/>
  <c r="K593" i="5"/>
  <c r="E593" i="5"/>
  <c r="A593" i="5"/>
  <c r="I593" i="5" s="1"/>
  <c r="C592" i="5"/>
  <c r="B592" i="5"/>
  <c r="A592" i="5"/>
  <c r="C591" i="5"/>
  <c r="B591" i="5"/>
  <c r="A591" i="5"/>
  <c r="L590" i="5"/>
  <c r="D590" i="5"/>
  <c r="B590" i="5"/>
  <c r="A590" i="5"/>
  <c r="E590" i="5" s="1"/>
  <c r="A589" i="5"/>
  <c r="J588" i="5"/>
  <c r="I588" i="5"/>
  <c r="H588" i="5"/>
  <c r="G588" i="5"/>
  <c r="E588" i="5"/>
  <c r="D588" i="5"/>
  <c r="B588" i="5"/>
  <c r="A588" i="5"/>
  <c r="C588" i="5" s="1"/>
  <c r="J587" i="5"/>
  <c r="I587" i="5"/>
  <c r="H587" i="5"/>
  <c r="G587" i="5"/>
  <c r="F587" i="5"/>
  <c r="D587" i="5"/>
  <c r="C587" i="5"/>
  <c r="B587" i="5"/>
  <c r="A587" i="5"/>
  <c r="M587" i="5" s="1"/>
  <c r="J586" i="5"/>
  <c r="I586" i="5"/>
  <c r="H586" i="5"/>
  <c r="G586" i="5"/>
  <c r="F586" i="5"/>
  <c r="C586" i="5"/>
  <c r="A586" i="5"/>
  <c r="E586" i="5" s="1"/>
  <c r="A585" i="5"/>
  <c r="A584" i="5"/>
  <c r="M583" i="5"/>
  <c r="L583" i="5"/>
  <c r="K583" i="5"/>
  <c r="J583" i="5"/>
  <c r="I583" i="5"/>
  <c r="A583" i="5"/>
  <c r="J582" i="5"/>
  <c r="H582" i="5"/>
  <c r="D582" i="5"/>
  <c r="C582" i="5"/>
  <c r="B582" i="5"/>
  <c r="A582" i="5"/>
  <c r="L582" i="5" s="1"/>
  <c r="A581" i="5"/>
  <c r="L580" i="5"/>
  <c r="C580" i="5"/>
  <c r="B580" i="5"/>
  <c r="A580" i="5"/>
  <c r="K579" i="5"/>
  <c r="F579" i="5"/>
  <c r="A579" i="5"/>
  <c r="A578" i="5"/>
  <c r="E578" i="5" s="1"/>
  <c r="E577" i="5"/>
  <c r="D577" i="5"/>
  <c r="A577" i="5"/>
  <c r="C577" i="5" s="1"/>
  <c r="J576" i="5"/>
  <c r="D576" i="5"/>
  <c r="B576" i="5"/>
  <c r="A576" i="5"/>
  <c r="I575" i="5"/>
  <c r="G575" i="5"/>
  <c r="F575" i="5"/>
  <c r="E575" i="5"/>
  <c r="C575" i="5"/>
  <c r="B575" i="5"/>
  <c r="A575" i="5"/>
  <c r="H574" i="5"/>
  <c r="G574" i="5"/>
  <c r="F574" i="5"/>
  <c r="D574" i="5"/>
  <c r="A574" i="5"/>
  <c r="I574" i="5" s="1"/>
  <c r="M573" i="5"/>
  <c r="L573" i="5"/>
  <c r="A573" i="5"/>
  <c r="M572" i="5"/>
  <c r="J572" i="5"/>
  <c r="I572" i="5"/>
  <c r="A572" i="5"/>
  <c r="A571" i="5"/>
  <c r="C570" i="5"/>
  <c r="A570" i="5"/>
  <c r="L569" i="5"/>
  <c r="K569" i="5"/>
  <c r="I569" i="5"/>
  <c r="E569" i="5"/>
  <c r="A569" i="5"/>
  <c r="M569" i="5" s="1"/>
  <c r="F568" i="5"/>
  <c r="E568" i="5"/>
  <c r="D568" i="5"/>
  <c r="C568" i="5"/>
  <c r="B568" i="5"/>
  <c r="A568" i="5"/>
  <c r="L568" i="5" s="1"/>
  <c r="A567" i="5"/>
  <c r="L566" i="5"/>
  <c r="K566" i="5"/>
  <c r="F566" i="5"/>
  <c r="E566" i="5"/>
  <c r="D566" i="5"/>
  <c r="C566" i="5"/>
  <c r="B566" i="5"/>
  <c r="A566" i="5"/>
  <c r="M566" i="5" s="1"/>
  <c r="H565" i="5"/>
  <c r="A565" i="5"/>
  <c r="J564" i="5"/>
  <c r="I564" i="5"/>
  <c r="H564" i="5"/>
  <c r="G564" i="5"/>
  <c r="F564" i="5"/>
  <c r="E564" i="5"/>
  <c r="D564" i="5"/>
  <c r="B564" i="5"/>
  <c r="A564" i="5"/>
  <c r="C564" i="5" s="1"/>
  <c r="K563" i="5"/>
  <c r="J563" i="5"/>
  <c r="I563" i="5"/>
  <c r="H563" i="5"/>
  <c r="G563" i="5"/>
  <c r="F563" i="5"/>
  <c r="E563" i="5"/>
  <c r="D563" i="5"/>
  <c r="C563" i="5"/>
  <c r="A563" i="5"/>
  <c r="M563" i="5" s="1"/>
  <c r="J562" i="5"/>
  <c r="I562" i="5"/>
  <c r="H562" i="5"/>
  <c r="G562" i="5"/>
  <c r="D562" i="5"/>
  <c r="C562" i="5"/>
  <c r="A562" i="5"/>
  <c r="G561" i="5"/>
  <c r="E561" i="5"/>
  <c r="A561" i="5"/>
  <c r="H560" i="5"/>
  <c r="B560" i="5"/>
  <c r="A560" i="5"/>
  <c r="A559" i="5"/>
  <c r="M559" i="5" s="1"/>
  <c r="M558" i="5"/>
  <c r="J558" i="5"/>
  <c r="H558" i="5"/>
  <c r="B558" i="5"/>
  <c r="A558" i="5"/>
  <c r="C557" i="5"/>
  <c r="B557" i="5"/>
  <c r="A557" i="5"/>
  <c r="M556" i="5"/>
  <c r="J556" i="5"/>
  <c r="F556" i="5"/>
  <c r="D556" i="5"/>
  <c r="B556" i="5"/>
  <c r="A556" i="5"/>
  <c r="C556" i="5" s="1"/>
  <c r="M555" i="5"/>
  <c r="E555" i="5"/>
  <c r="A555" i="5"/>
  <c r="F554" i="5"/>
  <c r="A554" i="5"/>
  <c r="M553" i="5"/>
  <c r="G553" i="5"/>
  <c r="F553" i="5"/>
  <c r="D553" i="5"/>
  <c r="C553" i="5"/>
  <c r="A553" i="5"/>
  <c r="E552" i="5"/>
  <c r="D552" i="5"/>
  <c r="A552" i="5"/>
  <c r="L551" i="5"/>
  <c r="K551" i="5"/>
  <c r="J551" i="5"/>
  <c r="I551" i="5"/>
  <c r="H551" i="5"/>
  <c r="G551" i="5"/>
  <c r="F551" i="5"/>
  <c r="E551" i="5"/>
  <c r="D551" i="5"/>
  <c r="C551" i="5"/>
  <c r="B551" i="5"/>
  <c r="A551" i="5"/>
  <c r="M551" i="5" s="1"/>
  <c r="L550" i="5"/>
  <c r="K550" i="5"/>
  <c r="J550" i="5"/>
  <c r="I550" i="5"/>
  <c r="H550" i="5"/>
  <c r="F550" i="5"/>
  <c r="D550" i="5"/>
  <c r="C550" i="5"/>
  <c r="A550" i="5"/>
  <c r="E550" i="5" s="1"/>
  <c r="G549" i="5"/>
  <c r="E549" i="5"/>
  <c r="A549" i="5"/>
  <c r="L548" i="5"/>
  <c r="K548" i="5"/>
  <c r="A548" i="5"/>
  <c r="A547" i="5"/>
  <c r="G547" i="5" s="1"/>
  <c r="L546" i="5"/>
  <c r="H546" i="5"/>
  <c r="A546" i="5"/>
  <c r="M546" i="5" s="1"/>
  <c r="D545" i="5"/>
  <c r="A545" i="5"/>
  <c r="A544" i="5"/>
  <c r="J543" i="5"/>
  <c r="G543" i="5"/>
  <c r="D543" i="5"/>
  <c r="C543" i="5"/>
  <c r="A543" i="5"/>
  <c r="K543" i="5" s="1"/>
  <c r="L542" i="5"/>
  <c r="K542" i="5"/>
  <c r="I542" i="5"/>
  <c r="H542" i="5"/>
  <c r="G542" i="5"/>
  <c r="F542" i="5"/>
  <c r="E542" i="5"/>
  <c r="D542" i="5"/>
  <c r="C542" i="5"/>
  <c r="B542" i="5"/>
  <c r="A542" i="5"/>
  <c r="M542" i="5" s="1"/>
  <c r="L541" i="5"/>
  <c r="I541" i="5"/>
  <c r="H541" i="5"/>
  <c r="G541" i="5"/>
  <c r="A541" i="5"/>
  <c r="H540" i="5"/>
  <c r="G540" i="5"/>
  <c r="F540" i="5"/>
  <c r="E540" i="5"/>
  <c r="D540" i="5"/>
  <c r="A540" i="5"/>
  <c r="M540" i="5" s="1"/>
  <c r="L539" i="5"/>
  <c r="K539" i="5"/>
  <c r="J539" i="5"/>
  <c r="I539" i="5"/>
  <c r="G539" i="5"/>
  <c r="F539" i="5"/>
  <c r="E539" i="5"/>
  <c r="D539" i="5"/>
  <c r="C539" i="5"/>
  <c r="B539" i="5"/>
  <c r="A539" i="5"/>
  <c r="M539" i="5" s="1"/>
  <c r="L538" i="5"/>
  <c r="K538" i="5"/>
  <c r="J538" i="5"/>
  <c r="I538" i="5"/>
  <c r="G538" i="5"/>
  <c r="F538" i="5"/>
  <c r="A538" i="5"/>
  <c r="A537" i="5"/>
  <c r="A536" i="5"/>
  <c r="M535" i="5"/>
  <c r="L535" i="5"/>
  <c r="K535" i="5"/>
  <c r="J535" i="5"/>
  <c r="G535" i="5"/>
  <c r="C535" i="5"/>
  <c r="B535" i="5"/>
  <c r="A535" i="5"/>
  <c r="I535" i="5" s="1"/>
  <c r="H534" i="5"/>
  <c r="G534" i="5"/>
  <c r="A534" i="5"/>
  <c r="I533" i="5"/>
  <c r="E533" i="5"/>
  <c r="A533" i="5"/>
  <c r="C532" i="5"/>
  <c r="B532" i="5"/>
  <c r="A532" i="5"/>
  <c r="A531" i="5"/>
  <c r="L530" i="5"/>
  <c r="K530" i="5"/>
  <c r="I530" i="5"/>
  <c r="G530" i="5"/>
  <c r="F530" i="5"/>
  <c r="E530" i="5"/>
  <c r="D530" i="5"/>
  <c r="C530" i="5"/>
  <c r="B530" i="5"/>
  <c r="A530" i="5"/>
  <c r="M530" i="5" s="1"/>
  <c r="I529" i="5"/>
  <c r="H529" i="5"/>
  <c r="D529" i="5"/>
  <c r="C529" i="5"/>
  <c r="A529" i="5"/>
  <c r="G529" i="5" s="1"/>
  <c r="M528" i="5"/>
  <c r="J528" i="5"/>
  <c r="I528" i="5"/>
  <c r="H528" i="5"/>
  <c r="G528" i="5"/>
  <c r="E528" i="5"/>
  <c r="B528" i="5"/>
  <c r="A528" i="5"/>
  <c r="L527" i="5"/>
  <c r="K527" i="5"/>
  <c r="J527" i="5"/>
  <c r="I527" i="5"/>
  <c r="H527" i="5"/>
  <c r="G527" i="5"/>
  <c r="F527" i="5"/>
  <c r="E527" i="5"/>
  <c r="D527" i="5"/>
  <c r="C527" i="5"/>
  <c r="B527" i="5"/>
  <c r="A527" i="5"/>
  <c r="M527" i="5" s="1"/>
  <c r="L526" i="5"/>
  <c r="K526" i="5"/>
  <c r="J526" i="5"/>
  <c r="I526" i="5"/>
  <c r="H526" i="5"/>
  <c r="G526" i="5"/>
  <c r="D526" i="5"/>
  <c r="A526" i="5"/>
  <c r="I525" i="5"/>
  <c r="H525" i="5"/>
  <c r="E525" i="5"/>
  <c r="D525" i="5"/>
  <c r="A525" i="5"/>
  <c r="M525" i="5" s="1"/>
  <c r="A524" i="5"/>
  <c r="F524" i="5" s="1"/>
  <c r="A523" i="5"/>
  <c r="B523" i="5" s="1"/>
  <c r="L522" i="5"/>
  <c r="K522" i="5"/>
  <c r="H522" i="5"/>
  <c r="C522" i="5"/>
  <c r="B522" i="5"/>
  <c r="A522" i="5"/>
  <c r="D522" i="5" s="1"/>
  <c r="A521" i="5"/>
  <c r="L521" i="5" s="1"/>
  <c r="L520" i="5"/>
  <c r="J520" i="5"/>
  <c r="I520" i="5"/>
  <c r="F520" i="5"/>
  <c r="D520" i="5"/>
  <c r="C520" i="5"/>
  <c r="B520" i="5"/>
  <c r="A520" i="5"/>
  <c r="M519" i="5"/>
  <c r="K519" i="5"/>
  <c r="E519" i="5"/>
  <c r="D519" i="5"/>
  <c r="C519" i="5"/>
  <c r="B519" i="5"/>
  <c r="A519" i="5"/>
  <c r="J519" i="5" s="1"/>
  <c r="L518" i="5"/>
  <c r="I518" i="5"/>
  <c r="H518" i="5"/>
  <c r="C518" i="5"/>
  <c r="B518" i="5"/>
  <c r="A518" i="5"/>
  <c r="A517" i="5"/>
  <c r="D517" i="5" s="1"/>
  <c r="A516" i="5"/>
  <c r="L515" i="5"/>
  <c r="J515" i="5"/>
  <c r="I515" i="5"/>
  <c r="D515" i="5"/>
  <c r="B515" i="5"/>
  <c r="A515" i="5"/>
  <c r="L514" i="5"/>
  <c r="K514" i="5"/>
  <c r="J514" i="5"/>
  <c r="I514" i="5"/>
  <c r="G514" i="5"/>
  <c r="F514" i="5"/>
  <c r="D514" i="5"/>
  <c r="C514" i="5"/>
  <c r="A514" i="5"/>
  <c r="E514" i="5" s="1"/>
  <c r="L513" i="5"/>
  <c r="K513" i="5"/>
  <c r="I513" i="5"/>
  <c r="H513" i="5"/>
  <c r="A513" i="5"/>
  <c r="M513" i="5" s="1"/>
  <c r="I512" i="5"/>
  <c r="H512" i="5"/>
  <c r="F512" i="5"/>
  <c r="E512" i="5"/>
  <c r="A512" i="5"/>
  <c r="M512" i="5" s="1"/>
  <c r="A511" i="5"/>
  <c r="F511" i="5" s="1"/>
  <c r="A510" i="5"/>
  <c r="C510" i="5" s="1"/>
  <c r="M509" i="5"/>
  <c r="A509" i="5"/>
  <c r="A508" i="5"/>
  <c r="F508" i="5" s="1"/>
  <c r="J507" i="5"/>
  <c r="F507" i="5"/>
  <c r="E507" i="5"/>
  <c r="A507" i="5"/>
  <c r="K507" i="5" s="1"/>
  <c r="D506" i="5"/>
  <c r="A506" i="5"/>
  <c r="M505" i="5"/>
  <c r="L505" i="5"/>
  <c r="F505" i="5"/>
  <c r="E505" i="5"/>
  <c r="D505" i="5"/>
  <c r="A505" i="5"/>
  <c r="B504" i="5"/>
  <c r="A504" i="5"/>
  <c r="L503" i="5"/>
  <c r="K503" i="5"/>
  <c r="J503" i="5"/>
  <c r="I503" i="5"/>
  <c r="G503" i="5"/>
  <c r="F503" i="5"/>
  <c r="E503" i="5"/>
  <c r="D503" i="5"/>
  <c r="C503" i="5"/>
  <c r="B503" i="5"/>
  <c r="A503" i="5"/>
  <c r="M503" i="5" s="1"/>
  <c r="L502" i="5"/>
  <c r="K502" i="5"/>
  <c r="I502" i="5"/>
  <c r="G502" i="5"/>
  <c r="A502" i="5"/>
  <c r="J502" i="5" s="1"/>
  <c r="G501" i="5"/>
  <c r="A501" i="5"/>
  <c r="M500" i="5"/>
  <c r="L500" i="5"/>
  <c r="K500" i="5"/>
  <c r="J500" i="5"/>
  <c r="F500" i="5"/>
  <c r="A500" i="5"/>
  <c r="I500" i="5" s="1"/>
  <c r="K499" i="5"/>
  <c r="J499" i="5"/>
  <c r="G499" i="5"/>
  <c r="F499" i="5"/>
  <c r="C499" i="5"/>
  <c r="A499" i="5"/>
  <c r="M499" i="5" s="1"/>
  <c r="A498" i="5"/>
  <c r="C497" i="5"/>
  <c r="B497" i="5"/>
  <c r="A497" i="5"/>
  <c r="A496" i="5"/>
  <c r="B496" i="5" s="1"/>
  <c r="A495" i="5"/>
  <c r="G495" i="5" s="1"/>
  <c r="L494" i="5"/>
  <c r="I494" i="5"/>
  <c r="H494" i="5"/>
  <c r="G494" i="5"/>
  <c r="F494" i="5"/>
  <c r="D494" i="5"/>
  <c r="C494" i="5"/>
  <c r="A494" i="5"/>
  <c r="G493" i="5"/>
  <c r="A493" i="5"/>
  <c r="H493" i="5" s="1"/>
  <c r="H492" i="5"/>
  <c r="A492" i="5"/>
  <c r="H491" i="5"/>
  <c r="G491" i="5"/>
  <c r="D491" i="5"/>
  <c r="C491" i="5"/>
  <c r="B491" i="5"/>
  <c r="A491" i="5"/>
  <c r="L491" i="5" s="1"/>
  <c r="L490" i="5"/>
  <c r="K490" i="5"/>
  <c r="F490" i="5"/>
  <c r="C490" i="5"/>
  <c r="A490" i="5"/>
  <c r="A489" i="5"/>
  <c r="D489" i="5" s="1"/>
  <c r="M488" i="5"/>
  <c r="L488" i="5"/>
  <c r="H488" i="5"/>
  <c r="A488" i="5"/>
  <c r="A487" i="5"/>
  <c r="H486" i="5"/>
  <c r="G486" i="5"/>
  <c r="C486" i="5"/>
  <c r="B486" i="5"/>
  <c r="A486" i="5"/>
  <c r="J486" i="5" s="1"/>
  <c r="A485" i="5"/>
  <c r="L484" i="5"/>
  <c r="J484" i="5"/>
  <c r="G484" i="5"/>
  <c r="F484" i="5"/>
  <c r="D484" i="5"/>
  <c r="B484" i="5"/>
  <c r="A484" i="5"/>
  <c r="M484" i="5" s="1"/>
  <c r="F483" i="5"/>
  <c r="A483" i="5"/>
  <c r="J483" i="5" s="1"/>
  <c r="L482" i="5"/>
  <c r="K482" i="5"/>
  <c r="I482" i="5"/>
  <c r="H482" i="5"/>
  <c r="G482" i="5"/>
  <c r="F482" i="5"/>
  <c r="E482" i="5"/>
  <c r="D482" i="5"/>
  <c r="C482" i="5"/>
  <c r="A482" i="5"/>
  <c r="M482" i="5" s="1"/>
  <c r="H481" i="5"/>
  <c r="G481" i="5"/>
  <c r="E481" i="5"/>
  <c r="D481" i="5"/>
  <c r="A481" i="5"/>
  <c r="L481" i="5" s="1"/>
  <c r="A480" i="5"/>
  <c r="M480" i="5" s="1"/>
  <c r="J479" i="5"/>
  <c r="A479" i="5"/>
  <c r="M479" i="5" s="1"/>
  <c r="G478" i="5"/>
  <c r="F478" i="5"/>
  <c r="D478" i="5"/>
  <c r="A478" i="5"/>
  <c r="C478" i="5" s="1"/>
  <c r="A477" i="5"/>
  <c r="A476" i="5"/>
  <c r="A475" i="5"/>
  <c r="B475" i="5" s="1"/>
  <c r="K474" i="5"/>
  <c r="E474" i="5"/>
  <c r="A474" i="5"/>
  <c r="L474" i="5" s="1"/>
  <c r="C473" i="5"/>
  <c r="A473" i="5"/>
  <c r="M473" i="5" s="1"/>
  <c r="M472" i="5"/>
  <c r="A472" i="5"/>
  <c r="L472" i="5" s="1"/>
  <c r="K471" i="5"/>
  <c r="J471" i="5"/>
  <c r="H471" i="5"/>
  <c r="G471" i="5"/>
  <c r="F471" i="5"/>
  <c r="D471" i="5"/>
  <c r="B471" i="5"/>
  <c r="A471" i="5"/>
  <c r="M471" i="5" s="1"/>
  <c r="I470" i="5"/>
  <c r="H470" i="5"/>
  <c r="F470" i="5"/>
  <c r="E470" i="5"/>
  <c r="A470" i="5"/>
  <c r="M470" i="5" s="1"/>
  <c r="I469" i="5"/>
  <c r="H469" i="5"/>
  <c r="F469" i="5"/>
  <c r="E469" i="5"/>
  <c r="D469" i="5"/>
  <c r="A469" i="5"/>
  <c r="C469" i="5" s="1"/>
  <c r="M468" i="5"/>
  <c r="E468" i="5"/>
  <c r="D468" i="5"/>
  <c r="A468" i="5"/>
  <c r="K468" i="5" s="1"/>
  <c r="L467" i="5"/>
  <c r="K467" i="5"/>
  <c r="J467" i="5"/>
  <c r="H467" i="5"/>
  <c r="G467" i="5"/>
  <c r="C467" i="5"/>
  <c r="B467" i="5"/>
  <c r="A467" i="5"/>
  <c r="M467" i="5" s="1"/>
  <c r="L466" i="5"/>
  <c r="K466" i="5"/>
  <c r="H466" i="5"/>
  <c r="G466" i="5"/>
  <c r="F466" i="5"/>
  <c r="D466" i="5"/>
  <c r="A466" i="5"/>
  <c r="M466" i="5" s="1"/>
  <c r="A465" i="5"/>
  <c r="A464" i="5"/>
  <c r="E464" i="5" s="1"/>
  <c r="A463" i="5"/>
  <c r="M462" i="5"/>
  <c r="L462" i="5"/>
  <c r="G462" i="5"/>
  <c r="A462" i="5"/>
  <c r="A461" i="5"/>
  <c r="E461" i="5" s="1"/>
  <c r="M460" i="5"/>
  <c r="L460" i="5"/>
  <c r="J460" i="5"/>
  <c r="I460" i="5"/>
  <c r="G460" i="5"/>
  <c r="F460" i="5"/>
  <c r="D460" i="5"/>
  <c r="B460" i="5"/>
  <c r="A460" i="5"/>
  <c r="C460" i="5" s="1"/>
  <c r="M459" i="5"/>
  <c r="K459" i="5"/>
  <c r="J459" i="5"/>
  <c r="H459" i="5"/>
  <c r="G459" i="5"/>
  <c r="F459" i="5"/>
  <c r="E459" i="5"/>
  <c r="C459" i="5"/>
  <c r="B459" i="5"/>
  <c r="A459" i="5"/>
  <c r="I458" i="5"/>
  <c r="H458" i="5"/>
  <c r="F458" i="5"/>
  <c r="E458" i="5"/>
  <c r="A458" i="5"/>
  <c r="M458" i="5" s="1"/>
  <c r="G457" i="5"/>
  <c r="A457" i="5"/>
  <c r="J457" i="5" s="1"/>
  <c r="M456" i="5"/>
  <c r="K456" i="5"/>
  <c r="J456" i="5"/>
  <c r="I456" i="5"/>
  <c r="H456" i="5"/>
  <c r="G456" i="5"/>
  <c r="F456" i="5"/>
  <c r="E456" i="5"/>
  <c r="D456" i="5"/>
  <c r="A456" i="5"/>
  <c r="B456" i="5" s="1"/>
  <c r="K455" i="5"/>
  <c r="J455" i="5"/>
  <c r="I455" i="5"/>
  <c r="H455" i="5"/>
  <c r="G455" i="5"/>
  <c r="F455" i="5"/>
  <c r="E455" i="5"/>
  <c r="D455" i="5"/>
  <c r="C455" i="5"/>
  <c r="A455" i="5"/>
  <c r="M455" i="5" s="1"/>
  <c r="I454" i="5"/>
  <c r="H454" i="5"/>
  <c r="F454" i="5"/>
  <c r="D454" i="5"/>
  <c r="A454" i="5"/>
  <c r="L454" i="5" s="1"/>
  <c r="A453" i="5"/>
  <c r="M453" i="5" s="1"/>
  <c r="F452" i="5"/>
  <c r="E452" i="5"/>
  <c r="C452" i="5"/>
  <c r="A452" i="5"/>
  <c r="B452" i="5" s="1"/>
  <c r="A451" i="5"/>
  <c r="A450" i="5"/>
  <c r="A449" i="5"/>
  <c r="M449" i="5" s="1"/>
  <c r="A448" i="5"/>
  <c r="L448" i="5" s="1"/>
  <c r="M447" i="5"/>
  <c r="J447" i="5"/>
  <c r="H447" i="5"/>
  <c r="C447" i="5"/>
  <c r="B447" i="5"/>
  <c r="A447" i="5"/>
  <c r="K447" i="5" s="1"/>
  <c r="L446" i="5"/>
  <c r="A446" i="5"/>
  <c r="J446" i="5" s="1"/>
  <c r="M445" i="5"/>
  <c r="L445" i="5"/>
  <c r="J445" i="5"/>
  <c r="I445" i="5"/>
  <c r="H445" i="5"/>
  <c r="G445" i="5"/>
  <c r="F445" i="5"/>
  <c r="C445" i="5"/>
  <c r="A445" i="5"/>
  <c r="K445" i="5" s="1"/>
  <c r="M444" i="5"/>
  <c r="K444" i="5"/>
  <c r="J444" i="5"/>
  <c r="I444" i="5"/>
  <c r="H444" i="5"/>
  <c r="G444" i="5"/>
  <c r="F444" i="5"/>
  <c r="D444" i="5"/>
  <c r="C444" i="5"/>
  <c r="A444" i="5"/>
  <c r="L444" i="5" s="1"/>
  <c r="L443" i="5"/>
  <c r="K443" i="5"/>
  <c r="J443" i="5"/>
  <c r="I443" i="5"/>
  <c r="H443" i="5"/>
  <c r="G443" i="5"/>
  <c r="F443" i="5"/>
  <c r="E443" i="5"/>
  <c r="D443" i="5"/>
  <c r="C443" i="5"/>
  <c r="B443" i="5"/>
  <c r="A443" i="5"/>
  <c r="M443" i="5" s="1"/>
  <c r="K442" i="5"/>
  <c r="J442" i="5"/>
  <c r="H442" i="5"/>
  <c r="G442" i="5"/>
  <c r="E442" i="5"/>
  <c r="A442" i="5"/>
  <c r="B442" i="5" s="1"/>
  <c r="M441" i="5"/>
  <c r="I441" i="5"/>
  <c r="H441" i="5"/>
  <c r="E441" i="5"/>
  <c r="D441" i="5"/>
  <c r="A441" i="5"/>
  <c r="C441" i="5" s="1"/>
  <c r="E440" i="5"/>
  <c r="A440" i="5"/>
  <c r="D440" i="5" s="1"/>
  <c r="M439" i="5"/>
  <c r="A439" i="5"/>
  <c r="E439" i="5" s="1"/>
  <c r="M438" i="5"/>
  <c r="L438" i="5"/>
  <c r="K438" i="5"/>
  <c r="J438" i="5"/>
  <c r="I438" i="5"/>
  <c r="G438" i="5"/>
  <c r="D438" i="5"/>
  <c r="C438" i="5"/>
  <c r="A438" i="5"/>
  <c r="F438" i="5" s="1"/>
  <c r="K437" i="5"/>
  <c r="J437" i="5"/>
  <c r="F437" i="5"/>
  <c r="D437" i="5"/>
  <c r="C437" i="5"/>
  <c r="A437" i="5"/>
  <c r="G437" i="5" s="1"/>
  <c r="D436" i="5"/>
  <c r="A436" i="5"/>
  <c r="H436" i="5" s="1"/>
  <c r="M435" i="5"/>
  <c r="A435" i="5"/>
  <c r="I435" i="5" s="1"/>
  <c r="M434" i="5"/>
  <c r="L434" i="5"/>
  <c r="K434" i="5"/>
  <c r="I434" i="5"/>
  <c r="H434" i="5"/>
  <c r="F434" i="5"/>
  <c r="D434" i="5"/>
  <c r="C434" i="5"/>
  <c r="A434" i="5"/>
  <c r="J434" i="5" s="1"/>
  <c r="J433" i="5"/>
  <c r="I433" i="5"/>
  <c r="F433" i="5"/>
  <c r="D433" i="5"/>
  <c r="C433" i="5"/>
  <c r="A433" i="5"/>
  <c r="K433" i="5" s="1"/>
  <c r="D432" i="5"/>
  <c r="A432" i="5"/>
  <c r="L432" i="5" s="1"/>
  <c r="L431" i="5"/>
  <c r="C431" i="5"/>
  <c r="A431" i="5"/>
  <c r="M431" i="5" s="1"/>
  <c r="M430" i="5"/>
  <c r="A430" i="5"/>
  <c r="B430" i="5" s="1"/>
  <c r="M429" i="5"/>
  <c r="L429" i="5"/>
  <c r="K429" i="5"/>
  <c r="J429" i="5"/>
  <c r="I429" i="5"/>
  <c r="G429" i="5"/>
  <c r="E429" i="5"/>
  <c r="D429" i="5"/>
  <c r="A429" i="5"/>
  <c r="C429" i="5" s="1"/>
  <c r="K428" i="5"/>
  <c r="J428" i="5"/>
  <c r="G428" i="5"/>
  <c r="E428" i="5"/>
  <c r="C428" i="5"/>
  <c r="A428" i="5"/>
  <c r="D428" i="5" s="1"/>
  <c r="D427" i="5"/>
  <c r="A427" i="5"/>
  <c r="E427" i="5" s="1"/>
  <c r="M426" i="5"/>
  <c r="A426" i="5"/>
  <c r="F426" i="5" s="1"/>
  <c r="M425" i="5"/>
  <c r="L425" i="5"/>
  <c r="K425" i="5"/>
  <c r="J425" i="5"/>
  <c r="I425" i="5"/>
  <c r="F425" i="5"/>
  <c r="D425" i="5"/>
  <c r="C425" i="5"/>
  <c r="A425" i="5"/>
  <c r="G425" i="5" s="1"/>
  <c r="K424" i="5"/>
  <c r="J424" i="5"/>
  <c r="F424" i="5"/>
  <c r="D424" i="5"/>
  <c r="C424" i="5"/>
  <c r="A424" i="5"/>
  <c r="H424" i="5" s="1"/>
  <c r="D423" i="5"/>
  <c r="A423" i="5"/>
  <c r="I423" i="5" s="1"/>
  <c r="M422" i="5"/>
  <c r="A422" i="5"/>
  <c r="J422" i="5" s="1"/>
  <c r="M421" i="5"/>
  <c r="L421" i="5"/>
  <c r="J421" i="5"/>
  <c r="I421" i="5"/>
  <c r="H421" i="5"/>
  <c r="F421" i="5"/>
  <c r="D421" i="5"/>
  <c r="C421" i="5"/>
  <c r="A421" i="5"/>
  <c r="K421" i="5" s="1"/>
  <c r="J420" i="5"/>
  <c r="I420" i="5"/>
  <c r="F420" i="5"/>
  <c r="D420" i="5"/>
  <c r="C420" i="5"/>
  <c r="A420" i="5"/>
  <c r="L420" i="5" s="1"/>
  <c r="L419" i="5"/>
  <c r="K419" i="5"/>
  <c r="G419" i="5"/>
  <c r="F419" i="5"/>
  <c r="D419" i="5"/>
  <c r="C419" i="5"/>
  <c r="B419" i="5"/>
  <c r="A419" i="5"/>
  <c r="M419" i="5" s="1"/>
  <c r="E418" i="5"/>
  <c r="A418" i="5"/>
  <c r="B418" i="5" s="1"/>
  <c r="M417" i="5"/>
  <c r="A417" i="5"/>
  <c r="C417" i="5" s="1"/>
  <c r="M416" i="5"/>
  <c r="L416" i="5"/>
  <c r="K416" i="5"/>
  <c r="J416" i="5"/>
  <c r="I416" i="5"/>
  <c r="G416" i="5"/>
  <c r="E416" i="5"/>
  <c r="C416" i="5"/>
  <c r="A416" i="5"/>
  <c r="D416" i="5" s="1"/>
  <c r="K415" i="5"/>
  <c r="J415" i="5"/>
  <c r="G415" i="5"/>
  <c r="D415" i="5"/>
  <c r="C415" i="5"/>
  <c r="A415" i="5"/>
  <c r="E415" i="5" s="1"/>
  <c r="D414" i="5"/>
  <c r="A414" i="5"/>
  <c r="F414" i="5" s="1"/>
  <c r="M413" i="5"/>
  <c r="A413" i="5"/>
  <c r="G413" i="5" s="1"/>
  <c r="M412" i="5"/>
  <c r="L412" i="5"/>
  <c r="K412" i="5"/>
  <c r="J412" i="5"/>
  <c r="I412" i="5"/>
  <c r="F412" i="5"/>
  <c r="D412" i="5"/>
  <c r="C412" i="5"/>
  <c r="A412" i="5"/>
  <c r="H412" i="5" s="1"/>
  <c r="K411" i="5"/>
  <c r="J411" i="5"/>
  <c r="F411" i="5"/>
  <c r="D411" i="5"/>
  <c r="C411" i="5"/>
  <c r="A411" i="5"/>
  <c r="I411" i="5" s="1"/>
  <c r="D410" i="5"/>
  <c r="A410" i="5"/>
  <c r="J410" i="5" s="1"/>
  <c r="M409" i="5"/>
  <c r="A409" i="5"/>
  <c r="K409" i="5" s="1"/>
  <c r="M408" i="5"/>
  <c r="K408" i="5"/>
  <c r="J408" i="5"/>
  <c r="I408" i="5"/>
  <c r="H408" i="5"/>
  <c r="F408" i="5"/>
  <c r="D408" i="5"/>
  <c r="C408" i="5"/>
  <c r="A408" i="5"/>
  <c r="L408" i="5" s="1"/>
  <c r="J407" i="5"/>
  <c r="I407" i="5"/>
  <c r="H407" i="5"/>
  <c r="G407" i="5"/>
  <c r="F407" i="5"/>
  <c r="E407" i="5"/>
  <c r="D407" i="5"/>
  <c r="C407" i="5"/>
  <c r="B407" i="5"/>
  <c r="A407" i="5"/>
  <c r="M407" i="5" s="1"/>
  <c r="K406" i="5"/>
  <c r="J406" i="5"/>
  <c r="G406" i="5"/>
  <c r="E406" i="5"/>
  <c r="D406" i="5"/>
  <c r="A406" i="5"/>
  <c r="B406" i="5" s="1"/>
  <c r="E405" i="5"/>
  <c r="A405" i="5"/>
  <c r="C405" i="5" s="1"/>
  <c r="M404" i="5"/>
  <c r="A404" i="5"/>
  <c r="D404" i="5" s="1"/>
  <c r="M403" i="5"/>
  <c r="L403" i="5"/>
  <c r="K403" i="5"/>
  <c r="J403" i="5"/>
  <c r="I403" i="5"/>
  <c r="G403" i="5"/>
  <c r="D403" i="5"/>
  <c r="C403" i="5"/>
  <c r="A403" i="5"/>
  <c r="E403" i="5" s="1"/>
  <c r="K402" i="5"/>
  <c r="J402" i="5"/>
  <c r="G402" i="5"/>
  <c r="D402" i="5"/>
  <c r="C402" i="5"/>
  <c r="A402" i="5"/>
  <c r="F402" i="5" s="1"/>
  <c r="D401" i="5"/>
  <c r="A401" i="5"/>
  <c r="G401" i="5" s="1"/>
  <c r="M400" i="5"/>
  <c r="A400" i="5"/>
  <c r="H400" i="5" s="1"/>
  <c r="M399" i="5"/>
  <c r="L399" i="5"/>
  <c r="K399" i="5"/>
  <c r="J399" i="5"/>
  <c r="H399" i="5"/>
  <c r="F399" i="5"/>
  <c r="D399" i="5"/>
  <c r="C399" i="5"/>
  <c r="A399" i="5"/>
  <c r="I399" i="5" s="1"/>
  <c r="K398" i="5"/>
  <c r="I398" i="5"/>
  <c r="F398" i="5"/>
  <c r="D398" i="5"/>
  <c r="C398" i="5"/>
  <c r="A398" i="5"/>
  <c r="J398" i="5" s="1"/>
  <c r="D397" i="5"/>
  <c r="A397" i="5"/>
  <c r="K397" i="5" s="1"/>
  <c r="M396" i="5"/>
  <c r="A396" i="5"/>
  <c r="L396" i="5" s="1"/>
  <c r="L395" i="5"/>
  <c r="J395" i="5"/>
  <c r="I395" i="5"/>
  <c r="A395" i="5"/>
  <c r="M395" i="5" s="1"/>
  <c r="M394" i="5"/>
  <c r="L394" i="5"/>
  <c r="K394" i="5"/>
  <c r="J394" i="5"/>
  <c r="I394" i="5"/>
  <c r="G394" i="5"/>
  <c r="E394" i="5"/>
  <c r="D394" i="5"/>
  <c r="A394" i="5"/>
  <c r="B394" i="5" s="1"/>
  <c r="K393" i="5"/>
  <c r="J393" i="5"/>
  <c r="G393" i="5"/>
  <c r="E393" i="5"/>
  <c r="D393" i="5"/>
  <c r="A393" i="5"/>
  <c r="C393" i="5" s="1"/>
  <c r="E392" i="5"/>
  <c r="A392" i="5"/>
  <c r="D392" i="5" s="1"/>
  <c r="M391" i="5"/>
  <c r="A391" i="5"/>
  <c r="E391" i="5" s="1"/>
  <c r="M390" i="5"/>
  <c r="L390" i="5"/>
  <c r="K390" i="5"/>
  <c r="J390" i="5"/>
  <c r="I390" i="5"/>
  <c r="G390" i="5"/>
  <c r="D390" i="5"/>
  <c r="C390" i="5"/>
  <c r="A390" i="5"/>
  <c r="F390" i="5" s="1"/>
  <c r="K389" i="5"/>
  <c r="J389" i="5"/>
  <c r="F389" i="5"/>
  <c r="D389" i="5"/>
  <c r="C389" i="5"/>
  <c r="A389" i="5"/>
  <c r="G389" i="5" s="1"/>
  <c r="D388" i="5"/>
  <c r="A388" i="5"/>
  <c r="H388" i="5" s="1"/>
  <c r="M387" i="5"/>
  <c r="A387" i="5"/>
  <c r="I387" i="5" s="1"/>
  <c r="M386" i="5"/>
  <c r="L386" i="5"/>
  <c r="K386" i="5"/>
  <c r="I386" i="5"/>
  <c r="H386" i="5"/>
  <c r="F386" i="5"/>
  <c r="D386" i="5"/>
  <c r="C386" i="5"/>
  <c r="A386" i="5"/>
  <c r="J386" i="5" s="1"/>
  <c r="J385" i="5"/>
  <c r="I385" i="5"/>
  <c r="F385" i="5"/>
  <c r="D385" i="5"/>
  <c r="C385" i="5"/>
  <c r="A385" i="5"/>
  <c r="K385" i="5" s="1"/>
  <c r="A384" i="5"/>
  <c r="M383" i="5"/>
  <c r="F383" i="5"/>
  <c r="B383" i="5"/>
  <c r="A383" i="5"/>
  <c r="L383" i="5" s="1"/>
  <c r="A382" i="5"/>
  <c r="M381" i="5"/>
  <c r="A381" i="5"/>
  <c r="L381" i="5" s="1"/>
  <c r="A380" i="5"/>
  <c r="E380" i="5" s="1"/>
  <c r="L379" i="5"/>
  <c r="J379" i="5"/>
  <c r="I379" i="5"/>
  <c r="G379" i="5"/>
  <c r="F379" i="5"/>
  <c r="E379" i="5"/>
  <c r="D379" i="5"/>
  <c r="C379" i="5"/>
  <c r="B379" i="5"/>
  <c r="A379" i="5"/>
  <c r="M379" i="5" s="1"/>
  <c r="G378" i="5"/>
  <c r="F378" i="5"/>
  <c r="D378" i="5"/>
  <c r="C378" i="5"/>
  <c r="A378" i="5"/>
  <c r="B378" i="5" s="1"/>
  <c r="J377" i="5"/>
  <c r="F377" i="5"/>
  <c r="E377" i="5"/>
  <c r="C377" i="5"/>
  <c r="B377" i="5"/>
  <c r="A377" i="5"/>
  <c r="M377" i="5" s="1"/>
  <c r="A376" i="5"/>
  <c r="J375" i="5"/>
  <c r="I375" i="5"/>
  <c r="D375" i="5"/>
  <c r="B375" i="5"/>
  <c r="A375" i="5"/>
  <c r="E375" i="5" s="1"/>
  <c r="L374" i="5"/>
  <c r="K374" i="5"/>
  <c r="A374" i="5"/>
  <c r="F374" i="5" s="1"/>
  <c r="L373" i="5"/>
  <c r="K373" i="5"/>
  <c r="J373" i="5"/>
  <c r="I373" i="5"/>
  <c r="H373" i="5"/>
  <c r="F373" i="5"/>
  <c r="D373" i="5"/>
  <c r="C373" i="5"/>
  <c r="A373" i="5"/>
  <c r="G373" i="5" s="1"/>
  <c r="A372" i="5"/>
  <c r="K371" i="5"/>
  <c r="A371" i="5"/>
  <c r="L371" i="5" s="1"/>
  <c r="K370" i="5"/>
  <c r="A370" i="5"/>
  <c r="M369" i="5"/>
  <c r="L369" i="5"/>
  <c r="C369" i="5"/>
  <c r="A369" i="5"/>
  <c r="E368" i="5"/>
  <c r="D368" i="5"/>
  <c r="A368" i="5"/>
  <c r="M368" i="5" s="1"/>
  <c r="L367" i="5"/>
  <c r="J367" i="5"/>
  <c r="A367" i="5"/>
  <c r="M367" i="5" s="1"/>
  <c r="K366" i="5"/>
  <c r="F366" i="5"/>
  <c r="E366" i="5"/>
  <c r="D366" i="5"/>
  <c r="C366" i="5"/>
  <c r="A366" i="5"/>
  <c r="B366" i="5" s="1"/>
  <c r="L365" i="5"/>
  <c r="H365" i="5"/>
  <c r="G365" i="5"/>
  <c r="E365" i="5"/>
  <c r="D365" i="5"/>
  <c r="C365" i="5"/>
  <c r="B365" i="5"/>
  <c r="A365" i="5"/>
  <c r="M365" i="5" s="1"/>
  <c r="A364" i="5"/>
  <c r="M364" i="5" s="1"/>
  <c r="J363" i="5"/>
  <c r="H363" i="5"/>
  <c r="G363" i="5"/>
  <c r="A363" i="5"/>
  <c r="E363" i="5" s="1"/>
  <c r="I362" i="5"/>
  <c r="H362" i="5"/>
  <c r="E362" i="5"/>
  <c r="C362" i="5"/>
  <c r="B362" i="5"/>
  <c r="A362" i="5"/>
  <c r="F362" i="5" s="1"/>
  <c r="D361" i="5"/>
  <c r="A361" i="5"/>
  <c r="G361" i="5" s="1"/>
  <c r="A360" i="5"/>
  <c r="K360" i="5" s="1"/>
  <c r="A359" i="5"/>
  <c r="M359" i="5" s="1"/>
  <c r="A358" i="5"/>
  <c r="A357" i="5"/>
  <c r="A356" i="5"/>
  <c r="I356" i="5" s="1"/>
  <c r="L355" i="5"/>
  <c r="J355" i="5"/>
  <c r="I355" i="5"/>
  <c r="G355" i="5"/>
  <c r="C355" i="5"/>
  <c r="B355" i="5"/>
  <c r="A355" i="5"/>
  <c r="M355" i="5" s="1"/>
  <c r="K354" i="5"/>
  <c r="G354" i="5"/>
  <c r="F354" i="5"/>
  <c r="E354" i="5"/>
  <c r="D354" i="5"/>
  <c r="C354" i="5"/>
  <c r="A354" i="5"/>
  <c r="B354" i="5" s="1"/>
  <c r="J353" i="5"/>
  <c r="I353" i="5"/>
  <c r="G353" i="5"/>
  <c r="F353" i="5"/>
  <c r="E353" i="5"/>
  <c r="D353" i="5"/>
  <c r="C353" i="5"/>
  <c r="B353" i="5"/>
  <c r="A353" i="5"/>
  <c r="M353" i="5" s="1"/>
  <c r="G352" i="5"/>
  <c r="A352" i="5"/>
  <c r="H352" i="5" s="1"/>
  <c r="J351" i="5"/>
  <c r="I351" i="5"/>
  <c r="H351" i="5"/>
  <c r="G351" i="5"/>
  <c r="F351" i="5"/>
  <c r="D351" i="5"/>
  <c r="A351" i="5"/>
  <c r="E351" i="5" s="1"/>
  <c r="L350" i="5"/>
  <c r="K350" i="5"/>
  <c r="I350" i="5"/>
  <c r="H350" i="5"/>
  <c r="G350" i="5"/>
  <c r="E350" i="5"/>
  <c r="C350" i="5"/>
  <c r="B350" i="5"/>
  <c r="A350" i="5"/>
  <c r="F350" i="5" s="1"/>
  <c r="J349" i="5"/>
  <c r="I349" i="5"/>
  <c r="F349" i="5"/>
  <c r="D349" i="5"/>
  <c r="C349" i="5"/>
  <c r="A349" i="5"/>
  <c r="G349" i="5" s="1"/>
  <c r="M348" i="5"/>
  <c r="L348" i="5"/>
  <c r="K348" i="5"/>
  <c r="A348" i="5"/>
  <c r="J348" i="5" s="1"/>
  <c r="A347" i="5"/>
  <c r="M346" i="5"/>
  <c r="K346" i="5"/>
  <c r="I346" i="5"/>
  <c r="C346" i="5"/>
  <c r="B346" i="5"/>
  <c r="A346" i="5"/>
  <c r="L346" i="5" s="1"/>
  <c r="A345" i="5"/>
  <c r="A344" i="5"/>
  <c r="C344" i="5" s="1"/>
  <c r="I343" i="5"/>
  <c r="G343" i="5"/>
  <c r="E343" i="5"/>
  <c r="D343" i="5"/>
  <c r="C343" i="5"/>
  <c r="B343" i="5"/>
  <c r="A343" i="5"/>
  <c r="M343" i="5" s="1"/>
  <c r="M342" i="5"/>
  <c r="K342" i="5"/>
  <c r="E342" i="5"/>
  <c r="D342" i="5"/>
  <c r="A342" i="5"/>
  <c r="G342" i="5" s="1"/>
  <c r="L341" i="5"/>
  <c r="K341" i="5"/>
  <c r="J341" i="5"/>
  <c r="I341" i="5"/>
  <c r="H341" i="5"/>
  <c r="G341" i="5"/>
  <c r="F341" i="5"/>
  <c r="C341" i="5"/>
  <c r="B341" i="5"/>
  <c r="A341" i="5"/>
  <c r="M341" i="5" s="1"/>
  <c r="A340" i="5"/>
  <c r="G340" i="5" s="1"/>
  <c r="J339" i="5"/>
  <c r="I339" i="5"/>
  <c r="H339" i="5"/>
  <c r="G339" i="5"/>
  <c r="F339" i="5"/>
  <c r="D339" i="5"/>
  <c r="A339" i="5"/>
  <c r="E339" i="5" s="1"/>
  <c r="L338" i="5"/>
  <c r="K338" i="5"/>
  <c r="I338" i="5"/>
  <c r="H338" i="5"/>
  <c r="G338" i="5"/>
  <c r="E338" i="5"/>
  <c r="C338" i="5"/>
  <c r="B338" i="5"/>
  <c r="A338" i="5"/>
  <c r="F338" i="5" s="1"/>
  <c r="J337" i="5"/>
  <c r="I337" i="5"/>
  <c r="F337" i="5"/>
  <c r="D337" i="5"/>
  <c r="C337" i="5"/>
  <c r="A337" i="5"/>
  <c r="G337" i="5" s="1"/>
  <c r="A336" i="5"/>
  <c r="A335" i="5"/>
  <c r="M335" i="5" s="1"/>
  <c r="M334" i="5"/>
  <c r="K334" i="5"/>
  <c r="I334" i="5"/>
  <c r="A334" i="5"/>
  <c r="G334" i="5" s="1"/>
  <c r="A333" i="5"/>
  <c r="D333" i="5" s="1"/>
  <c r="I332" i="5"/>
  <c r="C332" i="5"/>
  <c r="A332" i="5"/>
  <c r="M332" i="5" s="1"/>
  <c r="L331" i="5"/>
  <c r="J331" i="5"/>
  <c r="A331" i="5"/>
  <c r="M331" i="5" s="1"/>
  <c r="A330" i="5"/>
  <c r="J329" i="5"/>
  <c r="A329" i="5"/>
  <c r="M329" i="5" s="1"/>
  <c r="A328" i="5"/>
  <c r="M328" i="5" s="1"/>
  <c r="J327" i="5"/>
  <c r="I327" i="5"/>
  <c r="H327" i="5"/>
  <c r="G327" i="5"/>
  <c r="F327" i="5"/>
  <c r="D327" i="5"/>
  <c r="B327" i="5"/>
  <c r="A327" i="5"/>
  <c r="E327" i="5" s="1"/>
  <c r="K326" i="5"/>
  <c r="J326" i="5"/>
  <c r="H326" i="5"/>
  <c r="G326" i="5"/>
  <c r="A326" i="5"/>
  <c r="F326" i="5" s="1"/>
  <c r="I325" i="5"/>
  <c r="H325" i="5"/>
  <c r="D325" i="5"/>
  <c r="C325" i="5"/>
  <c r="A325" i="5"/>
  <c r="G325" i="5" s="1"/>
  <c r="A324" i="5"/>
  <c r="A323" i="5"/>
  <c r="M323" i="5" s="1"/>
  <c r="A322" i="5"/>
  <c r="I322" i="5" s="1"/>
  <c r="A321" i="5"/>
  <c r="A320" i="5"/>
  <c r="M320" i="5" s="1"/>
  <c r="L319" i="5"/>
  <c r="J319" i="5"/>
  <c r="I319" i="5"/>
  <c r="H319" i="5"/>
  <c r="G319" i="5"/>
  <c r="F319" i="5"/>
  <c r="E319" i="5"/>
  <c r="D319" i="5"/>
  <c r="C319" i="5"/>
  <c r="A319" i="5"/>
  <c r="M319" i="5" s="1"/>
  <c r="A318" i="5"/>
  <c r="L317" i="5"/>
  <c r="J317" i="5"/>
  <c r="I317" i="5"/>
  <c r="A317" i="5"/>
  <c r="M317" i="5" s="1"/>
  <c r="M316" i="5"/>
  <c r="H316" i="5"/>
  <c r="E316" i="5"/>
  <c r="A316" i="5"/>
  <c r="I316" i="5" s="1"/>
  <c r="A315" i="5"/>
  <c r="E315" i="5" s="1"/>
  <c r="L314" i="5"/>
  <c r="K314" i="5"/>
  <c r="J314" i="5"/>
  <c r="I314" i="5"/>
  <c r="H314" i="5"/>
  <c r="G314" i="5"/>
  <c r="E314" i="5"/>
  <c r="C314" i="5"/>
  <c r="A314" i="5"/>
  <c r="F314" i="5" s="1"/>
  <c r="L313" i="5"/>
  <c r="K313" i="5"/>
  <c r="I313" i="5"/>
  <c r="H313" i="5"/>
  <c r="A313" i="5"/>
  <c r="G313" i="5" s="1"/>
  <c r="G312" i="5"/>
  <c r="A312" i="5"/>
  <c r="J312" i="5" s="1"/>
  <c r="L311" i="5"/>
  <c r="K311" i="5"/>
  <c r="J311" i="5"/>
  <c r="H311" i="5"/>
  <c r="F311" i="5"/>
  <c r="A311" i="5"/>
  <c r="A310" i="5"/>
  <c r="L309" i="5"/>
  <c r="J309" i="5"/>
  <c r="C309" i="5"/>
  <c r="B309" i="5"/>
  <c r="A309" i="5"/>
  <c r="M309" i="5" s="1"/>
  <c r="D308" i="5"/>
  <c r="C308" i="5"/>
  <c r="B308" i="5"/>
  <c r="A308" i="5"/>
  <c r="I307" i="5"/>
  <c r="G307" i="5"/>
  <c r="E307" i="5"/>
  <c r="D307" i="5"/>
  <c r="C307" i="5"/>
  <c r="B307" i="5"/>
  <c r="A307" i="5"/>
  <c r="M307" i="5" s="1"/>
  <c r="A306" i="5"/>
  <c r="I305" i="5"/>
  <c r="H305" i="5"/>
  <c r="F305" i="5"/>
  <c r="E305" i="5"/>
  <c r="A305" i="5"/>
  <c r="M305" i="5" s="1"/>
  <c r="F304" i="5"/>
  <c r="A304" i="5"/>
  <c r="M304" i="5" s="1"/>
  <c r="J303" i="5"/>
  <c r="I303" i="5"/>
  <c r="H303" i="5"/>
  <c r="G303" i="5"/>
  <c r="F303" i="5"/>
  <c r="D303" i="5"/>
  <c r="A303" i="5"/>
  <c r="E303" i="5" s="1"/>
  <c r="L302" i="5"/>
  <c r="K302" i="5"/>
  <c r="I302" i="5"/>
  <c r="H302" i="5"/>
  <c r="G302" i="5"/>
  <c r="E302" i="5"/>
  <c r="C302" i="5"/>
  <c r="B302" i="5"/>
  <c r="A302" i="5"/>
  <c r="F302" i="5" s="1"/>
  <c r="J301" i="5"/>
  <c r="I301" i="5"/>
  <c r="F301" i="5"/>
  <c r="D301" i="5"/>
  <c r="C301" i="5"/>
  <c r="A301" i="5"/>
  <c r="G301" i="5" s="1"/>
  <c r="M300" i="5"/>
  <c r="L300" i="5"/>
  <c r="K300" i="5"/>
  <c r="G300" i="5"/>
  <c r="E300" i="5"/>
  <c r="A300" i="5"/>
  <c r="J300" i="5" s="1"/>
  <c r="A299" i="5"/>
  <c r="M298" i="5"/>
  <c r="A298" i="5"/>
  <c r="L298" i="5" s="1"/>
  <c r="A297" i="5"/>
  <c r="D297" i="5" s="1"/>
  <c r="A296" i="5"/>
  <c r="D296" i="5" s="1"/>
  <c r="C295" i="5"/>
  <c r="A295" i="5"/>
  <c r="M295" i="5" s="1"/>
  <c r="M294" i="5"/>
  <c r="K294" i="5"/>
  <c r="G294" i="5"/>
  <c r="F294" i="5"/>
  <c r="E294" i="5"/>
  <c r="A294" i="5"/>
  <c r="J293" i="5"/>
  <c r="I293" i="5"/>
  <c r="G293" i="5"/>
  <c r="F293" i="5"/>
  <c r="E293" i="5"/>
  <c r="D293" i="5"/>
  <c r="C293" i="5"/>
  <c r="B293" i="5"/>
  <c r="A293" i="5"/>
  <c r="M293" i="5" s="1"/>
  <c r="A292" i="5"/>
  <c r="H292" i="5" s="1"/>
  <c r="I291" i="5"/>
  <c r="H291" i="5"/>
  <c r="F291" i="5"/>
  <c r="D291" i="5"/>
  <c r="B291" i="5"/>
  <c r="A291" i="5"/>
  <c r="E291" i="5" s="1"/>
  <c r="A290" i="5"/>
  <c r="F290" i="5" s="1"/>
  <c r="A289" i="5"/>
  <c r="G289" i="5" s="1"/>
  <c r="A288" i="5"/>
  <c r="A287" i="5"/>
  <c r="M286" i="5"/>
  <c r="L286" i="5"/>
  <c r="K286" i="5"/>
  <c r="I286" i="5"/>
  <c r="G286" i="5"/>
  <c r="C286" i="5"/>
  <c r="A286" i="5"/>
  <c r="A285" i="5"/>
  <c r="B285" i="5" s="1"/>
  <c r="A284" i="5"/>
  <c r="K284" i="5" s="1"/>
  <c r="L283" i="5"/>
  <c r="J283" i="5"/>
  <c r="I283" i="5"/>
  <c r="G283" i="5"/>
  <c r="F283" i="5"/>
  <c r="E283" i="5"/>
  <c r="D283" i="5"/>
  <c r="C283" i="5"/>
  <c r="B283" i="5"/>
  <c r="A283" i="5"/>
  <c r="M283" i="5" s="1"/>
  <c r="G282" i="5"/>
  <c r="F282" i="5"/>
  <c r="A282" i="5"/>
  <c r="K282" i="5" s="1"/>
  <c r="L281" i="5"/>
  <c r="K281" i="5"/>
  <c r="J281" i="5"/>
  <c r="I281" i="5"/>
  <c r="H281" i="5"/>
  <c r="G281" i="5"/>
  <c r="F281" i="5"/>
  <c r="C281" i="5"/>
  <c r="B281" i="5"/>
  <c r="A281" i="5"/>
  <c r="M281" i="5" s="1"/>
  <c r="E280" i="5"/>
  <c r="C280" i="5"/>
  <c r="A280" i="5"/>
  <c r="A279" i="5"/>
  <c r="E279" i="5" s="1"/>
  <c r="L278" i="5"/>
  <c r="K278" i="5"/>
  <c r="J278" i="5"/>
  <c r="I278" i="5"/>
  <c r="H278" i="5"/>
  <c r="G278" i="5"/>
  <c r="E278" i="5"/>
  <c r="C278" i="5"/>
  <c r="B278" i="5"/>
  <c r="A278" i="5"/>
  <c r="F278" i="5" s="1"/>
  <c r="L277" i="5"/>
  <c r="K277" i="5"/>
  <c r="I277" i="5"/>
  <c r="H277" i="5"/>
  <c r="A277" i="5"/>
  <c r="G277" i="5" s="1"/>
  <c r="M276" i="5"/>
  <c r="E276" i="5"/>
  <c r="A276" i="5"/>
  <c r="M275" i="5"/>
  <c r="L275" i="5"/>
  <c r="J275" i="5"/>
  <c r="H275" i="5"/>
  <c r="A275" i="5"/>
  <c r="K275" i="5" s="1"/>
  <c r="K274" i="5"/>
  <c r="I274" i="5"/>
  <c r="G274" i="5"/>
  <c r="C274" i="5"/>
  <c r="B274" i="5"/>
  <c r="A274" i="5"/>
  <c r="A273" i="5"/>
  <c r="M272" i="5"/>
  <c r="I272" i="5"/>
  <c r="E272" i="5"/>
  <c r="D272" i="5"/>
  <c r="A272" i="5"/>
  <c r="K272" i="5" s="1"/>
  <c r="A271" i="5"/>
  <c r="M271" i="5" s="1"/>
  <c r="A270" i="5"/>
  <c r="J269" i="5"/>
  <c r="F269" i="5"/>
  <c r="E269" i="5"/>
  <c r="C269" i="5"/>
  <c r="B269" i="5"/>
  <c r="A269" i="5"/>
  <c r="M269" i="5" s="1"/>
  <c r="M268" i="5"/>
  <c r="I268" i="5"/>
  <c r="H268" i="5"/>
  <c r="E268" i="5"/>
  <c r="A268" i="5"/>
  <c r="I267" i="5"/>
  <c r="H267" i="5"/>
  <c r="F267" i="5"/>
  <c r="D267" i="5"/>
  <c r="B267" i="5"/>
  <c r="A267" i="5"/>
  <c r="E267" i="5" s="1"/>
  <c r="A266" i="5"/>
  <c r="F266" i="5" s="1"/>
  <c r="A265" i="5"/>
  <c r="G265" i="5" s="1"/>
  <c r="L264" i="5"/>
  <c r="K264" i="5"/>
  <c r="A264" i="5"/>
  <c r="J264" i="5" s="1"/>
  <c r="A263" i="5"/>
  <c r="L263" i="5" s="1"/>
  <c r="A262" i="5"/>
  <c r="C262" i="5" s="1"/>
  <c r="M261" i="5"/>
  <c r="J261" i="5"/>
  <c r="H261" i="5"/>
  <c r="C261" i="5"/>
  <c r="B261" i="5"/>
  <c r="A261" i="5"/>
  <c r="L261" i="5" s="1"/>
  <c r="A260" i="5"/>
  <c r="K260" i="5" s="1"/>
  <c r="L259" i="5"/>
  <c r="J259" i="5"/>
  <c r="I259" i="5"/>
  <c r="G259" i="5"/>
  <c r="F259" i="5"/>
  <c r="E259" i="5"/>
  <c r="D259" i="5"/>
  <c r="C259" i="5"/>
  <c r="B259" i="5"/>
  <c r="A259" i="5"/>
  <c r="M259" i="5" s="1"/>
  <c r="A258" i="5"/>
  <c r="L257" i="5"/>
  <c r="K257" i="5"/>
  <c r="J257" i="5"/>
  <c r="I257" i="5"/>
  <c r="H257" i="5"/>
  <c r="G257" i="5"/>
  <c r="F257" i="5"/>
  <c r="E257" i="5"/>
  <c r="D257" i="5"/>
  <c r="C257" i="5"/>
  <c r="B257" i="5"/>
  <c r="A257" i="5"/>
  <c r="M257" i="5" s="1"/>
  <c r="M256" i="5"/>
  <c r="I256" i="5"/>
  <c r="G256" i="5"/>
  <c r="F256" i="5"/>
  <c r="E256" i="5"/>
  <c r="A256" i="5"/>
  <c r="H256" i="5" s="1"/>
  <c r="M255" i="5"/>
  <c r="L255" i="5"/>
  <c r="K255" i="5"/>
  <c r="J255" i="5"/>
  <c r="I255" i="5"/>
  <c r="H255" i="5"/>
  <c r="G255" i="5"/>
  <c r="F255" i="5"/>
  <c r="M254" i="5"/>
  <c r="L254" i="5"/>
  <c r="K254" i="5"/>
  <c r="J254" i="5"/>
  <c r="I254" i="5"/>
  <c r="H254" i="5"/>
  <c r="G254" i="5"/>
  <c r="F254" i="5"/>
  <c r="M253" i="5"/>
  <c r="L253" i="5"/>
  <c r="K253" i="5"/>
  <c r="J253" i="5"/>
  <c r="I253" i="5"/>
  <c r="H253" i="5"/>
  <c r="G253" i="5"/>
  <c r="F253" i="5"/>
  <c r="M252" i="5"/>
  <c r="L252" i="5"/>
  <c r="K252" i="5"/>
  <c r="J252" i="5"/>
  <c r="I252" i="5"/>
  <c r="H252" i="5"/>
  <c r="G252" i="5"/>
  <c r="F252" i="5"/>
  <c r="M251" i="5"/>
  <c r="L251" i="5"/>
  <c r="K251" i="5"/>
  <c r="J251" i="5"/>
  <c r="I251" i="5"/>
  <c r="H251" i="5"/>
  <c r="G251" i="5"/>
  <c r="F251" i="5"/>
  <c r="M250" i="5"/>
  <c r="L250" i="5"/>
  <c r="K250" i="5"/>
  <c r="J250" i="5"/>
  <c r="I250" i="5"/>
  <c r="H250" i="5"/>
  <c r="G250" i="5"/>
  <c r="F250" i="5"/>
  <c r="M249" i="5"/>
  <c r="L249" i="5"/>
  <c r="K249" i="5"/>
  <c r="J249" i="5"/>
  <c r="I249" i="5"/>
  <c r="H249" i="5"/>
  <c r="G249" i="5"/>
  <c r="F249" i="5"/>
  <c r="M248" i="5"/>
  <c r="L248" i="5"/>
  <c r="K248" i="5"/>
  <c r="J248" i="5"/>
  <c r="I248" i="5"/>
  <c r="H248" i="5"/>
  <c r="G248" i="5"/>
  <c r="F248" i="5"/>
  <c r="M247" i="5"/>
  <c r="L247" i="5"/>
  <c r="K247" i="5"/>
  <c r="J247" i="5"/>
  <c r="I247" i="5"/>
  <c r="H247" i="5"/>
  <c r="G247" i="5"/>
  <c r="F247" i="5"/>
  <c r="M246" i="5"/>
  <c r="L246" i="5"/>
  <c r="K246" i="5"/>
  <c r="J246" i="5"/>
  <c r="I246" i="5"/>
  <c r="H246" i="5"/>
  <c r="G246" i="5"/>
  <c r="F246" i="5"/>
  <c r="M245" i="5"/>
  <c r="L245" i="5"/>
  <c r="K245" i="5"/>
  <c r="J245" i="5"/>
  <c r="I245" i="5"/>
  <c r="H245" i="5"/>
  <c r="G245" i="5"/>
  <c r="F245" i="5"/>
  <c r="M244" i="5"/>
  <c r="L244" i="5"/>
  <c r="K244" i="5"/>
  <c r="J244" i="5"/>
  <c r="I244" i="5"/>
  <c r="H244" i="5"/>
  <c r="G244" i="5"/>
  <c r="F244" i="5"/>
  <c r="M243" i="5"/>
  <c r="L243" i="5"/>
  <c r="K243" i="5"/>
  <c r="J243" i="5"/>
  <c r="I243" i="5"/>
  <c r="H243" i="5"/>
  <c r="G243" i="5"/>
  <c r="F243" i="5"/>
  <c r="M242" i="5"/>
  <c r="L242" i="5"/>
  <c r="K242" i="5"/>
  <c r="J242" i="5"/>
  <c r="I242" i="5"/>
  <c r="H242" i="5"/>
  <c r="G242" i="5"/>
  <c r="F242" i="5"/>
  <c r="M241" i="5"/>
  <c r="L241" i="5"/>
  <c r="K241" i="5"/>
  <c r="J241" i="5"/>
  <c r="I241" i="5"/>
  <c r="H241" i="5"/>
  <c r="G241" i="5"/>
  <c r="F241" i="5"/>
  <c r="M240" i="5"/>
  <c r="L240" i="5"/>
  <c r="K240" i="5"/>
  <c r="J240" i="5"/>
  <c r="I240" i="5"/>
  <c r="H240" i="5"/>
  <c r="G240" i="5"/>
  <c r="F240" i="5"/>
  <c r="M239" i="5"/>
  <c r="L239" i="5"/>
  <c r="K239" i="5"/>
  <c r="J239" i="5"/>
  <c r="I239" i="5"/>
  <c r="H239" i="5"/>
  <c r="G239" i="5"/>
  <c r="F239" i="5"/>
  <c r="M238" i="5"/>
  <c r="L238" i="5"/>
  <c r="K238" i="5"/>
  <c r="J238" i="5"/>
  <c r="I238" i="5"/>
  <c r="H238" i="5"/>
  <c r="G238" i="5"/>
  <c r="F238" i="5"/>
  <c r="M237" i="5"/>
  <c r="L237" i="5"/>
  <c r="K237" i="5"/>
  <c r="J237" i="5"/>
  <c r="I237" i="5"/>
  <c r="H237" i="5"/>
  <c r="G237" i="5"/>
  <c r="F237" i="5"/>
  <c r="M236" i="5"/>
  <c r="L236" i="5"/>
  <c r="K236" i="5"/>
  <c r="J236" i="5"/>
  <c r="I236" i="5"/>
  <c r="H236" i="5"/>
  <c r="G236" i="5"/>
  <c r="F236" i="5"/>
  <c r="M235" i="5"/>
  <c r="L235" i="5"/>
  <c r="K235" i="5"/>
  <c r="J235" i="5"/>
  <c r="I235" i="5"/>
  <c r="H235" i="5"/>
  <c r="G235" i="5"/>
  <c r="F235" i="5"/>
  <c r="M234" i="5"/>
  <c r="L234" i="5"/>
  <c r="K234" i="5"/>
  <c r="J234" i="5"/>
  <c r="I234" i="5"/>
  <c r="H234" i="5"/>
  <c r="G234" i="5"/>
  <c r="F234" i="5"/>
  <c r="M233" i="5"/>
  <c r="L233" i="5"/>
  <c r="K233" i="5"/>
  <c r="J233" i="5"/>
  <c r="I233" i="5"/>
  <c r="H233" i="5"/>
  <c r="G233" i="5"/>
  <c r="F233" i="5"/>
  <c r="M232" i="5"/>
  <c r="L232" i="5"/>
  <c r="K232" i="5"/>
  <c r="J232" i="5"/>
  <c r="I232" i="5"/>
  <c r="H232" i="5"/>
  <c r="G232" i="5"/>
  <c r="F232" i="5"/>
  <c r="M231" i="5"/>
  <c r="L231" i="5"/>
  <c r="K231" i="5"/>
  <c r="J231" i="5"/>
  <c r="I231" i="5"/>
  <c r="H231" i="5"/>
  <c r="G231" i="5"/>
  <c r="F231" i="5"/>
  <c r="M230" i="5"/>
  <c r="L230" i="5"/>
  <c r="K230" i="5"/>
  <c r="J230" i="5"/>
  <c r="I230" i="5"/>
  <c r="H230" i="5"/>
  <c r="G230" i="5"/>
  <c r="F230" i="5"/>
  <c r="M229" i="5"/>
  <c r="L229" i="5"/>
  <c r="K229" i="5"/>
  <c r="J229" i="5"/>
  <c r="I229" i="5"/>
  <c r="H229" i="5"/>
  <c r="G229" i="5"/>
  <c r="F229" i="5"/>
  <c r="M228" i="5"/>
  <c r="L228" i="5"/>
  <c r="K228" i="5"/>
  <c r="J228" i="5"/>
  <c r="I228" i="5"/>
  <c r="H228" i="5"/>
  <c r="G228" i="5"/>
  <c r="F228" i="5"/>
  <c r="M227" i="5"/>
  <c r="L227" i="5"/>
  <c r="K227" i="5"/>
  <c r="J227" i="5"/>
  <c r="I227" i="5"/>
  <c r="H227" i="5"/>
  <c r="G227" i="5"/>
  <c r="F227" i="5"/>
  <c r="M226" i="5"/>
  <c r="L226" i="5"/>
  <c r="K226" i="5"/>
  <c r="J226" i="5"/>
  <c r="I226" i="5"/>
  <c r="H226" i="5"/>
  <c r="G226" i="5"/>
  <c r="F226" i="5"/>
  <c r="M225" i="5"/>
  <c r="L225" i="5"/>
  <c r="K225" i="5"/>
  <c r="J225" i="5"/>
  <c r="I225" i="5"/>
  <c r="H225" i="5"/>
  <c r="G225" i="5"/>
  <c r="F225" i="5"/>
  <c r="M224" i="5"/>
  <c r="L224" i="5"/>
  <c r="K224" i="5"/>
  <c r="J224" i="5"/>
  <c r="I224" i="5"/>
  <c r="H224" i="5"/>
  <c r="G224" i="5"/>
  <c r="F224" i="5"/>
  <c r="M223" i="5"/>
  <c r="L223" i="5"/>
  <c r="K223" i="5"/>
  <c r="J223" i="5"/>
  <c r="I223" i="5"/>
  <c r="H223" i="5"/>
  <c r="G223" i="5"/>
  <c r="F223" i="5"/>
  <c r="M222" i="5"/>
  <c r="L222" i="5"/>
  <c r="K222" i="5"/>
  <c r="J222" i="5"/>
  <c r="I222" i="5"/>
  <c r="H222" i="5"/>
  <c r="G222" i="5"/>
  <c r="F222" i="5"/>
  <c r="M221" i="5"/>
  <c r="L221" i="5"/>
  <c r="K221" i="5"/>
  <c r="J221" i="5"/>
  <c r="I221" i="5"/>
  <c r="H221" i="5"/>
  <c r="G221" i="5"/>
  <c r="F221" i="5"/>
  <c r="M220" i="5"/>
  <c r="L220" i="5"/>
  <c r="K220" i="5"/>
  <c r="J220" i="5"/>
  <c r="I220" i="5"/>
  <c r="H220" i="5"/>
  <c r="G220" i="5"/>
  <c r="F220" i="5"/>
  <c r="M219" i="5"/>
  <c r="L219" i="5"/>
  <c r="K219" i="5"/>
  <c r="J219" i="5"/>
  <c r="I219" i="5"/>
  <c r="H219" i="5"/>
  <c r="G219" i="5"/>
  <c r="F219" i="5"/>
  <c r="M218" i="5"/>
  <c r="L218" i="5"/>
  <c r="K218" i="5"/>
  <c r="J218" i="5"/>
  <c r="I218" i="5"/>
  <c r="H218" i="5"/>
  <c r="G218" i="5"/>
  <c r="F218" i="5"/>
  <c r="M217" i="5"/>
  <c r="L217" i="5"/>
  <c r="K217" i="5"/>
  <c r="J217" i="5"/>
  <c r="I217" i="5"/>
  <c r="H217" i="5"/>
  <c r="G217" i="5"/>
  <c r="F217" i="5"/>
  <c r="M216" i="5"/>
  <c r="L216" i="5"/>
  <c r="K216" i="5"/>
  <c r="J216" i="5"/>
  <c r="I216" i="5"/>
  <c r="H216" i="5"/>
  <c r="G216" i="5"/>
  <c r="F216" i="5"/>
  <c r="M215" i="5"/>
  <c r="L215" i="5"/>
  <c r="K215" i="5"/>
  <c r="J215" i="5"/>
  <c r="I215" i="5"/>
  <c r="H215" i="5"/>
  <c r="G215" i="5"/>
  <c r="F215" i="5"/>
  <c r="M214" i="5"/>
  <c r="L214" i="5"/>
  <c r="K214" i="5"/>
  <c r="J214" i="5"/>
  <c r="I214" i="5"/>
  <c r="H214" i="5"/>
  <c r="G214" i="5"/>
  <c r="F214" i="5"/>
  <c r="M213" i="5"/>
  <c r="L213" i="5"/>
  <c r="K213" i="5"/>
  <c r="J213" i="5"/>
  <c r="I213" i="5"/>
  <c r="H213" i="5"/>
  <c r="G213" i="5"/>
  <c r="F213" i="5"/>
  <c r="M212" i="5"/>
  <c r="L212" i="5"/>
  <c r="K212" i="5"/>
  <c r="J212" i="5"/>
  <c r="I212" i="5"/>
  <c r="H212" i="5"/>
  <c r="G212" i="5"/>
  <c r="F212" i="5"/>
  <c r="M211" i="5"/>
  <c r="L211" i="5"/>
  <c r="K211" i="5"/>
  <c r="J211" i="5"/>
  <c r="I211" i="5"/>
  <c r="H211" i="5"/>
  <c r="G211" i="5"/>
  <c r="F211" i="5"/>
  <c r="M210" i="5"/>
  <c r="L210" i="5"/>
  <c r="K210" i="5"/>
  <c r="J210" i="5"/>
  <c r="I210" i="5"/>
  <c r="H210" i="5"/>
  <c r="G210" i="5"/>
  <c r="F210" i="5"/>
  <c r="M209" i="5"/>
  <c r="L209" i="5"/>
  <c r="K209" i="5"/>
  <c r="J209" i="5"/>
  <c r="I209" i="5"/>
  <c r="H209" i="5"/>
  <c r="G209" i="5"/>
  <c r="F209" i="5"/>
  <c r="M208" i="5"/>
  <c r="L208" i="5"/>
  <c r="K208" i="5"/>
  <c r="J208" i="5"/>
  <c r="I208" i="5"/>
  <c r="H208" i="5"/>
  <c r="G208" i="5"/>
  <c r="F208" i="5"/>
  <c r="M207" i="5"/>
  <c r="L207" i="5"/>
  <c r="K207" i="5"/>
  <c r="J207" i="5"/>
  <c r="I207" i="5"/>
  <c r="H207" i="5"/>
  <c r="G207" i="5"/>
  <c r="F207" i="5"/>
  <c r="M206" i="5"/>
  <c r="L206" i="5"/>
  <c r="K206" i="5"/>
  <c r="J206" i="5"/>
  <c r="I206" i="5"/>
  <c r="H206" i="5"/>
  <c r="G206" i="5"/>
  <c r="F206" i="5"/>
  <c r="M205" i="5"/>
  <c r="L205" i="5"/>
  <c r="K205" i="5"/>
  <c r="J205" i="5"/>
  <c r="I205" i="5"/>
  <c r="H205" i="5"/>
  <c r="G205" i="5"/>
  <c r="F205" i="5"/>
  <c r="M204" i="5"/>
  <c r="L204" i="5"/>
  <c r="K204" i="5"/>
  <c r="J204" i="5"/>
  <c r="I204" i="5"/>
  <c r="H204" i="5"/>
  <c r="G204" i="5"/>
  <c r="F204" i="5"/>
  <c r="M203" i="5"/>
  <c r="L203" i="5"/>
  <c r="K203" i="5"/>
  <c r="J203" i="5"/>
  <c r="I203" i="5"/>
  <c r="H203" i="5"/>
  <c r="G203" i="5"/>
  <c r="F203" i="5"/>
  <c r="M202" i="5"/>
  <c r="L202" i="5"/>
  <c r="K202" i="5"/>
  <c r="J202" i="5"/>
  <c r="I202" i="5"/>
  <c r="H202" i="5"/>
  <c r="G202" i="5"/>
  <c r="F202" i="5"/>
  <c r="M201" i="5"/>
  <c r="L201" i="5"/>
  <c r="K201" i="5"/>
  <c r="J201" i="5"/>
  <c r="I201" i="5"/>
  <c r="H201" i="5"/>
  <c r="G201" i="5"/>
  <c r="F201" i="5"/>
  <c r="M200" i="5"/>
  <c r="L200" i="5"/>
  <c r="K200" i="5"/>
  <c r="J200" i="5"/>
  <c r="I200" i="5"/>
  <c r="H200" i="5"/>
  <c r="G200" i="5"/>
  <c r="F200" i="5"/>
  <c r="M199" i="5"/>
  <c r="L199" i="5"/>
  <c r="K199" i="5"/>
  <c r="J199" i="5"/>
  <c r="I199" i="5"/>
  <c r="H199" i="5"/>
  <c r="G199" i="5"/>
  <c r="F199" i="5"/>
  <c r="M198" i="5"/>
  <c r="L198" i="5"/>
  <c r="K198" i="5"/>
  <c r="J198" i="5"/>
  <c r="I198" i="5"/>
  <c r="H198" i="5"/>
  <c r="G198" i="5"/>
  <c r="F198" i="5"/>
  <c r="M197" i="5"/>
  <c r="L197" i="5"/>
  <c r="K197" i="5"/>
  <c r="J197" i="5"/>
  <c r="I197" i="5"/>
  <c r="H197" i="5"/>
  <c r="G197" i="5"/>
  <c r="F197" i="5"/>
  <c r="M196" i="5"/>
  <c r="L196" i="5"/>
  <c r="K196" i="5"/>
  <c r="J196" i="5"/>
  <c r="I196" i="5"/>
  <c r="H196" i="5"/>
  <c r="G196" i="5"/>
  <c r="F196" i="5"/>
  <c r="M195" i="5"/>
  <c r="L195" i="5"/>
  <c r="K195" i="5"/>
  <c r="J195" i="5"/>
  <c r="I195" i="5"/>
  <c r="H195" i="5"/>
  <c r="G195" i="5"/>
  <c r="F195" i="5"/>
  <c r="M194" i="5"/>
  <c r="L194" i="5"/>
  <c r="K194" i="5"/>
  <c r="J194" i="5"/>
  <c r="I194" i="5"/>
  <c r="H194" i="5"/>
  <c r="G194" i="5"/>
  <c r="F194" i="5"/>
  <c r="M193" i="5"/>
  <c r="L193" i="5"/>
  <c r="K193" i="5"/>
  <c r="J193" i="5"/>
  <c r="I193" i="5"/>
  <c r="H193" i="5"/>
  <c r="G193" i="5"/>
  <c r="F193" i="5"/>
  <c r="M192" i="5"/>
  <c r="L192" i="5"/>
  <c r="K192" i="5"/>
  <c r="J192" i="5"/>
  <c r="I192" i="5"/>
  <c r="H192" i="5"/>
  <c r="G192" i="5"/>
  <c r="F192" i="5"/>
  <c r="M191" i="5"/>
  <c r="L191" i="5"/>
  <c r="K191" i="5"/>
  <c r="J191" i="5"/>
  <c r="I191" i="5"/>
  <c r="H191" i="5"/>
  <c r="G191" i="5"/>
  <c r="F191" i="5"/>
  <c r="M190" i="5"/>
  <c r="L190" i="5"/>
  <c r="K190" i="5"/>
  <c r="J190" i="5"/>
  <c r="I190" i="5"/>
  <c r="H190" i="5"/>
  <c r="G190" i="5"/>
  <c r="F190" i="5"/>
  <c r="M189" i="5"/>
  <c r="L189" i="5"/>
  <c r="K189" i="5"/>
  <c r="J189" i="5"/>
  <c r="I189" i="5"/>
  <c r="H189" i="5"/>
  <c r="G189" i="5"/>
  <c r="F189" i="5"/>
  <c r="M188" i="5"/>
  <c r="L188" i="5"/>
  <c r="K188" i="5"/>
  <c r="J188" i="5"/>
  <c r="I188" i="5"/>
  <c r="H188" i="5"/>
  <c r="G188" i="5"/>
  <c r="F188" i="5"/>
  <c r="M187" i="5"/>
  <c r="L187" i="5"/>
  <c r="K187" i="5"/>
  <c r="J187" i="5"/>
  <c r="I187" i="5"/>
  <c r="H187" i="5"/>
  <c r="G187" i="5"/>
  <c r="F187" i="5"/>
  <c r="M186" i="5"/>
  <c r="L186" i="5"/>
  <c r="K186" i="5"/>
  <c r="J186" i="5"/>
  <c r="I186" i="5"/>
  <c r="H186" i="5"/>
  <c r="G186" i="5"/>
  <c r="F186" i="5"/>
  <c r="M185" i="5"/>
  <c r="L185" i="5"/>
  <c r="K185" i="5"/>
  <c r="J185" i="5"/>
  <c r="I185" i="5"/>
  <c r="H185" i="5"/>
  <c r="G185" i="5"/>
  <c r="F185" i="5"/>
  <c r="M184" i="5"/>
  <c r="L184" i="5"/>
  <c r="K184" i="5"/>
  <c r="J184" i="5"/>
  <c r="I184" i="5"/>
  <c r="H184" i="5"/>
  <c r="G184" i="5"/>
  <c r="F184" i="5"/>
  <c r="M183" i="5"/>
  <c r="L183" i="5"/>
  <c r="K183" i="5"/>
  <c r="J183" i="5"/>
  <c r="I183" i="5"/>
  <c r="H183" i="5"/>
  <c r="G183" i="5"/>
  <c r="F183" i="5"/>
  <c r="M182" i="5"/>
  <c r="L182" i="5"/>
  <c r="K182" i="5"/>
  <c r="J182" i="5"/>
  <c r="I182" i="5"/>
  <c r="H182" i="5"/>
  <c r="G182" i="5"/>
  <c r="F182" i="5"/>
  <c r="M181" i="5"/>
  <c r="L181" i="5"/>
  <c r="K181" i="5"/>
  <c r="J181" i="5"/>
  <c r="I181" i="5"/>
  <c r="H181" i="5"/>
  <c r="G181" i="5"/>
  <c r="F181" i="5"/>
  <c r="M180" i="5"/>
  <c r="L180" i="5"/>
  <c r="K180" i="5"/>
  <c r="J180" i="5"/>
  <c r="I180" i="5"/>
  <c r="H180" i="5"/>
  <c r="G180" i="5"/>
  <c r="F180" i="5"/>
  <c r="M179" i="5"/>
  <c r="L179" i="5"/>
  <c r="K179" i="5"/>
  <c r="J179" i="5"/>
  <c r="I179" i="5"/>
  <c r="H179" i="5"/>
  <c r="G179" i="5"/>
  <c r="F179" i="5"/>
  <c r="M178" i="5"/>
  <c r="L178" i="5"/>
  <c r="K178" i="5"/>
  <c r="J178" i="5"/>
  <c r="I178" i="5"/>
  <c r="H178" i="5"/>
  <c r="G178" i="5"/>
  <c r="F178" i="5"/>
  <c r="M177" i="5"/>
  <c r="L177" i="5"/>
  <c r="K177" i="5"/>
  <c r="J177" i="5"/>
  <c r="I177" i="5"/>
  <c r="H177" i="5"/>
  <c r="G177" i="5"/>
  <c r="F177" i="5"/>
  <c r="M176" i="5"/>
  <c r="L176" i="5"/>
  <c r="K176" i="5"/>
  <c r="J176" i="5"/>
  <c r="I176" i="5"/>
  <c r="H176" i="5"/>
  <c r="G176" i="5"/>
  <c r="F176" i="5"/>
  <c r="M175" i="5"/>
  <c r="L175" i="5"/>
  <c r="K175" i="5"/>
  <c r="J175" i="5"/>
  <c r="I175" i="5"/>
  <c r="H175" i="5"/>
  <c r="G175" i="5"/>
  <c r="F175" i="5"/>
  <c r="M174" i="5"/>
  <c r="L174" i="5"/>
  <c r="K174" i="5"/>
  <c r="J174" i="5"/>
  <c r="I174" i="5"/>
  <c r="H174" i="5"/>
  <c r="G174" i="5"/>
  <c r="F174" i="5"/>
  <c r="M173" i="5"/>
  <c r="L173" i="5"/>
  <c r="K173" i="5"/>
  <c r="J173" i="5"/>
  <c r="I173" i="5"/>
  <c r="H173" i="5"/>
  <c r="G173" i="5"/>
  <c r="F173" i="5"/>
  <c r="J466" i="2"/>
  <c r="K466" i="2" s="1"/>
  <c r="J465" i="2"/>
  <c r="L464" i="2"/>
  <c r="J464" i="2"/>
  <c r="K464" i="2" s="1"/>
  <c r="J463" i="2"/>
  <c r="L463" i="2" s="1"/>
  <c r="J462" i="2"/>
  <c r="K462" i="2" s="1"/>
  <c r="J461" i="2"/>
  <c r="K461" i="2" s="1"/>
  <c r="J460" i="2"/>
  <c r="K460" i="2" s="1"/>
  <c r="L459" i="2"/>
  <c r="K459" i="2"/>
  <c r="J459" i="2"/>
  <c r="K458" i="2"/>
  <c r="J458" i="2"/>
  <c r="K457" i="2"/>
  <c r="J457" i="2"/>
  <c r="J456" i="2"/>
  <c r="K456" i="2" s="1"/>
  <c r="K455" i="2"/>
  <c r="J455" i="2"/>
  <c r="L455" i="2" s="1"/>
  <c r="K454" i="2"/>
  <c r="J454" i="2"/>
  <c r="L454" i="2" s="1"/>
  <c r="J453" i="2"/>
  <c r="J452" i="2"/>
  <c r="J451" i="2"/>
  <c r="L451" i="2" s="1"/>
  <c r="K450" i="2"/>
  <c r="J450" i="2"/>
  <c r="J449" i="2"/>
  <c r="K449" i="2" s="1"/>
  <c r="J448" i="2"/>
  <c r="K448" i="2" s="1"/>
  <c r="K447" i="2"/>
  <c r="J447" i="2"/>
  <c r="J446" i="2"/>
  <c r="L446" i="2" s="1"/>
  <c r="L445" i="2"/>
  <c r="K445" i="2"/>
  <c r="J445" i="2"/>
  <c r="J444" i="2"/>
  <c r="K444" i="2" s="1"/>
  <c r="J443" i="2"/>
  <c r="J442" i="2"/>
  <c r="L442" i="2" s="1"/>
  <c r="J441" i="2"/>
  <c r="J440" i="2"/>
  <c r="J439" i="2"/>
  <c r="K439" i="2" s="1"/>
  <c r="J438" i="2"/>
  <c r="J437" i="2"/>
  <c r="L434" i="2" s="1"/>
  <c r="J436" i="2"/>
  <c r="K436" i="2" s="1"/>
  <c r="L435" i="2"/>
  <c r="K435" i="2"/>
  <c r="J435" i="2"/>
  <c r="K434" i="2"/>
  <c r="J434" i="2"/>
  <c r="L458" i="2" s="1"/>
  <c r="K433" i="2"/>
  <c r="J433" i="2"/>
  <c r="J432" i="2"/>
  <c r="K432" i="2" s="1"/>
  <c r="J431" i="2"/>
  <c r="K430" i="2"/>
  <c r="J430" i="2"/>
  <c r="K429" i="2"/>
  <c r="J429" i="2"/>
  <c r="J428" i="2"/>
  <c r="K428" i="2" s="1"/>
  <c r="J427" i="2"/>
  <c r="K427" i="2" s="1"/>
  <c r="J426" i="2"/>
  <c r="K426" i="2" s="1"/>
  <c r="L425" i="2"/>
  <c r="K425" i="2"/>
  <c r="J425" i="2"/>
  <c r="J424" i="2"/>
  <c r="K424" i="2" s="1"/>
  <c r="K423" i="2"/>
  <c r="J423" i="2"/>
  <c r="K422" i="2"/>
  <c r="J422" i="2"/>
  <c r="J421" i="2"/>
  <c r="J420" i="2"/>
  <c r="K420" i="2" s="1"/>
  <c r="J419" i="2"/>
  <c r="L429" i="2" s="1"/>
  <c r="K418" i="2"/>
  <c r="J418" i="2"/>
  <c r="J417" i="2"/>
  <c r="K417" i="2" s="1"/>
  <c r="J416" i="2"/>
  <c r="J415" i="2"/>
  <c r="K415" i="2" s="1"/>
  <c r="J414" i="2"/>
  <c r="K414" i="2" s="1"/>
  <c r="J413" i="2"/>
  <c r="K413" i="2" s="1"/>
  <c r="J412" i="2"/>
  <c r="K412" i="2" s="1"/>
  <c r="J411" i="2"/>
  <c r="K410" i="2"/>
  <c r="J410" i="2"/>
  <c r="K409" i="2"/>
  <c r="J409" i="2"/>
  <c r="J408" i="2"/>
  <c r="K408" i="2" s="1"/>
  <c r="J407" i="2"/>
  <c r="K407" i="2" s="1"/>
  <c r="K406" i="2"/>
  <c r="J406" i="2"/>
  <c r="K405" i="2"/>
  <c r="J405" i="2"/>
  <c r="J404" i="2"/>
  <c r="J403" i="2"/>
  <c r="K403" i="2" s="1"/>
  <c r="J402" i="2"/>
  <c r="K402" i="2" s="1"/>
  <c r="L401" i="2"/>
  <c r="J401" i="2"/>
  <c r="K401" i="2" s="1"/>
  <c r="J400" i="2"/>
  <c r="K400" i="2" s="1"/>
  <c r="J399" i="2"/>
  <c r="J398" i="2"/>
  <c r="K397" i="2"/>
  <c r="J397" i="2"/>
  <c r="J396" i="2"/>
  <c r="K396" i="2" s="1"/>
  <c r="K395" i="2"/>
  <c r="J395" i="2"/>
  <c r="K394" i="2"/>
  <c r="J394" i="2"/>
  <c r="J393" i="2"/>
  <c r="J392" i="2"/>
  <c r="J391" i="2"/>
  <c r="K391" i="2" s="1"/>
  <c r="K390" i="2"/>
  <c r="J390" i="2"/>
  <c r="K389" i="2"/>
  <c r="J389" i="2"/>
  <c r="J388" i="2"/>
  <c r="K388" i="2" s="1"/>
  <c r="K387" i="2"/>
  <c r="J387" i="2"/>
  <c r="L386" i="2"/>
  <c r="J386" i="2"/>
  <c r="K386" i="2" s="1"/>
  <c r="J385" i="2"/>
  <c r="J384" i="2"/>
  <c r="K384" i="2" s="1"/>
  <c r="J383" i="2"/>
  <c r="K383" i="2" s="1"/>
  <c r="J382" i="2"/>
  <c r="J381" i="2"/>
  <c r="K381" i="2" s="1"/>
  <c r="J380" i="2"/>
  <c r="K380" i="2" s="1"/>
  <c r="J379" i="2"/>
  <c r="K379" i="2" s="1"/>
  <c r="J378" i="2"/>
  <c r="K378" i="2" s="1"/>
  <c r="J377" i="2"/>
  <c r="L376" i="2"/>
  <c r="J376" i="2"/>
  <c r="K376" i="2" s="1"/>
  <c r="K375" i="2"/>
  <c r="J375" i="2"/>
  <c r="K374" i="2"/>
  <c r="J374" i="2"/>
  <c r="J373" i="2"/>
  <c r="K373" i="2" s="1"/>
  <c r="J372" i="2"/>
  <c r="K372" i="2" s="1"/>
  <c r="K371" i="2"/>
  <c r="J371" i="2"/>
  <c r="J370" i="2"/>
  <c r="K370" i="2" s="1"/>
  <c r="J369" i="2"/>
  <c r="J368" i="2"/>
  <c r="K368" i="2" s="1"/>
  <c r="J367" i="2"/>
  <c r="K367" i="2" s="1"/>
  <c r="J366" i="2"/>
  <c r="K366" i="2" s="1"/>
  <c r="J365" i="2"/>
  <c r="K365" i="2" s="1"/>
  <c r="J364" i="2"/>
  <c r="K364" i="2" s="1"/>
  <c r="J363" i="2"/>
  <c r="K362" i="2"/>
  <c r="J362" i="2"/>
  <c r="K361" i="2"/>
  <c r="J361" i="2"/>
  <c r="J360" i="2"/>
  <c r="K360" i="2" s="1"/>
  <c r="J359" i="2"/>
  <c r="J358" i="2"/>
  <c r="K357" i="2"/>
  <c r="J357" i="2"/>
  <c r="J356" i="2"/>
  <c r="J355" i="2"/>
  <c r="J354" i="2"/>
  <c r="J353" i="2"/>
  <c r="K353" i="2" s="1"/>
  <c r="J352" i="2"/>
  <c r="K352" i="2" s="1"/>
  <c r="J351" i="2"/>
  <c r="K350" i="2"/>
  <c r="J350" i="2"/>
  <c r="K349" i="2"/>
  <c r="J349" i="2"/>
  <c r="J348" i="2"/>
  <c r="K347" i="2"/>
  <c r="J347" i="2"/>
  <c r="K346" i="2"/>
  <c r="J346" i="2"/>
  <c r="J345" i="2"/>
  <c r="K345" i="2" s="1"/>
  <c r="J344" i="2"/>
  <c r="J343" i="2"/>
  <c r="K343" i="2" s="1"/>
  <c r="L342" i="2"/>
  <c r="K342" i="2"/>
  <c r="J342" i="2"/>
  <c r="K341" i="2"/>
  <c r="J341" i="2"/>
  <c r="J340" i="2"/>
  <c r="K340" i="2" s="1"/>
  <c r="K339" i="2"/>
  <c r="J339" i="2"/>
  <c r="J338" i="2"/>
  <c r="K338" i="2" s="1"/>
  <c r="K337" i="2"/>
  <c r="J337" i="2"/>
  <c r="L337" i="2" s="1"/>
  <c r="J336" i="2"/>
  <c r="K336" i="2" s="1"/>
  <c r="J335" i="2"/>
  <c r="J334" i="2"/>
  <c r="K334" i="2" s="1"/>
  <c r="K333" i="2"/>
  <c r="J333" i="2"/>
  <c r="J332" i="2"/>
  <c r="K332" i="2" s="1"/>
  <c r="J331" i="2"/>
  <c r="K331" i="2" s="1"/>
  <c r="J330" i="2"/>
  <c r="K330" i="2" s="1"/>
  <c r="J329" i="2"/>
  <c r="J328" i="2"/>
  <c r="K327" i="2"/>
  <c r="J327" i="2"/>
  <c r="K326" i="2"/>
  <c r="J326" i="2"/>
  <c r="J325" i="2"/>
  <c r="J324" i="2"/>
  <c r="K324" i="2" s="1"/>
  <c r="K323" i="2"/>
  <c r="J323" i="2"/>
  <c r="J322" i="2"/>
  <c r="J321" i="2"/>
  <c r="K321" i="2" s="1"/>
  <c r="J320" i="2"/>
  <c r="K320" i="2" s="1"/>
  <c r="J319" i="2"/>
  <c r="K319" i="2" s="1"/>
  <c r="L318" i="2"/>
  <c r="J318" i="2"/>
  <c r="K318" i="2" s="1"/>
  <c r="J317" i="2"/>
  <c r="K317" i="2" s="1"/>
  <c r="J316" i="2"/>
  <c r="K316" i="2" s="1"/>
  <c r="J315" i="2"/>
  <c r="K315" i="2" s="1"/>
  <c r="K314" i="2"/>
  <c r="J314" i="2"/>
  <c r="K313" i="2"/>
  <c r="J313" i="2"/>
  <c r="J312" i="2"/>
  <c r="K312" i="2" s="1"/>
  <c r="K311" i="2"/>
  <c r="J311" i="2"/>
  <c r="J310" i="2"/>
  <c r="K310" i="2" s="1"/>
  <c r="J309" i="2"/>
  <c r="J308" i="2"/>
  <c r="J307" i="2"/>
  <c r="K306" i="2"/>
  <c r="J306" i="2"/>
  <c r="J305" i="2"/>
  <c r="K305" i="2" s="1"/>
  <c r="J304" i="2"/>
  <c r="K304" i="2" s="1"/>
  <c r="K303" i="2"/>
  <c r="J303" i="2"/>
  <c r="K302" i="2"/>
  <c r="J302" i="2"/>
  <c r="K301" i="2"/>
  <c r="J301" i="2"/>
  <c r="J300" i="2"/>
  <c r="K300" i="2" s="1"/>
  <c r="J299" i="2"/>
  <c r="J298" i="2"/>
  <c r="K298" i="2" s="1"/>
  <c r="J297" i="2"/>
  <c r="J296" i="2"/>
  <c r="J295" i="2"/>
  <c r="K295" i="2" s="1"/>
  <c r="J294" i="2"/>
  <c r="L381" i="2" s="1"/>
  <c r="L293" i="2"/>
  <c r="J293" i="2"/>
  <c r="K293" i="2" s="1"/>
  <c r="J292" i="2"/>
  <c r="K292" i="2" s="1"/>
  <c r="K291" i="2"/>
  <c r="J291" i="2"/>
  <c r="J290" i="2"/>
  <c r="K289" i="2"/>
  <c r="J289" i="2"/>
  <c r="J288" i="2"/>
  <c r="K288" i="2" s="1"/>
  <c r="J287" i="2"/>
  <c r="J286" i="2"/>
  <c r="J285" i="2"/>
  <c r="L285" i="2" s="1"/>
  <c r="J284" i="2"/>
  <c r="J283" i="2"/>
  <c r="K283" i="2" s="1"/>
  <c r="J282" i="2"/>
  <c r="K282" i="2" s="1"/>
  <c r="J281" i="2"/>
  <c r="K281" i="2" s="1"/>
  <c r="J280" i="2"/>
  <c r="K280" i="2" s="1"/>
  <c r="K279" i="2"/>
  <c r="J279" i="2"/>
  <c r="K278" i="2"/>
  <c r="J278" i="2"/>
  <c r="K277" i="2"/>
  <c r="J277" i="2"/>
  <c r="J276" i="2"/>
  <c r="K276" i="2" s="1"/>
  <c r="J275" i="2"/>
  <c r="K274" i="2"/>
  <c r="J274" i="2"/>
  <c r="J273" i="2"/>
  <c r="J272" i="2"/>
  <c r="K272" i="2" s="1"/>
  <c r="J271" i="2"/>
  <c r="J270" i="2"/>
  <c r="K270" i="2" s="1"/>
  <c r="J269" i="2"/>
  <c r="K269" i="2" s="1"/>
  <c r="J268" i="2"/>
  <c r="K268" i="2" s="1"/>
  <c r="J267" i="2"/>
  <c r="K266" i="2"/>
  <c r="J266" i="2"/>
  <c r="K265" i="2"/>
  <c r="J265" i="2"/>
  <c r="J264" i="2"/>
  <c r="K264" i="2" s="1"/>
  <c r="K263" i="2"/>
  <c r="J263" i="2"/>
  <c r="J262" i="2"/>
  <c r="K262" i="2" s="1"/>
  <c r="J261" i="2"/>
  <c r="J260" i="2"/>
  <c r="K259" i="2"/>
  <c r="J259" i="2"/>
  <c r="K258" i="2"/>
  <c r="J258" i="2"/>
  <c r="J257" i="2"/>
  <c r="K257" i="2" s="1"/>
  <c r="J256" i="2"/>
  <c r="K256" i="2" s="1"/>
  <c r="J255" i="2"/>
  <c r="J254" i="2"/>
  <c r="K254" i="2" s="1"/>
  <c r="K253" i="2"/>
  <c r="J253" i="2"/>
  <c r="J252" i="2"/>
  <c r="K252" i="2" s="1"/>
  <c r="J251" i="2"/>
  <c r="J250" i="2"/>
  <c r="J249" i="2"/>
  <c r="J248" i="2"/>
  <c r="J247" i="2"/>
  <c r="K247" i="2" s="1"/>
  <c r="J246" i="2"/>
  <c r="K246" i="2" s="1"/>
  <c r="J245" i="2"/>
  <c r="K245" i="2" s="1"/>
  <c r="J244" i="2"/>
  <c r="K244" i="2" s="1"/>
  <c r="K243" i="2"/>
  <c r="J243" i="2"/>
  <c r="J242" i="2"/>
  <c r="J241" i="2"/>
  <c r="J240" i="2"/>
  <c r="K240" i="2" s="1"/>
  <c r="J239" i="2"/>
  <c r="K239" i="2" s="1"/>
  <c r="J238" i="2"/>
  <c r="K238" i="2" s="1"/>
  <c r="J237" i="2"/>
  <c r="J236" i="2"/>
  <c r="K236" i="2" s="1"/>
  <c r="J235" i="2"/>
  <c r="K235" i="2" s="1"/>
  <c r="J234" i="2"/>
  <c r="K234" i="2" s="1"/>
  <c r="J233" i="2"/>
  <c r="J232" i="2"/>
  <c r="K232" i="2" s="1"/>
  <c r="K231" i="2"/>
  <c r="J231" i="2"/>
  <c r="K230" i="2"/>
  <c r="J230" i="2"/>
  <c r="K229" i="2"/>
  <c r="J229" i="2"/>
  <c r="J228" i="2"/>
  <c r="K228" i="2" s="1"/>
  <c r="J227" i="2"/>
  <c r="K227" i="2" s="1"/>
  <c r="J226" i="2"/>
  <c r="K225" i="2"/>
  <c r="J225" i="2"/>
  <c r="J224" i="2"/>
  <c r="K224" i="2" s="1"/>
  <c r="K223" i="2"/>
  <c r="J223" i="2"/>
  <c r="J222" i="2"/>
  <c r="K222" i="2" s="1"/>
  <c r="J221" i="2"/>
  <c r="K221" i="2" s="1"/>
  <c r="J220" i="2"/>
  <c r="K220" i="2" s="1"/>
  <c r="J219" i="2"/>
  <c r="K218" i="2"/>
  <c r="J218" i="2"/>
  <c r="K217" i="2"/>
  <c r="J217" i="2"/>
  <c r="J216" i="2"/>
  <c r="J215" i="2"/>
  <c r="K215" i="2" s="1"/>
  <c r="J214" i="2"/>
  <c r="J213" i="2"/>
  <c r="J212" i="2"/>
  <c r="J211" i="2"/>
  <c r="J210" i="2"/>
  <c r="K210" i="2" s="1"/>
  <c r="J209" i="2"/>
  <c r="K209" i="2" s="1"/>
  <c r="J208" i="2"/>
  <c r="K208" i="2" s="1"/>
  <c r="J207" i="2"/>
  <c r="K207" i="2" s="1"/>
  <c r="J206" i="2"/>
  <c r="K205" i="2"/>
  <c r="J205" i="2"/>
  <c r="J204" i="2"/>
  <c r="K204" i="2" s="1"/>
  <c r="J203" i="2"/>
  <c r="J202" i="2"/>
  <c r="K202" i="2" s="1"/>
  <c r="K201" i="2"/>
  <c r="J201" i="2"/>
  <c r="J200" i="2"/>
  <c r="J199" i="2"/>
  <c r="K199" i="2" s="1"/>
  <c r="J198" i="2"/>
  <c r="K198" i="2" s="1"/>
  <c r="J197" i="2"/>
  <c r="J196" i="2"/>
  <c r="K196" i="2" s="1"/>
  <c r="K195" i="2"/>
  <c r="J195" i="2"/>
  <c r="K194" i="2"/>
  <c r="J194" i="2"/>
  <c r="J193" i="2"/>
  <c r="K193" i="2" s="1"/>
  <c r="J192" i="2"/>
  <c r="K191" i="2"/>
  <c r="J191" i="2"/>
  <c r="J190" i="2"/>
  <c r="K189" i="2"/>
  <c r="J189" i="2"/>
  <c r="J188" i="2"/>
  <c r="K188" i="2" s="1"/>
  <c r="J187" i="2"/>
  <c r="K187" i="2" s="1"/>
  <c r="J186" i="2"/>
  <c r="K186" i="2" s="1"/>
  <c r="J185" i="2"/>
  <c r="J184" i="2"/>
  <c r="K184" i="2" s="1"/>
  <c r="K183" i="2"/>
  <c r="J183" i="2"/>
  <c r="K182" i="2"/>
  <c r="J182" i="2"/>
  <c r="J181" i="2"/>
  <c r="K181" i="2" s="1"/>
  <c r="J180" i="2"/>
  <c r="K180" i="2" s="1"/>
  <c r="J179" i="2"/>
  <c r="K179" i="2" s="1"/>
  <c r="J178" i="2"/>
  <c r="K178" i="2" s="1"/>
  <c r="J177" i="2"/>
  <c r="J176" i="2"/>
  <c r="K176" i="2" s="1"/>
  <c r="K175" i="2"/>
  <c r="J175" i="2"/>
  <c r="J174" i="2"/>
  <c r="K174" i="2" s="1"/>
  <c r="J173" i="2"/>
  <c r="K173" i="2" s="1"/>
  <c r="J172" i="2"/>
  <c r="K172" i="2" s="1"/>
  <c r="K171" i="2"/>
  <c r="J171" i="2"/>
  <c r="K170" i="2"/>
  <c r="J170" i="2"/>
  <c r="K169" i="2"/>
  <c r="J169" i="2"/>
  <c r="J168" i="2"/>
  <c r="K168" i="2" s="1"/>
  <c r="K167" i="2"/>
  <c r="J167" i="2"/>
  <c r="J166" i="2"/>
  <c r="J165" i="2"/>
  <c r="J164" i="2"/>
  <c r="J163" i="2"/>
  <c r="K163" i="2" s="1"/>
  <c r="K162" i="2"/>
  <c r="J162" i="2"/>
  <c r="J161" i="2"/>
  <c r="K161" i="2" s="1"/>
  <c r="J160" i="2"/>
  <c r="K160" i="2" s="1"/>
  <c r="J159" i="2"/>
  <c r="K159" i="2" s="1"/>
  <c r="J158" i="2"/>
  <c r="J157" i="2"/>
  <c r="K157" i="2" s="1"/>
  <c r="J156" i="2"/>
  <c r="K156" i="2" s="1"/>
  <c r="J155" i="2"/>
  <c r="J154" i="2"/>
  <c r="J153" i="2"/>
  <c r="K153" i="2" s="1"/>
  <c r="J152" i="2"/>
  <c r="K152" i="2" s="1"/>
  <c r="J151" i="2"/>
  <c r="K150" i="2"/>
  <c r="J150" i="2"/>
  <c r="J149" i="2"/>
  <c r="K149" i="2" s="1"/>
  <c r="J148" i="2"/>
  <c r="K148" i="2" s="1"/>
  <c r="K147" i="2"/>
  <c r="J147" i="2"/>
  <c r="K146" i="2"/>
  <c r="J146" i="2"/>
  <c r="J145" i="2"/>
  <c r="K145" i="2" s="1"/>
  <c r="J144" i="2"/>
  <c r="K144" i="2" s="1"/>
  <c r="J143" i="2"/>
  <c r="J142" i="2"/>
  <c r="K142" i="2" s="1"/>
  <c r="J141" i="2"/>
  <c r="K141" i="2" s="1"/>
  <c r="J140" i="2"/>
  <c r="K140" i="2" s="1"/>
  <c r="J139" i="2"/>
  <c r="K139" i="2" s="1"/>
  <c r="J138" i="2"/>
  <c r="J137" i="2"/>
  <c r="K137" i="2" s="1"/>
  <c r="J136" i="2"/>
  <c r="K136" i="2" s="1"/>
  <c r="J135" i="2"/>
  <c r="K135" i="2" s="1"/>
  <c r="J134" i="2"/>
  <c r="K134" i="2" s="1"/>
  <c r="J133" i="2"/>
  <c r="K133" i="2" s="1"/>
  <c r="J132" i="2"/>
  <c r="K132" i="2" s="1"/>
  <c r="J131" i="2"/>
  <c r="J130" i="2"/>
  <c r="L130" i="2" s="1"/>
  <c r="J129" i="2"/>
  <c r="K129" i="2" s="1"/>
  <c r="J128" i="2"/>
  <c r="K128" i="2" s="1"/>
  <c r="J127" i="2"/>
  <c r="K126" i="2"/>
  <c r="J126" i="2"/>
  <c r="J125" i="2"/>
  <c r="K125" i="2" s="1"/>
  <c r="J124" i="2"/>
  <c r="K124" i="2" s="1"/>
  <c r="K123" i="2"/>
  <c r="J123" i="2"/>
  <c r="K122" i="2"/>
  <c r="J122" i="2"/>
  <c r="J121" i="2"/>
  <c r="K121" i="2" s="1"/>
  <c r="J120" i="2"/>
  <c r="K120" i="2" s="1"/>
  <c r="J119" i="2"/>
  <c r="J118" i="2"/>
  <c r="K118" i="2" s="1"/>
  <c r="J117" i="2"/>
  <c r="K117" i="2" s="1"/>
  <c r="J116" i="2"/>
  <c r="K116" i="2" s="1"/>
  <c r="J115" i="2"/>
  <c r="K115" i="2" s="1"/>
  <c r="J114" i="2"/>
  <c r="J113" i="2"/>
  <c r="K113" i="2" s="1"/>
  <c r="J112" i="2"/>
  <c r="K112" i="2" s="1"/>
  <c r="J111" i="2"/>
  <c r="K111" i="2" s="1"/>
  <c r="J110" i="2"/>
  <c r="K110" i="2" s="1"/>
  <c r="J109" i="2"/>
  <c r="K109" i="2" s="1"/>
  <c r="J108" i="2"/>
  <c r="K108" i="2" s="1"/>
  <c r="J107" i="2"/>
  <c r="J106" i="2"/>
  <c r="J105" i="2"/>
  <c r="K105" i="2" s="1"/>
  <c r="J104" i="2"/>
  <c r="K104" i="2" s="1"/>
  <c r="J103" i="2"/>
  <c r="L103" i="2" s="1"/>
  <c r="K102" i="2"/>
  <c r="J102" i="2"/>
  <c r="J101" i="2"/>
  <c r="K101" i="2" s="1"/>
  <c r="J100" i="2"/>
  <c r="K100" i="2" s="1"/>
  <c r="K99" i="2"/>
  <c r="J99" i="2"/>
  <c r="K98" i="2"/>
  <c r="J98" i="2"/>
  <c r="J97" i="2"/>
  <c r="K97" i="2" s="1"/>
  <c r="J96" i="2"/>
  <c r="K96" i="2" s="1"/>
  <c r="J95" i="2"/>
  <c r="J94" i="2"/>
  <c r="K94" i="2" s="1"/>
  <c r="J93" i="2"/>
  <c r="K93" i="2" s="1"/>
  <c r="J92" i="2"/>
  <c r="K92" i="2" s="1"/>
  <c r="J91" i="2"/>
  <c r="K91" i="2" s="1"/>
  <c r="J90" i="2"/>
  <c r="L254" i="2" s="1"/>
  <c r="J89" i="2"/>
  <c r="K89" i="2" s="1"/>
  <c r="J88" i="2"/>
  <c r="K88" i="2" s="1"/>
  <c r="J87" i="2"/>
  <c r="K87" i="2" s="1"/>
  <c r="J86" i="2"/>
  <c r="L85" i="2"/>
  <c r="J85" i="2"/>
  <c r="K85" i="2" s="1"/>
  <c r="J84" i="2"/>
  <c r="K84" i="2" s="1"/>
  <c r="J83" i="2"/>
  <c r="J82" i="2"/>
  <c r="J81" i="2"/>
  <c r="K81" i="2" s="1"/>
  <c r="J80" i="2"/>
  <c r="K80" i="2" s="1"/>
  <c r="J79" i="2"/>
  <c r="K78" i="2"/>
  <c r="J78" i="2"/>
  <c r="J77" i="2"/>
  <c r="K77" i="2" s="1"/>
  <c r="J76" i="2"/>
  <c r="K76" i="2" s="1"/>
  <c r="K75" i="2"/>
  <c r="J75" i="2"/>
  <c r="K74" i="2"/>
  <c r="J74" i="2"/>
  <c r="J73" i="2"/>
  <c r="K73" i="2" s="1"/>
  <c r="J72" i="2"/>
  <c r="K72" i="2" s="1"/>
  <c r="J71" i="2"/>
  <c r="L70" i="2"/>
  <c r="J70" i="2"/>
  <c r="K70" i="2" s="1"/>
  <c r="J69" i="2"/>
  <c r="K69" i="2" s="1"/>
  <c r="J68" i="2"/>
  <c r="K68" i="2" s="1"/>
  <c r="J67" i="2"/>
  <c r="K67" i="2" s="1"/>
  <c r="J66" i="2"/>
  <c r="J65" i="2"/>
  <c r="K65" i="2" s="1"/>
  <c r="J64" i="2"/>
  <c r="K64" i="2" s="1"/>
  <c r="J63" i="2"/>
  <c r="K63" i="2" s="1"/>
  <c r="J62" i="2"/>
  <c r="J61" i="2"/>
  <c r="K61" i="2" s="1"/>
  <c r="J60" i="2"/>
  <c r="K60" i="2" s="1"/>
  <c r="J59" i="2"/>
  <c r="L59" i="2" s="1"/>
  <c r="J58" i="2"/>
  <c r="L58" i="2" s="1"/>
  <c r="J57" i="2"/>
  <c r="K57" i="2" s="1"/>
  <c r="J56" i="2"/>
  <c r="K56" i="2" s="1"/>
  <c r="J55" i="2"/>
  <c r="K54" i="2"/>
  <c r="J54" i="2"/>
  <c r="J53" i="2"/>
  <c r="K53" i="2" s="1"/>
  <c r="J52" i="2"/>
  <c r="K52" i="2" s="1"/>
  <c r="L51" i="2"/>
  <c r="K51" i="2"/>
  <c r="J51" i="2"/>
  <c r="K50" i="2"/>
  <c r="J50" i="2"/>
  <c r="J49" i="2"/>
  <c r="K49" i="2" s="1"/>
  <c r="J48" i="2"/>
  <c r="K48" i="2" s="1"/>
  <c r="J47" i="2"/>
  <c r="L46" i="2" s="1"/>
  <c r="J46" i="2"/>
  <c r="K46" i="2" s="1"/>
  <c r="J45" i="2"/>
  <c r="K45" i="2" s="1"/>
  <c r="J44" i="2"/>
  <c r="K44" i="2" s="1"/>
  <c r="J43" i="2"/>
  <c r="L69" i="2" s="1"/>
  <c r="L42" i="2"/>
  <c r="K42" i="2"/>
  <c r="J42" i="2"/>
  <c r="K41" i="2"/>
  <c r="J41" i="2"/>
  <c r="L41" i="2" s="1"/>
  <c r="J40" i="2"/>
  <c r="K40" i="2" s="1"/>
  <c r="J39" i="2"/>
  <c r="L39" i="2" s="1"/>
  <c r="L38" i="2"/>
  <c r="K38" i="2"/>
  <c r="J38" i="2"/>
  <c r="K37" i="2"/>
  <c r="J37" i="2"/>
  <c r="L37" i="2" s="1"/>
  <c r="J36" i="2"/>
  <c r="K36" i="2" s="1"/>
  <c r="J35" i="2"/>
  <c r="L35" i="2" s="1"/>
  <c r="L34" i="2"/>
  <c r="K34" i="2"/>
  <c r="J34" i="2"/>
  <c r="K33" i="2"/>
  <c r="J33" i="2"/>
  <c r="L33" i="2" s="1"/>
  <c r="J32" i="2"/>
  <c r="K32" i="2" s="1"/>
  <c r="J31" i="2"/>
  <c r="L31" i="2" s="1"/>
  <c r="L30" i="2"/>
  <c r="K30" i="2"/>
  <c r="J30" i="2"/>
  <c r="K29" i="2"/>
  <c r="J29" i="2"/>
  <c r="L29" i="2" s="1"/>
  <c r="J28" i="2"/>
  <c r="K28" i="2" s="1"/>
  <c r="J27" i="2"/>
  <c r="K27" i="2" s="1"/>
  <c r="L26" i="2"/>
  <c r="K26" i="2"/>
  <c r="J26" i="2"/>
  <c r="K25" i="2"/>
  <c r="J25" i="2"/>
  <c r="L25" i="2" s="1"/>
  <c r="J24" i="2"/>
  <c r="K24" i="2" s="1"/>
  <c r="J23" i="2"/>
  <c r="L23" i="2" s="1"/>
  <c r="L22" i="2"/>
  <c r="K22" i="2"/>
  <c r="J22" i="2"/>
  <c r="K21" i="2"/>
  <c r="J21" i="2"/>
  <c r="L21" i="2" s="1"/>
  <c r="J20" i="2"/>
  <c r="K20" i="2" s="1"/>
  <c r="J19" i="2"/>
  <c r="L19" i="2" s="1"/>
  <c r="L18" i="2"/>
  <c r="K18" i="2"/>
  <c r="J18" i="2"/>
  <c r="K17" i="2"/>
  <c r="J17" i="2"/>
  <c r="L17" i="2" s="1"/>
  <c r="J16" i="2"/>
  <c r="K16" i="2" s="1"/>
  <c r="J15" i="2"/>
  <c r="L15" i="2" s="1"/>
  <c r="L14" i="2"/>
  <c r="K14" i="2"/>
  <c r="J14" i="2"/>
  <c r="K13" i="2"/>
  <c r="J13" i="2"/>
  <c r="L13" i="2" s="1"/>
  <c r="J12" i="2"/>
  <c r="K12" i="2" s="1"/>
  <c r="J11" i="2"/>
  <c r="K11" i="2" s="1"/>
  <c r="L10" i="2"/>
  <c r="K10" i="2"/>
  <c r="J10" i="2"/>
  <c r="K9" i="2"/>
  <c r="J9" i="2"/>
  <c r="L9" i="2" s="1"/>
  <c r="J8" i="2"/>
  <c r="K8" i="2" s="1"/>
  <c r="J7" i="2"/>
  <c r="L7" i="2" s="1"/>
  <c r="L6" i="2"/>
  <c r="K6" i="2"/>
  <c r="J6" i="2"/>
  <c r="K5" i="2"/>
  <c r="J5" i="2"/>
  <c r="L5" i="2" s="1"/>
  <c r="J4" i="2"/>
  <c r="K4" i="2" s="1"/>
  <c r="J3" i="2"/>
  <c r="L24" i="2" s="1"/>
  <c r="L2" i="2"/>
  <c r="K2" i="2"/>
  <c r="J2" i="2"/>
  <c r="M656" i="5" l="1"/>
  <c r="J656" i="5"/>
  <c r="L1370" i="5"/>
  <c r="J1370" i="5"/>
  <c r="I1370" i="5"/>
  <c r="H1370" i="5"/>
  <c r="F1370" i="5"/>
  <c r="C1370" i="5"/>
  <c r="B1370" i="5"/>
  <c r="M1370" i="5"/>
  <c r="K1370" i="5"/>
  <c r="AD79" i="7"/>
  <c r="Y79" i="7"/>
  <c r="Q79" i="7"/>
  <c r="O79" i="7"/>
  <c r="N79" i="7"/>
  <c r="M79" i="7"/>
  <c r="L79" i="7"/>
  <c r="B266" i="5"/>
  <c r="B271" i="5"/>
  <c r="B290" i="5"/>
  <c r="B297" i="5"/>
  <c r="G322" i="5"/>
  <c r="K329" i="5"/>
  <c r="C356" i="5"/>
  <c r="M446" i="5"/>
  <c r="J448" i="5"/>
  <c r="B464" i="5"/>
  <c r="K479" i="5"/>
  <c r="E501" i="5"/>
  <c r="L501" i="5"/>
  <c r="M506" i="5"/>
  <c r="K506" i="5"/>
  <c r="C506" i="5"/>
  <c r="M554" i="5"/>
  <c r="H554" i="5"/>
  <c r="D554" i="5"/>
  <c r="C554" i="5"/>
  <c r="B554" i="5"/>
  <c r="G554" i="5"/>
  <c r="G565" i="5"/>
  <c r="F565" i="5"/>
  <c r="D565" i="5"/>
  <c r="M565" i="5"/>
  <c r="M570" i="5"/>
  <c r="L570" i="5"/>
  <c r="K570" i="5"/>
  <c r="D570" i="5"/>
  <c r="B578" i="5"/>
  <c r="C600" i="5"/>
  <c r="J600" i="5"/>
  <c r="I600" i="5"/>
  <c r="H600" i="5"/>
  <c r="G600" i="5"/>
  <c r="F600" i="5"/>
  <c r="B627" i="5"/>
  <c r="C627" i="5"/>
  <c r="F627" i="5"/>
  <c r="M630" i="5"/>
  <c r="L630" i="5"/>
  <c r="H630" i="5"/>
  <c r="C630" i="5"/>
  <c r="B656" i="5"/>
  <c r="M663" i="5"/>
  <c r="K663" i="5"/>
  <c r="G663" i="5"/>
  <c r="F663" i="5"/>
  <c r="E663" i="5"/>
  <c r="D663" i="5"/>
  <c r="B663" i="5"/>
  <c r="E670" i="5"/>
  <c r="K670" i="5"/>
  <c r="J670" i="5"/>
  <c r="I670" i="5"/>
  <c r="H670" i="5"/>
  <c r="G670" i="5"/>
  <c r="L670" i="5"/>
  <c r="E682" i="5"/>
  <c r="K682" i="5"/>
  <c r="J682" i="5"/>
  <c r="I682" i="5"/>
  <c r="H682" i="5"/>
  <c r="G682" i="5"/>
  <c r="D682" i="5"/>
  <c r="B710" i="5"/>
  <c r="I713" i="5"/>
  <c r="E713" i="5"/>
  <c r="D713" i="5"/>
  <c r="C713" i="5"/>
  <c r="B713" i="5"/>
  <c r="B743" i="5"/>
  <c r="B894" i="5"/>
  <c r="D998" i="5"/>
  <c r="C998" i="5"/>
  <c r="B998" i="5"/>
  <c r="J1057" i="5"/>
  <c r="I1057" i="5"/>
  <c r="L1095" i="5"/>
  <c r="M1166" i="5"/>
  <c r="L1196" i="5"/>
  <c r="K1196" i="5"/>
  <c r="J1196" i="5"/>
  <c r="I1196" i="5"/>
  <c r="G1196" i="5"/>
  <c r="F1196" i="5"/>
  <c r="E1196" i="5"/>
  <c r="L1217" i="5"/>
  <c r="J1217" i="5"/>
  <c r="I1217" i="5"/>
  <c r="H1217" i="5"/>
  <c r="F1217" i="5"/>
  <c r="D1217" i="5"/>
  <c r="C1217" i="5"/>
  <c r="M1217" i="5"/>
  <c r="B1217" i="5"/>
  <c r="B1255" i="5"/>
  <c r="D1255" i="5"/>
  <c r="L1255" i="5"/>
  <c r="K1255" i="5"/>
  <c r="I1255" i="5"/>
  <c r="H1255" i="5"/>
  <c r="G1255" i="5"/>
  <c r="F1255" i="5"/>
  <c r="E1255" i="5"/>
  <c r="L1431" i="5"/>
  <c r="K1431" i="5"/>
  <c r="J1431" i="5"/>
  <c r="I1431" i="5"/>
  <c r="H1431" i="5"/>
  <c r="G1431" i="5"/>
  <c r="M1431" i="5"/>
  <c r="F1431" i="5"/>
  <c r="E1431" i="5"/>
  <c r="B1431" i="5"/>
  <c r="M264" i="5"/>
  <c r="C266" i="5"/>
  <c r="G267" i="5"/>
  <c r="D269" i="5"/>
  <c r="C271" i="5"/>
  <c r="J277" i="5"/>
  <c r="C290" i="5"/>
  <c r="G291" i="5"/>
  <c r="H293" i="5"/>
  <c r="B295" i="5"/>
  <c r="C297" i="5"/>
  <c r="H301" i="5"/>
  <c r="J302" i="5"/>
  <c r="E304" i="5"/>
  <c r="G305" i="5"/>
  <c r="F307" i="5"/>
  <c r="H309" i="5"/>
  <c r="E312" i="5"/>
  <c r="J313" i="5"/>
  <c r="K317" i="5"/>
  <c r="F325" i="5"/>
  <c r="I326" i="5"/>
  <c r="L329" i="5"/>
  <c r="L334" i="5"/>
  <c r="H337" i="5"/>
  <c r="J338" i="5"/>
  <c r="F343" i="5"/>
  <c r="H349" i="5"/>
  <c r="J350" i="5"/>
  <c r="F352" i="5"/>
  <c r="H353" i="5"/>
  <c r="D356" i="5"/>
  <c r="C361" i="5"/>
  <c r="G362" i="5"/>
  <c r="I363" i="5"/>
  <c r="F365" i="5"/>
  <c r="G366" i="5"/>
  <c r="J371" i="5"/>
  <c r="D377" i="5"/>
  <c r="E378" i="5"/>
  <c r="H385" i="5"/>
  <c r="C388" i="5"/>
  <c r="I389" i="5"/>
  <c r="C392" i="5"/>
  <c r="I393" i="5"/>
  <c r="K395" i="5"/>
  <c r="C397" i="5"/>
  <c r="H398" i="5"/>
  <c r="C401" i="5"/>
  <c r="I402" i="5"/>
  <c r="D405" i="5"/>
  <c r="I406" i="5"/>
  <c r="C410" i="5"/>
  <c r="H411" i="5"/>
  <c r="C414" i="5"/>
  <c r="I415" i="5"/>
  <c r="D418" i="5"/>
  <c r="E419" i="5"/>
  <c r="H420" i="5"/>
  <c r="C423" i="5"/>
  <c r="I424" i="5"/>
  <c r="C427" i="5"/>
  <c r="I428" i="5"/>
  <c r="B431" i="5"/>
  <c r="C432" i="5"/>
  <c r="H433" i="5"/>
  <c r="C436" i="5"/>
  <c r="I437" i="5"/>
  <c r="C440" i="5"/>
  <c r="G441" i="5"/>
  <c r="I442" i="5"/>
  <c r="K452" i="5"/>
  <c r="G454" i="5"/>
  <c r="G458" i="5"/>
  <c r="C464" i="5"/>
  <c r="G469" i="5"/>
  <c r="G470" i="5"/>
  <c r="B473" i="5"/>
  <c r="K478" i="5"/>
  <c r="L479" i="5"/>
  <c r="F481" i="5"/>
  <c r="D486" i="5"/>
  <c r="E490" i="5"/>
  <c r="D490" i="5"/>
  <c r="J490" i="5"/>
  <c r="F491" i="5"/>
  <c r="F493" i="5"/>
  <c r="I499" i="5"/>
  <c r="D501" i="5"/>
  <c r="B506" i="5"/>
  <c r="J513" i="5"/>
  <c r="M515" i="5"/>
  <c r="C515" i="5"/>
  <c r="H515" i="5"/>
  <c r="M518" i="5"/>
  <c r="E518" i="5"/>
  <c r="J522" i="5"/>
  <c r="G525" i="5"/>
  <c r="E529" i="5"/>
  <c r="M534" i="5"/>
  <c r="J534" i="5"/>
  <c r="F543" i="5"/>
  <c r="D549" i="5"/>
  <c r="M549" i="5"/>
  <c r="L549" i="5"/>
  <c r="J549" i="5"/>
  <c r="E554" i="5"/>
  <c r="F560" i="5"/>
  <c r="L560" i="5"/>
  <c r="C565" i="5"/>
  <c r="B570" i="5"/>
  <c r="C576" i="5"/>
  <c r="E576" i="5"/>
  <c r="F576" i="5"/>
  <c r="D578" i="5"/>
  <c r="B600" i="5"/>
  <c r="D627" i="5"/>
  <c r="B630" i="5"/>
  <c r="F656" i="5"/>
  <c r="C663" i="5"/>
  <c r="C670" i="5"/>
  <c r="C682" i="5"/>
  <c r="M713" i="5"/>
  <c r="M740" i="5"/>
  <c r="L740" i="5"/>
  <c r="K740" i="5"/>
  <c r="J740" i="5"/>
  <c r="F740" i="5"/>
  <c r="D759" i="5"/>
  <c r="J759" i="5"/>
  <c r="I759" i="5"/>
  <c r="H759" i="5"/>
  <c r="G759" i="5"/>
  <c r="F759" i="5"/>
  <c r="G768" i="5"/>
  <c r="J768" i="5"/>
  <c r="I768" i="5"/>
  <c r="H768" i="5"/>
  <c r="E768" i="5"/>
  <c r="L775" i="5"/>
  <c r="I775" i="5"/>
  <c r="H775" i="5"/>
  <c r="G775" i="5"/>
  <c r="E860" i="5"/>
  <c r="M860" i="5"/>
  <c r="J860" i="5"/>
  <c r="I860" i="5"/>
  <c r="H860" i="5"/>
  <c r="G860" i="5"/>
  <c r="F860" i="5"/>
  <c r="B860" i="5"/>
  <c r="K860" i="5"/>
  <c r="C934" i="5"/>
  <c r="J934" i="5"/>
  <c r="I934" i="5"/>
  <c r="H934" i="5"/>
  <c r="G934" i="5"/>
  <c r="D934" i="5"/>
  <c r="F934" i="5"/>
  <c r="E934" i="5"/>
  <c r="M1014" i="5"/>
  <c r="I1014" i="5"/>
  <c r="L1014" i="5"/>
  <c r="K1014" i="5"/>
  <c r="L1086" i="5"/>
  <c r="M1095" i="5"/>
  <c r="M1167" i="5"/>
  <c r="J1167" i="5"/>
  <c r="H1167" i="5"/>
  <c r="F1167" i="5"/>
  <c r="E1167" i="5"/>
  <c r="D1167" i="5"/>
  <c r="C1167" i="5"/>
  <c r="B1167" i="5"/>
  <c r="L1167" i="5"/>
  <c r="K1167" i="5"/>
  <c r="C1196" i="5"/>
  <c r="C1255" i="5"/>
  <c r="M1352" i="5"/>
  <c r="C1352" i="5"/>
  <c r="G1352" i="5"/>
  <c r="F1352" i="5"/>
  <c r="E1352" i="5"/>
  <c r="D1352" i="5"/>
  <c r="L1618" i="5"/>
  <c r="F1618" i="5"/>
  <c r="D1618" i="5"/>
  <c r="B1618" i="5"/>
  <c r="M1726" i="5"/>
  <c r="L1726" i="5"/>
  <c r="K1726" i="5"/>
  <c r="H1726" i="5"/>
  <c r="G1726" i="5"/>
  <c r="E1726" i="5"/>
  <c r="D1726" i="5"/>
  <c r="C1726" i="5"/>
  <c r="E266" i="5"/>
  <c r="F485" i="5"/>
  <c r="M485" i="5"/>
  <c r="K498" i="5"/>
  <c r="G498" i="5"/>
  <c r="M584" i="5"/>
  <c r="L584" i="5"/>
  <c r="K584" i="5"/>
  <c r="E271" i="5"/>
  <c r="B279" i="5"/>
  <c r="H297" i="5"/>
  <c r="G304" i="5"/>
  <c r="B315" i="5"/>
  <c r="F397" i="5"/>
  <c r="B449" i="5"/>
  <c r="B453" i="5"/>
  <c r="J464" i="5"/>
  <c r="D473" i="5"/>
  <c r="B480" i="5"/>
  <c r="I493" i="5"/>
  <c r="I501" i="5"/>
  <c r="I565" i="5"/>
  <c r="H636" i="5"/>
  <c r="M680" i="5"/>
  <c r="L680" i="5"/>
  <c r="K680" i="5"/>
  <c r="M976" i="5"/>
  <c r="L976" i="5"/>
  <c r="K976" i="5"/>
  <c r="J976" i="5"/>
  <c r="C976" i="5"/>
  <c r="H976" i="5"/>
  <c r="K1064" i="5"/>
  <c r="M1884" i="5"/>
  <c r="D1884" i="5"/>
  <c r="L1884" i="5"/>
  <c r="G1884" i="5"/>
  <c r="F1884" i="5"/>
  <c r="C1884" i="5"/>
  <c r="D260" i="5"/>
  <c r="B262" i="5"/>
  <c r="D265" i="5"/>
  <c r="H266" i="5"/>
  <c r="J267" i="5"/>
  <c r="G269" i="5"/>
  <c r="F271" i="5"/>
  <c r="D279" i="5"/>
  <c r="D281" i="5"/>
  <c r="D289" i="5"/>
  <c r="H290" i="5"/>
  <c r="J291" i="5"/>
  <c r="K293" i="5"/>
  <c r="E295" i="5"/>
  <c r="J297" i="5"/>
  <c r="I300" i="5"/>
  <c r="K301" i="5"/>
  <c r="H304" i="5"/>
  <c r="J305" i="5"/>
  <c r="J307" i="5"/>
  <c r="K312" i="5"/>
  <c r="D315" i="5"/>
  <c r="B317" i="5"/>
  <c r="C320" i="5"/>
  <c r="H323" i="5"/>
  <c r="J325" i="5"/>
  <c r="L326" i="5"/>
  <c r="C329" i="5"/>
  <c r="B331" i="5"/>
  <c r="K332" i="5"/>
  <c r="F335" i="5"/>
  <c r="K337" i="5"/>
  <c r="D341" i="5"/>
  <c r="F342" i="5"/>
  <c r="J343" i="5"/>
  <c r="K349" i="5"/>
  <c r="I352" i="5"/>
  <c r="K353" i="5"/>
  <c r="D355" i="5"/>
  <c r="M356" i="5"/>
  <c r="H361" i="5"/>
  <c r="J362" i="5"/>
  <c r="G364" i="5"/>
  <c r="I365" i="5"/>
  <c r="B367" i="5"/>
  <c r="I368" i="5"/>
  <c r="M371" i="5"/>
  <c r="B374" i="5"/>
  <c r="F375" i="5"/>
  <c r="G377" i="5"/>
  <c r="K378" i="5"/>
  <c r="C380" i="5"/>
  <c r="J383" i="5"/>
  <c r="L385" i="5"/>
  <c r="C387" i="5"/>
  <c r="I388" i="5"/>
  <c r="L389" i="5"/>
  <c r="C391" i="5"/>
  <c r="I392" i="5"/>
  <c r="L393" i="5"/>
  <c r="B395" i="5"/>
  <c r="C396" i="5"/>
  <c r="H397" i="5"/>
  <c r="L398" i="5"/>
  <c r="C400" i="5"/>
  <c r="I401" i="5"/>
  <c r="L402" i="5"/>
  <c r="C404" i="5"/>
  <c r="I405" i="5"/>
  <c r="L406" i="5"/>
  <c r="K407" i="5"/>
  <c r="C409" i="5"/>
  <c r="H410" i="5"/>
  <c r="L411" i="5"/>
  <c r="C413" i="5"/>
  <c r="I414" i="5"/>
  <c r="L415" i="5"/>
  <c r="D417" i="5"/>
  <c r="I418" i="5"/>
  <c r="H419" i="5"/>
  <c r="K420" i="5"/>
  <c r="C422" i="5"/>
  <c r="H423" i="5"/>
  <c r="L424" i="5"/>
  <c r="C426" i="5"/>
  <c r="I427" i="5"/>
  <c r="L428" i="5"/>
  <c r="D430" i="5"/>
  <c r="E431" i="5"/>
  <c r="H432" i="5"/>
  <c r="L433" i="5"/>
  <c r="C435" i="5"/>
  <c r="I436" i="5"/>
  <c r="L437" i="5"/>
  <c r="C439" i="5"/>
  <c r="H440" i="5"/>
  <c r="J441" i="5"/>
  <c r="L442" i="5"/>
  <c r="C446" i="5"/>
  <c r="D447" i="5"/>
  <c r="F449" i="5"/>
  <c r="D453" i="5"/>
  <c r="M454" i="5"/>
  <c r="L455" i="5"/>
  <c r="K458" i="5"/>
  <c r="K461" i="5"/>
  <c r="D467" i="5"/>
  <c r="F468" i="5"/>
  <c r="J469" i="5"/>
  <c r="K470" i="5"/>
  <c r="C472" i="5"/>
  <c r="F473" i="5"/>
  <c r="G475" i="5"/>
  <c r="C479" i="5"/>
  <c r="D480" i="5"/>
  <c r="M481" i="5"/>
  <c r="C485" i="5"/>
  <c r="K486" i="5"/>
  <c r="G490" i="5"/>
  <c r="I491" i="5"/>
  <c r="L493" i="5"/>
  <c r="C495" i="5"/>
  <c r="C498" i="5"/>
  <c r="J501" i="5"/>
  <c r="F506" i="5"/>
  <c r="C508" i="5"/>
  <c r="G511" i="5"/>
  <c r="E515" i="5"/>
  <c r="D518" i="5"/>
  <c r="D521" i="5"/>
  <c r="M522" i="5"/>
  <c r="L529" i="5"/>
  <c r="K534" i="5"/>
  <c r="E538" i="5"/>
  <c r="H538" i="5"/>
  <c r="I549" i="5"/>
  <c r="K554" i="5"/>
  <c r="J560" i="5"/>
  <c r="G576" i="5"/>
  <c r="H578" i="5"/>
  <c r="F584" i="5"/>
  <c r="E598" i="5"/>
  <c r="K598" i="5"/>
  <c r="I598" i="5"/>
  <c r="H598" i="5"/>
  <c r="G598" i="5"/>
  <c r="F598" i="5"/>
  <c r="D598" i="5"/>
  <c r="J598" i="5"/>
  <c r="K603" i="5"/>
  <c r="B614" i="5"/>
  <c r="K627" i="5"/>
  <c r="K645" i="5"/>
  <c r="C648" i="5"/>
  <c r="I648" i="5"/>
  <c r="H648" i="5"/>
  <c r="G648" i="5"/>
  <c r="F648" i="5"/>
  <c r="E648" i="5"/>
  <c r="B648" i="5"/>
  <c r="M653" i="5"/>
  <c r="D664" i="5"/>
  <c r="B680" i="5"/>
  <c r="M686" i="5"/>
  <c r="K686" i="5"/>
  <c r="I686" i="5"/>
  <c r="H686" i="5"/>
  <c r="G686" i="5"/>
  <c r="F686" i="5"/>
  <c r="E686" i="5"/>
  <c r="D732" i="5"/>
  <c r="J753" i="5"/>
  <c r="I753" i="5"/>
  <c r="H753" i="5"/>
  <c r="G753" i="5"/>
  <c r="F753" i="5"/>
  <c r="E753" i="5"/>
  <c r="E794" i="5"/>
  <c r="J794" i="5"/>
  <c r="I794" i="5"/>
  <c r="H794" i="5"/>
  <c r="B976" i="5"/>
  <c r="L1064" i="5"/>
  <c r="M1076" i="5"/>
  <c r="M1313" i="5"/>
  <c r="I1313" i="5"/>
  <c r="G1313" i="5"/>
  <c r="E1313" i="5"/>
  <c r="C1313" i="5"/>
  <c r="B1313" i="5"/>
  <c r="L1313" i="5"/>
  <c r="K1313" i="5"/>
  <c r="J1313" i="5"/>
  <c r="D1313" i="5"/>
  <c r="H1313" i="5"/>
  <c r="F1313" i="5"/>
  <c r="M1357" i="5"/>
  <c r="K1357" i="5"/>
  <c r="J1357" i="5"/>
  <c r="I1357" i="5"/>
  <c r="H1357" i="5"/>
  <c r="D1357" i="5"/>
  <c r="C1357" i="5"/>
  <c r="L1357" i="5"/>
  <c r="B1884" i="5"/>
  <c r="M690" i="5"/>
  <c r="L690" i="5"/>
  <c r="H690" i="5"/>
  <c r="D690" i="5"/>
  <c r="B690" i="5"/>
  <c r="M710" i="5"/>
  <c r="I710" i="5"/>
  <c r="G710" i="5"/>
  <c r="F710" i="5"/>
  <c r="E710" i="5"/>
  <c r="D710" i="5"/>
  <c r="C710" i="5"/>
  <c r="L710" i="5"/>
  <c r="D743" i="5"/>
  <c r="L743" i="5"/>
  <c r="J743" i="5"/>
  <c r="I743" i="5"/>
  <c r="H743" i="5"/>
  <c r="G743" i="5"/>
  <c r="F743" i="5"/>
  <c r="K743" i="5"/>
  <c r="E743" i="5"/>
  <c r="E290" i="5"/>
  <c r="E356" i="5"/>
  <c r="K547" i="5"/>
  <c r="B547" i="5"/>
  <c r="C547" i="5"/>
  <c r="L547" i="5"/>
  <c r="C289" i="5"/>
  <c r="F323" i="5"/>
  <c r="B329" i="5"/>
  <c r="F388" i="5"/>
  <c r="G440" i="5"/>
  <c r="B485" i="5"/>
  <c r="B495" i="5"/>
  <c r="I554" i="5"/>
  <c r="G578" i="5"/>
  <c r="I653" i="5"/>
  <c r="C664" i="5"/>
  <c r="H803" i="5"/>
  <c r="J803" i="5"/>
  <c r="I803" i="5"/>
  <c r="G803" i="5"/>
  <c r="F803" i="5"/>
  <c r="E803" i="5"/>
  <c r="J1076" i="5"/>
  <c r="L1968" i="5"/>
  <c r="J1968" i="5"/>
  <c r="F1968" i="5"/>
  <c r="E1968" i="5"/>
  <c r="D1968" i="5"/>
  <c r="M1968" i="5"/>
  <c r="K1968" i="5"/>
  <c r="H1968" i="5"/>
  <c r="E260" i="5"/>
  <c r="F265" i="5"/>
  <c r="I266" i="5"/>
  <c r="H269" i="5"/>
  <c r="G271" i="5"/>
  <c r="F279" i="5"/>
  <c r="E281" i="5"/>
  <c r="F289" i="5"/>
  <c r="I290" i="5"/>
  <c r="L293" i="5"/>
  <c r="F295" i="5"/>
  <c r="L297" i="5"/>
  <c r="L301" i="5"/>
  <c r="B303" i="5"/>
  <c r="I304" i="5"/>
  <c r="K305" i="5"/>
  <c r="L307" i="5"/>
  <c r="L312" i="5"/>
  <c r="B314" i="5"/>
  <c r="F315" i="5"/>
  <c r="C317" i="5"/>
  <c r="B319" i="5"/>
  <c r="D320" i="5"/>
  <c r="J323" i="5"/>
  <c r="K325" i="5"/>
  <c r="D329" i="5"/>
  <c r="C331" i="5"/>
  <c r="K335" i="5"/>
  <c r="L337" i="5"/>
  <c r="B339" i="5"/>
  <c r="E341" i="5"/>
  <c r="L343" i="5"/>
  <c r="L349" i="5"/>
  <c r="B351" i="5"/>
  <c r="M352" i="5"/>
  <c r="L353" i="5"/>
  <c r="E355" i="5"/>
  <c r="I361" i="5"/>
  <c r="K362" i="5"/>
  <c r="H364" i="5"/>
  <c r="J365" i="5"/>
  <c r="C367" i="5"/>
  <c r="C374" i="5"/>
  <c r="G375" i="5"/>
  <c r="H377" i="5"/>
  <c r="D380" i="5"/>
  <c r="K383" i="5"/>
  <c r="M385" i="5"/>
  <c r="D387" i="5"/>
  <c r="J388" i="5"/>
  <c r="M389" i="5"/>
  <c r="D391" i="5"/>
  <c r="J392" i="5"/>
  <c r="M393" i="5"/>
  <c r="C395" i="5"/>
  <c r="D396" i="5"/>
  <c r="I397" i="5"/>
  <c r="M398" i="5"/>
  <c r="D400" i="5"/>
  <c r="J401" i="5"/>
  <c r="M402" i="5"/>
  <c r="E404" i="5"/>
  <c r="J405" i="5"/>
  <c r="M406" i="5"/>
  <c r="L407" i="5"/>
  <c r="D409" i="5"/>
  <c r="I410" i="5"/>
  <c r="M411" i="5"/>
  <c r="D413" i="5"/>
  <c r="J414" i="5"/>
  <c r="M415" i="5"/>
  <c r="E417" i="5"/>
  <c r="J418" i="5"/>
  <c r="I419" i="5"/>
  <c r="M420" i="5"/>
  <c r="D422" i="5"/>
  <c r="J423" i="5"/>
  <c r="M424" i="5"/>
  <c r="D426" i="5"/>
  <c r="J427" i="5"/>
  <c r="M428" i="5"/>
  <c r="E430" i="5"/>
  <c r="F431" i="5"/>
  <c r="I432" i="5"/>
  <c r="M433" i="5"/>
  <c r="D435" i="5"/>
  <c r="J436" i="5"/>
  <c r="M437" i="5"/>
  <c r="D439" i="5"/>
  <c r="I440" i="5"/>
  <c r="K441" i="5"/>
  <c r="M442" i="5"/>
  <c r="D446" i="5"/>
  <c r="F447" i="5"/>
  <c r="E453" i="5"/>
  <c r="L458" i="5"/>
  <c r="M461" i="5"/>
  <c r="E467" i="5"/>
  <c r="G468" i="5"/>
  <c r="L469" i="5"/>
  <c r="L470" i="5"/>
  <c r="E472" i="5"/>
  <c r="H473" i="5"/>
  <c r="M475" i="5"/>
  <c r="D479" i="5"/>
  <c r="E480" i="5"/>
  <c r="E485" i="5"/>
  <c r="L486" i="5"/>
  <c r="H490" i="5"/>
  <c r="K491" i="5"/>
  <c r="M494" i="5"/>
  <c r="E494" i="5"/>
  <c r="K494" i="5"/>
  <c r="D495" i="5"/>
  <c r="D498" i="5"/>
  <c r="K501" i="5"/>
  <c r="I505" i="5"/>
  <c r="G505" i="5"/>
  <c r="G506" i="5"/>
  <c r="E508" i="5"/>
  <c r="F515" i="5"/>
  <c r="F518" i="5"/>
  <c r="H521" i="5"/>
  <c r="E526" i="5"/>
  <c r="F526" i="5"/>
  <c r="M529" i="5"/>
  <c r="L534" i="5"/>
  <c r="C538" i="5"/>
  <c r="I547" i="5"/>
  <c r="K549" i="5"/>
  <c r="L554" i="5"/>
  <c r="K560" i="5"/>
  <c r="L572" i="5"/>
  <c r="F572" i="5"/>
  <c r="H572" i="5"/>
  <c r="H576" i="5"/>
  <c r="G579" i="5"/>
  <c r="M579" i="5"/>
  <c r="H584" i="5"/>
  <c r="C598" i="5"/>
  <c r="M603" i="5"/>
  <c r="C614" i="5"/>
  <c r="E622" i="5"/>
  <c r="L622" i="5"/>
  <c r="K622" i="5"/>
  <c r="J622" i="5"/>
  <c r="I622" i="5"/>
  <c r="H622" i="5"/>
  <c r="M637" i="5"/>
  <c r="I637" i="5"/>
  <c r="G637" i="5"/>
  <c r="L645" i="5"/>
  <c r="F664" i="5"/>
  <c r="F680" i="5"/>
  <c r="B686" i="5"/>
  <c r="M724" i="5"/>
  <c r="F724" i="5"/>
  <c r="E724" i="5"/>
  <c r="D724" i="5"/>
  <c r="C724" i="5"/>
  <c r="B724" i="5"/>
  <c r="J724" i="5"/>
  <c r="F794" i="5"/>
  <c r="C904" i="5"/>
  <c r="K904" i="5"/>
  <c r="B904" i="5"/>
  <c r="J926" i="5"/>
  <c r="B926" i="5"/>
  <c r="D976" i="5"/>
  <c r="M1156" i="5"/>
  <c r="L1156" i="5"/>
  <c r="K1156" i="5"/>
  <c r="J1156" i="5"/>
  <c r="I1156" i="5"/>
  <c r="G1156" i="5"/>
  <c r="D1156" i="5"/>
  <c r="B1267" i="5"/>
  <c r="C1267" i="5"/>
  <c r="M1267" i="5"/>
  <c r="L1267" i="5"/>
  <c r="K1267" i="5"/>
  <c r="I1267" i="5"/>
  <c r="H1267" i="5"/>
  <c r="G1267" i="5"/>
  <c r="F1267" i="5"/>
  <c r="E1267" i="5"/>
  <c r="D1267" i="5"/>
  <c r="B1357" i="5"/>
  <c r="K1454" i="5"/>
  <c r="J1454" i="5"/>
  <c r="I1454" i="5"/>
  <c r="H1454" i="5"/>
  <c r="G1454" i="5"/>
  <c r="F1454" i="5"/>
  <c r="E1454" i="5"/>
  <c r="M1454" i="5"/>
  <c r="C1454" i="5"/>
  <c r="H1502" i="5"/>
  <c r="F1502" i="5"/>
  <c r="M1737" i="5"/>
  <c r="L1737" i="5"/>
  <c r="J1737" i="5"/>
  <c r="H1737" i="5"/>
  <c r="G1737" i="5"/>
  <c r="F1737" i="5"/>
  <c r="C1737" i="5"/>
  <c r="E1737" i="5"/>
  <c r="D1737" i="5"/>
  <c r="H1261" i="5"/>
  <c r="I1261" i="5"/>
  <c r="F1261" i="5"/>
  <c r="E1261" i="5"/>
  <c r="M1261" i="5"/>
  <c r="L1261" i="5"/>
  <c r="K1261" i="5"/>
  <c r="C1261" i="5"/>
  <c r="G1261" i="5"/>
  <c r="D1261" i="5"/>
  <c r="B1261" i="5"/>
  <c r="L594" i="5"/>
  <c r="K594" i="5"/>
  <c r="J594" i="5"/>
  <c r="D594" i="5"/>
  <c r="C594" i="5"/>
  <c r="K1258" i="5"/>
  <c r="E1258" i="5"/>
  <c r="C1258" i="5"/>
  <c r="B1258" i="5"/>
  <c r="M1258" i="5"/>
  <c r="L1258" i="5"/>
  <c r="J1258" i="5"/>
  <c r="F1258" i="5"/>
  <c r="H1258" i="5"/>
  <c r="G1258" i="5"/>
  <c r="D1258" i="5"/>
  <c r="C265" i="5"/>
  <c r="G290" i="5"/>
  <c r="G414" i="5"/>
  <c r="B472" i="5"/>
  <c r="B508" i="5"/>
  <c r="G627" i="5"/>
  <c r="F670" i="5"/>
  <c r="L682" i="5"/>
  <c r="I260" i="5"/>
  <c r="H265" i="5"/>
  <c r="J266" i="5"/>
  <c r="I269" i="5"/>
  <c r="I271" i="5"/>
  <c r="G279" i="5"/>
  <c r="H289" i="5"/>
  <c r="J290" i="5"/>
  <c r="G295" i="5"/>
  <c r="M297" i="5"/>
  <c r="L305" i="5"/>
  <c r="M312" i="5"/>
  <c r="G315" i="5"/>
  <c r="D317" i="5"/>
  <c r="E320" i="5"/>
  <c r="K323" i="5"/>
  <c r="L325" i="5"/>
  <c r="E329" i="5"/>
  <c r="D331" i="5"/>
  <c r="L335" i="5"/>
  <c r="F355" i="5"/>
  <c r="J361" i="5"/>
  <c r="L362" i="5"/>
  <c r="I364" i="5"/>
  <c r="K365" i="5"/>
  <c r="D367" i="5"/>
  <c r="E374" i="5"/>
  <c r="H375" i="5"/>
  <c r="I377" i="5"/>
  <c r="F387" i="5"/>
  <c r="K388" i="5"/>
  <c r="G391" i="5"/>
  <c r="K392" i="5"/>
  <c r="D395" i="5"/>
  <c r="F396" i="5"/>
  <c r="J397" i="5"/>
  <c r="F400" i="5"/>
  <c r="K401" i="5"/>
  <c r="G404" i="5"/>
  <c r="K405" i="5"/>
  <c r="F409" i="5"/>
  <c r="K410" i="5"/>
  <c r="F413" i="5"/>
  <c r="K414" i="5"/>
  <c r="G417" i="5"/>
  <c r="K418" i="5"/>
  <c r="J419" i="5"/>
  <c r="F422" i="5"/>
  <c r="K423" i="5"/>
  <c r="G426" i="5"/>
  <c r="K427" i="5"/>
  <c r="G430" i="5"/>
  <c r="G431" i="5"/>
  <c r="J432" i="5"/>
  <c r="F435" i="5"/>
  <c r="K436" i="5"/>
  <c r="G439" i="5"/>
  <c r="J440" i="5"/>
  <c r="L441" i="5"/>
  <c r="D445" i="5"/>
  <c r="F446" i="5"/>
  <c r="G447" i="5"/>
  <c r="G453" i="5"/>
  <c r="B455" i="5"/>
  <c r="C466" i="5"/>
  <c r="F467" i="5"/>
  <c r="H468" i="5"/>
  <c r="M469" i="5"/>
  <c r="F472" i="5"/>
  <c r="I473" i="5"/>
  <c r="E479" i="5"/>
  <c r="F480" i="5"/>
  <c r="B482" i="5"/>
  <c r="H485" i="5"/>
  <c r="M486" i="5"/>
  <c r="I490" i="5"/>
  <c r="B494" i="5"/>
  <c r="F495" i="5"/>
  <c r="H498" i="5"/>
  <c r="B500" i="5"/>
  <c r="M501" i="5"/>
  <c r="C505" i="5"/>
  <c r="H506" i="5"/>
  <c r="I508" i="5"/>
  <c r="G515" i="5"/>
  <c r="G518" i="5"/>
  <c r="E520" i="5"/>
  <c r="M520" i="5"/>
  <c r="I521" i="5"/>
  <c r="M523" i="5"/>
  <c r="C526" i="5"/>
  <c r="D538" i="5"/>
  <c r="M541" i="5"/>
  <c r="F541" i="5"/>
  <c r="J547" i="5"/>
  <c r="I553" i="5"/>
  <c r="E553" i="5"/>
  <c r="L553" i="5"/>
  <c r="K555" i="5"/>
  <c r="G555" i="5"/>
  <c r="F555" i="5"/>
  <c r="L558" i="5"/>
  <c r="D558" i="5"/>
  <c r="C558" i="5"/>
  <c r="M560" i="5"/>
  <c r="B572" i="5"/>
  <c r="M575" i="5"/>
  <c r="D575" i="5"/>
  <c r="L575" i="5"/>
  <c r="K575" i="5"/>
  <c r="J575" i="5"/>
  <c r="H575" i="5"/>
  <c r="I576" i="5"/>
  <c r="E579" i="5"/>
  <c r="J584" i="5"/>
  <c r="L598" i="5"/>
  <c r="M604" i="5"/>
  <c r="J604" i="5"/>
  <c r="F604" i="5"/>
  <c r="D604" i="5"/>
  <c r="C604" i="5"/>
  <c r="B604" i="5"/>
  <c r="L608" i="5"/>
  <c r="K608" i="5"/>
  <c r="J608" i="5"/>
  <c r="H608" i="5"/>
  <c r="F608" i="5"/>
  <c r="M608" i="5"/>
  <c r="C622" i="5"/>
  <c r="F637" i="5"/>
  <c r="E646" i="5"/>
  <c r="J646" i="5"/>
  <c r="H646" i="5"/>
  <c r="G646" i="5"/>
  <c r="F646" i="5"/>
  <c r="D646" i="5"/>
  <c r="C646" i="5"/>
  <c r="J648" i="5"/>
  <c r="M674" i="5"/>
  <c r="K674" i="5"/>
  <c r="H674" i="5"/>
  <c r="G674" i="5"/>
  <c r="F674" i="5"/>
  <c r="E674" i="5"/>
  <c r="D674" i="5"/>
  <c r="L674" i="5"/>
  <c r="J680" i="5"/>
  <c r="C686" i="5"/>
  <c r="M750" i="5"/>
  <c r="J750" i="5"/>
  <c r="H750" i="5"/>
  <c r="G750" i="5"/>
  <c r="F750" i="5"/>
  <c r="E750" i="5"/>
  <c r="D750" i="5"/>
  <c r="L750" i="5"/>
  <c r="K750" i="5"/>
  <c r="I750" i="5"/>
  <c r="F757" i="5"/>
  <c r="J757" i="5"/>
  <c r="I757" i="5"/>
  <c r="H757" i="5"/>
  <c r="E757" i="5"/>
  <c r="D783" i="5"/>
  <c r="J783" i="5"/>
  <c r="I783" i="5"/>
  <c r="H783" i="5"/>
  <c r="G783" i="5"/>
  <c r="F783" i="5"/>
  <c r="G794" i="5"/>
  <c r="M904" i="5"/>
  <c r="M1304" i="5"/>
  <c r="D1304" i="5"/>
  <c r="L1304" i="5"/>
  <c r="J1304" i="5"/>
  <c r="I1304" i="5"/>
  <c r="K1304" i="5"/>
  <c r="H1304" i="5"/>
  <c r="G1304" i="5"/>
  <c r="C1304" i="5"/>
  <c r="E1304" i="5"/>
  <c r="B1304" i="5"/>
  <c r="E1502" i="5"/>
  <c r="M1712" i="5"/>
  <c r="K1712" i="5"/>
  <c r="J1712" i="5"/>
  <c r="I1712" i="5"/>
  <c r="H1712" i="5"/>
  <c r="F1712" i="5"/>
  <c r="E1712" i="5"/>
  <c r="D1712" i="5"/>
  <c r="C1712" i="5"/>
  <c r="B1712" i="5"/>
  <c r="M1770" i="5"/>
  <c r="L1770" i="5"/>
  <c r="I1770" i="5"/>
  <c r="H1770" i="5"/>
  <c r="G1770" i="5"/>
  <c r="E1770" i="5"/>
  <c r="M578" i="5"/>
  <c r="C578" i="5"/>
  <c r="L578" i="5"/>
  <c r="K578" i="5"/>
  <c r="I578" i="5"/>
  <c r="F578" i="5"/>
  <c r="C831" i="5"/>
  <c r="E831" i="5"/>
  <c r="B831" i="5"/>
  <c r="M894" i="5"/>
  <c r="I894" i="5"/>
  <c r="H894" i="5"/>
  <c r="C894" i="5"/>
  <c r="F894" i="5"/>
  <c r="M929" i="5"/>
  <c r="L929" i="5"/>
  <c r="I929" i="5"/>
  <c r="J929" i="5"/>
  <c r="G929" i="5"/>
  <c r="M664" i="5"/>
  <c r="B664" i="5"/>
  <c r="E664" i="5"/>
  <c r="K710" i="5"/>
  <c r="F361" i="5"/>
  <c r="G418" i="5"/>
  <c r="G427" i="5"/>
  <c r="B446" i="5"/>
  <c r="I265" i="5"/>
  <c r="K266" i="5"/>
  <c r="J271" i="5"/>
  <c r="H279" i="5"/>
  <c r="I289" i="5"/>
  <c r="K290" i="5"/>
  <c r="I295" i="5"/>
  <c r="H315" i="5"/>
  <c r="E317" i="5"/>
  <c r="I320" i="5"/>
  <c r="L323" i="5"/>
  <c r="F329" i="5"/>
  <c r="E331" i="5"/>
  <c r="K361" i="5"/>
  <c r="E367" i="5"/>
  <c r="G374" i="5"/>
  <c r="H387" i="5"/>
  <c r="L388" i="5"/>
  <c r="I391" i="5"/>
  <c r="L392" i="5"/>
  <c r="E395" i="5"/>
  <c r="H396" i="5"/>
  <c r="L397" i="5"/>
  <c r="I400" i="5"/>
  <c r="L401" i="5"/>
  <c r="I404" i="5"/>
  <c r="L405" i="5"/>
  <c r="H409" i="5"/>
  <c r="L410" i="5"/>
  <c r="I413" i="5"/>
  <c r="L414" i="5"/>
  <c r="I417" i="5"/>
  <c r="L418" i="5"/>
  <c r="H422" i="5"/>
  <c r="L423" i="5"/>
  <c r="I426" i="5"/>
  <c r="L427" i="5"/>
  <c r="I430" i="5"/>
  <c r="H431" i="5"/>
  <c r="K432" i="5"/>
  <c r="H435" i="5"/>
  <c r="L436" i="5"/>
  <c r="I439" i="5"/>
  <c r="K440" i="5"/>
  <c r="G446" i="5"/>
  <c r="H453" i="5"/>
  <c r="G472" i="5"/>
  <c r="K473" i="5"/>
  <c r="F479" i="5"/>
  <c r="G480" i="5"/>
  <c r="I485" i="5"/>
  <c r="M492" i="5"/>
  <c r="G492" i="5"/>
  <c r="J495" i="5"/>
  <c r="L498" i="5"/>
  <c r="E502" i="5"/>
  <c r="H502" i="5"/>
  <c r="I506" i="5"/>
  <c r="J508" i="5"/>
  <c r="K521" i="5"/>
  <c r="M547" i="5"/>
  <c r="M599" i="5"/>
  <c r="K599" i="5"/>
  <c r="I599" i="5"/>
  <c r="H599" i="5"/>
  <c r="G599" i="5"/>
  <c r="F599" i="5"/>
  <c r="E599" i="5"/>
  <c r="D599" i="5"/>
  <c r="B615" i="5"/>
  <c r="K615" i="5"/>
  <c r="G615" i="5"/>
  <c r="F615" i="5"/>
  <c r="M662" i="5"/>
  <c r="I662" i="5"/>
  <c r="G662" i="5"/>
  <c r="F662" i="5"/>
  <c r="E662" i="5"/>
  <c r="D662" i="5"/>
  <c r="C662" i="5"/>
  <c r="K788" i="5"/>
  <c r="I788" i="5"/>
  <c r="H788" i="5"/>
  <c r="G788" i="5"/>
  <c r="M828" i="5"/>
  <c r="L828" i="5"/>
  <c r="B828" i="5"/>
  <c r="M1762" i="5"/>
  <c r="L1762" i="5"/>
  <c r="H1762" i="5"/>
  <c r="G1762" i="5"/>
  <c r="F1762" i="5"/>
  <c r="E1762" i="5"/>
  <c r="D1762" i="5"/>
  <c r="C1762" i="5"/>
  <c r="D1770" i="5"/>
  <c r="M1780" i="5"/>
  <c r="L1780" i="5"/>
  <c r="I1780" i="5"/>
  <c r="H1780" i="5"/>
  <c r="G1780" i="5"/>
  <c r="C1780" i="5"/>
  <c r="B1818" i="5"/>
  <c r="D1818" i="5"/>
  <c r="M1818" i="5"/>
  <c r="L1818" i="5"/>
  <c r="I1818" i="5"/>
  <c r="H1818" i="5"/>
  <c r="G1818" i="5"/>
  <c r="F1818" i="5"/>
  <c r="E1818" i="5"/>
  <c r="F781" i="5"/>
  <c r="J781" i="5"/>
  <c r="I781" i="5"/>
  <c r="H781" i="5"/>
  <c r="G781" i="5"/>
  <c r="E603" i="5"/>
  <c r="G603" i="5"/>
  <c r="I645" i="5"/>
  <c r="M645" i="5"/>
  <c r="C732" i="5"/>
  <c r="I732" i="5"/>
  <c r="H732" i="5"/>
  <c r="G732" i="5"/>
  <c r="F732" i="5"/>
  <c r="E732" i="5"/>
  <c r="J732" i="5"/>
  <c r="D295" i="5"/>
  <c r="F401" i="5"/>
  <c r="F410" i="5"/>
  <c r="E264" i="5"/>
  <c r="J265" i="5"/>
  <c r="L266" i="5"/>
  <c r="K269" i="5"/>
  <c r="L271" i="5"/>
  <c r="C277" i="5"/>
  <c r="I279" i="5"/>
  <c r="J289" i="5"/>
  <c r="L290" i="5"/>
  <c r="J295" i="5"/>
  <c r="C298" i="5"/>
  <c r="B305" i="5"/>
  <c r="C313" i="5"/>
  <c r="I315" i="5"/>
  <c r="F317" i="5"/>
  <c r="K320" i="5"/>
  <c r="B326" i="5"/>
  <c r="G329" i="5"/>
  <c r="F331" i="5"/>
  <c r="B334" i="5"/>
  <c r="F359" i="5"/>
  <c r="L361" i="5"/>
  <c r="B363" i="5"/>
  <c r="F367" i="5"/>
  <c r="H374" i="5"/>
  <c r="K377" i="5"/>
  <c r="D381" i="5"/>
  <c r="J387" i="5"/>
  <c r="M388" i="5"/>
  <c r="J391" i="5"/>
  <c r="M392" i="5"/>
  <c r="F395" i="5"/>
  <c r="I396" i="5"/>
  <c r="M397" i="5"/>
  <c r="J400" i="5"/>
  <c r="M401" i="5"/>
  <c r="J404" i="5"/>
  <c r="M405" i="5"/>
  <c r="I409" i="5"/>
  <c r="M410" i="5"/>
  <c r="J413" i="5"/>
  <c r="M414" i="5"/>
  <c r="J417" i="5"/>
  <c r="M418" i="5"/>
  <c r="I422" i="5"/>
  <c r="M423" i="5"/>
  <c r="J426" i="5"/>
  <c r="M427" i="5"/>
  <c r="J430" i="5"/>
  <c r="I431" i="5"/>
  <c r="M432" i="5"/>
  <c r="J435" i="5"/>
  <c r="M436" i="5"/>
  <c r="J439" i="5"/>
  <c r="L440" i="5"/>
  <c r="H446" i="5"/>
  <c r="K453" i="5"/>
  <c r="B458" i="5"/>
  <c r="B470" i="5"/>
  <c r="I472" i="5"/>
  <c r="L473" i="5"/>
  <c r="G479" i="5"/>
  <c r="J480" i="5"/>
  <c r="K485" i="5"/>
  <c r="D492" i="5"/>
  <c r="K495" i="5"/>
  <c r="M498" i="5"/>
  <c r="C502" i="5"/>
  <c r="L506" i="5"/>
  <c r="L508" i="5"/>
  <c r="M521" i="5"/>
  <c r="B524" i="5"/>
  <c r="M533" i="5"/>
  <c r="H533" i="5"/>
  <c r="K546" i="5"/>
  <c r="D546" i="5"/>
  <c r="B546" i="5"/>
  <c r="J548" i="5"/>
  <c r="I548" i="5"/>
  <c r="M548" i="5"/>
  <c r="M589" i="5"/>
  <c r="H589" i="5"/>
  <c r="G589" i="5"/>
  <c r="F589" i="5"/>
  <c r="D589" i="5"/>
  <c r="C589" i="5"/>
  <c r="L596" i="5"/>
  <c r="M596" i="5"/>
  <c r="J596" i="5"/>
  <c r="I596" i="5"/>
  <c r="H596" i="5"/>
  <c r="B599" i="5"/>
  <c r="C615" i="5"/>
  <c r="M620" i="5"/>
  <c r="L620" i="5"/>
  <c r="K620" i="5"/>
  <c r="B642" i="5"/>
  <c r="M650" i="5"/>
  <c r="K650" i="5"/>
  <c r="I650" i="5"/>
  <c r="H650" i="5"/>
  <c r="G650" i="5"/>
  <c r="F650" i="5"/>
  <c r="B650" i="5"/>
  <c r="B662" i="5"/>
  <c r="M693" i="5"/>
  <c r="L693" i="5"/>
  <c r="K693" i="5"/>
  <c r="B726" i="5"/>
  <c r="E742" i="5"/>
  <c r="K742" i="5"/>
  <c r="I742" i="5"/>
  <c r="H742" i="5"/>
  <c r="G742" i="5"/>
  <c r="F742" i="5"/>
  <c r="D742" i="5"/>
  <c r="C742" i="5"/>
  <c r="E770" i="5"/>
  <c r="J770" i="5"/>
  <c r="I770" i="5"/>
  <c r="H770" i="5"/>
  <c r="G770" i="5"/>
  <c r="F770" i="5"/>
  <c r="E788" i="5"/>
  <c r="M839" i="5"/>
  <c r="L839" i="5"/>
  <c r="K839" i="5"/>
  <c r="I839" i="5"/>
  <c r="D839" i="5"/>
  <c r="G839" i="5"/>
  <c r="F839" i="5"/>
  <c r="G870" i="5"/>
  <c r="I870" i="5"/>
  <c r="F870" i="5"/>
  <c r="E870" i="5"/>
  <c r="D870" i="5"/>
  <c r="C870" i="5"/>
  <c r="B870" i="5"/>
  <c r="M870" i="5"/>
  <c r="K870" i="5"/>
  <c r="J870" i="5"/>
  <c r="D909" i="5"/>
  <c r="L909" i="5"/>
  <c r="K909" i="5"/>
  <c r="J909" i="5"/>
  <c r="I909" i="5"/>
  <c r="H909" i="5"/>
  <c r="G909" i="5"/>
  <c r="F909" i="5"/>
  <c r="B909" i="5"/>
  <c r="E909" i="5"/>
  <c r="C909" i="5"/>
  <c r="M943" i="5"/>
  <c r="L943" i="5"/>
  <c r="K943" i="5"/>
  <c r="J943" i="5"/>
  <c r="I943" i="5"/>
  <c r="H943" i="5"/>
  <c r="D969" i="5"/>
  <c r="I969" i="5"/>
  <c r="H969" i="5"/>
  <c r="G969" i="5"/>
  <c r="F969" i="5"/>
  <c r="E969" i="5"/>
  <c r="C969" i="5"/>
  <c r="B969" i="5"/>
  <c r="L969" i="5"/>
  <c r="K969" i="5"/>
  <c r="M1142" i="5"/>
  <c r="L1142" i="5"/>
  <c r="K1142" i="5"/>
  <c r="I1142" i="5"/>
  <c r="E1142" i="5"/>
  <c r="G1142" i="5"/>
  <c r="F1142" i="5"/>
  <c r="F1263" i="5"/>
  <c r="L1263" i="5"/>
  <c r="I1263" i="5"/>
  <c r="H1263" i="5"/>
  <c r="M1263" i="5"/>
  <c r="K1263" i="5"/>
  <c r="G1263" i="5"/>
  <c r="E1263" i="5"/>
  <c r="D1263" i="5"/>
  <c r="C1263" i="5"/>
  <c r="B1263" i="5"/>
  <c r="M1652" i="5"/>
  <c r="K1652" i="5"/>
  <c r="D1652" i="5"/>
  <c r="H1652" i="5"/>
  <c r="C1652" i="5"/>
  <c r="F1770" i="5"/>
  <c r="L559" i="5"/>
  <c r="K559" i="5"/>
  <c r="J559" i="5"/>
  <c r="I559" i="5"/>
  <c r="M1676" i="5"/>
  <c r="K1676" i="5"/>
  <c r="J1676" i="5"/>
  <c r="F1676" i="5"/>
  <c r="E1676" i="5"/>
  <c r="B1676" i="5"/>
  <c r="M849" i="5"/>
  <c r="I849" i="5"/>
  <c r="H849" i="5"/>
  <c r="E849" i="5"/>
  <c r="G849" i="5"/>
  <c r="F849" i="5"/>
  <c r="G266" i="5"/>
  <c r="F423" i="5"/>
  <c r="D431" i="5"/>
  <c r="F436" i="5"/>
  <c r="B479" i="5"/>
  <c r="B521" i="5"/>
  <c r="J570" i="5"/>
  <c r="B584" i="5"/>
  <c r="B594" i="5"/>
  <c r="G264" i="5"/>
  <c r="K265" i="5"/>
  <c r="L269" i="5"/>
  <c r="D277" i="5"/>
  <c r="J279" i="5"/>
  <c r="K289" i="5"/>
  <c r="L295" i="5"/>
  <c r="K298" i="5"/>
  <c r="C305" i="5"/>
  <c r="D313" i="5"/>
  <c r="J315" i="5"/>
  <c r="G317" i="5"/>
  <c r="C326" i="5"/>
  <c r="H329" i="5"/>
  <c r="G331" i="5"/>
  <c r="C334" i="5"/>
  <c r="L359" i="5"/>
  <c r="D363" i="5"/>
  <c r="G367" i="5"/>
  <c r="I374" i="5"/>
  <c r="L377" i="5"/>
  <c r="H381" i="5"/>
  <c r="K387" i="5"/>
  <c r="K391" i="5"/>
  <c r="G395" i="5"/>
  <c r="J396" i="5"/>
  <c r="K400" i="5"/>
  <c r="K404" i="5"/>
  <c r="J409" i="5"/>
  <c r="K413" i="5"/>
  <c r="K417" i="5"/>
  <c r="K422" i="5"/>
  <c r="K426" i="5"/>
  <c r="K430" i="5"/>
  <c r="J431" i="5"/>
  <c r="K435" i="5"/>
  <c r="K439" i="5"/>
  <c r="M440" i="5"/>
  <c r="D442" i="5"/>
  <c r="I446" i="5"/>
  <c r="L453" i="5"/>
  <c r="C458" i="5"/>
  <c r="I467" i="5"/>
  <c r="C470" i="5"/>
  <c r="J472" i="5"/>
  <c r="H479" i="5"/>
  <c r="K480" i="5"/>
  <c r="L485" i="5"/>
  <c r="M491" i="5"/>
  <c r="E491" i="5"/>
  <c r="J491" i="5"/>
  <c r="E492" i="5"/>
  <c r="M495" i="5"/>
  <c r="L499" i="5"/>
  <c r="B499" i="5"/>
  <c r="D502" i="5"/>
  <c r="M507" i="5"/>
  <c r="G507" i="5"/>
  <c r="M508" i="5"/>
  <c r="K515" i="5"/>
  <c r="K518" i="5"/>
  <c r="E524" i="5"/>
  <c r="C533" i="5"/>
  <c r="C546" i="5"/>
  <c r="B548" i="5"/>
  <c r="J580" i="5"/>
  <c r="F580" i="5"/>
  <c r="D580" i="5"/>
  <c r="M580" i="5"/>
  <c r="I589" i="5"/>
  <c r="B596" i="5"/>
  <c r="C599" i="5"/>
  <c r="D615" i="5"/>
  <c r="B620" i="5"/>
  <c r="M635" i="5"/>
  <c r="H635" i="5"/>
  <c r="F635" i="5"/>
  <c r="E635" i="5"/>
  <c r="D635" i="5"/>
  <c r="C635" i="5"/>
  <c r="B635" i="5"/>
  <c r="K635" i="5"/>
  <c r="C650" i="5"/>
  <c r="H662" i="5"/>
  <c r="D726" i="5"/>
  <c r="E730" i="5"/>
  <c r="J730" i="5"/>
  <c r="H730" i="5"/>
  <c r="G730" i="5"/>
  <c r="F730" i="5"/>
  <c r="D730" i="5"/>
  <c r="C730" i="5"/>
  <c r="L730" i="5"/>
  <c r="K730" i="5"/>
  <c r="I730" i="5"/>
  <c r="B735" i="5"/>
  <c r="G735" i="5"/>
  <c r="F735" i="5"/>
  <c r="E735" i="5"/>
  <c r="D735" i="5"/>
  <c r="C735" i="5"/>
  <c r="K735" i="5"/>
  <c r="J742" i="5"/>
  <c r="L751" i="5"/>
  <c r="I751" i="5"/>
  <c r="H751" i="5"/>
  <c r="G751" i="5"/>
  <c r="E751" i="5"/>
  <c r="J777" i="5"/>
  <c r="I777" i="5"/>
  <c r="H777" i="5"/>
  <c r="G777" i="5"/>
  <c r="F777" i="5"/>
  <c r="E777" i="5"/>
  <c r="F788" i="5"/>
  <c r="C839" i="5"/>
  <c r="H870" i="5"/>
  <c r="E943" i="5"/>
  <c r="J969" i="5"/>
  <c r="M1125" i="5"/>
  <c r="L1125" i="5"/>
  <c r="J1125" i="5"/>
  <c r="C1142" i="5"/>
  <c r="F1287" i="5"/>
  <c r="I1287" i="5"/>
  <c r="G1287" i="5"/>
  <c r="E1287" i="5"/>
  <c r="M1287" i="5"/>
  <c r="L1287" i="5"/>
  <c r="K1287" i="5"/>
  <c r="H1287" i="5"/>
  <c r="B1287" i="5"/>
  <c r="D1287" i="5"/>
  <c r="C1287" i="5"/>
  <c r="G1298" i="5"/>
  <c r="L1298" i="5"/>
  <c r="F1298" i="5"/>
  <c r="D1298" i="5"/>
  <c r="C1298" i="5"/>
  <c r="M1298" i="5"/>
  <c r="K1298" i="5"/>
  <c r="I1298" i="5"/>
  <c r="H1298" i="5"/>
  <c r="E1298" i="5"/>
  <c r="B1298" i="5"/>
  <c r="M1417" i="5"/>
  <c r="L1417" i="5"/>
  <c r="K1417" i="5"/>
  <c r="G1417" i="5"/>
  <c r="D1417" i="5"/>
  <c r="C1417" i="5"/>
  <c r="B1417" i="5"/>
  <c r="K1657" i="5"/>
  <c r="J1657" i="5"/>
  <c r="H1657" i="5"/>
  <c r="F1657" i="5"/>
  <c r="E1657" i="5"/>
  <c r="D1657" i="5"/>
  <c r="K764" i="5"/>
  <c r="I764" i="5"/>
  <c r="H764" i="5"/>
  <c r="G764" i="5"/>
  <c r="F764" i="5"/>
  <c r="E764" i="5"/>
  <c r="M1115" i="5"/>
  <c r="K1115" i="5"/>
  <c r="J1115" i="5"/>
  <c r="I1115" i="5"/>
  <c r="H1115" i="5"/>
  <c r="G1115" i="5"/>
  <c r="F1115" i="5"/>
  <c r="E1115" i="5"/>
  <c r="B1115" i="5"/>
  <c r="L1115" i="5"/>
  <c r="D1115" i="5"/>
  <c r="F1251" i="5"/>
  <c r="M1251" i="5"/>
  <c r="I1251" i="5"/>
  <c r="L1251" i="5"/>
  <c r="K1251" i="5"/>
  <c r="H1251" i="5"/>
  <c r="G1251" i="5"/>
  <c r="E1251" i="5"/>
  <c r="B1251" i="5"/>
  <c r="D1251" i="5"/>
  <c r="C1251" i="5"/>
  <c r="D271" i="5"/>
  <c r="C636" i="5"/>
  <c r="I636" i="5"/>
  <c r="G636" i="5"/>
  <c r="F636" i="5"/>
  <c r="E636" i="5"/>
  <c r="D636" i="5"/>
  <c r="B636" i="5"/>
  <c r="L656" i="5"/>
  <c r="G392" i="5"/>
  <c r="G405" i="5"/>
  <c r="F432" i="5"/>
  <c r="B498" i="5"/>
  <c r="E506" i="5"/>
  <c r="F547" i="5"/>
  <c r="E600" i="5"/>
  <c r="M614" i="5"/>
  <c r="K614" i="5"/>
  <c r="H614" i="5"/>
  <c r="G614" i="5"/>
  <c r="F614" i="5"/>
  <c r="E614" i="5"/>
  <c r="D614" i="5"/>
  <c r="I614" i="5"/>
  <c r="M700" i="5"/>
  <c r="F700" i="5"/>
  <c r="E700" i="5"/>
  <c r="D700" i="5"/>
  <c r="C700" i="5"/>
  <c r="B700" i="5"/>
  <c r="M1187" i="5"/>
  <c r="H1187" i="5"/>
  <c r="G1187" i="5"/>
  <c r="F1187" i="5"/>
  <c r="E1187" i="5"/>
  <c r="D1187" i="5"/>
  <c r="C1187" i="5"/>
  <c r="B1187" i="5"/>
  <c r="K1187" i="5"/>
  <c r="L1187" i="5"/>
  <c r="J1187" i="5"/>
  <c r="L265" i="5"/>
  <c r="F277" i="5"/>
  <c r="L289" i="5"/>
  <c r="D305" i="5"/>
  <c r="F313" i="5"/>
  <c r="H317" i="5"/>
  <c r="E326" i="5"/>
  <c r="I329" i="5"/>
  <c r="I331" i="5"/>
  <c r="F363" i="5"/>
  <c r="I367" i="5"/>
  <c r="J374" i="5"/>
  <c r="L387" i="5"/>
  <c r="L391" i="5"/>
  <c r="H395" i="5"/>
  <c r="K396" i="5"/>
  <c r="L400" i="5"/>
  <c r="L404" i="5"/>
  <c r="L409" i="5"/>
  <c r="L413" i="5"/>
  <c r="L417" i="5"/>
  <c r="L422" i="5"/>
  <c r="L426" i="5"/>
  <c r="L430" i="5"/>
  <c r="K431" i="5"/>
  <c r="L435" i="5"/>
  <c r="L439" i="5"/>
  <c r="K446" i="5"/>
  <c r="D458" i="5"/>
  <c r="D470" i="5"/>
  <c r="I479" i="5"/>
  <c r="F492" i="5"/>
  <c r="F502" i="5"/>
  <c r="K525" i="5"/>
  <c r="L525" i="5"/>
  <c r="D533" i="5"/>
  <c r="M543" i="5"/>
  <c r="B543" i="5"/>
  <c r="G546" i="5"/>
  <c r="F548" i="5"/>
  <c r="K573" i="5"/>
  <c r="J573" i="5"/>
  <c r="I573" i="5"/>
  <c r="M590" i="5"/>
  <c r="K590" i="5"/>
  <c r="I590" i="5"/>
  <c r="H590" i="5"/>
  <c r="G590" i="5"/>
  <c r="F590" i="5"/>
  <c r="C590" i="5"/>
  <c r="F596" i="5"/>
  <c r="J599" i="5"/>
  <c r="L606" i="5"/>
  <c r="M606" i="5"/>
  <c r="J606" i="5"/>
  <c r="H606" i="5"/>
  <c r="D606" i="5"/>
  <c r="E610" i="5"/>
  <c r="K610" i="5"/>
  <c r="J610" i="5"/>
  <c r="I610" i="5"/>
  <c r="H610" i="5"/>
  <c r="G610" i="5"/>
  <c r="L610" i="5"/>
  <c r="E615" i="5"/>
  <c r="F620" i="5"/>
  <c r="M623" i="5"/>
  <c r="B623" i="5"/>
  <c r="L623" i="5"/>
  <c r="K623" i="5"/>
  <c r="J623" i="5"/>
  <c r="I623" i="5"/>
  <c r="H623" i="5"/>
  <c r="C623" i="5"/>
  <c r="K633" i="5"/>
  <c r="G635" i="5"/>
  <c r="D650" i="5"/>
  <c r="K662" i="5"/>
  <c r="M675" i="5"/>
  <c r="K675" i="5"/>
  <c r="G675" i="5"/>
  <c r="F675" i="5"/>
  <c r="E675" i="5"/>
  <c r="L726" i="5"/>
  <c r="M731" i="5"/>
  <c r="J731" i="5"/>
  <c r="H731" i="5"/>
  <c r="G731" i="5"/>
  <c r="F731" i="5"/>
  <c r="E731" i="5"/>
  <c r="D731" i="5"/>
  <c r="B731" i="5"/>
  <c r="I731" i="5"/>
  <c r="L742" i="5"/>
  <c r="J747" i="5"/>
  <c r="H747" i="5"/>
  <c r="F747" i="5"/>
  <c r="M774" i="5"/>
  <c r="J774" i="5"/>
  <c r="H774" i="5"/>
  <c r="G774" i="5"/>
  <c r="F774" i="5"/>
  <c r="E774" i="5"/>
  <c r="D774" i="5"/>
  <c r="B774" i="5"/>
  <c r="K774" i="5"/>
  <c r="I774" i="5"/>
  <c r="M1031" i="5"/>
  <c r="K1031" i="5"/>
  <c r="J1031" i="5"/>
  <c r="I1031" i="5"/>
  <c r="H1031" i="5"/>
  <c r="G1031" i="5"/>
  <c r="F1031" i="5"/>
  <c r="E1031" i="5"/>
  <c r="B1031" i="5"/>
  <c r="L1031" i="5"/>
  <c r="D1031" i="5"/>
  <c r="C1031" i="5"/>
  <c r="M1225" i="5"/>
  <c r="H1225" i="5"/>
  <c r="L1225" i="5"/>
  <c r="J1225" i="5"/>
  <c r="G1225" i="5"/>
  <c r="F1225" i="5"/>
  <c r="E1225" i="5"/>
  <c r="I1260" i="5"/>
  <c r="G1260" i="5"/>
  <c r="E1260" i="5"/>
  <c r="D1260" i="5"/>
  <c r="M1260" i="5"/>
  <c r="L1260" i="5"/>
  <c r="K1260" i="5"/>
  <c r="H1260" i="5"/>
  <c r="F1260" i="5"/>
  <c r="C1260" i="5"/>
  <c r="B1260" i="5"/>
  <c r="C1278" i="5"/>
  <c r="L1278" i="5"/>
  <c r="K1278" i="5"/>
  <c r="M1278" i="5"/>
  <c r="I1278" i="5"/>
  <c r="H1278" i="5"/>
  <c r="G1278" i="5"/>
  <c r="F1278" i="5"/>
  <c r="E1278" i="5"/>
  <c r="D1278" i="5"/>
  <c r="B1278" i="5"/>
  <c r="C1290" i="5"/>
  <c r="M1290" i="5"/>
  <c r="K1290" i="5"/>
  <c r="I1290" i="5"/>
  <c r="L1290" i="5"/>
  <c r="H1290" i="5"/>
  <c r="G1290" i="5"/>
  <c r="F1290" i="5"/>
  <c r="B1290" i="5"/>
  <c r="J1696" i="5"/>
  <c r="I1696" i="5"/>
  <c r="E1696" i="5"/>
  <c r="C1696" i="5"/>
  <c r="B1696" i="5"/>
  <c r="I484" i="5"/>
  <c r="J512" i="5"/>
  <c r="H514" i="5"/>
  <c r="F519" i="5"/>
  <c r="L556" i="5"/>
  <c r="E562" i="5"/>
  <c r="F562" i="5"/>
  <c r="L562" i="5"/>
  <c r="L618" i="5"/>
  <c r="H618" i="5"/>
  <c r="D618" i="5"/>
  <c r="C618" i="5"/>
  <c r="B618" i="5"/>
  <c r="C624" i="5"/>
  <c r="B624" i="5"/>
  <c r="J624" i="5"/>
  <c r="I624" i="5"/>
  <c r="M640" i="5"/>
  <c r="J640" i="5"/>
  <c r="F640" i="5"/>
  <c r="E640" i="5"/>
  <c r="M647" i="5"/>
  <c r="J647" i="5"/>
  <c r="H647" i="5"/>
  <c r="G647" i="5"/>
  <c r="F647" i="5"/>
  <c r="E647" i="5"/>
  <c r="D647" i="5"/>
  <c r="M697" i="5"/>
  <c r="I697" i="5"/>
  <c r="H697" i="5"/>
  <c r="G697" i="5"/>
  <c r="L799" i="5"/>
  <c r="I799" i="5"/>
  <c r="H799" i="5"/>
  <c r="G799" i="5"/>
  <c r="F805" i="5"/>
  <c r="J805" i="5"/>
  <c r="I805" i="5"/>
  <c r="H805" i="5"/>
  <c r="G863" i="5"/>
  <c r="F874" i="5"/>
  <c r="D933" i="5"/>
  <c r="L933" i="5"/>
  <c r="K933" i="5"/>
  <c r="J933" i="5"/>
  <c r="I933" i="5"/>
  <c r="H933" i="5"/>
  <c r="G933" i="5"/>
  <c r="F933" i="5"/>
  <c r="B933" i="5"/>
  <c r="M939" i="5"/>
  <c r="L939" i="5"/>
  <c r="K939" i="5"/>
  <c r="I939" i="5"/>
  <c r="E939" i="5"/>
  <c r="D939" i="5"/>
  <c r="M1004" i="5"/>
  <c r="L1004" i="5"/>
  <c r="K1004" i="5"/>
  <c r="M1100" i="5"/>
  <c r="L1100" i="5"/>
  <c r="K1100" i="5"/>
  <c r="J1100" i="5"/>
  <c r="M1190" i="5"/>
  <c r="L1190" i="5"/>
  <c r="K1190" i="5"/>
  <c r="I1190" i="5"/>
  <c r="G1190" i="5"/>
  <c r="F1190" i="5"/>
  <c r="C1190" i="5"/>
  <c r="M1213" i="5"/>
  <c r="L1213" i="5"/>
  <c r="J1213" i="5"/>
  <c r="H1213" i="5"/>
  <c r="G1213" i="5"/>
  <c r="M1510" i="5"/>
  <c r="L1510" i="5"/>
  <c r="K1510" i="5"/>
  <c r="J1510" i="5"/>
  <c r="C1510" i="5"/>
  <c r="M1998" i="5"/>
  <c r="B1998" i="5"/>
  <c r="L1998" i="5"/>
  <c r="J1998" i="5"/>
  <c r="G1998" i="5"/>
  <c r="F1998" i="5"/>
  <c r="E1998" i="5"/>
  <c r="C1998" i="5"/>
  <c r="I1998" i="5"/>
  <c r="H755" i="5"/>
  <c r="J755" i="5"/>
  <c r="I755" i="5"/>
  <c r="G755" i="5"/>
  <c r="B761" i="5"/>
  <c r="J761" i="5"/>
  <c r="I761" i="5"/>
  <c r="H761" i="5"/>
  <c r="I766" i="5"/>
  <c r="J766" i="5"/>
  <c r="H766" i="5"/>
  <c r="G766" i="5"/>
  <c r="C772" i="5"/>
  <c r="J772" i="5"/>
  <c r="I772" i="5"/>
  <c r="H772" i="5"/>
  <c r="F937" i="5"/>
  <c r="C937" i="5"/>
  <c r="M952" i="5"/>
  <c r="L952" i="5"/>
  <c r="K952" i="5"/>
  <c r="J952" i="5"/>
  <c r="C952" i="5"/>
  <c r="M1010" i="5"/>
  <c r="L1010" i="5"/>
  <c r="K1010" i="5"/>
  <c r="I1010" i="5"/>
  <c r="E1010" i="5"/>
  <c r="M1041" i="5"/>
  <c r="L1041" i="5"/>
  <c r="K1041" i="5"/>
  <c r="J1041" i="5"/>
  <c r="M1058" i="5"/>
  <c r="K1058" i="5"/>
  <c r="M1129" i="5"/>
  <c r="L1129" i="5"/>
  <c r="M1151" i="5"/>
  <c r="K1151" i="5"/>
  <c r="J1151" i="5"/>
  <c r="I1151" i="5"/>
  <c r="H1151" i="5"/>
  <c r="G1151" i="5"/>
  <c r="F1151" i="5"/>
  <c r="E1151" i="5"/>
  <c r="B1151" i="5"/>
  <c r="C1233" i="5"/>
  <c r="B1233" i="5"/>
  <c r="K1233" i="5"/>
  <c r="J1233" i="5"/>
  <c r="I1233" i="5"/>
  <c r="H1233" i="5"/>
  <c r="G1233" i="5"/>
  <c r="F1233" i="5"/>
  <c r="E1233" i="5"/>
  <c r="C1242" i="5"/>
  <c r="D1242" i="5"/>
  <c r="M1242" i="5"/>
  <c r="L1242" i="5"/>
  <c r="K1242" i="5"/>
  <c r="I1242" i="5"/>
  <c r="H1242" i="5"/>
  <c r="E1242" i="5"/>
  <c r="M1361" i="5"/>
  <c r="K1361" i="5"/>
  <c r="I1361" i="5"/>
  <c r="H1361" i="5"/>
  <c r="G1361" i="5"/>
  <c r="F1361" i="5"/>
  <c r="E1361" i="5"/>
  <c r="D1361" i="5"/>
  <c r="L1361" i="5"/>
  <c r="B1361" i="5"/>
  <c r="M1784" i="5"/>
  <c r="K1784" i="5"/>
  <c r="H1784" i="5"/>
  <c r="G1784" i="5"/>
  <c r="F1784" i="5"/>
  <c r="E1784" i="5"/>
  <c r="D1784" i="5"/>
  <c r="C1784" i="5"/>
  <c r="J1824" i="5"/>
  <c r="E1824" i="5"/>
  <c r="K1824" i="5"/>
  <c r="I1824" i="5"/>
  <c r="G1824" i="5"/>
  <c r="F1824" i="5"/>
  <c r="D1913" i="5"/>
  <c r="K1913" i="5"/>
  <c r="E1913" i="5"/>
  <c r="L1913" i="5"/>
  <c r="I1913" i="5"/>
  <c r="H1913" i="5"/>
  <c r="F1913" i="5"/>
  <c r="B1913" i="5"/>
  <c r="E1995" i="5"/>
  <c r="I1995" i="5"/>
  <c r="D873" i="5"/>
  <c r="M873" i="5"/>
  <c r="J873" i="5"/>
  <c r="I873" i="5"/>
  <c r="H873" i="5"/>
  <c r="G873" i="5"/>
  <c r="F873" i="5"/>
  <c r="B873" i="5"/>
  <c r="H1002" i="5"/>
  <c r="F1002" i="5"/>
  <c r="M1017" i="5"/>
  <c r="L1017" i="5"/>
  <c r="K1017" i="5"/>
  <c r="I1017" i="5"/>
  <c r="M1053" i="5"/>
  <c r="L1053" i="5"/>
  <c r="L1077" i="5"/>
  <c r="K1077" i="5"/>
  <c r="M1136" i="5"/>
  <c r="H1136" i="5"/>
  <c r="G1136" i="5"/>
  <c r="F1136" i="5"/>
  <c r="E1136" i="5"/>
  <c r="M1152" i="5"/>
  <c r="K1152" i="5"/>
  <c r="I1152" i="5"/>
  <c r="H1152" i="5"/>
  <c r="G1152" i="5"/>
  <c r="F1152" i="5"/>
  <c r="E1152" i="5"/>
  <c r="B1152" i="5"/>
  <c r="C1161" i="5"/>
  <c r="L1161" i="5"/>
  <c r="K1161" i="5"/>
  <c r="J1161" i="5"/>
  <c r="I1161" i="5"/>
  <c r="H1161" i="5"/>
  <c r="G1161" i="5"/>
  <c r="D1161" i="5"/>
  <c r="M1171" i="5"/>
  <c r="L1171" i="5"/>
  <c r="K1171" i="5"/>
  <c r="J1171" i="5"/>
  <c r="H1171" i="5"/>
  <c r="M1175" i="5"/>
  <c r="H1175" i="5"/>
  <c r="G1175" i="5"/>
  <c r="F1175" i="5"/>
  <c r="E1175" i="5"/>
  <c r="D1175" i="5"/>
  <c r="C1175" i="5"/>
  <c r="B1175" i="5"/>
  <c r="K1175" i="5"/>
  <c r="C1197" i="5"/>
  <c r="L1197" i="5"/>
  <c r="K1197" i="5"/>
  <c r="J1197" i="5"/>
  <c r="I1197" i="5"/>
  <c r="H1197" i="5"/>
  <c r="G1197" i="5"/>
  <c r="F1197" i="5"/>
  <c r="B1197" i="5"/>
  <c r="M1231" i="5"/>
  <c r="J1231" i="5"/>
  <c r="L1231" i="5"/>
  <c r="K1231" i="5"/>
  <c r="F1231" i="5"/>
  <c r="K1246" i="5"/>
  <c r="F1246" i="5"/>
  <c r="C1246" i="5"/>
  <c r="L1246" i="5"/>
  <c r="J1246" i="5"/>
  <c r="H1246" i="5"/>
  <c r="G1246" i="5"/>
  <c r="E1246" i="5"/>
  <c r="D1246" i="5"/>
  <c r="B1246" i="5"/>
  <c r="E1264" i="5"/>
  <c r="M1264" i="5"/>
  <c r="K1264" i="5"/>
  <c r="I1264" i="5"/>
  <c r="L1264" i="5"/>
  <c r="H1264" i="5"/>
  <c r="G1264" i="5"/>
  <c r="C1264" i="5"/>
  <c r="M1358" i="5"/>
  <c r="L1358" i="5"/>
  <c r="K1358" i="5"/>
  <c r="J1358" i="5"/>
  <c r="I1358" i="5"/>
  <c r="G1358" i="5"/>
  <c r="J1387" i="5"/>
  <c r="I1387" i="5"/>
  <c r="G1387" i="5"/>
  <c r="E1387" i="5"/>
  <c r="C1387" i="5"/>
  <c r="B1387" i="5"/>
  <c r="M1387" i="5"/>
  <c r="B1427" i="5"/>
  <c r="L1427" i="5"/>
  <c r="J1427" i="5"/>
  <c r="I1427" i="5"/>
  <c r="E1441" i="5"/>
  <c r="B1441" i="5"/>
  <c r="L1441" i="5"/>
  <c r="K1441" i="5"/>
  <c r="J1441" i="5"/>
  <c r="I1441" i="5"/>
  <c r="H1441" i="5"/>
  <c r="D1441" i="5"/>
  <c r="K1451" i="5"/>
  <c r="J1451" i="5"/>
  <c r="I1451" i="5"/>
  <c r="H1451" i="5"/>
  <c r="E1451" i="5"/>
  <c r="D1451" i="5"/>
  <c r="M1498" i="5"/>
  <c r="L1498" i="5"/>
  <c r="K1498" i="5"/>
  <c r="M1623" i="5"/>
  <c r="K1623" i="5"/>
  <c r="J1623" i="5"/>
  <c r="G1623" i="5"/>
  <c r="F1623" i="5"/>
  <c r="B1623" i="5"/>
  <c r="J1822" i="5"/>
  <c r="H1822" i="5"/>
  <c r="M1822" i="5"/>
  <c r="L1822" i="5"/>
  <c r="G1822" i="5"/>
  <c r="F1822" i="5"/>
  <c r="E1822" i="5"/>
  <c r="D1822" i="5"/>
  <c r="H1856" i="5"/>
  <c r="C1856" i="5"/>
  <c r="M1856" i="5"/>
  <c r="K1856" i="5"/>
  <c r="J1856" i="5"/>
  <c r="F1856" i="5"/>
  <c r="E1856" i="5"/>
  <c r="D1856" i="5"/>
  <c r="M705" i="5"/>
  <c r="L705" i="5"/>
  <c r="K705" i="5"/>
  <c r="E718" i="5"/>
  <c r="K718" i="5"/>
  <c r="J718" i="5"/>
  <c r="I718" i="5"/>
  <c r="H718" i="5"/>
  <c r="G718" i="5"/>
  <c r="G792" i="5"/>
  <c r="J792" i="5"/>
  <c r="I792" i="5"/>
  <c r="H792" i="5"/>
  <c r="M798" i="5"/>
  <c r="J798" i="5"/>
  <c r="H798" i="5"/>
  <c r="G798" i="5"/>
  <c r="F798" i="5"/>
  <c r="E798" i="5"/>
  <c r="D798" i="5"/>
  <c r="D861" i="5"/>
  <c r="K861" i="5"/>
  <c r="J861" i="5"/>
  <c r="I861" i="5"/>
  <c r="H861" i="5"/>
  <c r="G861" i="5"/>
  <c r="C861" i="5"/>
  <c r="C873" i="5"/>
  <c r="J899" i="5"/>
  <c r="I899" i="5"/>
  <c r="H899" i="5"/>
  <c r="G899" i="5"/>
  <c r="F899" i="5"/>
  <c r="E899" i="5"/>
  <c r="C899" i="5"/>
  <c r="C970" i="5"/>
  <c r="J970" i="5"/>
  <c r="I970" i="5"/>
  <c r="H970" i="5"/>
  <c r="G970" i="5"/>
  <c r="F970" i="5"/>
  <c r="E970" i="5"/>
  <c r="D970" i="5"/>
  <c r="J989" i="5"/>
  <c r="I989" i="5"/>
  <c r="G989" i="5"/>
  <c r="B1002" i="5"/>
  <c r="E1022" i="5"/>
  <c r="K1053" i="5"/>
  <c r="K1082" i="5"/>
  <c r="M1121" i="5"/>
  <c r="L1121" i="5"/>
  <c r="K1121" i="5"/>
  <c r="C1136" i="5"/>
  <c r="C1152" i="5"/>
  <c r="B1161" i="5"/>
  <c r="F1171" i="5"/>
  <c r="I1175" i="5"/>
  <c r="B1180" i="5"/>
  <c r="D1197" i="5"/>
  <c r="G1231" i="5"/>
  <c r="M1237" i="5"/>
  <c r="G1237" i="5"/>
  <c r="F1237" i="5"/>
  <c r="E1237" i="5"/>
  <c r="D1237" i="5"/>
  <c r="B1237" i="5"/>
  <c r="E1240" i="5"/>
  <c r="L1240" i="5"/>
  <c r="I1240" i="5"/>
  <c r="H1240" i="5"/>
  <c r="G1240" i="5"/>
  <c r="F1240" i="5"/>
  <c r="D1240" i="5"/>
  <c r="C1240" i="5"/>
  <c r="B1240" i="5"/>
  <c r="M1246" i="5"/>
  <c r="B1264" i="5"/>
  <c r="I1272" i="5"/>
  <c r="F1272" i="5"/>
  <c r="D1272" i="5"/>
  <c r="C1272" i="5"/>
  <c r="M1272" i="5"/>
  <c r="L1272" i="5"/>
  <c r="K1272" i="5"/>
  <c r="H1272" i="5"/>
  <c r="G1272" i="5"/>
  <c r="E1272" i="5"/>
  <c r="C1358" i="5"/>
  <c r="C1441" i="5"/>
  <c r="B1451" i="5"/>
  <c r="C1504" i="5"/>
  <c r="M1504" i="5"/>
  <c r="L1504" i="5"/>
  <c r="K1504" i="5"/>
  <c r="I1504" i="5"/>
  <c r="H1504" i="5"/>
  <c r="G1504" i="5"/>
  <c r="F1504" i="5"/>
  <c r="E1504" i="5"/>
  <c r="M1526" i="5"/>
  <c r="K1526" i="5"/>
  <c r="G1526" i="5"/>
  <c r="F1526" i="5"/>
  <c r="C1526" i="5"/>
  <c r="B1526" i="5"/>
  <c r="C1822" i="5"/>
  <c r="B1856" i="5"/>
  <c r="H503" i="5"/>
  <c r="H530" i="5"/>
  <c r="H539" i="5"/>
  <c r="K562" i="5"/>
  <c r="E574" i="5"/>
  <c r="C574" i="5"/>
  <c r="L574" i="5"/>
  <c r="K574" i="5"/>
  <c r="J574" i="5"/>
  <c r="L592" i="5"/>
  <c r="M592" i="5"/>
  <c r="F592" i="5"/>
  <c r="E592" i="5"/>
  <c r="D592" i="5"/>
  <c r="E705" i="5"/>
  <c r="B711" i="5"/>
  <c r="K711" i="5"/>
  <c r="G711" i="5"/>
  <c r="F711" i="5"/>
  <c r="E711" i="5"/>
  <c r="M715" i="5"/>
  <c r="L715" i="5"/>
  <c r="C718" i="5"/>
  <c r="H779" i="5"/>
  <c r="J779" i="5"/>
  <c r="I779" i="5"/>
  <c r="G779" i="5"/>
  <c r="B785" i="5"/>
  <c r="J785" i="5"/>
  <c r="I785" i="5"/>
  <c r="H785" i="5"/>
  <c r="E792" i="5"/>
  <c r="B798" i="5"/>
  <c r="M832" i="5"/>
  <c r="H832" i="5"/>
  <c r="G832" i="5"/>
  <c r="F832" i="5"/>
  <c r="D832" i="5"/>
  <c r="B832" i="5"/>
  <c r="B861" i="5"/>
  <c r="F871" i="5"/>
  <c r="J871" i="5"/>
  <c r="H871" i="5"/>
  <c r="G871" i="5"/>
  <c r="E871" i="5"/>
  <c r="D871" i="5"/>
  <c r="C871" i="5"/>
  <c r="E873" i="5"/>
  <c r="L892" i="5"/>
  <c r="B892" i="5"/>
  <c r="L899" i="5"/>
  <c r="M910" i="5"/>
  <c r="K910" i="5"/>
  <c r="J910" i="5"/>
  <c r="I910" i="5"/>
  <c r="H910" i="5"/>
  <c r="G910" i="5"/>
  <c r="D910" i="5"/>
  <c r="D921" i="5"/>
  <c r="L921" i="5"/>
  <c r="K921" i="5"/>
  <c r="J921" i="5"/>
  <c r="I921" i="5"/>
  <c r="H921" i="5"/>
  <c r="G921" i="5"/>
  <c r="F921" i="5"/>
  <c r="B921" i="5"/>
  <c r="B941" i="5"/>
  <c r="B970" i="5"/>
  <c r="B989" i="5"/>
  <c r="M1023" i="5"/>
  <c r="L1023" i="5"/>
  <c r="K1023" i="5"/>
  <c r="J1023" i="5"/>
  <c r="H1023" i="5"/>
  <c r="M1028" i="5"/>
  <c r="J1028" i="5"/>
  <c r="M1037" i="5"/>
  <c r="L1037" i="5"/>
  <c r="K1037" i="5"/>
  <c r="J1037" i="5"/>
  <c r="M1082" i="5"/>
  <c r="D1152" i="5"/>
  <c r="E1161" i="5"/>
  <c r="J1175" i="5"/>
  <c r="E1188" i="5"/>
  <c r="B1188" i="5"/>
  <c r="E1197" i="5"/>
  <c r="M1218" i="5"/>
  <c r="L1218" i="5"/>
  <c r="K1218" i="5"/>
  <c r="I1218" i="5"/>
  <c r="H1218" i="5"/>
  <c r="B1218" i="5"/>
  <c r="H1231" i="5"/>
  <c r="K1240" i="5"/>
  <c r="J1247" i="5"/>
  <c r="G1247" i="5"/>
  <c r="D1247" i="5"/>
  <c r="M1247" i="5"/>
  <c r="L1247" i="5"/>
  <c r="K1247" i="5"/>
  <c r="H1247" i="5"/>
  <c r="F1247" i="5"/>
  <c r="B1247" i="5"/>
  <c r="D1264" i="5"/>
  <c r="B1272" i="5"/>
  <c r="M1340" i="5"/>
  <c r="I1340" i="5"/>
  <c r="H1340" i="5"/>
  <c r="G1340" i="5"/>
  <c r="F1340" i="5"/>
  <c r="E1340" i="5"/>
  <c r="D1340" i="5"/>
  <c r="L1340" i="5"/>
  <c r="C1340" i="5"/>
  <c r="B1340" i="5"/>
  <c r="F1441" i="5"/>
  <c r="M1481" i="5"/>
  <c r="J1481" i="5"/>
  <c r="H1481" i="5"/>
  <c r="G1481" i="5"/>
  <c r="F1481" i="5"/>
  <c r="E1481" i="5"/>
  <c r="D1481" i="5"/>
  <c r="C1481" i="5"/>
  <c r="L1481" i="5"/>
  <c r="K1481" i="5"/>
  <c r="I1481" i="5"/>
  <c r="D1504" i="5"/>
  <c r="D1527" i="5"/>
  <c r="E1527" i="5"/>
  <c r="I705" i="5"/>
  <c r="D718" i="5"/>
  <c r="C744" i="5"/>
  <c r="J744" i="5"/>
  <c r="I744" i="5"/>
  <c r="H744" i="5"/>
  <c r="G744" i="5"/>
  <c r="F792" i="5"/>
  <c r="C798" i="5"/>
  <c r="J801" i="5"/>
  <c r="I801" i="5"/>
  <c r="H801" i="5"/>
  <c r="G801" i="5"/>
  <c r="E861" i="5"/>
  <c r="K873" i="5"/>
  <c r="M899" i="5"/>
  <c r="K970" i="5"/>
  <c r="M1127" i="5"/>
  <c r="K1127" i="5"/>
  <c r="J1127" i="5"/>
  <c r="I1127" i="5"/>
  <c r="H1127" i="5"/>
  <c r="G1127" i="5"/>
  <c r="F1127" i="5"/>
  <c r="E1127" i="5"/>
  <c r="B1127" i="5"/>
  <c r="M1153" i="5"/>
  <c r="J1153" i="5"/>
  <c r="H1153" i="5"/>
  <c r="G1153" i="5"/>
  <c r="D1153" i="5"/>
  <c r="F1161" i="5"/>
  <c r="C1173" i="5"/>
  <c r="L1173" i="5"/>
  <c r="K1173" i="5"/>
  <c r="J1173" i="5"/>
  <c r="I1173" i="5"/>
  <c r="H1173" i="5"/>
  <c r="G1173" i="5"/>
  <c r="D1173" i="5"/>
  <c r="L1175" i="5"/>
  <c r="M1182" i="5"/>
  <c r="I1182" i="5"/>
  <c r="H1182" i="5"/>
  <c r="G1182" i="5"/>
  <c r="E1182" i="5"/>
  <c r="C1182" i="5"/>
  <c r="B1182" i="5"/>
  <c r="M1198" i="5"/>
  <c r="K1198" i="5"/>
  <c r="J1198" i="5"/>
  <c r="G1198" i="5"/>
  <c r="M1204" i="5"/>
  <c r="K1204" i="5"/>
  <c r="J1204" i="5"/>
  <c r="E1204" i="5"/>
  <c r="M1240" i="5"/>
  <c r="F1264" i="5"/>
  <c r="F1275" i="5"/>
  <c r="K1275" i="5"/>
  <c r="H1275" i="5"/>
  <c r="G1275" i="5"/>
  <c r="M1275" i="5"/>
  <c r="L1275" i="5"/>
  <c r="I1275" i="5"/>
  <c r="E1275" i="5"/>
  <c r="D1275" i="5"/>
  <c r="C1275" i="5"/>
  <c r="I1284" i="5"/>
  <c r="E1284" i="5"/>
  <c r="C1284" i="5"/>
  <c r="B1284" i="5"/>
  <c r="M1284" i="5"/>
  <c r="L1284" i="5"/>
  <c r="K1284" i="5"/>
  <c r="H1284" i="5"/>
  <c r="D1284" i="5"/>
  <c r="L1407" i="5"/>
  <c r="K1407" i="5"/>
  <c r="J1407" i="5"/>
  <c r="I1407" i="5"/>
  <c r="H1407" i="5"/>
  <c r="G1441" i="5"/>
  <c r="M1448" i="5"/>
  <c r="G1448" i="5"/>
  <c r="B1481" i="5"/>
  <c r="G1527" i="5"/>
  <c r="M1608" i="5"/>
  <c r="F1608" i="5"/>
  <c r="M1643" i="5"/>
  <c r="J1643" i="5"/>
  <c r="E1643" i="5"/>
  <c r="C1643" i="5"/>
  <c r="B1643" i="5"/>
  <c r="M1711" i="5"/>
  <c r="L1711" i="5"/>
  <c r="K1711" i="5"/>
  <c r="J1711" i="5"/>
  <c r="I1711" i="5"/>
  <c r="H1711" i="5"/>
  <c r="G1711" i="5"/>
  <c r="F1711" i="5"/>
  <c r="E1711" i="5"/>
  <c r="C1711" i="5"/>
  <c r="H1754" i="5"/>
  <c r="E1754" i="5"/>
  <c r="D1854" i="5"/>
  <c r="E1854" i="5"/>
  <c r="C1854" i="5"/>
  <c r="M1937" i="5"/>
  <c r="J1937" i="5"/>
  <c r="D1937" i="5"/>
  <c r="B1937" i="5"/>
  <c r="L1937" i="5"/>
  <c r="K1937" i="5"/>
  <c r="G1937" i="5"/>
  <c r="F1937" i="5"/>
  <c r="E1937" i="5"/>
  <c r="C1937" i="5"/>
  <c r="D807" i="5"/>
  <c r="J807" i="5"/>
  <c r="I807" i="5"/>
  <c r="H807" i="5"/>
  <c r="K851" i="5"/>
  <c r="G851" i="5"/>
  <c r="F851" i="5"/>
  <c r="E851" i="5"/>
  <c r="C851" i="5"/>
  <c r="B851" i="5"/>
  <c r="B863" i="5"/>
  <c r="C863" i="5"/>
  <c r="M863" i="5"/>
  <c r="K863" i="5"/>
  <c r="J863" i="5"/>
  <c r="I863" i="5"/>
  <c r="F863" i="5"/>
  <c r="C874" i="5"/>
  <c r="K874" i="5"/>
  <c r="J874" i="5"/>
  <c r="I874" i="5"/>
  <c r="H874" i="5"/>
  <c r="G874" i="5"/>
  <c r="D874" i="5"/>
  <c r="M936" i="5"/>
  <c r="L936" i="5"/>
  <c r="K936" i="5"/>
  <c r="J936" i="5"/>
  <c r="I936" i="5"/>
  <c r="H936" i="5"/>
  <c r="G936" i="5"/>
  <c r="F936" i="5"/>
  <c r="C936" i="5"/>
  <c r="M971" i="5"/>
  <c r="I971" i="5"/>
  <c r="H971" i="5"/>
  <c r="G971" i="5"/>
  <c r="F971" i="5"/>
  <c r="C971" i="5"/>
  <c r="E992" i="5"/>
  <c r="L992" i="5"/>
  <c r="K992" i="5"/>
  <c r="J992" i="5"/>
  <c r="I992" i="5"/>
  <c r="H992" i="5"/>
  <c r="D992" i="5"/>
  <c r="M1176" i="5"/>
  <c r="H1176" i="5"/>
  <c r="G1176" i="5"/>
  <c r="F1176" i="5"/>
  <c r="E1176" i="5"/>
  <c r="C1176" i="5"/>
  <c r="B1176" i="5"/>
  <c r="C1185" i="5"/>
  <c r="J1185" i="5"/>
  <c r="I1185" i="5"/>
  <c r="H1185" i="5"/>
  <c r="G1185" i="5"/>
  <c r="F1185" i="5"/>
  <c r="E1185" i="5"/>
  <c r="D1185" i="5"/>
  <c r="G1250" i="5"/>
  <c r="L1250" i="5"/>
  <c r="H1250" i="5"/>
  <c r="K1250" i="5"/>
  <c r="I1250" i="5"/>
  <c r="F1250" i="5"/>
  <c r="E1250" i="5"/>
  <c r="D1250" i="5"/>
  <c r="C1250" i="5"/>
  <c r="B1250" i="5"/>
  <c r="K1294" i="5"/>
  <c r="B1294" i="5"/>
  <c r="M1294" i="5"/>
  <c r="L1294" i="5"/>
  <c r="J1294" i="5"/>
  <c r="H1294" i="5"/>
  <c r="G1294" i="5"/>
  <c r="F1294" i="5"/>
  <c r="E1294" i="5"/>
  <c r="D1294" i="5"/>
  <c r="M1348" i="5"/>
  <c r="L1348" i="5"/>
  <c r="I1348" i="5"/>
  <c r="F1348" i="5"/>
  <c r="M1412" i="5"/>
  <c r="L1412" i="5"/>
  <c r="I1412" i="5"/>
  <c r="H1412" i="5"/>
  <c r="F1412" i="5"/>
  <c r="D1412" i="5"/>
  <c r="M1597" i="5"/>
  <c r="K1597" i="5"/>
  <c r="E1597" i="5"/>
  <c r="M1615" i="5"/>
  <c r="I1615" i="5"/>
  <c r="H1615" i="5"/>
  <c r="G1615" i="5"/>
  <c r="F1615" i="5"/>
  <c r="E1615" i="5"/>
  <c r="D1615" i="5"/>
  <c r="C1615" i="5"/>
  <c r="B1615" i="5"/>
  <c r="L1615" i="5"/>
  <c r="K1615" i="5"/>
  <c r="L1887" i="5"/>
  <c r="H1887" i="5"/>
  <c r="C1887" i="5"/>
  <c r="I1887" i="5"/>
  <c r="G1887" i="5"/>
  <c r="F1887" i="5"/>
  <c r="I790" i="5"/>
  <c r="J790" i="5"/>
  <c r="H790" i="5"/>
  <c r="G790" i="5"/>
  <c r="C796" i="5"/>
  <c r="J796" i="5"/>
  <c r="I796" i="5"/>
  <c r="H796" i="5"/>
  <c r="F807" i="5"/>
  <c r="I851" i="5"/>
  <c r="D863" i="5"/>
  <c r="B874" i="5"/>
  <c r="M922" i="5"/>
  <c r="J922" i="5"/>
  <c r="I922" i="5"/>
  <c r="H922" i="5"/>
  <c r="G922" i="5"/>
  <c r="D922" i="5"/>
  <c r="E932" i="5"/>
  <c r="K932" i="5"/>
  <c r="J932" i="5"/>
  <c r="I932" i="5"/>
  <c r="H932" i="5"/>
  <c r="G932" i="5"/>
  <c r="F932" i="5"/>
  <c r="D932" i="5"/>
  <c r="B936" i="5"/>
  <c r="D971" i="5"/>
  <c r="F992" i="5"/>
  <c r="J1089" i="5"/>
  <c r="J1099" i="5"/>
  <c r="G1148" i="5"/>
  <c r="F1148" i="5"/>
  <c r="B1185" i="5"/>
  <c r="M1250" i="5"/>
  <c r="C1294" i="5"/>
  <c r="D1348" i="5"/>
  <c r="B1383" i="5"/>
  <c r="M1383" i="5"/>
  <c r="L1383" i="5"/>
  <c r="K1383" i="5"/>
  <c r="J1383" i="5"/>
  <c r="I1383" i="5"/>
  <c r="H1383" i="5"/>
  <c r="F1383" i="5"/>
  <c r="E1412" i="5"/>
  <c r="M1493" i="5"/>
  <c r="B1493" i="5"/>
  <c r="L1493" i="5"/>
  <c r="K1493" i="5"/>
  <c r="J1493" i="5"/>
  <c r="I1493" i="5"/>
  <c r="H1493" i="5"/>
  <c r="G1493" i="5"/>
  <c r="F1493" i="5"/>
  <c r="C1493" i="5"/>
  <c r="M1517" i="5"/>
  <c r="L1517" i="5"/>
  <c r="J1517" i="5"/>
  <c r="I1517" i="5"/>
  <c r="H1517" i="5"/>
  <c r="G1517" i="5"/>
  <c r="F1517" i="5"/>
  <c r="E1517" i="5"/>
  <c r="K1517" i="5"/>
  <c r="B1517" i="5"/>
  <c r="D1597" i="5"/>
  <c r="J1615" i="5"/>
  <c r="M1655" i="5"/>
  <c r="L1655" i="5"/>
  <c r="E1655" i="5"/>
  <c r="C1655" i="5"/>
  <c r="M1783" i="5"/>
  <c r="I1783" i="5"/>
  <c r="H1783" i="5"/>
  <c r="G1783" i="5"/>
  <c r="F1783" i="5"/>
  <c r="E1783" i="5"/>
  <c r="D1783" i="5"/>
  <c r="C1783" i="5"/>
  <c r="B1783" i="5"/>
  <c r="K1783" i="5"/>
  <c r="D1887" i="5"/>
  <c r="F885" i="5"/>
  <c r="G896" i="5"/>
  <c r="E972" i="5"/>
  <c r="F973" i="5"/>
  <c r="F993" i="5"/>
  <c r="J1006" i="5"/>
  <c r="M1024" i="5"/>
  <c r="M1039" i="5"/>
  <c r="E1043" i="5"/>
  <c r="M1044" i="5"/>
  <c r="M1119" i="5"/>
  <c r="G1135" i="5"/>
  <c r="K1219" i="5"/>
  <c r="I1226" i="5"/>
  <c r="F1238" i="5"/>
  <c r="D1241" i="5"/>
  <c r="M1241" i="5"/>
  <c r="F1248" i="5"/>
  <c r="F1252" i="5"/>
  <c r="F1280" i="5"/>
  <c r="J1307" i="5"/>
  <c r="F1307" i="5"/>
  <c r="B1307" i="5"/>
  <c r="M1307" i="5"/>
  <c r="M1397" i="5"/>
  <c r="L1397" i="5"/>
  <c r="J1397" i="5"/>
  <c r="I1397" i="5"/>
  <c r="H1397" i="5"/>
  <c r="G1397" i="5"/>
  <c r="F1397" i="5"/>
  <c r="E1397" i="5"/>
  <c r="K1402" i="5"/>
  <c r="J1402" i="5"/>
  <c r="G1402" i="5"/>
  <c r="E1402" i="5"/>
  <c r="C1402" i="5"/>
  <c r="B1402" i="5"/>
  <c r="M1422" i="5"/>
  <c r="J1422" i="5"/>
  <c r="H1422" i="5"/>
  <c r="G1422" i="5"/>
  <c r="F1422" i="5"/>
  <c r="E1422" i="5"/>
  <c r="D1422" i="5"/>
  <c r="C1422" i="5"/>
  <c r="M1457" i="5"/>
  <c r="K1457" i="5"/>
  <c r="H1457" i="5"/>
  <c r="G1457" i="5"/>
  <c r="F1457" i="5"/>
  <c r="E1457" i="5"/>
  <c r="D1457" i="5"/>
  <c r="C1457" i="5"/>
  <c r="M1575" i="5"/>
  <c r="H1575" i="5"/>
  <c r="G1575" i="5"/>
  <c r="E1575" i="5"/>
  <c r="D1575" i="5"/>
  <c r="M1583" i="5"/>
  <c r="L1583" i="5"/>
  <c r="K1583" i="5"/>
  <c r="M1745" i="5"/>
  <c r="L1745" i="5"/>
  <c r="K1745" i="5"/>
  <c r="I1745" i="5"/>
  <c r="H1745" i="5"/>
  <c r="F1745" i="5"/>
  <c r="E1745" i="5"/>
  <c r="M1790" i="5"/>
  <c r="L1790" i="5"/>
  <c r="G1790" i="5"/>
  <c r="D1829" i="5"/>
  <c r="K1829" i="5"/>
  <c r="H1829" i="5"/>
  <c r="G1829" i="5"/>
  <c r="F1833" i="5"/>
  <c r="J1833" i="5"/>
  <c r="M1922" i="5"/>
  <c r="K1922" i="5"/>
  <c r="C1922" i="5"/>
  <c r="L1922" i="5"/>
  <c r="L563" i="5"/>
  <c r="G566" i="5"/>
  <c r="M568" i="5"/>
  <c r="M582" i="5"/>
  <c r="K586" i="5"/>
  <c r="K587" i="5"/>
  <c r="G602" i="5"/>
  <c r="L638" i="5"/>
  <c r="L694" i="5"/>
  <c r="L695" i="5"/>
  <c r="I698" i="5"/>
  <c r="I722" i="5"/>
  <c r="J762" i="5"/>
  <c r="H809" i="5"/>
  <c r="G812" i="5"/>
  <c r="G814" i="5"/>
  <c r="H816" i="5"/>
  <c r="H818" i="5"/>
  <c r="H820" i="5"/>
  <c r="D822" i="5"/>
  <c r="H823" i="5"/>
  <c r="K834" i="5"/>
  <c r="M835" i="5"/>
  <c r="E838" i="5"/>
  <c r="L846" i="5"/>
  <c r="D848" i="5"/>
  <c r="F852" i="5"/>
  <c r="L858" i="5"/>
  <c r="I864" i="5"/>
  <c r="I865" i="5"/>
  <c r="M867" i="5"/>
  <c r="D872" i="5"/>
  <c r="I885" i="5"/>
  <c r="K886" i="5"/>
  <c r="I890" i="5"/>
  <c r="J896" i="5"/>
  <c r="D900" i="5"/>
  <c r="E907" i="5"/>
  <c r="J923" i="5"/>
  <c r="D948" i="5"/>
  <c r="E949" i="5"/>
  <c r="D962" i="5"/>
  <c r="H966" i="5"/>
  <c r="H972" i="5"/>
  <c r="M973" i="5"/>
  <c r="L980" i="5"/>
  <c r="M986" i="5"/>
  <c r="I993" i="5"/>
  <c r="J994" i="5"/>
  <c r="D996" i="5"/>
  <c r="M1006" i="5"/>
  <c r="L1033" i="5"/>
  <c r="H1043" i="5"/>
  <c r="L1061" i="5"/>
  <c r="I1079" i="5"/>
  <c r="D1103" i="5"/>
  <c r="J1137" i="5"/>
  <c r="K1139" i="5"/>
  <c r="E1141" i="5"/>
  <c r="L1149" i="5"/>
  <c r="I1163" i="5"/>
  <c r="M1164" i="5"/>
  <c r="D1168" i="5"/>
  <c r="D1179" i="5"/>
  <c r="D1203" i="5"/>
  <c r="J1209" i="5"/>
  <c r="L1221" i="5"/>
  <c r="I1223" i="5"/>
  <c r="M1226" i="5"/>
  <c r="L1238" i="5"/>
  <c r="E1241" i="5"/>
  <c r="K1244" i="5"/>
  <c r="L1248" i="5"/>
  <c r="I1252" i="5"/>
  <c r="I1280" i="5"/>
  <c r="G1286" i="5"/>
  <c r="H1286" i="5"/>
  <c r="E1286" i="5"/>
  <c r="D1286" i="5"/>
  <c r="D1289" i="5"/>
  <c r="L1289" i="5"/>
  <c r="I1289" i="5"/>
  <c r="H1289" i="5"/>
  <c r="B1303" i="5"/>
  <c r="D1303" i="5"/>
  <c r="M1303" i="5"/>
  <c r="K1303" i="5"/>
  <c r="I1303" i="5"/>
  <c r="E1307" i="5"/>
  <c r="L1390" i="5"/>
  <c r="J1390" i="5"/>
  <c r="F1390" i="5"/>
  <c r="E1390" i="5"/>
  <c r="D1397" i="5"/>
  <c r="K1422" i="5"/>
  <c r="L1457" i="5"/>
  <c r="M1491" i="5"/>
  <c r="J1491" i="5"/>
  <c r="I1491" i="5"/>
  <c r="H1491" i="5"/>
  <c r="G1491" i="5"/>
  <c r="F1491" i="5"/>
  <c r="E1491" i="5"/>
  <c r="M1496" i="5"/>
  <c r="K1496" i="5"/>
  <c r="E1528" i="5"/>
  <c r="D1528" i="5"/>
  <c r="C1528" i="5"/>
  <c r="J1672" i="5"/>
  <c r="M1672" i="5"/>
  <c r="L1672" i="5"/>
  <c r="I1672" i="5"/>
  <c r="H1672" i="5"/>
  <c r="G1672" i="5"/>
  <c r="F1672" i="5"/>
  <c r="M1717" i="5"/>
  <c r="L1717" i="5"/>
  <c r="K1717" i="5"/>
  <c r="J1717" i="5"/>
  <c r="M1801" i="5"/>
  <c r="L1801" i="5"/>
  <c r="I1801" i="5"/>
  <c r="H1801" i="5"/>
  <c r="F1801" i="5"/>
  <c r="E1801" i="5"/>
  <c r="K1809" i="5"/>
  <c r="M1809" i="5"/>
  <c r="L1809" i="5"/>
  <c r="H1809" i="5"/>
  <c r="G1809" i="5"/>
  <c r="F1809" i="5"/>
  <c r="E1809" i="5"/>
  <c r="H1812" i="5"/>
  <c r="L1812" i="5"/>
  <c r="M1812" i="5"/>
  <c r="I1812" i="5"/>
  <c r="G1812" i="5"/>
  <c r="F1812" i="5"/>
  <c r="E1812" i="5"/>
  <c r="D1812" i="5"/>
  <c r="I1833" i="5"/>
  <c r="I1875" i="5"/>
  <c r="D1875" i="5"/>
  <c r="M1875" i="5"/>
  <c r="L1875" i="5"/>
  <c r="K1875" i="5"/>
  <c r="H1875" i="5"/>
  <c r="G1875" i="5"/>
  <c r="F1875" i="5"/>
  <c r="B1881" i="5"/>
  <c r="M1881" i="5"/>
  <c r="G1922" i="5"/>
  <c r="H566" i="5"/>
  <c r="L586" i="5"/>
  <c r="L587" i="5"/>
  <c r="H602" i="5"/>
  <c r="B659" i="5"/>
  <c r="B660" i="5"/>
  <c r="B665" i="5"/>
  <c r="B678" i="5"/>
  <c r="K698" i="5"/>
  <c r="B703" i="5"/>
  <c r="B707" i="5"/>
  <c r="K722" i="5"/>
  <c r="K762" i="5"/>
  <c r="I809" i="5"/>
  <c r="H812" i="5"/>
  <c r="H814" i="5"/>
  <c r="I816" i="5"/>
  <c r="I818" i="5"/>
  <c r="I820" i="5"/>
  <c r="E822" i="5"/>
  <c r="I823" i="5"/>
  <c r="L834" i="5"/>
  <c r="F838" i="5"/>
  <c r="E848" i="5"/>
  <c r="H852" i="5"/>
  <c r="J864" i="5"/>
  <c r="J865" i="5"/>
  <c r="B869" i="5"/>
  <c r="F872" i="5"/>
  <c r="J885" i="5"/>
  <c r="M886" i="5"/>
  <c r="K896" i="5"/>
  <c r="E900" i="5"/>
  <c r="G907" i="5"/>
  <c r="L923" i="5"/>
  <c r="C947" i="5"/>
  <c r="E948" i="5"/>
  <c r="F949" i="5"/>
  <c r="E962" i="5"/>
  <c r="I966" i="5"/>
  <c r="I972" i="5"/>
  <c r="B982" i="5"/>
  <c r="B984" i="5"/>
  <c r="C985" i="5"/>
  <c r="E991" i="5"/>
  <c r="J993" i="5"/>
  <c r="E996" i="5"/>
  <c r="B1000" i="5"/>
  <c r="E1013" i="5"/>
  <c r="I1043" i="5"/>
  <c r="I1046" i="5"/>
  <c r="K1055" i="5"/>
  <c r="J1079" i="5"/>
  <c r="J1084" i="5"/>
  <c r="J1087" i="5"/>
  <c r="B1091" i="5"/>
  <c r="E1103" i="5"/>
  <c r="J1110" i="5"/>
  <c r="K1137" i="5"/>
  <c r="L1139" i="5"/>
  <c r="F1141" i="5"/>
  <c r="J1162" i="5"/>
  <c r="J1163" i="5"/>
  <c r="E1168" i="5"/>
  <c r="E1179" i="5"/>
  <c r="L1183" i="5"/>
  <c r="J1191" i="5"/>
  <c r="K1199" i="5"/>
  <c r="E1203" i="5"/>
  <c r="E1208" i="5"/>
  <c r="K1209" i="5"/>
  <c r="J1215" i="5"/>
  <c r="J1223" i="5"/>
  <c r="M1227" i="5"/>
  <c r="B1227" i="5"/>
  <c r="M1238" i="5"/>
  <c r="F1241" i="5"/>
  <c r="L1252" i="5"/>
  <c r="C1254" i="5"/>
  <c r="B1254" i="5"/>
  <c r="M1254" i="5"/>
  <c r="B1286" i="5"/>
  <c r="B1289" i="5"/>
  <c r="E1300" i="5"/>
  <c r="I1300" i="5"/>
  <c r="G1300" i="5"/>
  <c r="F1300" i="5"/>
  <c r="C1303" i="5"/>
  <c r="G1307" i="5"/>
  <c r="B1330" i="5"/>
  <c r="M1362" i="5"/>
  <c r="K1362" i="5"/>
  <c r="I1362" i="5"/>
  <c r="H1362" i="5"/>
  <c r="G1362" i="5"/>
  <c r="F1362" i="5"/>
  <c r="E1362" i="5"/>
  <c r="D1362" i="5"/>
  <c r="L1368" i="5"/>
  <c r="K1368" i="5"/>
  <c r="J1368" i="5"/>
  <c r="I1368" i="5"/>
  <c r="H1368" i="5"/>
  <c r="C1390" i="5"/>
  <c r="K1397" i="5"/>
  <c r="J1423" i="5"/>
  <c r="I1423" i="5"/>
  <c r="H1423" i="5"/>
  <c r="G1423" i="5"/>
  <c r="F1423" i="5"/>
  <c r="D1423" i="5"/>
  <c r="K1452" i="5"/>
  <c r="M1465" i="5"/>
  <c r="L1465" i="5"/>
  <c r="J1465" i="5"/>
  <c r="I1465" i="5"/>
  <c r="H1465" i="5"/>
  <c r="G1465" i="5"/>
  <c r="F1465" i="5"/>
  <c r="E1465" i="5"/>
  <c r="B1491" i="5"/>
  <c r="D1494" i="5"/>
  <c r="M1494" i="5"/>
  <c r="K1494" i="5"/>
  <c r="J1494" i="5"/>
  <c r="H1496" i="5"/>
  <c r="E1512" i="5"/>
  <c r="K1518" i="5"/>
  <c r="J1518" i="5"/>
  <c r="I1518" i="5"/>
  <c r="G1518" i="5"/>
  <c r="F1518" i="5"/>
  <c r="E1518" i="5"/>
  <c r="L1523" i="5"/>
  <c r="K1523" i="5"/>
  <c r="J1523" i="5"/>
  <c r="I1523" i="5"/>
  <c r="D1523" i="5"/>
  <c r="B1523" i="5"/>
  <c r="L1545" i="5"/>
  <c r="K1545" i="5"/>
  <c r="J1545" i="5"/>
  <c r="I1564" i="5"/>
  <c r="H1564" i="5"/>
  <c r="F1564" i="5"/>
  <c r="L1569" i="5"/>
  <c r="K1569" i="5"/>
  <c r="K1633" i="5"/>
  <c r="M1633" i="5"/>
  <c r="L1633" i="5"/>
  <c r="J1633" i="5"/>
  <c r="I1633" i="5"/>
  <c r="H1633" i="5"/>
  <c r="F1633" i="5"/>
  <c r="E1633" i="5"/>
  <c r="M1650" i="5"/>
  <c r="L1650" i="5"/>
  <c r="K1650" i="5"/>
  <c r="J1650" i="5"/>
  <c r="H1650" i="5"/>
  <c r="G1650" i="5"/>
  <c r="E1650" i="5"/>
  <c r="D1650" i="5"/>
  <c r="B1672" i="5"/>
  <c r="M1708" i="5"/>
  <c r="I1708" i="5"/>
  <c r="H1708" i="5"/>
  <c r="I1717" i="5"/>
  <c r="F1721" i="5"/>
  <c r="F1773" i="5"/>
  <c r="C1773" i="5"/>
  <c r="M1795" i="5"/>
  <c r="K1795" i="5"/>
  <c r="J1795" i="5"/>
  <c r="I1795" i="5"/>
  <c r="H1795" i="5"/>
  <c r="G1795" i="5"/>
  <c r="F1795" i="5"/>
  <c r="E1795" i="5"/>
  <c r="D1795" i="5"/>
  <c r="C1801" i="5"/>
  <c r="C1809" i="5"/>
  <c r="C1812" i="5"/>
  <c r="J1848" i="5"/>
  <c r="E1848" i="5"/>
  <c r="M1848" i="5"/>
  <c r="L1848" i="5"/>
  <c r="K1848" i="5"/>
  <c r="I1848" i="5"/>
  <c r="G1848" i="5"/>
  <c r="F1848" i="5"/>
  <c r="D1848" i="5"/>
  <c r="C1848" i="5"/>
  <c r="B1875" i="5"/>
  <c r="G1881" i="5"/>
  <c r="M1977" i="5"/>
  <c r="I1977" i="5"/>
  <c r="G1977" i="5"/>
  <c r="D1977" i="5"/>
  <c r="C1977" i="5"/>
  <c r="B1977" i="5"/>
  <c r="B563" i="5"/>
  <c r="I566" i="5"/>
  <c r="L698" i="5"/>
  <c r="L722" i="5"/>
  <c r="L762" i="5"/>
  <c r="J809" i="5"/>
  <c r="I812" i="5"/>
  <c r="J814" i="5"/>
  <c r="J816" i="5"/>
  <c r="J818" i="5"/>
  <c r="J820" i="5"/>
  <c r="F822" i="5"/>
  <c r="J823" i="5"/>
  <c r="G838" i="5"/>
  <c r="F848" i="5"/>
  <c r="J852" i="5"/>
  <c r="K864" i="5"/>
  <c r="M865" i="5"/>
  <c r="G872" i="5"/>
  <c r="K885" i="5"/>
  <c r="M896" i="5"/>
  <c r="F900" i="5"/>
  <c r="H907" i="5"/>
  <c r="M923" i="5"/>
  <c r="F948" i="5"/>
  <c r="G949" i="5"/>
  <c r="F962" i="5"/>
  <c r="J966" i="5"/>
  <c r="J972" i="5"/>
  <c r="K993" i="5"/>
  <c r="F996" i="5"/>
  <c r="J1043" i="5"/>
  <c r="K1079" i="5"/>
  <c r="F1103" i="5"/>
  <c r="L1137" i="5"/>
  <c r="G1141" i="5"/>
  <c r="K1163" i="5"/>
  <c r="G1168" i="5"/>
  <c r="F1179" i="5"/>
  <c r="F1203" i="5"/>
  <c r="L1209" i="5"/>
  <c r="K1223" i="5"/>
  <c r="F1239" i="5"/>
  <c r="K1239" i="5"/>
  <c r="G1241" i="5"/>
  <c r="L1245" i="5"/>
  <c r="E1245" i="5"/>
  <c r="B1245" i="5"/>
  <c r="H1249" i="5"/>
  <c r="K1249" i="5"/>
  <c r="F1249" i="5"/>
  <c r="J1271" i="5"/>
  <c r="E1271" i="5"/>
  <c r="C1271" i="5"/>
  <c r="B1271" i="5"/>
  <c r="G1274" i="5"/>
  <c r="I1274" i="5"/>
  <c r="F1274" i="5"/>
  <c r="E1274" i="5"/>
  <c r="D1277" i="5"/>
  <c r="M1277" i="5"/>
  <c r="K1277" i="5"/>
  <c r="I1277" i="5"/>
  <c r="L1281" i="5"/>
  <c r="B1281" i="5"/>
  <c r="M1281" i="5"/>
  <c r="H1307" i="5"/>
  <c r="M1309" i="5"/>
  <c r="H1309" i="5"/>
  <c r="D1309" i="5"/>
  <c r="C1309" i="5"/>
  <c r="K1354" i="5"/>
  <c r="J1354" i="5"/>
  <c r="G1354" i="5"/>
  <c r="E1354" i="5"/>
  <c r="D1354" i="5"/>
  <c r="C1354" i="5"/>
  <c r="L1365" i="5"/>
  <c r="K1365" i="5"/>
  <c r="F1365" i="5"/>
  <c r="E1365" i="5"/>
  <c r="D1365" i="5"/>
  <c r="B1365" i="5"/>
  <c r="M1398" i="5"/>
  <c r="J1398" i="5"/>
  <c r="I1398" i="5"/>
  <c r="H1398" i="5"/>
  <c r="G1398" i="5"/>
  <c r="F1398" i="5"/>
  <c r="E1398" i="5"/>
  <c r="M1459" i="5"/>
  <c r="L1459" i="5"/>
  <c r="J1459" i="5"/>
  <c r="I1459" i="5"/>
  <c r="D1459" i="5"/>
  <c r="C1459" i="5"/>
  <c r="M1473" i="5"/>
  <c r="K1473" i="5"/>
  <c r="F1473" i="5"/>
  <c r="D1473" i="5"/>
  <c r="M1532" i="5"/>
  <c r="L1532" i="5"/>
  <c r="K1532" i="5"/>
  <c r="I1532" i="5"/>
  <c r="H1532" i="5"/>
  <c r="G1532" i="5"/>
  <c r="E1532" i="5"/>
  <c r="D1532" i="5"/>
  <c r="M1558" i="5"/>
  <c r="L1558" i="5"/>
  <c r="K1558" i="5"/>
  <c r="J1558" i="5"/>
  <c r="L1589" i="5"/>
  <c r="K1589" i="5"/>
  <c r="M1601" i="5"/>
  <c r="L1601" i="5"/>
  <c r="K1601" i="5"/>
  <c r="H1601" i="5"/>
  <c r="M1616" i="5"/>
  <c r="K1616" i="5"/>
  <c r="I1616" i="5"/>
  <c r="H1616" i="5"/>
  <c r="F1616" i="5"/>
  <c r="D1616" i="5"/>
  <c r="C1616" i="5"/>
  <c r="M1638" i="5"/>
  <c r="L1638" i="5"/>
  <c r="K1638" i="5"/>
  <c r="J1638" i="5"/>
  <c r="H1638" i="5"/>
  <c r="E1638" i="5"/>
  <c r="K1685" i="5"/>
  <c r="L1685" i="5"/>
  <c r="I1685" i="5"/>
  <c r="H1685" i="5"/>
  <c r="G1685" i="5"/>
  <c r="F1685" i="5"/>
  <c r="E1685" i="5"/>
  <c r="D1685" i="5"/>
  <c r="B1685" i="5"/>
  <c r="M1743" i="5"/>
  <c r="L1743" i="5"/>
  <c r="K1743" i="5"/>
  <c r="I1743" i="5"/>
  <c r="H1743" i="5"/>
  <c r="G1743" i="5"/>
  <c r="H1844" i="5"/>
  <c r="M1844" i="5"/>
  <c r="K1844" i="5"/>
  <c r="L1851" i="5"/>
  <c r="F1851" i="5"/>
  <c r="M1851" i="5"/>
  <c r="K1851" i="5"/>
  <c r="I1851" i="5"/>
  <c r="G822" i="5"/>
  <c r="B825" i="5"/>
  <c r="F826" i="5"/>
  <c r="B829" i="5"/>
  <c r="B834" i="5"/>
  <c r="C835" i="5"/>
  <c r="C836" i="5"/>
  <c r="E837" i="5"/>
  <c r="H838" i="5"/>
  <c r="C846" i="5"/>
  <c r="D847" i="5"/>
  <c r="G848" i="5"/>
  <c r="B850" i="5"/>
  <c r="K852" i="5"/>
  <c r="C858" i="5"/>
  <c r="D859" i="5"/>
  <c r="K862" i="5"/>
  <c r="L864" i="5"/>
  <c r="B867" i="5"/>
  <c r="C868" i="5"/>
  <c r="D869" i="5"/>
  <c r="H872" i="5"/>
  <c r="K875" i="5"/>
  <c r="J876" i="5"/>
  <c r="J877" i="5"/>
  <c r="J878" i="5"/>
  <c r="K879" i="5"/>
  <c r="K880" i="5"/>
  <c r="L885" i="5"/>
  <c r="B891" i="5"/>
  <c r="C893" i="5"/>
  <c r="E898" i="5"/>
  <c r="G900" i="5"/>
  <c r="I907" i="5"/>
  <c r="D920" i="5"/>
  <c r="B930" i="5"/>
  <c r="C938" i="5"/>
  <c r="F942" i="5"/>
  <c r="B946" i="5"/>
  <c r="E947" i="5"/>
  <c r="G948" i="5"/>
  <c r="K949" i="5"/>
  <c r="B958" i="5"/>
  <c r="J962" i="5"/>
  <c r="K966" i="5"/>
  <c r="D968" i="5"/>
  <c r="K972" i="5"/>
  <c r="C981" i="5"/>
  <c r="E982" i="5"/>
  <c r="D984" i="5"/>
  <c r="D987" i="5"/>
  <c r="I991" i="5"/>
  <c r="L993" i="5"/>
  <c r="D995" i="5"/>
  <c r="G996" i="5"/>
  <c r="H1000" i="5"/>
  <c r="F1003" i="5"/>
  <c r="C1007" i="5"/>
  <c r="I1013" i="5"/>
  <c r="J1019" i="5"/>
  <c r="H1021" i="5"/>
  <c r="I1026" i="5"/>
  <c r="K1043" i="5"/>
  <c r="K1059" i="5"/>
  <c r="J1066" i="5"/>
  <c r="J1067" i="5"/>
  <c r="L1079" i="5"/>
  <c r="D1091" i="5"/>
  <c r="I1093" i="5"/>
  <c r="J1097" i="5"/>
  <c r="G1103" i="5"/>
  <c r="I1130" i="5"/>
  <c r="B1139" i="5"/>
  <c r="D1140" i="5"/>
  <c r="H1141" i="5"/>
  <c r="B1149" i="5"/>
  <c r="D1150" i="5"/>
  <c r="E1155" i="5"/>
  <c r="L1163" i="5"/>
  <c r="H1179" i="5"/>
  <c r="E1184" i="5"/>
  <c r="B1189" i="5"/>
  <c r="L1191" i="5"/>
  <c r="H1203" i="5"/>
  <c r="C1205" i="5"/>
  <c r="L1215" i="5"/>
  <c r="B1221" i="5"/>
  <c r="L1223" i="5"/>
  <c r="E1232" i="5"/>
  <c r="B1239" i="5"/>
  <c r="H1241" i="5"/>
  <c r="C1245" i="5"/>
  <c r="B1249" i="5"/>
  <c r="J1259" i="5"/>
  <c r="F1259" i="5"/>
  <c r="D1259" i="5"/>
  <c r="C1259" i="5"/>
  <c r="G1262" i="5"/>
  <c r="K1262" i="5"/>
  <c r="H1262" i="5"/>
  <c r="F1262" i="5"/>
  <c r="D1265" i="5"/>
  <c r="L1265" i="5"/>
  <c r="K1265" i="5"/>
  <c r="D1271" i="5"/>
  <c r="B1274" i="5"/>
  <c r="B1277" i="5"/>
  <c r="C1281" i="5"/>
  <c r="F1286" i="5"/>
  <c r="E1289" i="5"/>
  <c r="F1303" i="5"/>
  <c r="L1305" i="5"/>
  <c r="D1305" i="5"/>
  <c r="K1305" i="5"/>
  <c r="J1305" i="5"/>
  <c r="K1307" i="5"/>
  <c r="G1309" i="5"/>
  <c r="M1314" i="5"/>
  <c r="I1314" i="5"/>
  <c r="G1314" i="5"/>
  <c r="E1314" i="5"/>
  <c r="C1314" i="5"/>
  <c r="B1314" i="5"/>
  <c r="B1327" i="5"/>
  <c r="J1327" i="5"/>
  <c r="H1327" i="5"/>
  <c r="G1327" i="5"/>
  <c r="E1330" i="5"/>
  <c r="M1341" i="5"/>
  <c r="L1341" i="5"/>
  <c r="K1341" i="5"/>
  <c r="H1341" i="5"/>
  <c r="G1341" i="5"/>
  <c r="M1354" i="5"/>
  <c r="M1365" i="5"/>
  <c r="B1398" i="5"/>
  <c r="E1453" i="5"/>
  <c r="K1453" i="5"/>
  <c r="I1453" i="5"/>
  <c r="H1453" i="5"/>
  <c r="G1453" i="5"/>
  <c r="F1453" i="5"/>
  <c r="D1453" i="5"/>
  <c r="C1453" i="5"/>
  <c r="B1459" i="5"/>
  <c r="K1482" i="5"/>
  <c r="I1482" i="5"/>
  <c r="G1482" i="5"/>
  <c r="L1491" i="5"/>
  <c r="E1501" i="5"/>
  <c r="J1501" i="5"/>
  <c r="H1501" i="5"/>
  <c r="G1501" i="5"/>
  <c r="F1501" i="5"/>
  <c r="D1501" i="5"/>
  <c r="C1501" i="5"/>
  <c r="B1501" i="5"/>
  <c r="L1512" i="5"/>
  <c r="I1540" i="5"/>
  <c r="H1540" i="5"/>
  <c r="F1540" i="5"/>
  <c r="D1540" i="5"/>
  <c r="I1558" i="5"/>
  <c r="M1577" i="5"/>
  <c r="J1577" i="5"/>
  <c r="I1577" i="5"/>
  <c r="H1577" i="5"/>
  <c r="G1577" i="5"/>
  <c r="F1577" i="5"/>
  <c r="E1577" i="5"/>
  <c r="D1577" i="5"/>
  <c r="C1577" i="5"/>
  <c r="J1589" i="5"/>
  <c r="B1593" i="5"/>
  <c r="M1595" i="5"/>
  <c r="L1595" i="5"/>
  <c r="K1595" i="5"/>
  <c r="J1595" i="5"/>
  <c r="H1595" i="5"/>
  <c r="F1595" i="5"/>
  <c r="E1595" i="5"/>
  <c r="G1601" i="5"/>
  <c r="E1648" i="5"/>
  <c r="M1651" i="5"/>
  <c r="L1651" i="5"/>
  <c r="K1651" i="5"/>
  <c r="J1651" i="5"/>
  <c r="I1651" i="5"/>
  <c r="H1651" i="5"/>
  <c r="G1651" i="5"/>
  <c r="F1651" i="5"/>
  <c r="E1651" i="5"/>
  <c r="E1672" i="5"/>
  <c r="M1685" i="5"/>
  <c r="I1721" i="5"/>
  <c r="M1732" i="5"/>
  <c r="L1732" i="5"/>
  <c r="K1732" i="5"/>
  <c r="I1732" i="5"/>
  <c r="H1732" i="5"/>
  <c r="F1732" i="5"/>
  <c r="C1743" i="5"/>
  <c r="M1752" i="5"/>
  <c r="L1752" i="5"/>
  <c r="K1752" i="5"/>
  <c r="I1752" i="5"/>
  <c r="G1752" i="5"/>
  <c r="M1798" i="5"/>
  <c r="L1798" i="5"/>
  <c r="H1798" i="5"/>
  <c r="M1831" i="5"/>
  <c r="L1831" i="5"/>
  <c r="H1831" i="5"/>
  <c r="D1831" i="5"/>
  <c r="K1831" i="5"/>
  <c r="J1831" i="5"/>
  <c r="I1831" i="5"/>
  <c r="G1831" i="5"/>
  <c r="F1831" i="5"/>
  <c r="H1842" i="5"/>
  <c r="K1842" i="5"/>
  <c r="G1844" i="5"/>
  <c r="B1851" i="5"/>
  <c r="C1863" i="5"/>
  <c r="M1863" i="5"/>
  <c r="H1863" i="5"/>
  <c r="L1863" i="5"/>
  <c r="K1863" i="5"/>
  <c r="I1863" i="5"/>
  <c r="G1863" i="5"/>
  <c r="F1863" i="5"/>
  <c r="M1903" i="5"/>
  <c r="K1903" i="5"/>
  <c r="G1903" i="5"/>
  <c r="C1903" i="5"/>
  <c r="L1903" i="5"/>
  <c r="J1903" i="5"/>
  <c r="I1903" i="5"/>
  <c r="H1903" i="5"/>
  <c r="F1903" i="5"/>
  <c r="E1903" i="5"/>
  <c r="D1903" i="5"/>
  <c r="M1945" i="5"/>
  <c r="B1945" i="5"/>
  <c r="K1945" i="5"/>
  <c r="G1945" i="5"/>
  <c r="E1945" i="5"/>
  <c r="C1945" i="5"/>
  <c r="L1945" i="5"/>
  <c r="J1945" i="5"/>
  <c r="I1945" i="5"/>
  <c r="H1945" i="5"/>
  <c r="H1977" i="5"/>
  <c r="E613" i="5"/>
  <c r="B616" i="5"/>
  <c r="B641" i="5"/>
  <c r="H822" i="5"/>
  <c r="C825" i="5"/>
  <c r="C834" i="5"/>
  <c r="D835" i="5"/>
  <c r="J838" i="5"/>
  <c r="H848" i="5"/>
  <c r="C867" i="5"/>
  <c r="I872" i="5"/>
  <c r="H900" i="5"/>
  <c r="H948" i="5"/>
  <c r="L972" i="5"/>
  <c r="H996" i="5"/>
  <c r="H1003" i="5"/>
  <c r="J1021" i="5"/>
  <c r="L1043" i="5"/>
  <c r="J1093" i="5"/>
  <c r="H1103" i="5"/>
  <c r="C1139" i="5"/>
  <c r="E1140" i="5"/>
  <c r="J1141" i="5"/>
  <c r="J1179" i="5"/>
  <c r="G1184" i="5"/>
  <c r="J1203" i="5"/>
  <c r="G1232" i="5"/>
  <c r="C1239" i="5"/>
  <c r="I1241" i="5"/>
  <c r="M1244" i="5"/>
  <c r="E1244" i="5"/>
  <c r="B1244" i="5"/>
  <c r="D1245" i="5"/>
  <c r="C1249" i="5"/>
  <c r="F1271" i="5"/>
  <c r="C1274" i="5"/>
  <c r="H1285" i="5"/>
  <c r="F1285" i="5"/>
  <c r="D1285" i="5"/>
  <c r="C1285" i="5"/>
  <c r="E1288" i="5"/>
  <c r="K1288" i="5"/>
  <c r="H1288" i="5"/>
  <c r="G1288" i="5"/>
  <c r="B1291" i="5"/>
  <c r="L1291" i="5"/>
  <c r="K1291" i="5"/>
  <c r="H1297" i="5"/>
  <c r="K1297" i="5"/>
  <c r="E1297" i="5"/>
  <c r="C1297" i="5"/>
  <c r="B1297" i="5"/>
  <c r="L1307" i="5"/>
  <c r="I1309" i="5"/>
  <c r="L1345" i="5"/>
  <c r="B1345" i="5"/>
  <c r="M1345" i="5"/>
  <c r="K1345" i="5"/>
  <c r="J1345" i="5"/>
  <c r="C1398" i="5"/>
  <c r="M1421" i="5"/>
  <c r="J1421" i="5"/>
  <c r="H1421" i="5"/>
  <c r="G1421" i="5"/>
  <c r="F1421" i="5"/>
  <c r="E1421" i="5"/>
  <c r="D1421" i="5"/>
  <c r="C1421" i="5"/>
  <c r="B1460" i="5"/>
  <c r="M1460" i="5"/>
  <c r="M1492" i="5"/>
  <c r="L1492" i="5"/>
  <c r="K1492" i="5"/>
  <c r="I1492" i="5"/>
  <c r="H1492" i="5"/>
  <c r="G1492" i="5"/>
  <c r="C1514" i="5"/>
  <c r="B1514" i="5"/>
  <c r="M1551" i="5"/>
  <c r="H1551" i="5"/>
  <c r="G1551" i="5"/>
  <c r="D1551" i="5"/>
  <c r="D1593" i="5"/>
  <c r="F1648" i="5"/>
  <c r="M1675" i="5"/>
  <c r="J1675" i="5"/>
  <c r="I1675" i="5"/>
  <c r="H1675" i="5"/>
  <c r="G1675" i="5"/>
  <c r="F1675" i="5"/>
  <c r="E1675" i="5"/>
  <c r="D1675" i="5"/>
  <c r="C1675" i="5"/>
  <c r="L1686" i="5"/>
  <c r="M1686" i="5"/>
  <c r="K1686" i="5"/>
  <c r="J1686" i="5"/>
  <c r="H1686" i="5"/>
  <c r="G1686" i="5"/>
  <c r="F1686" i="5"/>
  <c r="M1689" i="5"/>
  <c r="B1689" i="5"/>
  <c r="M1739" i="5"/>
  <c r="L1739" i="5"/>
  <c r="K1739" i="5"/>
  <c r="H1739" i="5"/>
  <c r="G1739" i="5"/>
  <c r="E1739" i="5"/>
  <c r="D1739" i="5"/>
  <c r="C1739" i="5"/>
  <c r="D1743" i="5"/>
  <c r="L1778" i="5"/>
  <c r="G1778" i="5"/>
  <c r="C1805" i="5"/>
  <c r="D1805" i="5"/>
  <c r="M1805" i="5"/>
  <c r="L1805" i="5"/>
  <c r="I1805" i="5"/>
  <c r="H1805" i="5"/>
  <c r="G1805" i="5"/>
  <c r="F1805" i="5"/>
  <c r="D1851" i="5"/>
  <c r="M1933" i="5"/>
  <c r="G1933" i="5"/>
  <c r="D1933" i="5"/>
  <c r="L1933" i="5"/>
  <c r="J1933" i="5"/>
  <c r="H1933" i="5"/>
  <c r="K1933" i="5"/>
  <c r="I1933" i="5"/>
  <c r="F1933" i="5"/>
  <c r="E1933" i="5"/>
  <c r="C1933" i="5"/>
  <c r="C1978" i="5"/>
  <c r="L1978" i="5"/>
  <c r="J1978" i="5"/>
  <c r="H1978" i="5"/>
  <c r="G1978" i="5"/>
  <c r="E1978" i="5"/>
  <c r="K1978" i="5"/>
  <c r="F1978" i="5"/>
  <c r="B1978" i="5"/>
  <c r="I1248" i="5"/>
  <c r="H1248" i="5"/>
  <c r="E1248" i="5"/>
  <c r="E1252" i="5"/>
  <c r="K1252" i="5"/>
  <c r="M1280" i="5"/>
  <c r="B1280" i="5"/>
  <c r="L1280" i="5"/>
  <c r="K1280" i="5"/>
  <c r="C1302" i="5"/>
  <c r="B1302" i="5"/>
  <c r="L1302" i="5"/>
  <c r="I1302" i="5"/>
  <c r="H1302" i="5"/>
  <c r="M1310" i="5"/>
  <c r="C1310" i="5"/>
  <c r="K1310" i="5"/>
  <c r="M1347" i="5"/>
  <c r="K1347" i="5"/>
  <c r="I1347" i="5"/>
  <c r="H1347" i="5"/>
  <c r="F1347" i="5"/>
  <c r="E1347" i="5"/>
  <c r="B1347" i="5"/>
  <c r="M1363" i="5"/>
  <c r="I1363" i="5"/>
  <c r="H1363" i="5"/>
  <c r="G1363" i="5"/>
  <c r="E1363" i="5"/>
  <c r="L1381" i="5"/>
  <c r="K1381" i="5"/>
  <c r="J1381" i="5"/>
  <c r="D1398" i="5"/>
  <c r="B1421" i="5"/>
  <c r="J1453" i="5"/>
  <c r="C1460" i="5"/>
  <c r="K1465" i="5"/>
  <c r="D1492" i="5"/>
  <c r="I1494" i="5"/>
  <c r="K1501" i="5"/>
  <c r="M1518" i="5"/>
  <c r="M1534" i="5"/>
  <c r="L1534" i="5"/>
  <c r="K1534" i="5"/>
  <c r="J1534" i="5"/>
  <c r="G1534" i="5"/>
  <c r="B1551" i="5"/>
  <c r="E1573" i="5"/>
  <c r="K1573" i="5"/>
  <c r="J1573" i="5"/>
  <c r="I1573" i="5"/>
  <c r="H1573" i="5"/>
  <c r="G1573" i="5"/>
  <c r="F1573" i="5"/>
  <c r="D1573" i="5"/>
  <c r="C1573" i="5"/>
  <c r="K1577" i="5"/>
  <c r="E1593" i="5"/>
  <c r="F1610" i="5"/>
  <c r="L1610" i="5"/>
  <c r="K1610" i="5"/>
  <c r="J1610" i="5"/>
  <c r="I1610" i="5"/>
  <c r="H1610" i="5"/>
  <c r="G1610" i="5"/>
  <c r="E1610" i="5"/>
  <c r="C1651" i="5"/>
  <c r="M1662" i="5"/>
  <c r="L1662" i="5"/>
  <c r="K1662" i="5"/>
  <c r="J1662" i="5"/>
  <c r="M1667" i="5"/>
  <c r="L1667" i="5"/>
  <c r="K1667" i="5"/>
  <c r="B1667" i="5"/>
  <c r="B1675" i="5"/>
  <c r="D1686" i="5"/>
  <c r="E1732" i="5"/>
  <c r="F1743" i="5"/>
  <c r="D1752" i="5"/>
  <c r="M1766" i="5"/>
  <c r="L1766" i="5"/>
  <c r="I1766" i="5"/>
  <c r="H1766" i="5"/>
  <c r="G1766" i="5"/>
  <c r="E1766" i="5"/>
  <c r="D1778" i="5"/>
  <c r="F1798" i="5"/>
  <c r="E1805" i="5"/>
  <c r="C1831" i="5"/>
  <c r="G1842" i="5"/>
  <c r="H1851" i="5"/>
  <c r="K1889" i="5"/>
  <c r="F1889" i="5"/>
  <c r="M1889" i="5"/>
  <c r="L1889" i="5"/>
  <c r="I1889" i="5"/>
  <c r="H1889" i="5"/>
  <c r="G1889" i="5"/>
  <c r="E1889" i="5"/>
  <c r="D1889" i="5"/>
  <c r="B1933" i="5"/>
  <c r="M1942" i="5"/>
  <c r="F1945" i="5"/>
  <c r="G550" i="5"/>
  <c r="D586" i="5"/>
  <c r="E587" i="5"/>
  <c r="F588" i="5"/>
  <c r="D616" i="5"/>
  <c r="J628" i="5"/>
  <c r="H634" i="5"/>
  <c r="E638" i="5"/>
  <c r="G639" i="5"/>
  <c r="F652" i="5"/>
  <c r="G658" i="5"/>
  <c r="G659" i="5"/>
  <c r="H660" i="5"/>
  <c r="C676" i="5"/>
  <c r="F688" i="5"/>
  <c r="F694" i="5"/>
  <c r="F695" i="5"/>
  <c r="G696" i="5"/>
  <c r="C698" i="5"/>
  <c r="D699" i="5"/>
  <c r="G706" i="5"/>
  <c r="G707" i="5"/>
  <c r="H708" i="5"/>
  <c r="C712" i="5"/>
  <c r="C722" i="5"/>
  <c r="D723" i="5"/>
  <c r="G734" i="5"/>
  <c r="H749" i="5"/>
  <c r="G752" i="5"/>
  <c r="G754" i="5"/>
  <c r="H756" i="5"/>
  <c r="H758" i="5"/>
  <c r="H760" i="5"/>
  <c r="D762" i="5"/>
  <c r="G763" i="5"/>
  <c r="G765" i="5"/>
  <c r="G767" i="5"/>
  <c r="H769" i="5"/>
  <c r="H771" i="5"/>
  <c r="H773" i="5"/>
  <c r="G776" i="5"/>
  <c r="G778" i="5"/>
  <c r="H780" i="5"/>
  <c r="H782" i="5"/>
  <c r="H784" i="5"/>
  <c r="D786" i="5"/>
  <c r="G787" i="5"/>
  <c r="G789" i="5"/>
  <c r="G791" i="5"/>
  <c r="H793" i="5"/>
  <c r="H795" i="5"/>
  <c r="H797" i="5"/>
  <c r="G800" i="5"/>
  <c r="G802" i="5"/>
  <c r="H804" i="5"/>
  <c r="J822" i="5"/>
  <c r="E834" i="5"/>
  <c r="F836" i="5"/>
  <c r="H837" i="5"/>
  <c r="F846" i="5"/>
  <c r="G847" i="5"/>
  <c r="J848" i="5"/>
  <c r="F850" i="5"/>
  <c r="F858" i="5"/>
  <c r="G859" i="5"/>
  <c r="C864" i="5"/>
  <c r="C865" i="5"/>
  <c r="E867" i="5"/>
  <c r="F868" i="5"/>
  <c r="G869" i="5"/>
  <c r="K872" i="5"/>
  <c r="B885" i="5"/>
  <c r="D888" i="5"/>
  <c r="G893" i="5"/>
  <c r="C896" i="5"/>
  <c r="E897" i="5"/>
  <c r="J900" i="5"/>
  <c r="D912" i="5"/>
  <c r="H920" i="5"/>
  <c r="E945" i="5"/>
  <c r="F946" i="5"/>
  <c r="J948" i="5"/>
  <c r="E957" i="5"/>
  <c r="F958" i="5"/>
  <c r="D960" i="5"/>
  <c r="H968" i="5"/>
  <c r="B972" i="5"/>
  <c r="F980" i="5"/>
  <c r="G981" i="5"/>
  <c r="H982" i="5"/>
  <c r="G984" i="5"/>
  <c r="B993" i="5"/>
  <c r="D994" i="5"/>
  <c r="J996" i="5"/>
  <c r="F1007" i="5"/>
  <c r="B1043" i="5"/>
  <c r="C1079" i="5"/>
  <c r="G1091" i="5"/>
  <c r="J1103" i="5"/>
  <c r="D1137" i="5"/>
  <c r="E1139" i="5"/>
  <c r="G1140" i="5"/>
  <c r="F1149" i="5"/>
  <c r="G1150" i="5"/>
  <c r="C1163" i="5"/>
  <c r="L1179" i="5"/>
  <c r="F1189" i="5"/>
  <c r="D1195" i="5"/>
  <c r="L1203" i="5"/>
  <c r="D1209" i="5"/>
  <c r="C1216" i="5"/>
  <c r="F1221" i="5"/>
  <c r="C1223" i="5"/>
  <c r="C1224" i="5"/>
  <c r="C1238" i="5"/>
  <c r="E1239" i="5"/>
  <c r="L1241" i="5"/>
  <c r="D1244" i="5"/>
  <c r="G1245" i="5"/>
  <c r="B1248" i="5"/>
  <c r="E1249" i="5"/>
  <c r="B1252" i="5"/>
  <c r="G1259" i="5"/>
  <c r="H1271" i="5"/>
  <c r="H1273" i="5"/>
  <c r="G1273" i="5"/>
  <c r="E1273" i="5"/>
  <c r="D1273" i="5"/>
  <c r="H1274" i="5"/>
  <c r="E1276" i="5"/>
  <c r="L1276" i="5"/>
  <c r="I1276" i="5"/>
  <c r="H1276" i="5"/>
  <c r="F1277" i="5"/>
  <c r="C1280" i="5"/>
  <c r="F1281" i="5"/>
  <c r="E1285" i="5"/>
  <c r="L1286" i="5"/>
  <c r="C1288" i="5"/>
  <c r="K1289" i="5"/>
  <c r="D1291" i="5"/>
  <c r="F1297" i="5"/>
  <c r="F1299" i="5"/>
  <c r="M1299" i="5"/>
  <c r="H1299" i="5"/>
  <c r="E1299" i="5"/>
  <c r="D1299" i="5"/>
  <c r="D1302" i="5"/>
  <c r="L1303" i="5"/>
  <c r="B1310" i="5"/>
  <c r="L1324" i="5"/>
  <c r="J1324" i="5"/>
  <c r="H1324" i="5"/>
  <c r="E1324" i="5"/>
  <c r="D1324" i="5"/>
  <c r="E1327" i="5"/>
  <c r="E1341" i="5"/>
  <c r="D1345" i="5"/>
  <c r="L1347" i="5"/>
  <c r="B1363" i="5"/>
  <c r="M1396" i="5"/>
  <c r="K1396" i="5"/>
  <c r="J1396" i="5"/>
  <c r="I1396" i="5"/>
  <c r="H1396" i="5"/>
  <c r="F1396" i="5"/>
  <c r="E1396" i="5"/>
  <c r="K1398" i="5"/>
  <c r="I1421" i="5"/>
  <c r="L1453" i="5"/>
  <c r="D1460" i="5"/>
  <c r="K1466" i="5"/>
  <c r="J1466" i="5"/>
  <c r="I1466" i="5"/>
  <c r="H1466" i="5"/>
  <c r="G1466" i="5"/>
  <c r="F1466" i="5"/>
  <c r="M1487" i="5"/>
  <c r="L1487" i="5"/>
  <c r="E1492" i="5"/>
  <c r="L1501" i="5"/>
  <c r="L1577" i="5"/>
  <c r="L1581" i="5"/>
  <c r="M1581" i="5"/>
  <c r="K1581" i="5"/>
  <c r="J1581" i="5"/>
  <c r="H1581" i="5"/>
  <c r="G1581" i="5"/>
  <c r="F1581" i="5"/>
  <c r="D1581" i="5"/>
  <c r="K1607" i="5"/>
  <c r="L1607" i="5"/>
  <c r="J1607" i="5"/>
  <c r="H1607" i="5"/>
  <c r="G1607" i="5"/>
  <c r="F1607" i="5"/>
  <c r="E1607" i="5"/>
  <c r="C1607" i="5"/>
  <c r="B1607" i="5"/>
  <c r="M1626" i="5"/>
  <c r="L1626" i="5"/>
  <c r="K1626" i="5"/>
  <c r="J1626" i="5"/>
  <c r="M1630" i="5"/>
  <c r="I1630" i="5"/>
  <c r="H1630" i="5"/>
  <c r="D1651" i="5"/>
  <c r="K1675" i="5"/>
  <c r="E1686" i="5"/>
  <c r="I1741" i="5"/>
  <c r="H1741" i="5"/>
  <c r="E1741" i="5"/>
  <c r="E1752" i="5"/>
  <c r="C1766" i="5"/>
  <c r="E1778" i="5"/>
  <c r="G1798" i="5"/>
  <c r="E1831" i="5"/>
  <c r="M1915" i="5"/>
  <c r="G1915" i="5"/>
  <c r="D1915" i="5"/>
  <c r="L1915" i="5"/>
  <c r="H1915" i="5"/>
  <c r="K1915" i="5"/>
  <c r="J1915" i="5"/>
  <c r="I1915" i="5"/>
  <c r="F1915" i="5"/>
  <c r="E1915" i="5"/>
  <c r="L1253" i="5"/>
  <c r="L1266" i="5"/>
  <c r="L1268" i="5"/>
  <c r="L1279" i="5"/>
  <c r="J1292" i="5"/>
  <c r="K1293" i="5"/>
  <c r="G1301" i="5"/>
  <c r="L1306" i="5"/>
  <c r="J1318" i="5"/>
  <c r="F1325" i="5"/>
  <c r="F1326" i="5"/>
  <c r="J1332" i="5"/>
  <c r="K1337" i="5"/>
  <c r="K1338" i="5"/>
  <c r="M1342" i="5"/>
  <c r="J1349" i="5"/>
  <c r="J1350" i="5"/>
  <c r="F1366" i="5"/>
  <c r="L1373" i="5"/>
  <c r="K1379" i="5"/>
  <c r="J1399" i="5"/>
  <c r="K1403" i="5"/>
  <c r="M1408" i="5"/>
  <c r="L1409" i="5"/>
  <c r="K1418" i="5"/>
  <c r="H1424" i="5"/>
  <c r="L1433" i="5"/>
  <c r="J1442" i="5"/>
  <c r="I1455" i="5"/>
  <c r="H1467" i="5"/>
  <c r="L1468" i="5"/>
  <c r="L1469" i="5"/>
  <c r="I1477" i="5"/>
  <c r="J1478" i="5"/>
  <c r="J1489" i="5"/>
  <c r="H1505" i="5"/>
  <c r="J1506" i="5"/>
  <c r="H1519" i="5"/>
  <c r="L1520" i="5"/>
  <c r="K1529" i="5"/>
  <c r="M1530" i="5"/>
  <c r="M1535" i="5"/>
  <c r="L1537" i="5"/>
  <c r="J1541" i="5"/>
  <c r="M1547" i="5"/>
  <c r="G1549" i="5"/>
  <c r="H1553" i="5"/>
  <c r="J1554" i="5"/>
  <c r="M1559" i="5"/>
  <c r="K1561" i="5"/>
  <c r="K1565" i="5"/>
  <c r="M1566" i="5"/>
  <c r="J1571" i="5"/>
  <c r="K1587" i="5"/>
  <c r="I1591" i="5"/>
  <c r="F1603" i="5"/>
  <c r="H1611" i="5"/>
  <c r="J1620" i="5"/>
  <c r="I1624" i="5"/>
  <c r="I1627" i="5"/>
  <c r="G1634" i="5"/>
  <c r="G1639" i="5"/>
  <c r="L1645" i="5"/>
  <c r="I1663" i="5"/>
  <c r="K1664" i="5"/>
  <c r="J1669" i="5"/>
  <c r="L1670" i="5"/>
  <c r="I1673" i="5"/>
  <c r="J1677" i="5"/>
  <c r="H1682" i="5"/>
  <c r="G1687" i="5"/>
  <c r="L1694" i="5"/>
  <c r="K1698" i="5"/>
  <c r="J1703" i="5"/>
  <c r="H1706" i="5"/>
  <c r="H1713" i="5"/>
  <c r="J1718" i="5"/>
  <c r="I1728" i="5"/>
  <c r="I1734" i="5"/>
  <c r="K1735" i="5"/>
  <c r="G1750" i="5"/>
  <c r="I1756" i="5"/>
  <c r="I1758" i="5"/>
  <c r="I1759" i="5"/>
  <c r="L1763" i="5"/>
  <c r="I1771" i="5"/>
  <c r="L1775" i="5"/>
  <c r="L1785" i="5"/>
  <c r="G1788" i="5"/>
  <c r="M1792" i="5"/>
  <c r="L1806" i="5"/>
  <c r="L1810" i="5"/>
  <c r="I1813" i="5"/>
  <c r="I1816" i="5"/>
  <c r="L1826" i="5"/>
  <c r="L1836" i="5"/>
  <c r="J1836" i="5"/>
  <c r="E1836" i="5"/>
  <c r="J1839" i="5"/>
  <c r="D1839" i="5"/>
  <c r="M1855" i="5"/>
  <c r="K1855" i="5"/>
  <c r="G1855" i="5"/>
  <c r="C1855" i="5"/>
  <c r="L1865" i="5"/>
  <c r="I1872" i="5"/>
  <c r="I1877" i="5"/>
  <c r="I1879" i="5"/>
  <c r="L1901" i="5"/>
  <c r="B1910" i="5"/>
  <c r="C1910" i="5"/>
  <c r="E1928" i="5"/>
  <c r="B1928" i="5"/>
  <c r="K1928" i="5"/>
  <c r="F1928" i="5"/>
  <c r="E1999" i="5"/>
  <c r="H1999" i="5"/>
  <c r="H1301" i="5"/>
  <c r="K1318" i="5"/>
  <c r="G1325" i="5"/>
  <c r="G1326" i="5"/>
  <c r="K1332" i="5"/>
  <c r="L1337" i="5"/>
  <c r="G1366" i="5"/>
  <c r="L1379" i="5"/>
  <c r="L1418" i="5"/>
  <c r="I1424" i="5"/>
  <c r="K1442" i="5"/>
  <c r="J1455" i="5"/>
  <c r="I1467" i="5"/>
  <c r="M1468" i="5"/>
  <c r="J1477" i="5"/>
  <c r="K1478" i="5"/>
  <c r="K1489" i="5"/>
  <c r="I1505" i="5"/>
  <c r="K1506" i="5"/>
  <c r="I1519" i="5"/>
  <c r="M1520" i="5"/>
  <c r="K1541" i="5"/>
  <c r="H1549" i="5"/>
  <c r="J1553" i="5"/>
  <c r="K1554" i="5"/>
  <c r="K1571" i="5"/>
  <c r="L1587" i="5"/>
  <c r="J1591" i="5"/>
  <c r="G1603" i="5"/>
  <c r="I1611" i="5"/>
  <c r="K1620" i="5"/>
  <c r="J1624" i="5"/>
  <c r="J1627" i="5"/>
  <c r="H1634" i="5"/>
  <c r="H1639" i="5"/>
  <c r="J1663" i="5"/>
  <c r="M1664" i="5"/>
  <c r="M1669" i="5"/>
  <c r="K1673" i="5"/>
  <c r="L1677" i="5"/>
  <c r="I1682" i="5"/>
  <c r="H1687" i="5"/>
  <c r="L1698" i="5"/>
  <c r="K1703" i="5"/>
  <c r="I1706" i="5"/>
  <c r="I1713" i="5"/>
  <c r="K1718" i="5"/>
  <c r="L1735" i="5"/>
  <c r="H1750" i="5"/>
  <c r="K1756" i="5"/>
  <c r="K1758" i="5"/>
  <c r="J1759" i="5"/>
  <c r="J1771" i="5"/>
  <c r="I1788" i="5"/>
  <c r="L1808" i="5"/>
  <c r="K1808" i="5"/>
  <c r="L1813" i="5"/>
  <c r="K1821" i="5"/>
  <c r="L1821" i="5"/>
  <c r="E1821" i="5"/>
  <c r="M1843" i="5"/>
  <c r="K1843" i="5"/>
  <c r="G1843" i="5"/>
  <c r="C1843" i="5"/>
  <c r="K1879" i="5"/>
  <c r="J1893" i="5"/>
  <c r="C1893" i="5"/>
  <c r="M1918" i="5"/>
  <c r="L1918" i="5"/>
  <c r="G1918" i="5"/>
  <c r="B1923" i="5"/>
  <c r="L1923" i="5"/>
  <c r="C1923" i="5"/>
  <c r="M1953" i="5"/>
  <c r="D1953" i="5"/>
  <c r="B1953" i="5"/>
  <c r="F1966" i="5"/>
  <c r="G1966" i="5"/>
  <c r="M1974" i="5"/>
  <c r="B1974" i="5"/>
  <c r="L1974" i="5"/>
  <c r="J1974" i="5"/>
  <c r="G1974" i="5"/>
  <c r="F1974" i="5"/>
  <c r="E1974" i="5"/>
  <c r="C1974" i="5"/>
  <c r="L1624" i="5"/>
  <c r="I1639" i="5"/>
  <c r="M1673" i="5"/>
  <c r="J1682" i="5"/>
  <c r="I1687" i="5"/>
  <c r="L1703" i="5"/>
  <c r="J1706" i="5"/>
  <c r="M1756" i="5"/>
  <c r="L1758" i="5"/>
  <c r="M1807" i="5"/>
  <c r="H1807" i="5"/>
  <c r="I1811" i="5"/>
  <c r="F1811" i="5"/>
  <c r="M1813" i="5"/>
  <c r="C1817" i="5"/>
  <c r="I1817" i="5"/>
  <c r="M1827" i="5"/>
  <c r="I1827" i="5"/>
  <c r="C1827" i="5"/>
  <c r="L1871" i="5"/>
  <c r="E1871" i="5"/>
  <c r="K1908" i="5"/>
  <c r="D1908" i="5"/>
  <c r="L1908" i="5"/>
  <c r="G1914" i="5"/>
  <c r="D1914" i="5"/>
  <c r="M1914" i="5"/>
  <c r="H1914" i="5"/>
  <c r="M1981" i="5"/>
  <c r="G1981" i="5"/>
  <c r="D1981" i="5"/>
  <c r="B1981" i="5"/>
  <c r="L1981" i="5"/>
  <c r="K1981" i="5"/>
  <c r="J1981" i="5"/>
  <c r="H1981" i="5"/>
  <c r="C1268" i="5"/>
  <c r="C1269" i="5"/>
  <c r="C1282" i="5"/>
  <c r="C1295" i="5"/>
  <c r="K1301" i="5"/>
  <c r="C1308" i="5"/>
  <c r="E1317" i="5"/>
  <c r="I1325" i="5"/>
  <c r="I1326" i="5"/>
  <c r="D1331" i="5"/>
  <c r="B1337" i="5"/>
  <c r="B1338" i="5"/>
  <c r="D1339" i="5"/>
  <c r="B1344" i="5"/>
  <c r="B1351" i="5"/>
  <c r="C1373" i="5"/>
  <c r="C1374" i="5"/>
  <c r="C1406" i="5"/>
  <c r="C1409" i="5"/>
  <c r="C1410" i="5"/>
  <c r="C1433" i="5"/>
  <c r="C1434" i="5"/>
  <c r="B1436" i="5"/>
  <c r="B1469" i="5"/>
  <c r="L1477" i="5"/>
  <c r="B1497" i="5"/>
  <c r="D1503" i="5"/>
  <c r="K1505" i="5"/>
  <c r="H1509" i="5"/>
  <c r="E1515" i="5"/>
  <c r="G1521" i="5"/>
  <c r="B1530" i="5"/>
  <c r="B1537" i="5"/>
  <c r="C1543" i="5"/>
  <c r="J1549" i="5"/>
  <c r="L1553" i="5"/>
  <c r="E1556" i="5"/>
  <c r="B1562" i="5"/>
  <c r="B1566" i="5"/>
  <c r="G1568" i="5"/>
  <c r="I1570" i="5"/>
  <c r="L1591" i="5"/>
  <c r="I1603" i="5"/>
  <c r="M1620" i="5"/>
  <c r="D1622" i="5"/>
  <c r="M1624" i="5"/>
  <c r="L1627" i="5"/>
  <c r="J1634" i="5"/>
  <c r="J1639" i="5"/>
  <c r="C1646" i="5"/>
  <c r="F1647" i="5"/>
  <c r="B1659" i="5"/>
  <c r="F1660" i="5"/>
  <c r="L1663" i="5"/>
  <c r="B1670" i="5"/>
  <c r="C1681" i="5"/>
  <c r="K1682" i="5"/>
  <c r="J1687" i="5"/>
  <c r="B1690" i="5"/>
  <c r="B1694" i="5"/>
  <c r="M1703" i="5"/>
  <c r="K1706" i="5"/>
  <c r="M1713" i="5"/>
  <c r="B1735" i="5"/>
  <c r="C1736" i="5"/>
  <c r="D1747" i="5"/>
  <c r="F1749" i="5"/>
  <c r="M1750" i="5"/>
  <c r="M1758" i="5"/>
  <c r="L1759" i="5"/>
  <c r="C1764" i="5"/>
  <c r="L1771" i="5"/>
  <c r="F1774" i="5"/>
  <c r="C1779" i="5"/>
  <c r="L1786" i="5"/>
  <c r="E1797" i="5"/>
  <c r="B1807" i="5"/>
  <c r="D1808" i="5"/>
  <c r="C1811" i="5"/>
  <c r="F1814" i="5"/>
  <c r="C1814" i="5"/>
  <c r="D1817" i="5"/>
  <c r="D1821" i="5"/>
  <c r="D1827" i="5"/>
  <c r="L1834" i="5"/>
  <c r="G1836" i="5"/>
  <c r="H1839" i="5"/>
  <c r="D1843" i="5"/>
  <c r="E1855" i="5"/>
  <c r="K1859" i="5"/>
  <c r="M1867" i="5"/>
  <c r="D1867" i="5"/>
  <c r="L1867" i="5"/>
  <c r="H1867" i="5"/>
  <c r="H1868" i="5"/>
  <c r="D1871" i="5"/>
  <c r="J1880" i="5"/>
  <c r="B1880" i="5"/>
  <c r="M1883" i="5"/>
  <c r="L1883" i="5"/>
  <c r="D1883" i="5"/>
  <c r="B1885" i="5"/>
  <c r="M1888" i="5"/>
  <c r="H1888" i="5"/>
  <c r="C1888" i="5"/>
  <c r="F1893" i="5"/>
  <c r="B1897" i="5"/>
  <c r="F1897" i="5"/>
  <c r="K1899" i="5"/>
  <c r="E1908" i="5"/>
  <c r="B1911" i="5"/>
  <c r="C1914" i="5"/>
  <c r="F1918" i="5"/>
  <c r="G1923" i="5"/>
  <c r="G1928" i="5"/>
  <c r="K1953" i="5"/>
  <c r="K1966" i="5"/>
  <c r="M1969" i="5"/>
  <c r="B1969" i="5"/>
  <c r="K1969" i="5"/>
  <c r="I1969" i="5"/>
  <c r="G1969" i="5"/>
  <c r="F1969" i="5"/>
  <c r="E1969" i="5"/>
  <c r="C1969" i="5"/>
  <c r="I1974" i="5"/>
  <c r="F1979" i="5"/>
  <c r="B1979" i="5"/>
  <c r="L1979" i="5"/>
  <c r="K1979" i="5"/>
  <c r="J1979" i="5"/>
  <c r="G1979" i="5"/>
  <c r="C1981" i="5"/>
  <c r="F1406" i="5"/>
  <c r="C1436" i="5"/>
  <c r="C1469" i="5"/>
  <c r="C1497" i="5"/>
  <c r="E1503" i="5"/>
  <c r="J1509" i="5"/>
  <c r="F1515" i="5"/>
  <c r="H1521" i="5"/>
  <c r="C1530" i="5"/>
  <c r="C1537" i="5"/>
  <c r="D1543" i="5"/>
  <c r="C1562" i="5"/>
  <c r="C1566" i="5"/>
  <c r="J1570" i="5"/>
  <c r="K1639" i="5"/>
  <c r="C1659" i="5"/>
  <c r="C1670" i="5"/>
  <c r="D1681" i="5"/>
  <c r="L1682" i="5"/>
  <c r="K1687" i="5"/>
  <c r="C1690" i="5"/>
  <c r="C1694" i="5"/>
  <c r="L1706" i="5"/>
  <c r="C1735" i="5"/>
  <c r="D1736" i="5"/>
  <c r="G1749" i="5"/>
  <c r="F1764" i="5"/>
  <c r="D1779" i="5"/>
  <c r="C1807" i="5"/>
  <c r="D1811" i="5"/>
  <c r="E1817" i="5"/>
  <c r="L1823" i="5"/>
  <c r="D1823" i="5"/>
  <c r="F1827" i="5"/>
  <c r="L1835" i="5"/>
  <c r="G1835" i="5"/>
  <c r="C1835" i="5"/>
  <c r="M1841" i="5"/>
  <c r="G1841" i="5"/>
  <c r="F1871" i="5"/>
  <c r="E1885" i="5"/>
  <c r="I1908" i="5"/>
  <c r="D1911" i="5"/>
  <c r="E1914" i="5"/>
  <c r="M1927" i="5"/>
  <c r="E1927" i="5"/>
  <c r="B1927" i="5"/>
  <c r="J1927" i="5"/>
  <c r="F1927" i="5"/>
  <c r="G1946" i="5"/>
  <c r="M1946" i="5"/>
  <c r="I1946" i="5"/>
  <c r="M1962" i="5"/>
  <c r="L1962" i="5"/>
  <c r="I1962" i="5"/>
  <c r="F1962" i="5"/>
  <c r="D1962" i="5"/>
  <c r="C1962" i="5"/>
  <c r="B1962" i="5"/>
  <c r="E1981" i="5"/>
  <c r="D1987" i="5"/>
  <c r="C1987" i="5"/>
  <c r="B1987" i="5"/>
  <c r="D1337" i="5"/>
  <c r="D1338" i="5"/>
  <c r="C1364" i="5"/>
  <c r="C1369" i="5"/>
  <c r="B1379" i="5"/>
  <c r="E1384" i="5"/>
  <c r="E1395" i="5"/>
  <c r="G1406" i="5"/>
  <c r="B1418" i="5"/>
  <c r="D1425" i="5"/>
  <c r="D1436" i="5"/>
  <c r="C1450" i="5"/>
  <c r="F1456" i="5"/>
  <c r="B1462" i="5"/>
  <c r="D1469" i="5"/>
  <c r="B1478" i="5"/>
  <c r="B1484" i="5"/>
  <c r="E1486" i="5"/>
  <c r="B1489" i="5"/>
  <c r="H1497" i="5"/>
  <c r="C1500" i="5"/>
  <c r="K1509" i="5"/>
  <c r="D1530" i="5"/>
  <c r="D1537" i="5"/>
  <c r="B1541" i="5"/>
  <c r="E1543" i="5"/>
  <c r="B1554" i="5"/>
  <c r="B1559" i="5"/>
  <c r="G1562" i="5"/>
  <c r="D1566" i="5"/>
  <c r="E1572" i="5"/>
  <c r="B1591" i="5"/>
  <c r="D1592" i="5"/>
  <c r="E1621" i="5"/>
  <c r="E1625" i="5"/>
  <c r="B1627" i="5"/>
  <c r="C1628" i="5"/>
  <c r="B1632" i="5"/>
  <c r="L1639" i="5"/>
  <c r="D1656" i="5"/>
  <c r="D1659" i="5"/>
  <c r="B1663" i="5"/>
  <c r="B1664" i="5"/>
  <c r="D1670" i="5"/>
  <c r="L1687" i="5"/>
  <c r="D1690" i="5"/>
  <c r="D1694" i="5"/>
  <c r="C1698" i="5"/>
  <c r="D1704" i="5"/>
  <c r="C1710" i="5"/>
  <c r="D1714" i="5"/>
  <c r="B1718" i="5"/>
  <c r="B1720" i="5"/>
  <c r="D1735" i="5"/>
  <c r="E1736" i="5"/>
  <c r="F1751" i="5"/>
  <c r="B1759" i="5"/>
  <c r="D1769" i="5"/>
  <c r="F1779" i="5"/>
  <c r="C1792" i="5"/>
  <c r="C1804" i="5"/>
  <c r="D1807" i="5"/>
  <c r="E1811" i="5"/>
  <c r="F1817" i="5"/>
  <c r="G1827" i="5"/>
  <c r="G1871" i="5"/>
  <c r="I1901" i="5"/>
  <c r="E1901" i="5"/>
  <c r="M1908" i="5"/>
  <c r="G1911" i="5"/>
  <c r="F1914" i="5"/>
  <c r="H1916" i="5"/>
  <c r="E1916" i="5"/>
  <c r="J1916" i="5"/>
  <c r="C1927" i="5"/>
  <c r="M1934" i="5"/>
  <c r="D1934" i="5"/>
  <c r="K1946" i="5"/>
  <c r="E1962" i="5"/>
  <c r="F1981" i="5"/>
  <c r="AA49" i="7"/>
  <c r="R49" i="7"/>
  <c r="Q49" i="7"/>
  <c r="P49" i="7"/>
  <c r="AG49" i="7"/>
  <c r="I49" i="7"/>
  <c r="AF49" i="7"/>
  <c r="H49" i="7"/>
  <c r="AE49" i="7"/>
  <c r="G49" i="7"/>
  <c r="AD49" i="7"/>
  <c r="F49" i="7"/>
  <c r="AC49" i="7"/>
  <c r="E49" i="7"/>
  <c r="AB49" i="7"/>
  <c r="D49" i="7"/>
  <c r="U49" i="7"/>
  <c r="T49" i="7"/>
  <c r="S49" i="7"/>
  <c r="B1806" i="5"/>
  <c r="G1806" i="5"/>
  <c r="J1810" i="5"/>
  <c r="C1810" i="5"/>
  <c r="K1826" i="5"/>
  <c r="E1826" i="5"/>
  <c r="L1858" i="5"/>
  <c r="D1858" i="5"/>
  <c r="M1879" i="5"/>
  <c r="J1879" i="5"/>
  <c r="F1879" i="5"/>
  <c r="B1879" i="5"/>
  <c r="L1909" i="5"/>
  <c r="C1909" i="5"/>
  <c r="D1932" i="5"/>
  <c r="M1932" i="5"/>
  <c r="J1932" i="5"/>
  <c r="G1932" i="5"/>
  <c r="AI59" i="7"/>
  <c r="U59" i="7"/>
  <c r="F1323" i="5"/>
  <c r="F1337" i="5"/>
  <c r="F1338" i="5"/>
  <c r="I1369" i="5"/>
  <c r="G1384" i="5"/>
  <c r="H1395" i="5"/>
  <c r="I1406" i="5"/>
  <c r="F1450" i="5"/>
  <c r="F1469" i="5"/>
  <c r="C1477" i="5"/>
  <c r="D1489" i="5"/>
  <c r="C1505" i="5"/>
  <c r="G1537" i="5"/>
  <c r="D1541" i="5"/>
  <c r="C1553" i="5"/>
  <c r="D1591" i="5"/>
  <c r="D1627" i="5"/>
  <c r="B1639" i="5"/>
  <c r="G1659" i="5"/>
  <c r="D1663" i="5"/>
  <c r="G1670" i="5"/>
  <c r="D1673" i="5"/>
  <c r="B1682" i="5"/>
  <c r="B1687" i="5"/>
  <c r="G1694" i="5"/>
  <c r="B1706" i="5"/>
  <c r="D1718" i="5"/>
  <c r="F1735" i="5"/>
  <c r="C1756" i="5"/>
  <c r="D1759" i="5"/>
  <c r="D1771" i="5"/>
  <c r="D1775" i="5"/>
  <c r="H1779" i="5"/>
  <c r="D1806" i="5"/>
  <c r="F1807" i="5"/>
  <c r="D1810" i="5"/>
  <c r="H1811" i="5"/>
  <c r="C1813" i="5"/>
  <c r="D1816" i="5"/>
  <c r="L1816" i="5"/>
  <c r="F1816" i="5"/>
  <c r="H1817" i="5"/>
  <c r="M1821" i="5"/>
  <c r="G1823" i="5"/>
  <c r="C1826" i="5"/>
  <c r="K1827" i="5"/>
  <c r="E1832" i="5"/>
  <c r="F1835" i="5"/>
  <c r="E1837" i="5"/>
  <c r="K1841" i="5"/>
  <c r="D1853" i="5"/>
  <c r="B1858" i="5"/>
  <c r="B1865" i="5"/>
  <c r="I1865" i="5"/>
  <c r="D1872" i="5"/>
  <c r="K1872" i="5"/>
  <c r="K1877" i="5"/>
  <c r="F1877" i="5"/>
  <c r="C1879" i="5"/>
  <c r="C1886" i="5"/>
  <c r="M1893" i="5"/>
  <c r="D1901" i="5"/>
  <c r="B1909" i="5"/>
  <c r="K1914" i="5"/>
  <c r="D1916" i="5"/>
  <c r="K1925" i="5"/>
  <c r="E1925" i="5"/>
  <c r="G1927" i="5"/>
  <c r="G1929" i="5"/>
  <c r="D1929" i="5"/>
  <c r="L1929" i="5"/>
  <c r="H1929" i="5"/>
  <c r="C1932" i="5"/>
  <c r="C1934" i="5"/>
  <c r="J1962" i="5"/>
  <c r="J1982" i="5"/>
  <c r="C1982" i="5"/>
  <c r="AJ69" i="7"/>
  <c r="AB69" i="7"/>
  <c r="AA69" i="7"/>
  <c r="Z69" i="7"/>
  <c r="Y69" i="7"/>
  <c r="X69" i="7"/>
  <c r="I69" i="7"/>
  <c r="K1957" i="5"/>
  <c r="L1961" i="5"/>
  <c r="M1967" i="5"/>
  <c r="I1972" i="5"/>
  <c r="I1980" i="5"/>
  <c r="F1984" i="5"/>
  <c r="K1985" i="5"/>
  <c r="L1986" i="5"/>
  <c r="E1993" i="5"/>
  <c r="F1994" i="5"/>
  <c r="E1996" i="5"/>
  <c r="G19" i="7"/>
  <c r="K26" i="7"/>
  <c r="X26" i="7"/>
  <c r="AK26" i="7"/>
  <c r="R57" i="7"/>
  <c r="AG57" i="7"/>
  <c r="AK86" i="7"/>
  <c r="T96" i="7"/>
  <c r="AI96" i="7"/>
  <c r="I19" i="7"/>
  <c r="L26" i="7"/>
  <c r="Y26" i="7"/>
  <c r="S47" i="7"/>
  <c r="D57" i="7"/>
  <c r="S57" i="7"/>
  <c r="AH57" i="7"/>
  <c r="V87" i="7"/>
  <c r="E96" i="7"/>
  <c r="U96" i="7"/>
  <c r="AJ96" i="7"/>
  <c r="V126" i="7"/>
  <c r="H149" i="7"/>
  <c r="K1980" i="5"/>
  <c r="K19" i="7"/>
  <c r="M26" i="7"/>
  <c r="Z26" i="7"/>
  <c r="P27" i="7"/>
  <c r="AC27" i="7"/>
  <c r="E46" i="7"/>
  <c r="E57" i="7"/>
  <c r="T57" i="7"/>
  <c r="AI57" i="7"/>
  <c r="D87" i="7"/>
  <c r="D91" i="7" s="1"/>
  <c r="D92" i="7" s="1"/>
  <c r="X87" i="7"/>
  <c r="G96" i="7"/>
  <c r="V96" i="7"/>
  <c r="AK96" i="7"/>
  <c r="D106" i="7"/>
  <c r="W126" i="7"/>
  <c r="AC136" i="7"/>
  <c r="S157" i="7"/>
  <c r="L19" i="7"/>
  <c r="C26" i="7"/>
  <c r="N26" i="7"/>
  <c r="AB26" i="7"/>
  <c r="F46" i="7"/>
  <c r="F57" i="7"/>
  <c r="U57" i="7"/>
  <c r="Y87" i="7"/>
  <c r="H96" i="7"/>
  <c r="W96" i="7"/>
  <c r="G106" i="7"/>
  <c r="Y126" i="7"/>
  <c r="G1840" i="5"/>
  <c r="H1849" i="5"/>
  <c r="E1870" i="5"/>
  <c r="I1891" i="5"/>
  <c r="G1902" i="5"/>
  <c r="G1926" i="5"/>
  <c r="F1938" i="5"/>
  <c r="F1944" i="5"/>
  <c r="E1950" i="5"/>
  <c r="F1954" i="5"/>
  <c r="C1957" i="5"/>
  <c r="C1958" i="5"/>
  <c r="C1965" i="5"/>
  <c r="D1967" i="5"/>
  <c r="F1973" i="5"/>
  <c r="M1980" i="5"/>
  <c r="C1986" i="5"/>
  <c r="C1990" i="5"/>
  <c r="I1993" i="5"/>
  <c r="S19" i="7"/>
  <c r="P26" i="7"/>
  <c r="AC26" i="7"/>
  <c r="I96" i="7"/>
  <c r="X96" i="7"/>
  <c r="Z126" i="7"/>
  <c r="C16" i="7"/>
  <c r="Q16" i="7"/>
  <c r="AF16" i="7"/>
  <c r="J17" i="7"/>
  <c r="AB17" i="7"/>
  <c r="T19" i="7"/>
  <c r="D26" i="7"/>
  <c r="Q26" i="7"/>
  <c r="AD26" i="7"/>
  <c r="F27" i="7"/>
  <c r="S27" i="7"/>
  <c r="AF27" i="7"/>
  <c r="AC37" i="7"/>
  <c r="H46" i="7"/>
  <c r="N56" i="7"/>
  <c r="AD56" i="7"/>
  <c r="H57" i="7"/>
  <c r="W57" i="7"/>
  <c r="R66" i="7"/>
  <c r="R67" i="7"/>
  <c r="M76" i="7"/>
  <c r="Z76" i="7"/>
  <c r="P77" i="7"/>
  <c r="AC77" i="7"/>
  <c r="I86" i="7"/>
  <c r="I87" i="7"/>
  <c r="AA87" i="7"/>
  <c r="J96" i="7"/>
  <c r="Y96" i="7"/>
  <c r="S97" i="7"/>
  <c r="W106" i="7"/>
  <c r="T107" i="7"/>
  <c r="I116" i="7"/>
  <c r="V116" i="7"/>
  <c r="AI116" i="7"/>
  <c r="K117" i="7"/>
  <c r="X117" i="7"/>
  <c r="AK117" i="7"/>
  <c r="AA119" i="7"/>
  <c r="AA126" i="7"/>
  <c r="H136" i="7"/>
  <c r="AH136" i="7"/>
  <c r="Y137" i="7"/>
  <c r="R147" i="7"/>
  <c r="I156" i="7"/>
  <c r="F157" i="7"/>
  <c r="W157" i="7"/>
  <c r="F1965" i="5"/>
  <c r="F1990" i="5"/>
  <c r="R16" i="7"/>
  <c r="AG16" i="7"/>
  <c r="K17" i="7"/>
  <c r="AC17" i="7"/>
  <c r="U19" i="7"/>
  <c r="E26" i="7"/>
  <c r="R26" i="7"/>
  <c r="AE26" i="7"/>
  <c r="G27" i="7"/>
  <c r="T27" i="7"/>
  <c r="AG27" i="7"/>
  <c r="D37" i="7"/>
  <c r="AJ37" i="7"/>
  <c r="O46" i="7"/>
  <c r="P56" i="7"/>
  <c r="AE56" i="7"/>
  <c r="I57" i="7"/>
  <c r="Z57" i="7"/>
  <c r="S66" i="7"/>
  <c r="S67" i="7"/>
  <c r="C76" i="7"/>
  <c r="N76" i="7"/>
  <c r="AB76" i="7"/>
  <c r="D77" i="7"/>
  <c r="Q77" i="7"/>
  <c r="AD77" i="7"/>
  <c r="Q86" i="7"/>
  <c r="J87" i="7"/>
  <c r="AB87" i="7"/>
  <c r="K96" i="7"/>
  <c r="Z96" i="7"/>
  <c r="X97" i="7"/>
  <c r="Y106" i="7"/>
  <c r="AA107" i="7"/>
  <c r="J116" i="7"/>
  <c r="W116" i="7"/>
  <c r="AJ116" i="7"/>
  <c r="L117" i="7"/>
  <c r="Y117" i="7"/>
  <c r="AC126" i="7"/>
  <c r="I136" i="7"/>
  <c r="AI136" i="7"/>
  <c r="S147" i="7"/>
  <c r="J156" i="7"/>
  <c r="G157" i="7"/>
  <c r="Z157" i="7"/>
  <c r="AH16" i="7"/>
  <c r="N17" i="7"/>
  <c r="AD17" i="7"/>
  <c r="V19" i="7"/>
  <c r="F26" i="7"/>
  <c r="S26" i="7"/>
  <c r="AF26" i="7"/>
  <c r="H27" i="7"/>
  <c r="U27" i="7"/>
  <c r="AH27" i="7"/>
  <c r="P46" i="7"/>
  <c r="C56" i="7"/>
  <c r="Q56" i="7"/>
  <c r="AF56" i="7"/>
  <c r="J57" i="7"/>
  <c r="AB57" i="7"/>
  <c r="T66" i="7"/>
  <c r="P76" i="7"/>
  <c r="AC76" i="7"/>
  <c r="E77" i="7"/>
  <c r="R77" i="7"/>
  <c r="AE77" i="7"/>
  <c r="T86" i="7"/>
  <c r="L87" i="7"/>
  <c r="AC87" i="7"/>
  <c r="L96" i="7"/>
  <c r="AA96" i="7"/>
  <c r="AF106" i="7"/>
  <c r="AC107" i="7"/>
  <c r="K116" i="7"/>
  <c r="X116" i="7"/>
  <c r="AK116" i="7"/>
  <c r="J136" i="7"/>
  <c r="AC137" i="7"/>
  <c r="O146" i="7"/>
  <c r="T147" i="7"/>
  <c r="K156" i="7"/>
  <c r="I157" i="7"/>
  <c r="AB157" i="7"/>
  <c r="G1815" i="5"/>
  <c r="E1819" i="5"/>
  <c r="F1820" i="5"/>
  <c r="J1950" i="5"/>
  <c r="G1957" i="5"/>
  <c r="I1958" i="5"/>
  <c r="D1961" i="5"/>
  <c r="I1967" i="5"/>
  <c r="D1972" i="5"/>
  <c r="D1980" i="5"/>
  <c r="E1985" i="5"/>
  <c r="G1986" i="5"/>
  <c r="E16" i="7"/>
  <c r="T16" i="7"/>
  <c r="AI16" i="7"/>
  <c r="P17" i="7"/>
  <c r="AE17" i="7"/>
  <c r="AE19" i="7"/>
  <c r="G26" i="7"/>
  <c r="T26" i="7"/>
  <c r="AG26" i="7"/>
  <c r="I27" i="7"/>
  <c r="V27" i="7"/>
  <c r="AI27" i="7"/>
  <c r="L37" i="7"/>
  <c r="AC46" i="7"/>
  <c r="R56" i="7"/>
  <c r="AG56" i="7"/>
  <c r="K57" i="7"/>
  <c r="AC57" i="7"/>
  <c r="AB66" i="7"/>
  <c r="U67" i="7"/>
  <c r="D76" i="7"/>
  <c r="Q76" i="7"/>
  <c r="AD76" i="7"/>
  <c r="F77" i="7"/>
  <c r="S77" i="7"/>
  <c r="AF77" i="7"/>
  <c r="U86" i="7"/>
  <c r="M87" i="7"/>
  <c r="AF87" i="7"/>
  <c r="M96" i="7"/>
  <c r="AB96" i="7"/>
  <c r="AH106" i="7"/>
  <c r="AD107" i="7"/>
  <c r="L116" i="7"/>
  <c r="Y116" i="7"/>
  <c r="C117" i="7"/>
  <c r="N117" i="7"/>
  <c r="AB117" i="7"/>
  <c r="F127" i="7"/>
  <c r="K136" i="7"/>
  <c r="D137" i="7"/>
  <c r="AE137" i="7"/>
  <c r="W146" i="7"/>
  <c r="Y147" i="7"/>
  <c r="V156" i="7"/>
  <c r="J157" i="7"/>
  <c r="AC157" i="7"/>
  <c r="F16" i="7"/>
  <c r="U16" i="7"/>
  <c r="C17" i="7"/>
  <c r="Q17" i="7"/>
  <c r="AF17" i="7"/>
  <c r="AG19" i="7"/>
  <c r="H26" i="7"/>
  <c r="U26" i="7"/>
  <c r="AH26" i="7"/>
  <c r="J27" i="7"/>
  <c r="W27" i="7"/>
  <c r="AJ27" i="7"/>
  <c r="M37" i="7"/>
  <c r="AD46" i="7"/>
  <c r="D56" i="7"/>
  <c r="S56" i="7"/>
  <c r="AH56" i="7"/>
  <c r="N57" i="7"/>
  <c r="AD57" i="7"/>
  <c r="W67" i="7"/>
  <c r="E76" i="7"/>
  <c r="R76" i="7"/>
  <c r="AE76" i="7"/>
  <c r="G77" i="7"/>
  <c r="T77" i="7"/>
  <c r="AG77" i="7"/>
  <c r="Y86" i="7"/>
  <c r="N87" i="7"/>
  <c r="AG87" i="7"/>
  <c r="N96" i="7"/>
  <c r="AF96" i="7"/>
  <c r="AG107" i="7"/>
  <c r="M116" i="7"/>
  <c r="Z116" i="7"/>
  <c r="P117" i="7"/>
  <c r="AC117" i="7"/>
  <c r="I127" i="7"/>
  <c r="O136" i="7"/>
  <c r="J137" i="7"/>
  <c r="AF137" i="7"/>
  <c r="AA147" i="7"/>
  <c r="W156" i="7"/>
  <c r="K157" i="7"/>
  <c r="AD157" i="7"/>
  <c r="R17" i="7"/>
  <c r="AG17" i="7"/>
  <c r="AI19" i="7"/>
  <c r="I26" i="7"/>
  <c r="V26" i="7"/>
  <c r="AI26" i="7"/>
  <c r="K27" i="7"/>
  <c r="X27" i="7"/>
  <c r="AK27" i="7"/>
  <c r="AE46" i="7"/>
  <c r="E56" i="7"/>
  <c r="T56" i="7"/>
  <c r="AI56" i="7"/>
  <c r="P57" i="7"/>
  <c r="AE57" i="7"/>
  <c r="X67" i="7"/>
  <c r="F76" i="7"/>
  <c r="S76" i="7"/>
  <c r="AF76" i="7"/>
  <c r="H77" i="7"/>
  <c r="U77" i="7"/>
  <c r="AH77" i="7"/>
  <c r="Z86" i="7"/>
  <c r="O87" i="7"/>
  <c r="AK87" i="7"/>
  <c r="D89" i="7"/>
  <c r="O96" i="7"/>
  <c r="AG96" i="7"/>
  <c r="C116" i="7"/>
  <c r="N116" i="7"/>
  <c r="AB116" i="7"/>
  <c r="D117" i="7"/>
  <c r="Q117" i="7"/>
  <c r="AD117" i="7"/>
  <c r="J127" i="7"/>
  <c r="Q136" i="7"/>
  <c r="K137" i="7"/>
  <c r="AG137" i="7"/>
  <c r="C147" i="7"/>
  <c r="AE147" i="7"/>
  <c r="Z156" i="7"/>
  <c r="N157" i="7"/>
  <c r="AE157" i="7"/>
  <c r="J1957" i="5"/>
  <c r="H1972" i="5"/>
  <c r="K1986" i="5"/>
  <c r="AJ19" i="7"/>
  <c r="J26" i="7"/>
  <c r="W26" i="7"/>
  <c r="AJ26" i="7"/>
  <c r="L27" i="7"/>
  <c r="Y27" i="7"/>
  <c r="AF46" i="7"/>
  <c r="C57" i="7"/>
  <c r="C61" i="7" s="1"/>
  <c r="C62" i="7" s="1"/>
  <c r="C60" i="7" s="1"/>
  <c r="Q57" i="7"/>
  <c r="AF57" i="7"/>
  <c r="AA86" i="7"/>
  <c r="P87" i="7"/>
  <c r="E89" i="7"/>
  <c r="C96" i="7"/>
  <c r="S96" i="7"/>
  <c r="P116" i="7"/>
  <c r="AC116" i="7"/>
  <c r="E117" i="7"/>
  <c r="R117" i="7"/>
  <c r="AE117" i="7"/>
  <c r="K127" i="7"/>
  <c r="V136" i="7"/>
  <c r="AA156" i="7"/>
  <c r="P157" i="7"/>
  <c r="AG157" i="7"/>
  <c r="L95" i="2"/>
  <c r="K95" i="2"/>
  <c r="L157" i="2"/>
  <c r="L267" i="2"/>
  <c r="L327" i="2"/>
  <c r="L123" i="2"/>
  <c r="L210" i="2"/>
  <c r="L61" i="2"/>
  <c r="L71" i="2"/>
  <c r="K71" i="2"/>
  <c r="L79" i="2"/>
  <c r="L106" i="2"/>
  <c r="L133" i="2"/>
  <c r="L143" i="2"/>
  <c r="K143" i="2"/>
  <c r="L151" i="2"/>
  <c r="L177" i="2"/>
  <c r="K177" i="2"/>
  <c r="L211" i="2"/>
  <c r="K211" i="2"/>
  <c r="L297" i="2"/>
  <c r="L329" i="2"/>
  <c r="L411" i="2"/>
  <c r="K411" i="2"/>
  <c r="L421" i="2"/>
  <c r="L131" i="2"/>
  <c r="L338" i="2"/>
  <c r="L62" i="2"/>
  <c r="L90" i="2"/>
  <c r="L107" i="2"/>
  <c r="L162" i="2"/>
  <c r="L186" i="2"/>
  <c r="L220" i="2"/>
  <c r="L237" i="2"/>
  <c r="L255" i="2"/>
  <c r="K255" i="2"/>
  <c r="L271" i="2"/>
  <c r="L313" i="2"/>
  <c r="L354" i="2"/>
  <c r="L363" i="2"/>
  <c r="L372" i="2"/>
  <c r="L396" i="2"/>
  <c r="K421" i="2"/>
  <c r="K357" i="5"/>
  <c r="J357" i="5"/>
  <c r="I357" i="5"/>
  <c r="G357" i="5"/>
  <c r="F357" i="5"/>
  <c r="E357" i="5"/>
  <c r="M357" i="5"/>
  <c r="L357" i="5"/>
  <c r="H357" i="5"/>
  <c r="D357" i="5"/>
  <c r="C357" i="5"/>
  <c r="B357" i="5"/>
  <c r="C516" i="5"/>
  <c r="L516" i="5"/>
  <c r="K516" i="5"/>
  <c r="I516" i="5"/>
  <c r="H516" i="5"/>
  <c r="G516" i="5"/>
  <c r="F516" i="5"/>
  <c r="E516" i="5"/>
  <c r="D516" i="5"/>
  <c r="B516" i="5"/>
  <c r="M516" i="5"/>
  <c r="J516" i="5"/>
  <c r="L114" i="2"/>
  <c r="K114" i="2"/>
  <c r="L303" i="2"/>
  <c r="K328" i="2"/>
  <c r="L328" i="2"/>
  <c r="L80" i="2"/>
  <c r="K90" i="2"/>
  <c r="L152" i="2"/>
  <c r="L289" i="2"/>
  <c r="L298" i="2"/>
  <c r="L355" i="2"/>
  <c r="L390" i="2"/>
  <c r="L158" i="2"/>
  <c r="K192" i="2"/>
  <c r="L192" i="2"/>
  <c r="L226" i="2"/>
  <c r="K226" i="2"/>
  <c r="K294" i="2"/>
  <c r="L294" i="2"/>
  <c r="L351" i="2"/>
  <c r="K377" i="2"/>
  <c r="L377" i="2"/>
  <c r="L352" i="2"/>
  <c r="L74" i="2"/>
  <c r="L99" i="2"/>
  <c r="L118" i="2"/>
  <c r="L146" i="2"/>
  <c r="L214" i="2"/>
  <c r="L264" i="2"/>
  <c r="L290" i="2"/>
  <c r="L299" i="2"/>
  <c r="K299" i="2"/>
  <c r="L323" i="2"/>
  <c r="L382" i="2"/>
  <c r="K382" i="2"/>
  <c r="I644" i="5"/>
  <c r="H644" i="5"/>
  <c r="G644" i="5"/>
  <c r="E644" i="5"/>
  <c r="D644" i="5"/>
  <c r="C644" i="5"/>
  <c r="M644" i="5"/>
  <c r="L644" i="5"/>
  <c r="K644" i="5"/>
  <c r="J644" i="5"/>
  <c r="F644" i="5"/>
  <c r="B644" i="5"/>
  <c r="L104" i="2"/>
  <c r="L371" i="2"/>
  <c r="L47" i="2"/>
  <c r="K47" i="2"/>
  <c r="L55" i="2"/>
  <c r="L82" i="2"/>
  <c r="L109" i="2"/>
  <c r="L119" i="2"/>
  <c r="K119" i="2"/>
  <c r="L127" i="2"/>
  <c r="L154" i="2"/>
  <c r="L171" i="2"/>
  <c r="L196" i="2"/>
  <c r="L230" i="2"/>
  <c r="L249" i="2"/>
  <c r="L307" i="2"/>
  <c r="L333" i="2"/>
  <c r="K348" i="2"/>
  <c r="L348" i="2"/>
  <c r="L398" i="2"/>
  <c r="L406" i="2"/>
  <c r="L438" i="2"/>
  <c r="K654" i="5"/>
  <c r="J654" i="5"/>
  <c r="I654" i="5"/>
  <c r="G654" i="5"/>
  <c r="F654" i="5"/>
  <c r="E654" i="5"/>
  <c r="M654" i="5"/>
  <c r="L654" i="5"/>
  <c r="H654" i="5"/>
  <c r="D654" i="5"/>
  <c r="C654" i="5"/>
  <c r="B654" i="5"/>
  <c r="L233" i="2"/>
  <c r="L278" i="2"/>
  <c r="L567" i="5"/>
  <c r="J567" i="5"/>
  <c r="I567" i="5"/>
  <c r="H567" i="5"/>
  <c r="M567" i="5"/>
  <c r="K567" i="5"/>
  <c r="G567" i="5"/>
  <c r="F567" i="5"/>
  <c r="E567" i="5"/>
  <c r="D567" i="5"/>
  <c r="B567" i="5"/>
  <c r="C567" i="5"/>
  <c r="L176" i="2"/>
  <c r="L410" i="2"/>
  <c r="L66" i="2"/>
  <c r="L155" i="2"/>
  <c r="L206" i="2"/>
  <c r="L240" i="2"/>
  <c r="L250" i="2"/>
  <c r="K308" i="2"/>
  <c r="L308" i="2"/>
  <c r="L391" i="2"/>
  <c r="D376" i="5"/>
  <c r="C376" i="5"/>
  <c r="B376" i="5"/>
  <c r="L376" i="5"/>
  <c r="K376" i="5"/>
  <c r="J376" i="5"/>
  <c r="M376" i="5"/>
  <c r="I376" i="5"/>
  <c r="E376" i="5"/>
  <c r="H376" i="5"/>
  <c r="G376" i="5"/>
  <c r="F376" i="5"/>
  <c r="L98" i="2"/>
  <c r="L185" i="2"/>
  <c r="L219" i="2"/>
  <c r="L235" i="2"/>
  <c r="L138" i="2"/>
  <c r="L197" i="2"/>
  <c r="L325" i="2"/>
  <c r="L399" i="2"/>
  <c r="L415" i="2"/>
  <c r="L431" i="2"/>
  <c r="K431" i="2"/>
  <c r="L56" i="2"/>
  <c r="K66" i="2"/>
  <c r="L128" i="2"/>
  <c r="K138" i="2"/>
  <c r="L166" i="2"/>
  <c r="K206" i="2"/>
  <c r="K216" i="2"/>
  <c r="L216" i="2"/>
  <c r="L241" i="2"/>
  <c r="K241" i="2"/>
  <c r="K250" i="2"/>
  <c r="L275" i="2"/>
  <c r="K275" i="2"/>
  <c r="K284" i="2"/>
  <c r="L302" i="2"/>
  <c r="L292" i="2"/>
  <c r="L364" i="2"/>
  <c r="L315" i="2"/>
  <c r="L387" i="2"/>
  <c r="L362" i="2"/>
  <c r="L316" i="2"/>
  <c r="L326" i="2"/>
  <c r="L282" i="2"/>
  <c r="L340" i="2"/>
  <c r="L301" i="2"/>
  <c r="L379" i="2"/>
  <c r="L345" i="2"/>
  <c r="L291" i="2"/>
  <c r="L397" i="2"/>
  <c r="L304" i="2"/>
  <c r="L413" i="2"/>
  <c r="L403" i="2"/>
  <c r="L374" i="2"/>
  <c r="L330" i="2"/>
  <c r="L314" i="2"/>
  <c r="L309" i="2"/>
  <c r="K309" i="2"/>
  <c r="L358" i="2"/>
  <c r="K358" i="2"/>
  <c r="L385" i="2"/>
  <c r="K416" i="2"/>
  <c r="L416" i="2"/>
  <c r="K440" i="2"/>
  <c r="L440" i="2"/>
  <c r="L436" i="2"/>
  <c r="L465" i="2"/>
  <c r="K465" i="2"/>
  <c r="B270" i="5"/>
  <c r="L270" i="5"/>
  <c r="J270" i="5"/>
  <c r="I270" i="5"/>
  <c r="H270" i="5"/>
  <c r="M270" i="5"/>
  <c r="K270" i="5"/>
  <c r="G270" i="5"/>
  <c r="F270" i="5"/>
  <c r="E270" i="5"/>
  <c r="D270" i="5"/>
  <c r="C270" i="5"/>
  <c r="L175" i="2"/>
  <c r="L259" i="2"/>
  <c r="L142" i="2"/>
  <c r="L201" i="2"/>
  <c r="L245" i="2"/>
  <c r="L269" i="2"/>
  <c r="L83" i="2"/>
  <c r="L181" i="2"/>
  <c r="L215" i="2"/>
  <c r="L367" i="2"/>
  <c r="L50" i="2"/>
  <c r="L75" i="2"/>
  <c r="L94" i="2"/>
  <c r="L122" i="2"/>
  <c r="L147" i="2"/>
  <c r="L167" i="2"/>
  <c r="L242" i="2"/>
  <c r="L284" i="2"/>
  <c r="L359" i="2"/>
  <c r="L393" i="2"/>
  <c r="L441" i="2"/>
  <c r="K441" i="2"/>
  <c r="L450" i="2"/>
  <c r="H571" i="5"/>
  <c r="F571" i="5"/>
  <c r="E571" i="5"/>
  <c r="D571" i="5"/>
  <c r="M571" i="5"/>
  <c r="L571" i="5"/>
  <c r="K571" i="5"/>
  <c r="J571" i="5"/>
  <c r="I571" i="5"/>
  <c r="G571" i="5"/>
  <c r="B571" i="5"/>
  <c r="C571" i="5"/>
  <c r="G476" i="5"/>
  <c r="D476" i="5"/>
  <c r="L476" i="5"/>
  <c r="K476" i="5"/>
  <c r="J476" i="5"/>
  <c r="H476" i="5"/>
  <c r="F476" i="5"/>
  <c r="E476" i="5"/>
  <c r="H669" i="5"/>
  <c r="G669" i="5"/>
  <c r="F669" i="5"/>
  <c r="D669" i="5"/>
  <c r="C669" i="5"/>
  <c r="B669" i="5"/>
  <c r="M669" i="5"/>
  <c r="L669" i="5"/>
  <c r="K669" i="5"/>
  <c r="J669" i="5"/>
  <c r="I669" i="5"/>
  <c r="K260" i="2"/>
  <c r="L260" i="2"/>
  <c r="B344" i="5"/>
  <c r="J358" i="5"/>
  <c r="I358" i="5"/>
  <c r="H358" i="5"/>
  <c r="F358" i="5"/>
  <c r="E358" i="5"/>
  <c r="D358" i="5"/>
  <c r="E661" i="5"/>
  <c r="K7" i="2"/>
  <c r="K15" i="2"/>
  <c r="K23" i="2"/>
  <c r="K31" i="2"/>
  <c r="K39" i="2"/>
  <c r="L57" i="2"/>
  <c r="K62" i="2"/>
  <c r="L76" i="2"/>
  <c r="L100" i="2"/>
  <c r="L124" i="2"/>
  <c r="L251" i="2"/>
  <c r="L265" i="2"/>
  <c r="L270" i="2"/>
  <c r="K285" i="2"/>
  <c r="K290" i="2"/>
  <c r="K446" i="2"/>
  <c r="B263" i="5"/>
  <c r="B358" i="5"/>
  <c r="F632" i="5"/>
  <c r="D649" i="5"/>
  <c r="C649" i="5"/>
  <c r="B649" i="5"/>
  <c r="L649" i="5"/>
  <c r="K649" i="5"/>
  <c r="J649" i="5"/>
  <c r="M649" i="5"/>
  <c r="I649" i="5"/>
  <c r="H649" i="5"/>
  <c r="E657" i="5"/>
  <c r="K1388" i="5"/>
  <c r="J1388" i="5"/>
  <c r="I1388" i="5"/>
  <c r="E1388" i="5"/>
  <c r="L1388" i="5"/>
  <c r="H1388" i="5"/>
  <c r="G1388" i="5"/>
  <c r="F1388" i="5"/>
  <c r="D1388" i="5"/>
  <c r="C1388" i="5"/>
  <c r="B1388" i="5"/>
  <c r="M1388" i="5"/>
  <c r="L319" i="2"/>
  <c r="K329" i="2"/>
  <c r="K344" i="2"/>
  <c r="L344" i="2"/>
  <c r="K363" i="2"/>
  <c r="L368" i="2"/>
  <c r="L373" i="2"/>
  <c r="K393" i="2"/>
  <c r="L402" i="2"/>
  <c r="L407" i="2"/>
  <c r="L432" i="2"/>
  <c r="K451" i="2"/>
  <c r="L456" i="2"/>
  <c r="I287" i="5"/>
  <c r="G287" i="5"/>
  <c r="E287" i="5"/>
  <c r="D287" i="5"/>
  <c r="C287" i="5"/>
  <c r="K287" i="5"/>
  <c r="J287" i="5"/>
  <c r="H287" i="5"/>
  <c r="F287" i="5"/>
  <c r="B287" i="5"/>
  <c r="C292" i="5"/>
  <c r="B306" i="5"/>
  <c r="L306" i="5"/>
  <c r="J306" i="5"/>
  <c r="I306" i="5"/>
  <c r="H306" i="5"/>
  <c r="G306" i="5"/>
  <c r="F306" i="5"/>
  <c r="E306" i="5"/>
  <c r="D306" i="5"/>
  <c r="C306" i="5"/>
  <c r="C328" i="5"/>
  <c r="K345" i="5"/>
  <c r="I345" i="5"/>
  <c r="G345" i="5"/>
  <c r="F345" i="5"/>
  <c r="E345" i="5"/>
  <c r="M345" i="5"/>
  <c r="J360" i="5"/>
  <c r="I476" i="5"/>
  <c r="M496" i="5"/>
  <c r="J632" i="5"/>
  <c r="E649" i="5"/>
  <c r="I657" i="5"/>
  <c r="F746" i="5"/>
  <c r="L53" i="2"/>
  <c r="L72" i="2"/>
  <c r="L77" i="2"/>
  <c r="K82" i="2"/>
  <c r="L91" i="2"/>
  <c r="K106" i="2"/>
  <c r="L120" i="2"/>
  <c r="K130" i="2"/>
  <c r="L149" i="2"/>
  <c r="L188" i="2"/>
  <c r="L213" i="2"/>
  <c r="L286" i="2"/>
  <c r="L295" i="2"/>
  <c r="L305" i="2"/>
  <c r="L310" i="2"/>
  <c r="K325" i="2"/>
  <c r="L339" i="2"/>
  <c r="L349" i="2"/>
  <c r="K354" i="2"/>
  <c r="K359" i="2"/>
  <c r="L388" i="2"/>
  <c r="K398" i="2"/>
  <c r="L412" i="2"/>
  <c r="L418" i="2"/>
  <c r="L422" i="2"/>
  <c r="L427" i="2"/>
  <c r="K437" i="2"/>
  <c r="K442" i="2"/>
  <c r="L461" i="2"/>
  <c r="H263" i="5"/>
  <c r="D280" i="5"/>
  <c r="B280" i="5"/>
  <c r="L280" i="5"/>
  <c r="K280" i="5"/>
  <c r="J280" i="5"/>
  <c r="M280" i="5"/>
  <c r="I280" i="5"/>
  <c r="H280" i="5"/>
  <c r="G280" i="5"/>
  <c r="F280" i="5"/>
  <c r="L287" i="5"/>
  <c r="E292" i="5"/>
  <c r="K306" i="5"/>
  <c r="L308" i="5"/>
  <c r="J308" i="5"/>
  <c r="H308" i="5"/>
  <c r="G308" i="5"/>
  <c r="F308" i="5"/>
  <c r="M308" i="5"/>
  <c r="C333" i="5"/>
  <c r="E340" i="5"/>
  <c r="B345" i="5"/>
  <c r="G358" i="5"/>
  <c r="I474" i="5"/>
  <c r="F474" i="5"/>
  <c r="J474" i="5"/>
  <c r="H474" i="5"/>
  <c r="G474" i="5"/>
  <c r="D474" i="5"/>
  <c r="C474" i="5"/>
  <c r="B474" i="5"/>
  <c r="M474" i="5"/>
  <c r="M476" i="5"/>
  <c r="J497" i="5"/>
  <c r="G497" i="5"/>
  <c r="F497" i="5"/>
  <c r="M497" i="5"/>
  <c r="L497" i="5"/>
  <c r="K497" i="5"/>
  <c r="I497" i="5"/>
  <c r="H497" i="5"/>
  <c r="E497" i="5"/>
  <c r="D497" i="5"/>
  <c r="C504" i="5"/>
  <c r="L504" i="5"/>
  <c r="K504" i="5"/>
  <c r="M504" i="5"/>
  <c r="J504" i="5"/>
  <c r="I504" i="5"/>
  <c r="H504" i="5"/>
  <c r="G504" i="5"/>
  <c r="F504" i="5"/>
  <c r="E504" i="5"/>
  <c r="D504" i="5"/>
  <c r="L591" i="5"/>
  <c r="J591" i="5"/>
  <c r="I591" i="5"/>
  <c r="H591" i="5"/>
  <c r="M591" i="5"/>
  <c r="K591" i="5"/>
  <c r="G591" i="5"/>
  <c r="F591" i="5"/>
  <c r="E591" i="5"/>
  <c r="D591" i="5"/>
  <c r="H595" i="5"/>
  <c r="F595" i="5"/>
  <c r="E595" i="5"/>
  <c r="D595" i="5"/>
  <c r="M595" i="5"/>
  <c r="L595" i="5"/>
  <c r="K595" i="5"/>
  <c r="J595" i="5"/>
  <c r="I595" i="5"/>
  <c r="G595" i="5"/>
  <c r="K642" i="5"/>
  <c r="J642" i="5"/>
  <c r="I642" i="5"/>
  <c r="G642" i="5"/>
  <c r="F642" i="5"/>
  <c r="E642" i="5"/>
  <c r="M642" i="5"/>
  <c r="L642" i="5"/>
  <c r="H642" i="5"/>
  <c r="D642" i="5"/>
  <c r="F649" i="5"/>
  <c r="J727" i="5"/>
  <c r="I727" i="5"/>
  <c r="H727" i="5"/>
  <c r="F727" i="5"/>
  <c r="E727" i="5"/>
  <c r="D727" i="5"/>
  <c r="M727" i="5"/>
  <c r="L727" i="5"/>
  <c r="K727" i="5"/>
  <c r="G727" i="5"/>
  <c r="G746" i="5"/>
  <c r="F263" i="5"/>
  <c r="K285" i="5"/>
  <c r="I285" i="5"/>
  <c r="G285" i="5"/>
  <c r="F285" i="5"/>
  <c r="E285" i="5"/>
  <c r="M285" i="5"/>
  <c r="L285" i="5"/>
  <c r="J285" i="5"/>
  <c r="B333" i="5"/>
  <c r="C340" i="5"/>
  <c r="C358" i="5"/>
  <c r="F489" i="5"/>
  <c r="C489" i="5"/>
  <c r="B489" i="5"/>
  <c r="M489" i="5"/>
  <c r="L489" i="5"/>
  <c r="K489" i="5"/>
  <c r="I489" i="5"/>
  <c r="H489" i="5"/>
  <c r="G489" i="5"/>
  <c r="B601" i="5"/>
  <c r="L601" i="5"/>
  <c r="K601" i="5"/>
  <c r="J601" i="5"/>
  <c r="M601" i="5"/>
  <c r="I601" i="5"/>
  <c r="H601" i="5"/>
  <c r="G601" i="5"/>
  <c r="J739" i="5"/>
  <c r="I739" i="5"/>
  <c r="H739" i="5"/>
  <c r="F739" i="5"/>
  <c r="E739" i="5"/>
  <c r="D739" i="5"/>
  <c r="M739" i="5"/>
  <c r="L739" i="5"/>
  <c r="K739" i="5"/>
  <c r="G739" i="5"/>
  <c r="C739" i="5"/>
  <c r="B739" i="5"/>
  <c r="L48" i="2"/>
  <c r="K58" i="2"/>
  <c r="L67" i="2"/>
  <c r="L96" i="2"/>
  <c r="L101" i="2"/>
  <c r="L115" i="2"/>
  <c r="L125" i="2"/>
  <c r="L139" i="2"/>
  <c r="L144" i="2"/>
  <c r="K154" i="2"/>
  <c r="L163" i="2"/>
  <c r="L173" i="2"/>
  <c r="L193" i="2"/>
  <c r="L203" i="2"/>
  <c r="L207" i="2"/>
  <c r="L217" i="2"/>
  <c r="L222" i="2"/>
  <c r="L227" i="2"/>
  <c r="K237" i="2"/>
  <c r="K242" i="2"/>
  <c r="L246" i="2"/>
  <c r="L256" i="2"/>
  <c r="K271" i="2"/>
  <c r="L276" i="2"/>
  <c r="L335" i="2"/>
  <c r="L369" i="2"/>
  <c r="L378" i="2"/>
  <c r="K164" i="2"/>
  <c r="L164" i="2"/>
  <c r="L183" i="2"/>
  <c r="K203" i="2"/>
  <c r="K213" i="2"/>
  <c r="L232" i="2"/>
  <c r="L252" i="2"/>
  <c r="L266" i="2"/>
  <c r="K286" i="2"/>
  <c r="K296" i="2"/>
  <c r="L296" i="2"/>
  <c r="L320" i="2"/>
  <c r="K335" i="2"/>
  <c r="K369" i="2"/>
  <c r="L384" i="2"/>
  <c r="L408" i="2"/>
  <c r="L437" i="2"/>
  <c r="K452" i="2"/>
  <c r="L452" i="2"/>
  <c r="J263" i="5"/>
  <c r="C285" i="5"/>
  <c r="M287" i="5"/>
  <c r="F292" i="5"/>
  <c r="I299" i="5"/>
  <c r="G299" i="5"/>
  <c r="E299" i="5"/>
  <c r="D299" i="5"/>
  <c r="C299" i="5"/>
  <c r="M299" i="5"/>
  <c r="L299" i="5"/>
  <c r="K299" i="5"/>
  <c r="J299" i="5"/>
  <c r="M306" i="5"/>
  <c r="K321" i="5"/>
  <c r="I321" i="5"/>
  <c r="G321" i="5"/>
  <c r="F321" i="5"/>
  <c r="E321" i="5"/>
  <c r="J321" i="5"/>
  <c r="H321" i="5"/>
  <c r="D321" i="5"/>
  <c r="C321" i="5"/>
  <c r="B321" i="5"/>
  <c r="B330" i="5"/>
  <c r="L330" i="5"/>
  <c r="J330" i="5"/>
  <c r="I330" i="5"/>
  <c r="H330" i="5"/>
  <c r="M330" i="5"/>
  <c r="K330" i="5"/>
  <c r="F340" i="5"/>
  <c r="C345" i="5"/>
  <c r="I347" i="5"/>
  <c r="G347" i="5"/>
  <c r="E347" i="5"/>
  <c r="D347" i="5"/>
  <c r="C347" i="5"/>
  <c r="M347" i="5"/>
  <c r="L347" i="5"/>
  <c r="K347" i="5"/>
  <c r="J347" i="5"/>
  <c r="H347" i="5"/>
  <c r="K358" i="5"/>
  <c r="H372" i="5"/>
  <c r="G372" i="5"/>
  <c r="F372" i="5"/>
  <c r="D372" i="5"/>
  <c r="C372" i="5"/>
  <c r="B372" i="5"/>
  <c r="M372" i="5"/>
  <c r="L372" i="5"/>
  <c r="K372" i="5"/>
  <c r="J372" i="5"/>
  <c r="H384" i="5"/>
  <c r="G384" i="5"/>
  <c r="F384" i="5"/>
  <c r="D384" i="5"/>
  <c r="C384" i="5"/>
  <c r="B384" i="5"/>
  <c r="L384" i="5"/>
  <c r="K384" i="5"/>
  <c r="J384" i="5"/>
  <c r="I384" i="5"/>
  <c r="E384" i="5"/>
  <c r="I450" i="5"/>
  <c r="F450" i="5"/>
  <c r="L450" i="5"/>
  <c r="K450" i="5"/>
  <c r="J450" i="5"/>
  <c r="G450" i="5"/>
  <c r="E450" i="5"/>
  <c r="D450" i="5"/>
  <c r="F477" i="5"/>
  <c r="C477" i="5"/>
  <c r="M477" i="5"/>
  <c r="L477" i="5"/>
  <c r="K477" i="5"/>
  <c r="I477" i="5"/>
  <c r="H477" i="5"/>
  <c r="G477" i="5"/>
  <c r="J477" i="5"/>
  <c r="E477" i="5"/>
  <c r="D477" i="5"/>
  <c r="B477" i="5"/>
  <c r="E489" i="5"/>
  <c r="D601" i="5"/>
  <c r="G649" i="5"/>
  <c r="K702" i="5"/>
  <c r="J702" i="5"/>
  <c r="I702" i="5"/>
  <c r="G702" i="5"/>
  <c r="F702" i="5"/>
  <c r="E702" i="5"/>
  <c r="M702" i="5"/>
  <c r="L702" i="5"/>
  <c r="H702" i="5"/>
  <c r="D702" i="5"/>
  <c r="D709" i="5"/>
  <c r="C709" i="5"/>
  <c r="B709" i="5"/>
  <c r="L709" i="5"/>
  <c r="K709" i="5"/>
  <c r="J709" i="5"/>
  <c r="M709" i="5"/>
  <c r="I709" i="5"/>
  <c r="H709" i="5"/>
  <c r="K714" i="5"/>
  <c r="J714" i="5"/>
  <c r="I714" i="5"/>
  <c r="G714" i="5"/>
  <c r="F714" i="5"/>
  <c r="E714" i="5"/>
  <c r="M714" i="5"/>
  <c r="L714" i="5"/>
  <c r="H714" i="5"/>
  <c r="D714" i="5"/>
  <c r="C714" i="5"/>
  <c r="B714" i="5"/>
  <c r="D721" i="5"/>
  <c r="C721" i="5"/>
  <c r="B721" i="5"/>
  <c r="L721" i="5"/>
  <c r="K721" i="5"/>
  <c r="J721" i="5"/>
  <c r="M721" i="5"/>
  <c r="I721" i="5"/>
  <c r="H721" i="5"/>
  <c r="G721" i="5"/>
  <c r="F721" i="5"/>
  <c r="L737" i="5"/>
  <c r="K737" i="5"/>
  <c r="J737" i="5"/>
  <c r="H737" i="5"/>
  <c r="G737" i="5"/>
  <c r="F737" i="5"/>
  <c r="M737" i="5"/>
  <c r="I737" i="5"/>
  <c r="E737" i="5"/>
  <c r="D737" i="5"/>
  <c r="J903" i="5"/>
  <c r="G903" i="5"/>
  <c r="K903" i="5"/>
  <c r="H903" i="5"/>
  <c r="F903" i="5"/>
  <c r="E903" i="5"/>
  <c r="D903" i="5"/>
  <c r="M903" i="5"/>
  <c r="L903" i="5"/>
  <c r="I903" i="5"/>
  <c r="C903" i="5"/>
  <c r="B903" i="5"/>
  <c r="F1038" i="5"/>
  <c r="H1038" i="5"/>
  <c r="G1038" i="5"/>
  <c r="E1038" i="5"/>
  <c r="D1038" i="5"/>
  <c r="C1038" i="5"/>
  <c r="B1038" i="5"/>
  <c r="M1038" i="5"/>
  <c r="L1038" i="5"/>
  <c r="K1038" i="5"/>
  <c r="J1038" i="5"/>
  <c r="L63" i="2"/>
  <c r="L287" i="2"/>
  <c r="L428" i="2"/>
  <c r="L433" i="2"/>
  <c r="L443" i="2"/>
  <c r="L447" i="2"/>
  <c r="L453" i="2"/>
  <c r="L457" i="2"/>
  <c r="L462" i="2"/>
  <c r="K263" i="5"/>
  <c r="D285" i="5"/>
  <c r="H288" i="5"/>
  <c r="F288" i="5"/>
  <c r="D288" i="5"/>
  <c r="C288" i="5"/>
  <c r="B288" i="5"/>
  <c r="M288" i="5"/>
  <c r="L288" i="5"/>
  <c r="K288" i="5"/>
  <c r="G292" i="5"/>
  <c r="B299" i="5"/>
  <c r="J310" i="5"/>
  <c r="H310" i="5"/>
  <c r="F310" i="5"/>
  <c r="E310" i="5"/>
  <c r="D310" i="5"/>
  <c r="M310" i="5"/>
  <c r="L310" i="5"/>
  <c r="K310" i="5"/>
  <c r="I310" i="5"/>
  <c r="G310" i="5"/>
  <c r="L321" i="5"/>
  <c r="C330" i="5"/>
  <c r="D345" i="5"/>
  <c r="B347" i="5"/>
  <c r="L358" i="5"/>
  <c r="E372" i="5"/>
  <c r="M384" i="5"/>
  <c r="B450" i="5"/>
  <c r="J489" i="5"/>
  <c r="K544" i="5"/>
  <c r="H544" i="5"/>
  <c r="G544" i="5"/>
  <c r="L544" i="5"/>
  <c r="J544" i="5"/>
  <c r="I544" i="5"/>
  <c r="F544" i="5"/>
  <c r="E544" i="5"/>
  <c r="D544" i="5"/>
  <c r="C544" i="5"/>
  <c r="M544" i="5"/>
  <c r="B544" i="5"/>
  <c r="E601" i="5"/>
  <c r="B702" i="5"/>
  <c r="E709" i="5"/>
  <c r="H717" i="5"/>
  <c r="G717" i="5"/>
  <c r="F717" i="5"/>
  <c r="D717" i="5"/>
  <c r="C717" i="5"/>
  <c r="B717" i="5"/>
  <c r="M717" i="5"/>
  <c r="L717" i="5"/>
  <c r="K717" i="5"/>
  <c r="E721" i="5"/>
  <c r="B737" i="5"/>
  <c r="G854" i="5"/>
  <c r="E854" i="5"/>
  <c r="K854" i="5"/>
  <c r="J854" i="5"/>
  <c r="I854" i="5"/>
  <c r="H854" i="5"/>
  <c r="F854" i="5"/>
  <c r="D854" i="5"/>
  <c r="C854" i="5"/>
  <c r="M854" i="5"/>
  <c r="L854" i="5"/>
  <c r="B854" i="5"/>
  <c r="K950" i="5"/>
  <c r="I950" i="5"/>
  <c r="H950" i="5"/>
  <c r="G950" i="5"/>
  <c r="M950" i="5"/>
  <c r="J950" i="5"/>
  <c r="F950" i="5"/>
  <c r="E950" i="5"/>
  <c r="D950" i="5"/>
  <c r="L950" i="5"/>
  <c r="C950" i="5"/>
  <c r="B950" i="5"/>
  <c r="I1038" i="5"/>
  <c r="B1042" i="5"/>
  <c r="H1042" i="5"/>
  <c r="G1042" i="5"/>
  <c r="F1042" i="5"/>
  <c r="E1042" i="5"/>
  <c r="D1042" i="5"/>
  <c r="C1042" i="5"/>
  <c r="M1042" i="5"/>
  <c r="L1042" i="5"/>
  <c r="K1042" i="5"/>
  <c r="J1042" i="5"/>
  <c r="L284" i="5"/>
  <c r="J284" i="5"/>
  <c r="H284" i="5"/>
  <c r="G284" i="5"/>
  <c r="F284" i="5"/>
  <c r="I284" i="5"/>
  <c r="E284" i="5"/>
  <c r="D284" i="5"/>
  <c r="C284" i="5"/>
  <c r="B284" i="5"/>
  <c r="L324" i="2"/>
  <c r="L353" i="2"/>
  <c r="L426" i="2"/>
  <c r="L460" i="2"/>
  <c r="L11" i="2"/>
  <c r="L27" i="2"/>
  <c r="L86" i="2"/>
  <c r="L110" i="2"/>
  <c r="L134" i="2"/>
  <c r="L168" i="2"/>
  <c r="L202" i="2"/>
  <c r="K212" i="2"/>
  <c r="L212" i="2"/>
  <c r="K251" i="2"/>
  <c r="L4" i="2"/>
  <c r="L20" i="2"/>
  <c r="L32" i="2"/>
  <c r="L40" i="2"/>
  <c r="L68" i="2"/>
  <c r="L97" i="2"/>
  <c r="L135" i="2"/>
  <c r="L165" i="2"/>
  <c r="L198" i="2"/>
  <c r="L247" i="2"/>
  <c r="L54" i="2"/>
  <c r="K59" i="2"/>
  <c r="L78" i="2"/>
  <c r="K83" i="2"/>
  <c r="L102" i="2"/>
  <c r="K107" i="2"/>
  <c r="L126" i="2"/>
  <c r="K131" i="2"/>
  <c r="L150" i="2"/>
  <c r="K155" i="2"/>
  <c r="K165" i="2"/>
  <c r="L184" i="2"/>
  <c r="L189" i="2"/>
  <c r="L194" i="2"/>
  <c r="L204" i="2"/>
  <c r="K214" i="2"/>
  <c r="L218" i="2"/>
  <c r="L223" i="2"/>
  <c r="K233" i="2"/>
  <c r="K248" i="2"/>
  <c r="L248" i="2"/>
  <c r="K267" i="2"/>
  <c r="L272" i="2"/>
  <c r="L277" i="2"/>
  <c r="K287" i="2"/>
  <c r="K297" i="2"/>
  <c r="L306" i="2"/>
  <c r="L311" i="2"/>
  <c r="L336" i="2"/>
  <c r="L350" i="2"/>
  <c r="K355" i="2"/>
  <c r="L360" i="2"/>
  <c r="K385" i="2"/>
  <c r="L389" i="2"/>
  <c r="L394" i="2"/>
  <c r="K399" i="2"/>
  <c r="K404" i="2"/>
  <c r="L404" i="2"/>
  <c r="K419" i="2"/>
  <c r="L423" i="2"/>
  <c r="K438" i="2"/>
  <c r="K443" i="2"/>
  <c r="K453" i="2"/>
  <c r="B258" i="5"/>
  <c r="L258" i="5"/>
  <c r="J258" i="5"/>
  <c r="I258" i="5"/>
  <c r="H258" i="5"/>
  <c r="G258" i="5"/>
  <c r="F258" i="5"/>
  <c r="E258" i="5"/>
  <c r="D258" i="5"/>
  <c r="C258" i="5"/>
  <c r="K273" i="5"/>
  <c r="I273" i="5"/>
  <c r="G273" i="5"/>
  <c r="F273" i="5"/>
  <c r="E273" i="5"/>
  <c r="L273" i="5"/>
  <c r="J273" i="5"/>
  <c r="H273" i="5"/>
  <c r="D273" i="5"/>
  <c r="C273" i="5"/>
  <c r="B282" i="5"/>
  <c r="L282" i="5"/>
  <c r="J282" i="5"/>
  <c r="I282" i="5"/>
  <c r="H282" i="5"/>
  <c r="M282" i="5"/>
  <c r="H285" i="5"/>
  <c r="E288" i="5"/>
  <c r="F299" i="5"/>
  <c r="B310" i="5"/>
  <c r="B318" i="5"/>
  <c r="L318" i="5"/>
  <c r="J318" i="5"/>
  <c r="I318" i="5"/>
  <c r="H318" i="5"/>
  <c r="M318" i="5"/>
  <c r="K318" i="5"/>
  <c r="G318" i="5"/>
  <c r="F318" i="5"/>
  <c r="M321" i="5"/>
  <c r="D330" i="5"/>
  <c r="H336" i="5"/>
  <c r="F336" i="5"/>
  <c r="D336" i="5"/>
  <c r="C336" i="5"/>
  <c r="B336" i="5"/>
  <c r="M336" i="5"/>
  <c r="L336" i="5"/>
  <c r="K336" i="5"/>
  <c r="J336" i="5"/>
  <c r="H345" i="5"/>
  <c r="F347" i="5"/>
  <c r="M358" i="5"/>
  <c r="J370" i="5"/>
  <c r="I370" i="5"/>
  <c r="H370" i="5"/>
  <c r="F370" i="5"/>
  <c r="E370" i="5"/>
  <c r="D370" i="5"/>
  <c r="M370" i="5"/>
  <c r="L370" i="5"/>
  <c r="I372" i="5"/>
  <c r="J382" i="5"/>
  <c r="I382" i="5"/>
  <c r="H382" i="5"/>
  <c r="F382" i="5"/>
  <c r="E382" i="5"/>
  <c r="D382" i="5"/>
  <c r="M382" i="5"/>
  <c r="L382" i="5"/>
  <c r="K382" i="5"/>
  <c r="G382" i="5"/>
  <c r="C450" i="5"/>
  <c r="L531" i="5"/>
  <c r="I531" i="5"/>
  <c r="H531" i="5"/>
  <c r="M531" i="5"/>
  <c r="K531" i="5"/>
  <c r="J531" i="5"/>
  <c r="G531" i="5"/>
  <c r="F531" i="5"/>
  <c r="E531" i="5"/>
  <c r="D531" i="5"/>
  <c r="F601" i="5"/>
  <c r="C702" i="5"/>
  <c r="F709" i="5"/>
  <c r="E717" i="5"/>
  <c r="C737" i="5"/>
  <c r="H917" i="5"/>
  <c r="E917" i="5"/>
  <c r="L917" i="5"/>
  <c r="J917" i="5"/>
  <c r="I917" i="5"/>
  <c r="G917" i="5"/>
  <c r="F917" i="5"/>
  <c r="M917" i="5"/>
  <c r="K917" i="5"/>
  <c r="D917" i="5"/>
  <c r="I928" i="5"/>
  <c r="G928" i="5"/>
  <c r="F928" i="5"/>
  <c r="E928" i="5"/>
  <c r="B928" i="5"/>
  <c r="M928" i="5"/>
  <c r="L928" i="5"/>
  <c r="K928" i="5"/>
  <c r="J928" i="5"/>
  <c r="H928" i="5"/>
  <c r="D928" i="5"/>
  <c r="C928" i="5"/>
  <c r="I1042" i="5"/>
  <c r="L296" i="5"/>
  <c r="J296" i="5"/>
  <c r="H296" i="5"/>
  <c r="G296" i="5"/>
  <c r="F296" i="5"/>
  <c r="M296" i="5"/>
  <c r="K296" i="5"/>
  <c r="I296" i="5"/>
  <c r="E296" i="5"/>
  <c r="D661" i="5"/>
  <c r="C661" i="5"/>
  <c r="B661" i="5"/>
  <c r="L661" i="5"/>
  <c r="K661" i="5"/>
  <c r="J661" i="5"/>
  <c r="M661" i="5"/>
  <c r="I661" i="5"/>
  <c r="H661" i="5"/>
  <c r="G661" i="5"/>
  <c r="L279" i="2"/>
  <c r="K392" i="2"/>
  <c r="L392" i="2"/>
  <c r="B476" i="5"/>
  <c r="E669" i="5"/>
  <c r="K3" i="2"/>
  <c r="A2" i="4" s="1" a="1"/>
  <c r="K19" i="2"/>
  <c r="K35" i="2"/>
  <c r="K43" i="2"/>
  <c r="L52" i="2"/>
  <c r="L81" i="2"/>
  <c r="K86" i="2"/>
  <c r="L105" i="2"/>
  <c r="L129" i="2"/>
  <c r="L148" i="2"/>
  <c r="L153" i="2"/>
  <c r="K158" i="2"/>
  <c r="L172" i="2"/>
  <c r="L187" i="2"/>
  <c r="L221" i="2"/>
  <c r="L261" i="2"/>
  <c r="L466" i="2"/>
  <c r="M284" i="5"/>
  <c r="D292" i="5"/>
  <c r="B292" i="5"/>
  <c r="L292" i="5"/>
  <c r="K292" i="5"/>
  <c r="J292" i="5"/>
  <c r="M292" i="5"/>
  <c r="I292" i="5"/>
  <c r="C296" i="5"/>
  <c r="K333" i="5"/>
  <c r="I333" i="5"/>
  <c r="G333" i="5"/>
  <c r="F333" i="5"/>
  <c r="E333" i="5"/>
  <c r="M333" i="5"/>
  <c r="L333" i="5"/>
  <c r="J333" i="5"/>
  <c r="H333" i="5"/>
  <c r="D340" i="5"/>
  <c r="B340" i="5"/>
  <c r="L340" i="5"/>
  <c r="K340" i="5"/>
  <c r="J340" i="5"/>
  <c r="M340" i="5"/>
  <c r="I340" i="5"/>
  <c r="H340" i="5"/>
  <c r="H729" i="5"/>
  <c r="G729" i="5"/>
  <c r="F729" i="5"/>
  <c r="D729" i="5"/>
  <c r="C729" i="5"/>
  <c r="B729" i="5"/>
  <c r="M729" i="5"/>
  <c r="L729" i="5"/>
  <c r="K729" i="5"/>
  <c r="J729" i="5"/>
  <c r="I729" i="5"/>
  <c r="E729" i="5"/>
  <c r="E746" i="5"/>
  <c r="D746" i="5"/>
  <c r="C746" i="5"/>
  <c r="B746" i="5"/>
  <c r="M746" i="5"/>
  <c r="L746" i="5"/>
  <c r="K746" i="5"/>
  <c r="J746" i="5"/>
  <c r="I746" i="5"/>
  <c r="I1083" i="5"/>
  <c r="H1083" i="5"/>
  <c r="G1083" i="5"/>
  <c r="F1083" i="5"/>
  <c r="E1083" i="5"/>
  <c r="D1083" i="5"/>
  <c r="C1083" i="5"/>
  <c r="B1083" i="5"/>
  <c r="M1083" i="5"/>
  <c r="L1083" i="5"/>
  <c r="K1083" i="5"/>
  <c r="H1355" i="5"/>
  <c r="G1355" i="5"/>
  <c r="C1355" i="5"/>
  <c r="M1355" i="5"/>
  <c r="K1355" i="5"/>
  <c r="J1355" i="5"/>
  <c r="I1355" i="5"/>
  <c r="F1355" i="5"/>
  <c r="E1355" i="5"/>
  <c r="D1355" i="5"/>
  <c r="B1355" i="5"/>
  <c r="L1355" i="5"/>
  <c r="L3" i="2"/>
  <c r="L280" i="2"/>
  <c r="L16" i="2"/>
  <c r="L44" i="2"/>
  <c r="L92" i="2"/>
  <c r="L121" i="2"/>
  <c r="L159" i="2"/>
  <c r="L174" i="2"/>
  <c r="L228" i="2"/>
  <c r="L257" i="2"/>
  <c r="L45" i="2"/>
  <c r="L64" i="2"/>
  <c r="L93" i="2"/>
  <c r="L136" i="2"/>
  <c r="L180" i="2"/>
  <c r="L209" i="2"/>
  <c r="L322" i="2"/>
  <c r="L331" i="2"/>
  <c r="L365" i="2"/>
  <c r="L380" i="2"/>
  <c r="L395" i="2"/>
  <c r="L405" i="2"/>
  <c r="L409" i="2"/>
  <c r="L414" i="2"/>
  <c r="L419" i="2"/>
  <c r="L448" i="2"/>
  <c r="K463" i="2"/>
  <c r="K258" i="5"/>
  <c r="L260" i="5"/>
  <c r="J260" i="5"/>
  <c r="H260" i="5"/>
  <c r="G260" i="5"/>
  <c r="F260" i="5"/>
  <c r="M260" i="5"/>
  <c r="B273" i="5"/>
  <c r="C282" i="5"/>
  <c r="G288" i="5"/>
  <c r="H299" i="5"/>
  <c r="E308" i="5"/>
  <c r="C310" i="5"/>
  <c r="C318" i="5"/>
  <c r="J322" i="5"/>
  <c r="H322" i="5"/>
  <c r="F322" i="5"/>
  <c r="E322" i="5"/>
  <c r="D322" i="5"/>
  <c r="M322" i="5"/>
  <c r="L322" i="5"/>
  <c r="K322" i="5"/>
  <c r="H324" i="5"/>
  <c r="F324" i="5"/>
  <c r="D324" i="5"/>
  <c r="C324" i="5"/>
  <c r="B324" i="5"/>
  <c r="K324" i="5"/>
  <c r="J324" i="5"/>
  <c r="I324" i="5"/>
  <c r="G324" i="5"/>
  <c r="E324" i="5"/>
  <c r="E330" i="5"/>
  <c r="E336" i="5"/>
  <c r="J345" i="5"/>
  <c r="H348" i="5"/>
  <c r="G348" i="5"/>
  <c r="F348" i="5"/>
  <c r="D348" i="5"/>
  <c r="C348" i="5"/>
  <c r="B348" i="5"/>
  <c r="D364" i="5"/>
  <c r="C364" i="5"/>
  <c r="B364" i="5"/>
  <c r="L364" i="5"/>
  <c r="K364" i="5"/>
  <c r="J364" i="5"/>
  <c r="L368" i="5"/>
  <c r="K368" i="5"/>
  <c r="J368" i="5"/>
  <c r="H368" i="5"/>
  <c r="G368" i="5"/>
  <c r="F368" i="5"/>
  <c r="B370" i="5"/>
  <c r="B382" i="5"/>
  <c r="H450" i="5"/>
  <c r="F465" i="5"/>
  <c r="C465" i="5"/>
  <c r="M465" i="5"/>
  <c r="L465" i="5"/>
  <c r="J465" i="5"/>
  <c r="I465" i="5"/>
  <c r="H465" i="5"/>
  <c r="K465" i="5"/>
  <c r="G465" i="5"/>
  <c r="E465" i="5"/>
  <c r="H511" i="5"/>
  <c r="E511" i="5"/>
  <c r="D511" i="5"/>
  <c r="M511" i="5"/>
  <c r="L511" i="5"/>
  <c r="K511" i="5"/>
  <c r="J511" i="5"/>
  <c r="I511" i="5"/>
  <c r="B531" i="5"/>
  <c r="G709" i="5"/>
  <c r="I717" i="5"/>
  <c r="E856" i="5"/>
  <c r="C856" i="5"/>
  <c r="M856" i="5"/>
  <c r="L856" i="5"/>
  <c r="K856" i="5"/>
  <c r="J856" i="5"/>
  <c r="I856" i="5"/>
  <c r="H856" i="5"/>
  <c r="G856" i="5"/>
  <c r="F856" i="5"/>
  <c r="B917" i="5"/>
  <c r="E1027" i="5"/>
  <c r="H1027" i="5"/>
  <c r="G1027" i="5"/>
  <c r="D1027" i="5"/>
  <c r="C1027" i="5"/>
  <c r="B1027" i="5"/>
  <c r="M1027" i="5"/>
  <c r="L1027" i="5"/>
  <c r="K1027" i="5"/>
  <c r="J1027" i="5"/>
  <c r="I1027" i="5"/>
  <c r="F1027" i="5"/>
  <c r="H360" i="5"/>
  <c r="G360" i="5"/>
  <c r="F360" i="5"/>
  <c r="D360" i="5"/>
  <c r="C360" i="5"/>
  <c r="B360" i="5"/>
  <c r="M360" i="5"/>
  <c r="L360" i="5"/>
  <c r="I632" i="5"/>
  <c r="H632" i="5"/>
  <c r="G632" i="5"/>
  <c r="E632" i="5"/>
  <c r="D632" i="5"/>
  <c r="C632" i="5"/>
  <c r="M632" i="5"/>
  <c r="L632" i="5"/>
  <c r="K632" i="5"/>
  <c r="I263" i="5"/>
  <c r="G263" i="5"/>
  <c r="E263" i="5"/>
  <c r="D263" i="5"/>
  <c r="C263" i="5"/>
  <c r="M263" i="5"/>
  <c r="K496" i="5"/>
  <c r="H496" i="5"/>
  <c r="G496" i="5"/>
  <c r="L496" i="5"/>
  <c r="J496" i="5"/>
  <c r="I496" i="5"/>
  <c r="F496" i="5"/>
  <c r="E496" i="5"/>
  <c r="D496" i="5"/>
  <c r="C496" i="5"/>
  <c r="H657" i="5"/>
  <c r="G657" i="5"/>
  <c r="F657" i="5"/>
  <c r="D657" i="5"/>
  <c r="C657" i="5"/>
  <c r="B657" i="5"/>
  <c r="M657" i="5"/>
  <c r="L657" i="5"/>
  <c r="K657" i="5"/>
  <c r="L178" i="2"/>
  <c r="L383" i="2"/>
  <c r="L417" i="2"/>
  <c r="I360" i="5"/>
  <c r="H463" i="5"/>
  <c r="E463" i="5"/>
  <c r="L463" i="5"/>
  <c r="K463" i="5"/>
  <c r="J463" i="5"/>
  <c r="G463" i="5"/>
  <c r="F463" i="5"/>
  <c r="D463" i="5"/>
  <c r="M463" i="5"/>
  <c r="I463" i="5"/>
  <c r="C463" i="5"/>
  <c r="B463" i="5"/>
  <c r="L231" i="2"/>
  <c r="L12" i="2"/>
  <c r="L28" i="2"/>
  <c r="L36" i="2"/>
  <c r="L87" i="2"/>
  <c r="L116" i="2"/>
  <c r="L145" i="2"/>
  <c r="L169" i="2"/>
  <c r="L208" i="2"/>
  <c r="L262" i="2"/>
  <c r="L321" i="2"/>
  <c r="L370" i="2"/>
  <c r="L88" i="2"/>
  <c r="L117" i="2"/>
  <c r="L160" i="2"/>
  <c r="L190" i="2"/>
  <c r="L243" i="2"/>
  <c r="L273" i="2"/>
  <c r="K103" i="2"/>
  <c r="K127" i="2"/>
  <c r="K151" i="2"/>
  <c r="K166" i="2"/>
  <c r="L229" i="2"/>
  <c r="K249" i="2"/>
  <c r="L258" i="2"/>
  <c r="L263" i="2"/>
  <c r="K273" i="2"/>
  <c r="L288" i="2"/>
  <c r="L341" i="2"/>
  <c r="L346" i="2"/>
  <c r="K351" i="2"/>
  <c r="K356" i="2"/>
  <c r="L356" i="2"/>
  <c r="L375" i="2"/>
  <c r="L424" i="2"/>
  <c r="L444" i="2"/>
  <c r="M258" i="5"/>
  <c r="B260" i="5"/>
  <c r="M273" i="5"/>
  <c r="D282" i="5"/>
  <c r="I288" i="5"/>
  <c r="I308" i="5"/>
  <c r="I311" i="5"/>
  <c r="G311" i="5"/>
  <c r="E311" i="5"/>
  <c r="D311" i="5"/>
  <c r="C311" i="5"/>
  <c r="M311" i="5"/>
  <c r="D318" i="5"/>
  <c r="B322" i="5"/>
  <c r="L324" i="5"/>
  <c r="F330" i="5"/>
  <c r="G336" i="5"/>
  <c r="L345" i="5"/>
  <c r="E348" i="5"/>
  <c r="E364" i="5"/>
  <c r="B368" i="5"/>
  <c r="C370" i="5"/>
  <c r="L380" i="5"/>
  <c r="K380" i="5"/>
  <c r="J380" i="5"/>
  <c r="H380" i="5"/>
  <c r="G380" i="5"/>
  <c r="F380" i="5"/>
  <c r="M380" i="5"/>
  <c r="I380" i="5"/>
  <c r="C382" i="5"/>
  <c r="K448" i="5"/>
  <c r="H448" i="5"/>
  <c r="I448" i="5"/>
  <c r="G448" i="5"/>
  <c r="F448" i="5"/>
  <c r="D448" i="5"/>
  <c r="C448" i="5"/>
  <c r="B448" i="5"/>
  <c r="M448" i="5"/>
  <c r="M450" i="5"/>
  <c r="I462" i="5"/>
  <c r="F462" i="5"/>
  <c r="K462" i="5"/>
  <c r="J462" i="5"/>
  <c r="H462" i="5"/>
  <c r="E462" i="5"/>
  <c r="D462" i="5"/>
  <c r="C462" i="5"/>
  <c r="B465" i="5"/>
  <c r="H487" i="5"/>
  <c r="E487" i="5"/>
  <c r="J487" i="5"/>
  <c r="I487" i="5"/>
  <c r="G487" i="5"/>
  <c r="D487" i="5"/>
  <c r="C487" i="5"/>
  <c r="B487" i="5"/>
  <c r="M487" i="5"/>
  <c r="L487" i="5"/>
  <c r="K487" i="5"/>
  <c r="B511" i="5"/>
  <c r="C531" i="5"/>
  <c r="J717" i="5"/>
  <c r="L725" i="5"/>
  <c r="K725" i="5"/>
  <c r="J725" i="5"/>
  <c r="H725" i="5"/>
  <c r="G725" i="5"/>
  <c r="F725" i="5"/>
  <c r="M725" i="5"/>
  <c r="I725" i="5"/>
  <c r="E725" i="5"/>
  <c r="D725" i="5"/>
  <c r="C725" i="5"/>
  <c r="B856" i="5"/>
  <c r="C917" i="5"/>
  <c r="L344" i="5"/>
  <c r="J344" i="5"/>
  <c r="H344" i="5"/>
  <c r="G344" i="5"/>
  <c r="F344" i="5"/>
  <c r="M344" i="5"/>
  <c r="K344" i="5"/>
  <c r="I344" i="5"/>
  <c r="E344" i="5"/>
  <c r="D344" i="5"/>
  <c r="L617" i="5"/>
  <c r="K617" i="5"/>
  <c r="J617" i="5"/>
  <c r="H617" i="5"/>
  <c r="G617" i="5"/>
  <c r="F617" i="5"/>
  <c r="M617" i="5"/>
  <c r="I617" i="5"/>
  <c r="E617" i="5"/>
  <c r="D617" i="5"/>
  <c r="B296" i="5"/>
  <c r="E360" i="5"/>
  <c r="B617" i="5"/>
  <c r="L182" i="2"/>
  <c r="K197" i="2"/>
  <c r="L236" i="2"/>
  <c r="L334" i="2"/>
  <c r="L343" i="2"/>
  <c r="D328" i="5"/>
  <c r="B328" i="5"/>
  <c r="L328" i="5"/>
  <c r="K328" i="5"/>
  <c r="J328" i="5"/>
  <c r="I328" i="5"/>
  <c r="H328" i="5"/>
  <c r="G328" i="5"/>
  <c r="F328" i="5"/>
  <c r="E328" i="5"/>
  <c r="C476" i="5"/>
  <c r="C617" i="5"/>
  <c r="L43" i="2"/>
  <c r="K261" i="2"/>
  <c r="L300" i="2"/>
  <c r="L8" i="2"/>
  <c r="L49" i="2"/>
  <c r="L73" i="2"/>
  <c r="L111" i="2"/>
  <c r="L140" i="2"/>
  <c r="L179" i="2"/>
  <c r="L238" i="2"/>
  <c r="L281" i="2"/>
  <c r="L112" i="2"/>
  <c r="L141" i="2"/>
  <c r="L199" i="2"/>
  <c r="L239" i="2"/>
  <c r="L253" i="2"/>
  <c r="K55" i="2"/>
  <c r="K79" i="2"/>
  <c r="L170" i="2"/>
  <c r="K185" i="2"/>
  <c r="K190" i="2"/>
  <c r="K200" i="2"/>
  <c r="L200" i="2"/>
  <c r="K219" i="2"/>
  <c r="L224" i="2"/>
  <c r="K307" i="2"/>
  <c r="L312" i="2"/>
  <c r="K322" i="2"/>
  <c r="L60" i="2"/>
  <c r="L65" i="2"/>
  <c r="L84" i="2"/>
  <c r="L89" i="2"/>
  <c r="L108" i="2"/>
  <c r="L113" i="2"/>
  <c r="L132" i="2"/>
  <c r="L137" i="2"/>
  <c r="L156" i="2"/>
  <c r="L161" i="2"/>
  <c r="L191" i="2"/>
  <c r="L195" i="2"/>
  <c r="L205" i="2"/>
  <c r="L225" i="2"/>
  <c r="L234" i="2"/>
  <c r="L244" i="2"/>
  <c r="L268" i="2"/>
  <c r="L274" i="2"/>
  <c r="L283" i="2"/>
  <c r="L317" i="2"/>
  <c r="L332" i="2"/>
  <c r="L347" i="2"/>
  <c r="L357" i="2"/>
  <c r="L361" i="2"/>
  <c r="L366" i="2"/>
  <c r="L400" i="2"/>
  <c r="L420" i="2"/>
  <c r="L430" i="2"/>
  <c r="L439" i="2"/>
  <c r="L449" i="2"/>
  <c r="C260" i="5"/>
  <c r="J262" i="5"/>
  <c r="H262" i="5"/>
  <c r="F262" i="5"/>
  <c r="E262" i="5"/>
  <c r="D262" i="5"/>
  <c r="M262" i="5"/>
  <c r="L262" i="5"/>
  <c r="K262" i="5"/>
  <c r="I262" i="5"/>
  <c r="G262" i="5"/>
  <c r="J274" i="5"/>
  <c r="H274" i="5"/>
  <c r="F274" i="5"/>
  <c r="E274" i="5"/>
  <c r="D274" i="5"/>
  <c r="M274" i="5"/>
  <c r="L274" i="5"/>
  <c r="H276" i="5"/>
  <c r="F276" i="5"/>
  <c r="D276" i="5"/>
  <c r="C276" i="5"/>
  <c r="B276" i="5"/>
  <c r="L276" i="5"/>
  <c r="K276" i="5"/>
  <c r="J276" i="5"/>
  <c r="I276" i="5"/>
  <c r="G276" i="5"/>
  <c r="E282" i="5"/>
  <c r="J288" i="5"/>
  <c r="K308" i="5"/>
  <c r="B311" i="5"/>
  <c r="E318" i="5"/>
  <c r="C322" i="5"/>
  <c r="M324" i="5"/>
  <c r="G330" i="5"/>
  <c r="I336" i="5"/>
  <c r="I348" i="5"/>
  <c r="F364" i="5"/>
  <c r="C368" i="5"/>
  <c r="G370" i="5"/>
  <c r="B380" i="5"/>
  <c r="E448" i="5"/>
  <c r="H451" i="5"/>
  <c r="E451" i="5"/>
  <c r="M451" i="5"/>
  <c r="L451" i="5"/>
  <c r="K451" i="5"/>
  <c r="I451" i="5"/>
  <c r="G451" i="5"/>
  <c r="F451" i="5"/>
  <c r="J451" i="5"/>
  <c r="D451" i="5"/>
  <c r="C451" i="5"/>
  <c r="B451" i="5"/>
  <c r="B462" i="5"/>
  <c r="D465" i="5"/>
  <c r="F487" i="5"/>
  <c r="C511" i="5"/>
  <c r="K532" i="5"/>
  <c r="H532" i="5"/>
  <c r="G532" i="5"/>
  <c r="M532" i="5"/>
  <c r="L532" i="5"/>
  <c r="J532" i="5"/>
  <c r="I532" i="5"/>
  <c r="F532" i="5"/>
  <c r="E532" i="5"/>
  <c r="D532" i="5"/>
  <c r="G536" i="5"/>
  <c r="D536" i="5"/>
  <c r="C536" i="5"/>
  <c r="K536" i="5"/>
  <c r="J536" i="5"/>
  <c r="I536" i="5"/>
  <c r="H536" i="5"/>
  <c r="F536" i="5"/>
  <c r="E536" i="5"/>
  <c r="B536" i="5"/>
  <c r="M536" i="5"/>
  <c r="L536" i="5"/>
  <c r="B577" i="5"/>
  <c r="L577" i="5"/>
  <c r="K577" i="5"/>
  <c r="J577" i="5"/>
  <c r="M577" i="5"/>
  <c r="I577" i="5"/>
  <c r="H577" i="5"/>
  <c r="G577" i="5"/>
  <c r="F577" i="5"/>
  <c r="B725" i="5"/>
  <c r="F843" i="5"/>
  <c r="D843" i="5"/>
  <c r="M843" i="5"/>
  <c r="L843" i="5"/>
  <c r="K843" i="5"/>
  <c r="J843" i="5"/>
  <c r="I843" i="5"/>
  <c r="H843" i="5"/>
  <c r="G843" i="5"/>
  <c r="E843" i="5"/>
  <c r="C843" i="5"/>
  <c r="D856" i="5"/>
  <c r="D268" i="5"/>
  <c r="B268" i="5"/>
  <c r="L268" i="5"/>
  <c r="K268" i="5"/>
  <c r="J268" i="5"/>
  <c r="J298" i="5"/>
  <c r="H298" i="5"/>
  <c r="F298" i="5"/>
  <c r="E298" i="5"/>
  <c r="D298" i="5"/>
  <c r="D316" i="5"/>
  <c r="B316" i="5"/>
  <c r="L316" i="5"/>
  <c r="K316" i="5"/>
  <c r="J316" i="5"/>
  <c r="L332" i="5"/>
  <c r="J332" i="5"/>
  <c r="H332" i="5"/>
  <c r="G332" i="5"/>
  <c r="F332" i="5"/>
  <c r="I335" i="5"/>
  <c r="G335" i="5"/>
  <c r="E335" i="5"/>
  <c r="D335" i="5"/>
  <c r="C335" i="5"/>
  <c r="I359" i="5"/>
  <c r="H359" i="5"/>
  <c r="G359" i="5"/>
  <c r="E359" i="5"/>
  <c r="D359" i="5"/>
  <c r="C359" i="5"/>
  <c r="K369" i="5"/>
  <c r="J369" i="5"/>
  <c r="I369" i="5"/>
  <c r="G369" i="5"/>
  <c r="F369" i="5"/>
  <c r="E369" i="5"/>
  <c r="B457" i="5"/>
  <c r="K457" i="5"/>
  <c r="E457" i="5"/>
  <c r="D457" i="5"/>
  <c r="C457" i="5"/>
  <c r="M457" i="5"/>
  <c r="L457" i="5"/>
  <c r="L483" i="5"/>
  <c r="I483" i="5"/>
  <c r="D483" i="5"/>
  <c r="C483" i="5"/>
  <c r="B483" i="5"/>
  <c r="M483" i="5"/>
  <c r="K483" i="5"/>
  <c r="J509" i="5"/>
  <c r="G509" i="5"/>
  <c r="F509" i="5"/>
  <c r="K509" i="5"/>
  <c r="I509" i="5"/>
  <c r="H509" i="5"/>
  <c r="E509" i="5"/>
  <c r="D509" i="5"/>
  <c r="C509" i="5"/>
  <c r="B509" i="5"/>
  <c r="B517" i="5"/>
  <c r="K517" i="5"/>
  <c r="J517" i="5"/>
  <c r="M517" i="5"/>
  <c r="L517" i="5"/>
  <c r="I517" i="5"/>
  <c r="H517" i="5"/>
  <c r="G517" i="5"/>
  <c r="F517" i="5"/>
  <c r="E517" i="5"/>
  <c r="J605" i="5"/>
  <c r="H605" i="5"/>
  <c r="G605" i="5"/>
  <c r="F605" i="5"/>
  <c r="M605" i="5"/>
  <c r="L605" i="5"/>
  <c r="K605" i="5"/>
  <c r="I605" i="5"/>
  <c r="E605" i="5"/>
  <c r="D605" i="5"/>
  <c r="F609" i="5"/>
  <c r="D609" i="5"/>
  <c r="C609" i="5"/>
  <c r="B609" i="5"/>
  <c r="M609" i="5"/>
  <c r="L609" i="5"/>
  <c r="K609" i="5"/>
  <c r="J609" i="5"/>
  <c r="I609" i="5"/>
  <c r="H609" i="5"/>
  <c r="J679" i="5"/>
  <c r="I679" i="5"/>
  <c r="H679" i="5"/>
  <c r="F679" i="5"/>
  <c r="E679" i="5"/>
  <c r="D679" i="5"/>
  <c r="M679" i="5"/>
  <c r="L679" i="5"/>
  <c r="K679" i="5"/>
  <c r="G679" i="5"/>
  <c r="C679" i="5"/>
  <c r="B679" i="5"/>
  <c r="J827" i="5"/>
  <c r="H827" i="5"/>
  <c r="I827" i="5"/>
  <c r="G827" i="5"/>
  <c r="F827" i="5"/>
  <c r="E827" i="5"/>
  <c r="D827" i="5"/>
  <c r="C827" i="5"/>
  <c r="B827" i="5"/>
  <c r="G830" i="5"/>
  <c r="E830" i="5"/>
  <c r="M830" i="5"/>
  <c r="L830" i="5"/>
  <c r="K830" i="5"/>
  <c r="J830" i="5"/>
  <c r="I830" i="5"/>
  <c r="H830" i="5"/>
  <c r="F830" i="5"/>
  <c r="K261" i="5"/>
  <c r="I261" i="5"/>
  <c r="G261" i="5"/>
  <c r="F261" i="5"/>
  <c r="E261" i="5"/>
  <c r="H264" i="5"/>
  <c r="F264" i="5"/>
  <c r="D264" i="5"/>
  <c r="C264" i="5"/>
  <c r="B264" i="5"/>
  <c r="C268" i="5"/>
  <c r="B298" i="5"/>
  <c r="K309" i="5"/>
  <c r="I309" i="5"/>
  <c r="G309" i="5"/>
  <c r="F309" i="5"/>
  <c r="E309" i="5"/>
  <c r="H312" i="5"/>
  <c r="F312" i="5"/>
  <c r="D312" i="5"/>
  <c r="C312" i="5"/>
  <c r="B312" i="5"/>
  <c r="C316" i="5"/>
  <c r="B332" i="5"/>
  <c r="B335" i="5"/>
  <c r="J346" i="5"/>
  <c r="H346" i="5"/>
  <c r="F346" i="5"/>
  <c r="E346" i="5"/>
  <c r="D346" i="5"/>
  <c r="B359" i="5"/>
  <c r="B369" i="5"/>
  <c r="J449" i="5"/>
  <c r="G449" i="5"/>
  <c r="K449" i="5"/>
  <c r="I449" i="5"/>
  <c r="H449" i="5"/>
  <c r="E449" i="5"/>
  <c r="D449" i="5"/>
  <c r="C449" i="5"/>
  <c r="F457" i="5"/>
  <c r="J461" i="5"/>
  <c r="G461" i="5"/>
  <c r="I461" i="5"/>
  <c r="H461" i="5"/>
  <c r="F461" i="5"/>
  <c r="D461" i="5"/>
  <c r="C461" i="5"/>
  <c r="B461" i="5"/>
  <c r="H475" i="5"/>
  <c r="E475" i="5"/>
  <c r="K475" i="5"/>
  <c r="J475" i="5"/>
  <c r="I475" i="5"/>
  <c r="F475" i="5"/>
  <c r="D475" i="5"/>
  <c r="C475" i="5"/>
  <c r="E483" i="5"/>
  <c r="L509" i="5"/>
  <c r="C517" i="5"/>
  <c r="H523" i="5"/>
  <c r="E523" i="5"/>
  <c r="D523" i="5"/>
  <c r="L523" i="5"/>
  <c r="K523" i="5"/>
  <c r="J523" i="5"/>
  <c r="I523" i="5"/>
  <c r="G523" i="5"/>
  <c r="F523" i="5"/>
  <c r="C523" i="5"/>
  <c r="B605" i="5"/>
  <c r="E609" i="5"/>
  <c r="J667" i="5"/>
  <c r="I667" i="5"/>
  <c r="H667" i="5"/>
  <c r="F667" i="5"/>
  <c r="E667" i="5"/>
  <c r="D667" i="5"/>
  <c r="M667" i="5"/>
  <c r="L667" i="5"/>
  <c r="K667" i="5"/>
  <c r="L689" i="5"/>
  <c r="K689" i="5"/>
  <c r="J689" i="5"/>
  <c r="H689" i="5"/>
  <c r="G689" i="5"/>
  <c r="F689" i="5"/>
  <c r="M689" i="5"/>
  <c r="I689" i="5"/>
  <c r="E689" i="5"/>
  <c r="D689" i="5"/>
  <c r="C689" i="5"/>
  <c r="B689" i="5"/>
  <c r="K827" i="5"/>
  <c r="B830" i="5"/>
  <c r="I840" i="5"/>
  <c r="G840" i="5"/>
  <c r="J840" i="5"/>
  <c r="H840" i="5"/>
  <c r="F840" i="5"/>
  <c r="E840" i="5"/>
  <c r="D840" i="5"/>
  <c r="C840" i="5"/>
  <c r="B840" i="5"/>
  <c r="M840" i="5"/>
  <c r="L840" i="5"/>
  <c r="D857" i="5"/>
  <c r="B857" i="5"/>
  <c r="M857" i="5"/>
  <c r="L857" i="5"/>
  <c r="K857" i="5"/>
  <c r="J857" i="5"/>
  <c r="I857" i="5"/>
  <c r="H857" i="5"/>
  <c r="G857" i="5"/>
  <c r="F857" i="5"/>
  <c r="E857" i="5"/>
  <c r="C857" i="5"/>
  <c r="H905" i="5"/>
  <c r="E905" i="5"/>
  <c r="M905" i="5"/>
  <c r="K905" i="5"/>
  <c r="J905" i="5"/>
  <c r="I905" i="5"/>
  <c r="G905" i="5"/>
  <c r="L905" i="5"/>
  <c r="F905" i="5"/>
  <c r="D905" i="5"/>
  <c r="J1106" i="5"/>
  <c r="H1106" i="5"/>
  <c r="G1106" i="5"/>
  <c r="F1106" i="5"/>
  <c r="E1106" i="5"/>
  <c r="D1106" i="5"/>
  <c r="C1106" i="5"/>
  <c r="B1106" i="5"/>
  <c r="M1106" i="5"/>
  <c r="L1106" i="5"/>
  <c r="K1106" i="5"/>
  <c r="I1106" i="5"/>
  <c r="D1236" i="5"/>
  <c r="L1236" i="5"/>
  <c r="J1236" i="5"/>
  <c r="M1236" i="5"/>
  <c r="K1236" i="5"/>
  <c r="I1236" i="5"/>
  <c r="H1236" i="5"/>
  <c r="G1236" i="5"/>
  <c r="F1236" i="5"/>
  <c r="E1236" i="5"/>
  <c r="C1236" i="5"/>
  <c r="B1236" i="5"/>
  <c r="L272" i="5"/>
  <c r="J272" i="5"/>
  <c r="H272" i="5"/>
  <c r="G272" i="5"/>
  <c r="F272" i="5"/>
  <c r="I275" i="5"/>
  <c r="G275" i="5"/>
  <c r="E275" i="5"/>
  <c r="D275" i="5"/>
  <c r="C275" i="5"/>
  <c r="B294" i="5"/>
  <c r="L294" i="5"/>
  <c r="J294" i="5"/>
  <c r="I294" i="5"/>
  <c r="H294" i="5"/>
  <c r="I371" i="5"/>
  <c r="H371" i="5"/>
  <c r="G371" i="5"/>
  <c r="E371" i="5"/>
  <c r="D371" i="5"/>
  <c r="C371" i="5"/>
  <c r="K381" i="5"/>
  <c r="J381" i="5"/>
  <c r="I381" i="5"/>
  <c r="G381" i="5"/>
  <c r="F381" i="5"/>
  <c r="E381" i="5"/>
  <c r="F537" i="5"/>
  <c r="C537" i="5"/>
  <c r="B537" i="5"/>
  <c r="M537" i="5"/>
  <c r="L537" i="5"/>
  <c r="K537" i="5"/>
  <c r="J537" i="5"/>
  <c r="I537" i="5"/>
  <c r="H537" i="5"/>
  <c r="G537" i="5"/>
  <c r="J545" i="5"/>
  <c r="G545" i="5"/>
  <c r="F545" i="5"/>
  <c r="M545" i="5"/>
  <c r="L545" i="5"/>
  <c r="K545" i="5"/>
  <c r="I545" i="5"/>
  <c r="H545" i="5"/>
  <c r="E545" i="5"/>
  <c r="J581" i="5"/>
  <c r="H581" i="5"/>
  <c r="G581" i="5"/>
  <c r="F581" i="5"/>
  <c r="M581" i="5"/>
  <c r="L581" i="5"/>
  <c r="K581" i="5"/>
  <c r="I581" i="5"/>
  <c r="E581" i="5"/>
  <c r="D581" i="5"/>
  <c r="F585" i="5"/>
  <c r="D585" i="5"/>
  <c r="C585" i="5"/>
  <c r="B585" i="5"/>
  <c r="M585" i="5"/>
  <c r="L585" i="5"/>
  <c r="K585" i="5"/>
  <c r="J585" i="5"/>
  <c r="I585" i="5"/>
  <c r="H585" i="5"/>
  <c r="L677" i="5"/>
  <c r="K677" i="5"/>
  <c r="J677" i="5"/>
  <c r="H677" i="5"/>
  <c r="G677" i="5"/>
  <c r="F677" i="5"/>
  <c r="M677" i="5"/>
  <c r="I677" i="5"/>
  <c r="E677" i="5"/>
  <c r="D677" i="5"/>
  <c r="I692" i="5"/>
  <c r="H692" i="5"/>
  <c r="G692" i="5"/>
  <c r="E692" i="5"/>
  <c r="D692" i="5"/>
  <c r="C692" i="5"/>
  <c r="M692" i="5"/>
  <c r="L692" i="5"/>
  <c r="K692" i="5"/>
  <c r="C748" i="5"/>
  <c r="E748" i="5"/>
  <c r="D748" i="5"/>
  <c r="B748" i="5"/>
  <c r="M748" i="5"/>
  <c r="L748" i="5"/>
  <c r="K748" i="5"/>
  <c r="J748" i="5"/>
  <c r="I748" i="5"/>
  <c r="L827" i="5"/>
  <c r="C830" i="5"/>
  <c r="F1098" i="5"/>
  <c r="I1098" i="5"/>
  <c r="H1098" i="5"/>
  <c r="G1098" i="5"/>
  <c r="E1098" i="5"/>
  <c r="D1098" i="5"/>
  <c r="C1098" i="5"/>
  <c r="B1098" i="5"/>
  <c r="M1098" i="5"/>
  <c r="L1098" i="5"/>
  <c r="C1101" i="5"/>
  <c r="I1101" i="5"/>
  <c r="H1101" i="5"/>
  <c r="G1101" i="5"/>
  <c r="F1101" i="5"/>
  <c r="E1101" i="5"/>
  <c r="D1101" i="5"/>
  <c r="B1101" i="5"/>
  <c r="M1101" i="5"/>
  <c r="L1101" i="5"/>
  <c r="K1101" i="5"/>
  <c r="J1101" i="5"/>
  <c r="D256" i="5"/>
  <c r="B256" i="5"/>
  <c r="L256" i="5"/>
  <c r="K256" i="5"/>
  <c r="J256" i="5"/>
  <c r="F268" i="5"/>
  <c r="B272" i="5"/>
  <c r="B275" i="5"/>
  <c r="J286" i="5"/>
  <c r="H286" i="5"/>
  <c r="F286" i="5"/>
  <c r="E286" i="5"/>
  <c r="D286" i="5"/>
  <c r="C294" i="5"/>
  <c r="G298" i="5"/>
  <c r="D304" i="5"/>
  <c r="B304" i="5"/>
  <c r="L304" i="5"/>
  <c r="K304" i="5"/>
  <c r="J304" i="5"/>
  <c r="F316" i="5"/>
  <c r="L320" i="5"/>
  <c r="J320" i="5"/>
  <c r="H320" i="5"/>
  <c r="G320" i="5"/>
  <c r="F320" i="5"/>
  <c r="I323" i="5"/>
  <c r="G323" i="5"/>
  <c r="E323" i="5"/>
  <c r="D323" i="5"/>
  <c r="C323" i="5"/>
  <c r="D332" i="5"/>
  <c r="H335" i="5"/>
  <c r="B342" i="5"/>
  <c r="L342" i="5"/>
  <c r="J342" i="5"/>
  <c r="I342" i="5"/>
  <c r="H342" i="5"/>
  <c r="D352" i="5"/>
  <c r="C352" i="5"/>
  <c r="B352" i="5"/>
  <c r="L352" i="5"/>
  <c r="K352" i="5"/>
  <c r="J352" i="5"/>
  <c r="L356" i="5"/>
  <c r="K356" i="5"/>
  <c r="J356" i="5"/>
  <c r="H356" i="5"/>
  <c r="G356" i="5"/>
  <c r="F356" i="5"/>
  <c r="J359" i="5"/>
  <c r="D369" i="5"/>
  <c r="B371" i="5"/>
  <c r="B381" i="5"/>
  <c r="H457" i="5"/>
  <c r="G483" i="5"/>
  <c r="G488" i="5"/>
  <c r="D488" i="5"/>
  <c r="K488" i="5"/>
  <c r="J488" i="5"/>
  <c r="I488" i="5"/>
  <c r="F488" i="5"/>
  <c r="E488" i="5"/>
  <c r="C488" i="5"/>
  <c r="I510" i="5"/>
  <c r="F510" i="5"/>
  <c r="E510" i="5"/>
  <c r="M510" i="5"/>
  <c r="L510" i="5"/>
  <c r="K510" i="5"/>
  <c r="J510" i="5"/>
  <c r="H510" i="5"/>
  <c r="G510" i="5"/>
  <c r="D510" i="5"/>
  <c r="D537" i="5"/>
  <c r="B545" i="5"/>
  <c r="C552" i="5"/>
  <c r="L552" i="5"/>
  <c r="K552" i="5"/>
  <c r="M552" i="5"/>
  <c r="J552" i="5"/>
  <c r="I552" i="5"/>
  <c r="H552" i="5"/>
  <c r="G552" i="5"/>
  <c r="F552" i="5"/>
  <c r="B581" i="5"/>
  <c r="E585" i="5"/>
  <c r="J619" i="5"/>
  <c r="I619" i="5"/>
  <c r="H619" i="5"/>
  <c r="F619" i="5"/>
  <c r="E619" i="5"/>
  <c r="D619" i="5"/>
  <c r="M619" i="5"/>
  <c r="L619" i="5"/>
  <c r="K619" i="5"/>
  <c r="G619" i="5"/>
  <c r="C619" i="5"/>
  <c r="B619" i="5"/>
  <c r="B677" i="5"/>
  <c r="B692" i="5"/>
  <c r="F748" i="5"/>
  <c r="M827" i="5"/>
  <c r="D830" i="5"/>
  <c r="H853" i="5"/>
  <c r="F853" i="5"/>
  <c r="J853" i="5"/>
  <c r="I853" i="5"/>
  <c r="G853" i="5"/>
  <c r="E853" i="5"/>
  <c r="D853" i="5"/>
  <c r="C853" i="5"/>
  <c r="B853" i="5"/>
  <c r="G954" i="5"/>
  <c r="E954" i="5"/>
  <c r="D954" i="5"/>
  <c r="C954" i="5"/>
  <c r="M954" i="5"/>
  <c r="L954" i="5"/>
  <c r="K954" i="5"/>
  <c r="J954" i="5"/>
  <c r="I954" i="5"/>
  <c r="H954" i="5"/>
  <c r="F954" i="5"/>
  <c r="J1094" i="5"/>
  <c r="H1094" i="5"/>
  <c r="G1094" i="5"/>
  <c r="F1094" i="5"/>
  <c r="E1094" i="5"/>
  <c r="D1094" i="5"/>
  <c r="C1094" i="5"/>
  <c r="B1094" i="5"/>
  <c r="M1094" i="5"/>
  <c r="L1094" i="5"/>
  <c r="K1094" i="5"/>
  <c r="I1094" i="5"/>
  <c r="J1098" i="5"/>
  <c r="C256" i="5"/>
  <c r="D261" i="5"/>
  <c r="I264" i="5"/>
  <c r="G268" i="5"/>
  <c r="C272" i="5"/>
  <c r="F275" i="5"/>
  <c r="B286" i="5"/>
  <c r="D294" i="5"/>
  <c r="K297" i="5"/>
  <c r="I297" i="5"/>
  <c r="G297" i="5"/>
  <c r="F297" i="5"/>
  <c r="E297" i="5"/>
  <c r="I298" i="5"/>
  <c r="H300" i="5"/>
  <c r="F300" i="5"/>
  <c r="D300" i="5"/>
  <c r="C300" i="5"/>
  <c r="B300" i="5"/>
  <c r="C304" i="5"/>
  <c r="D309" i="5"/>
  <c r="I312" i="5"/>
  <c r="G316" i="5"/>
  <c r="B320" i="5"/>
  <c r="B323" i="5"/>
  <c r="E332" i="5"/>
  <c r="J334" i="5"/>
  <c r="H334" i="5"/>
  <c r="F334" i="5"/>
  <c r="E334" i="5"/>
  <c r="D334" i="5"/>
  <c r="J335" i="5"/>
  <c r="C342" i="5"/>
  <c r="G346" i="5"/>
  <c r="E352" i="5"/>
  <c r="B356" i="5"/>
  <c r="K359" i="5"/>
  <c r="H369" i="5"/>
  <c r="F371" i="5"/>
  <c r="C381" i="5"/>
  <c r="I383" i="5"/>
  <c r="H383" i="5"/>
  <c r="G383" i="5"/>
  <c r="E383" i="5"/>
  <c r="D383" i="5"/>
  <c r="C383" i="5"/>
  <c r="L449" i="5"/>
  <c r="G452" i="5"/>
  <c r="D452" i="5"/>
  <c r="M452" i="5"/>
  <c r="L452" i="5"/>
  <c r="J452" i="5"/>
  <c r="I452" i="5"/>
  <c r="H452" i="5"/>
  <c r="I457" i="5"/>
  <c r="L461" i="5"/>
  <c r="G464" i="5"/>
  <c r="D464" i="5"/>
  <c r="M464" i="5"/>
  <c r="L464" i="5"/>
  <c r="K464" i="5"/>
  <c r="I464" i="5"/>
  <c r="H464" i="5"/>
  <c r="F464" i="5"/>
  <c r="L475" i="5"/>
  <c r="E478" i="5"/>
  <c r="B478" i="5"/>
  <c r="M478" i="5"/>
  <c r="L478" i="5"/>
  <c r="J478" i="5"/>
  <c r="I478" i="5"/>
  <c r="H478" i="5"/>
  <c r="H483" i="5"/>
  <c r="B488" i="5"/>
  <c r="B493" i="5"/>
  <c r="K493" i="5"/>
  <c r="J493" i="5"/>
  <c r="E493" i="5"/>
  <c r="D493" i="5"/>
  <c r="C493" i="5"/>
  <c r="M493" i="5"/>
  <c r="B510" i="5"/>
  <c r="G524" i="5"/>
  <c r="D524" i="5"/>
  <c r="C524" i="5"/>
  <c r="M524" i="5"/>
  <c r="L524" i="5"/>
  <c r="K524" i="5"/>
  <c r="J524" i="5"/>
  <c r="I524" i="5"/>
  <c r="H524" i="5"/>
  <c r="E537" i="5"/>
  <c r="C545" i="5"/>
  <c r="B552" i="5"/>
  <c r="J557" i="5"/>
  <c r="H557" i="5"/>
  <c r="G557" i="5"/>
  <c r="F557" i="5"/>
  <c r="M557" i="5"/>
  <c r="L557" i="5"/>
  <c r="K557" i="5"/>
  <c r="I557" i="5"/>
  <c r="E557" i="5"/>
  <c r="D557" i="5"/>
  <c r="F561" i="5"/>
  <c r="D561" i="5"/>
  <c r="C561" i="5"/>
  <c r="B561" i="5"/>
  <c r="M561" i="5"/>
  <c r="L561" i="5"/>
  <c r="K561" i="5"/>
  <c r="J561" i="5"/>
  <c r="I561" i="5"/>
  <c r="H561" i="5"/>
  <c r="C581" i="5"/>
  <c r="G585" i="5"/>
  <c r="L629" i="5"/>
  <c r="K629" i="5"/>
  <c r="J629" i="5"/>
  <c r="H629" i="5"/>
  <c r="G629" i="5"/>
  <c r="F629" i="5"/>
  <c r="M629" i="5"/>
  <c r="I629" i="5"/>
  <c r="E629" i="5"/>
  <c r="D629" i="5"/>
  <c r="C629" i="5"/>
  <c r="B629" i="5"/>
  <c r="G667" i="5"/>
  <c r="C677" i="5"/>
  <c r="F692" i="5"/>
  <c r="I704" i="5"/>
  <c r="H704" i="5"/>
  <c r="G704" i="5"/>
  <c r="E704" i="5"/>
  <c r="D704" i="5"/>
  <c r="C704" i="5"/>
  <c r="M704" i="5"/>
  <c r="L704" i="5"/>
  <c r="K704" i="5"/>
  <c r="J704" i="5"/>
  <c r="F704" i="5"/>
  <c r="B704" i="5"/>
  <c r="G748" i="5"/>
  <c r="K853" i="5"/>
  <c r="B954" i="5"/>
  <c r="K1098" i="5"/>
  <c r="F1146" i="5"/>
  <c r="D1146" i="5"/>
  <c r="L1146" i="5"/>
  <c r="K1146" i="5"/>
  <c r="J1146" i="5"/>
  <c r="I1146" i="5"/>
  <c r="H1146" i="5"/>
  <c r="G1146" i="5"/>
  <c r="E1146" i="5"/>
  <c r="M1146" i="5"/>
  <c r="C1146" i="5"/>
  <c r="B1146" i="5"/>
  <c r="M265" i="5"/>
  <c r="K267" i="5"/>
  <c r="M277" i="5"/>
  <c r="K279" i="5"/>
  <c r="M289" i="5"/>
  <c r="K291" i="5"/>
  <c r="M301" i="5"/>
  <c r="K303" i="5"/>
  <c r="M313" i="5"/>
  <c r="K315" i="5"/>
  <c r="M325" i="5"/>
  <c r="K327" i="5"/>
  <c r="M337" i="5"/>
  <c r="K339" i="5"/>
  <c r="M349" i="5"/>
  <c r="K351" i="5"/>
  <c r="H354" i="5"/>
  <c r="M361" i="5"/>
  <c r="K363" i="5"/>
  <c r="H366" i="5"/>
  <c r="M373" i="5"/>
  <c r="K375" i="5"/>
  <c r="H378" i="5"/>
  <c r="L447" i="5"/>
  <c r="I447" i="5"/>
  <c r="I453" i="5"/>
  <c r="J454" i="5"/>
  <c r="K460" i="5"/>
  <c r="H460" i="5"/>
  <c r="I466" i="5"/>
  <c r="I468" i="5"/>
  <c r="J473" i="5"/>
  <c r="G473" i="5"/>
  <c r="H480" i="5"/>
  <c r="I481" i="5"/>
  <c r="I486" i="5"/>
  <c r="F486" i="5"/>
  <c r="I492" i="5"/>
  <c r="L495" i="5"/>
  <c r="I495" i="5"/>
  <c r="H495" i="5"/>
  <c r="J498" i="5"/>
  <c r="F501" i="5"/>
  <c r="C501" i="5"/>
  <c r="B501" i="5"/>
  <c r="H505" i="5"/>
  <c r="K512" i="5"/>
  <c r="G519" i="5"/>
  <c r="I522" i="5"/>
  <c r="F522" i="5"/>
  <c r="E522" i="5"/>
  <c r="J525" i="5"/>
  <c r="B529" i="5"/>
  <c r="K529" i="5"/>
  <c r="J529" i="5"/>
  <c r="K533" i="5"/>
  <c r="I540" i="5"/>
  <c r="L543" i="5"/>
  <c r="I543" i="5"/>
  <c r="H543" i="5"/>
  <c r="J546" i="5"/>
  <c r="F549" i="5"/>
  <c r="C549" i="5"/>
  <c r="B549" i="5"/>
  <c r="H553" i="5"/>
  <c r="K556" i="5"/>
  <c r="I556" i="5"/>
  <c r="H556" i="5"/>
  <c r="G556" i="5"/>
  <c r="K558" i="5"/>
  <c r="G560" i="5"/>
  <c r="E560" i="5"/>
  <c r="D560" i="5"/>
  <c r="C560" i="5"/>
  <c r="J568" i="5"/>
  <c r="I570" i="5"/>
  <c r="G570" i="5"/>
  <c r="F570" i="5"/>
  <c r="E570" i="5"/>
  <c r="K572" i="5"/>
  <c r="K580" i="5"/>
  <c r="I580" i="5"/>
  <c r="H580" i="5"/>
  <c r="G580" i="5"/>
  <c r="K582" i="5"/>
  <c r="G584" i="5"/>
  <c r="E584" i="5"/>
  <c r="D584" i="5"/>
  <c r="C584" i="5"/>
  <c r="J592" i="5"/>
  <c r="I594" i="5"/>
  <c r="G594" i="5"/>
  <c r="F594" i="5"/>
  <c r="E594" i="5"/>
  <c r="K596" i="5"/>
  <c r="K604" i="5"/>
  <c r="I604" i="5"/>
  <c r="H604" i="5"/>
  <c r="G604" i="5"/>
  <c r="K606" i="5"/>
  <c r="G608" i="5"/>
  <c r="E608" i="5"/>
  <c r="D608" i="5"/>
  <c r="C608" i="5"/>
  <c r="I656" i="5"/>
  <c r="H656" i="5"/>
  <c r="G656" i="5"/>
  <c r="E656" i="5"/>
  <c r="D656" i="5"/>
  <c r="C656" i="5"/>
  <c r="D673" i="5"/>
  <c r="C673" i="5"/>
  <c r="B673" i="5"/>
  <c r="L673" i="5"/>
  <c r="K673" i="5"/>
  <c r="J673" i="5"/>
  <c r="I828" i="5"/>
  <c r="G828" i="5"/>
  <c r="K828" i="5"/>
  <c r="J828" i="5"/>
  <c r="H828" i="5"/>
  <c r="F828" i="5"/>
  <c r="E828" i="5"/>
  <c r="D828" i="5"/>
  <c r="C828" i="5"/>
  <c r="F831" i="5"/>
  <c r="D831" i="5"/>
  <c r="M831" i="5"/>
  <c r="L831" i="5"/>
  <c r="K831" i="5"/>
  <c r="J831" i="5"/>
  <c r="I831" i="5"/>
  <c r="H831" i="5"/>
  <c r="B983" i="5"/>
  <c r="L983" i="5"/>
  <c r="K983" i="5"/>
  <c r="J983" i="5"/>
  <c r="M983" i="5"/>
  <c r="I983" i="5"/>
  <c r="H983" i="5"/>
  <c r="G983" i="5"/>
  <c r="F983" i="5"/>
  <c r="E983" i="5"/>
  <c r="I988" i="5"/>
  <c r="G988" i="5"/>
  <c r="F988" i="5"/>
  <c r="E988" i="5"/>
  <c r="M988" i="5"/>
  <c r="L988" i="5"/>
  <c r="K988" i="5"/>
  <c r="J988" i="5"/>
  <c r="H988" i="5"/>
  <c r="D988" i="5"/>
  <c r="C988" i="5"/>
  <c r="B988" i="5"/>
  <c r="B1090" i="5"/>
  <c r="I1090" i="5"/>
  <c r="H1090" i="5"/>
  <c r="G1090" i="5"/>
  <c r="F1090" i="5"/>
  <c r="E1090" i="5"/>
  <c r="D1090" i="5"/>
  <c r="C1090" i="5"/>
  <c r="M1090" i="5"/>
  <c r="L1090" i="5"/>
  <c r="K1090" i="5"/>
  <c r="B1214" i="5"/>
  <c r="J1214" i="5"/>
  <c r="H1214" i="5"/>
  <c r="L1214" i="5"/>
  <c r="K1214" i="5"/>
  <c r="I1214" i="5"/>
  <c r="G1214" i="5"/>
  <c r="F1214" i="5"/>
  <c r="E1214" i="5"/>
  <c r="D1214" i="5"/>
  <c r="M1214" i="5"/>
  <c r="L1315" i="5"/>
  <c r="K1315" i="5"/>
  <c r="B1315" i="5"/>
  <c r="M1315" i="5"/>
  <c r="J1315" i="5"/>
  <c r="I1315" i="5"/>
  <c r="H1315" i="5"/>
  <c r="G1315" i="5"/>
  <c r="F1315" i="5"/>
  <c r="E1315" i="5"/>
  <c r="G1320" i="5"/>
  <c r="F1320" i="5"/>
  <c r="I1320" i="5"/>
  <c r="K1320" i="5"/>
  <c r="J1320" i="5"/>
  <c r="H1320" i="5"/>
  <c r="E1320" i="5"/>
  <c r="D1320" i="5"/>
  <c r="C1320" i="5"/>
  <c r="B1320" i="5"/>
  <c r="M1320" i="5"/>
  <c r="L1320" i="5"/>
  <c r="H259" i="5"/>
  <c r="B265" i="5"/>
  <c r="M266" i="5"/>
  <c r="L267" i="5"/>
  <c r="H271" i="5"/>
  <c r="B277" i="5"/>
  <c r="M278" i="5"/>
  <c r="L279" i="5"/>
  <c r="H283" i="5"/>
  <c r="B289" i="5"/>
  <c r="M290" i="5"/>
  <c r="L291" i="5"/>
  <c r="H295" i="5"/>
  <c r="B301" i="5"/>
  <c r="M302" i="5"/>
  <c r="L303" i="5"/>
  <c r="H307" i="5"/>
  <c r="B313" i="5"/>
  <c r="M314" i="5"/>
  <c r="L315" i="5"/>
  <c r="B325" i="5"/>
  <c r="M326" i="5"/>
  <c r="L327" i="5"/>
  <c r="H331" i="5"/>
  <c r="B337" i="5"/>
  <c r="M338" i="5"/>
  <c r="L339" i="5"/>
  <c r="H343" i="5"/>
  <c r="B349" i="5"/>
  <c r="M350" i="5"/>
  <c r="L351" i="5"/>
  <c r="I354" i="5"/>
  <c r="H355" i="5"/>
  <c r="B361" i="5"/>
  <c r="M362" i="5"/>
  <c r="L363" i="5"/>
  <c r="I366" i="5"/>
  <c r="H367" i="5"/>
  <c r="B373" i="5"/>
  <c r="M374" i="5"/>
  <c r="L375" i="5"/>
  <c r="I378" i="5"/>
  <c r="H379" i="5"/>
  <c r="B385" i="5"/>
  <c r="B386" i="5"/>
  <c r="B387" i="5"/>
  <c r="B388" i="5"/>
  <c r="B389" i="5"/>
  <c r="B390" i="5"/>
  <c r="B391" i="5"/>
  <c r="B392" i="5"/>
  <c r="B393" i="5"/>
  <c r="C394" i="5"/>
  <c r="B396" i="5"/>
  <c r="B397" i="5"/>
  <c r="B398" i="5"/>
  <c r="B399" i="5"/>
  <c r="B400" i="5"/>
  <c r="B401" i="5"/>
  <c r="B402" i="5"/>
  <c r="B403" i="5"/>
  <c r="B404" i="5"/>
  <c r="B405" i="5"/>
  <c r="C406" i="5"/>
  <c r="B408" i="5"/>
  <c r="B409" i="5"/>
  <c r="B410" i="5"/>
  <c r="B411" i="5"/>
  <c r="B412" i="5"/>
  <c r="B413" i="5"/>
  <c r="B414" i="5"/>
  <c r="B415" i="5"/>
  <c r="B416" i="5"/>
  <c r="B417" i="5"/>
  <c r="C418" i="5"/>
  <c r="B420" i="5"/>
  <c r="B421" i="5"/>
  <c r="B422" i="5"/>
  <c r="B423" i="5"/>
  <c r="B424" i="5"/>
  <c r="B425" i="5"/>
  <c r="B426" i="5"/>
  <c r="B427" i="5"/>
  <c r="B428" i="5"/>
  <c r="B429" i="5"/>
  <c r="C430" i="5"/>
  <c r="B432" i="5"/>
  <c r="B433" i="5"/>
  <c r="B434" i="5"/>
  <c r="B435" i="5"/>
  <c r="B436" i="5"/>
  <c r="B437" i="5"/>
  <c r="B438" i="5"/>
  <c r="B439" i="5"/>
  <c r="B440" i="5"/>
  <c r="B441" i="5"/>
  <c r="C442" i="5"/>
  <c r="B444" i="5"/>
  <c r="B445" i="5"/>
  <c r="J453" i="5"/>
  <c r="K454" i="5"/>
  <c r="L459" i="5"/>
  <c r="I459" i="5"/>
  <c r="J466" i="5"/>
  <c r="J468" i="5"/>
  <c r="K472" i="5"/>
  <c r="H472" i="5"/>
  <c r="I480" i="5"/>
  <c r="J481" i="5"/>
  <c r="J485" i="5"/>
  <c r="G485" i="5"/>
  <c r="J492" i="5"/>
  <c r="K508" i="5"/>
  <c r="H508" i="5"/>
  <c r="G508" i="5"/>
  <c r="L512" i="5"/>
  <c r="L533" i="5"/>
  <c r="H535" i="5"/>
  <c r="E535" i="5"/>
  <c r="D535" i="5"/>
  <c r="J540" i="5"/>
  <c r="B565" i="5"/>
  <c r="L565" i="5"/>
  <c r="K565" i="5"/>
  <c r="J565" i="5"/>
  <c r="B589" i="5"/>
  <c r="L589" i="5"/>
  <c r="K589" i="5"/>
  <c r="J589" i="5"/>
  <c r="D613" i="5"/>
  <c r="C613" i="5"/>
  <c r="B613" i="5"/>
  <c r="L613" i="5"/>
  <c r="K613" i="5"/>
  <c r="J613" i="5"/>
  <c r="H621" i="5"/>
  <c r="G621" i="5"/>
  <c r="F621" i="5"/>
  <c r="D621" i="5"/>
  <c r="C621" i="5"/>
  <c r="B621" i="5"/>
  <c r="J631" i="5"/>
  <c r="I631" i="5"/>
  <c r="H631" i="5"/>
  <c r="F631" i="5"/>
  <c r="E631" i="5"/>
  <c r="D631" i="5"/>
  <c r="L641" i="5"/>
  <c r="K641" i="5"/>
  <c r="J641" i="5"/>
  <c r="H641" i="5"/>
  <c r="G641" i="5"/>
  <c r="F641" i="5"/>
  <c r="K666" i="5"/>
  <c r="J666" i="5"/>
  <c r="I666" i="5"/>
  <c r="G666" i="5"/>
  <c r="F666" i="5"/>
  <c r="E666" i="5"/>
  <c r="H681" i="5"/>
  <c r="G681" i="5"/>
  <c r="F681" i="5"/>
  <c r="D681" i="5"/>
  <c r="C681" i="5"/>
  <c r="B681" i="5"/>
  <c r="J691" i="5"/>
  <c r="I691" i="5"/>
  <c r="H691" i="5"/>
  <c r="F691" i="5"/>
  <c r="E691" i="5"/>
  <c r="D691" i="5"/>
  <c r="I716" i="5"/>
  <c r="H716" i="5"/>
  <c r="G716" i="5"/>
  <c r="E716" i="5"/>
  <c r="D716" i="5"/>
  <c r="C716" i="5"/>
  <c r="D733" i="5"/>
  <c r="C733" i="5"/>
  <c r="B733" i="5"/>
  <c r="L733" i="5"/>
  <c r="K733" i="5"/>
  <c r="J733" i="5"/>
  <c r="H741" i="5"/>
  <c r="G741" i="5"/>
  <c r="F741" i="5"/>
  <c r="D741" i="5"/>
  <c r="C741" i="5"/>
  <c r="B741" i="5"/>
  <c r="L901" i="5"/>
  <c r="I901" i="5"/>
  <c r="G901" i="5"/>
  <c r="E901" i="5"/>
  <c r="D901" i="5"/>
  <c r="C901" i="5"/>
  <c r="B901" i="5"/>
  <c r="M901" i="5"/>
  <c r="C983" i="5"/>
  <c r="G1025" i="5"/>
  <c r="H1025" i="5"/>
  <c r="F1025" i="5"/>
  <c r="D1025" i="5"/>
  <c r="C1025" i="5"/>
  <c r="B1025" i="5"/>
  <c r="M1025" i="5"/>
  <c r="L1025" i="5"/>
  <c r="K1025" i="5"/>
  <c r="J1025" i="5"/>
  <c r="L1032" i="5"/>
  <c r="G1032" i="5"/>
  <c r="F1032" i="5"/>
  <c r="E1032" i="5"/>
  <c r="D1032" i="5"/>
  <c r="C1032" i="5"/>
  <c r="B1032" i="5"/>
  <c r="M1032" i="5"/>
  <c r="K1032" i="5"/>
  <c r="J1032" i="5"/>
  <c r="I1032" i="5"/>
  <c r="H1032" i="5"/>
  <c r="H1072" i="5"/>
  <c r="I1072" i="5"/>
  <c r="G1072" i="5"/>
  <c r="F1072" i="5"/>
  <c r="E1072" i="5"/>
  <c r="D1072" i="5"/>
  <c r="C1072" i="5"/>
  <c r="B1072" i="5"/>
  <c r="J1090" i="5"/>
  <c r="G1109" i="5"/>
  <c r="I1109" i="5"/>
  <c r="H1109" i="5"/>
  <c r="F1109" i="5"/>
  <c r="E1109" i="5"/>
  <c r="D1109" i="5"/>
  <c r="C1109" i="5"/>
  <c r="B1109" i="5"/>
  <c r="M1109" i="5"/>
  <c r="L1109" i="5"/>
  <c r="C1214" i="5"/>
  <c r="C1315" i="5"/>
  <c r="M267" i="5"/>
  <c r="M279" i="5"/>
  <c r="M291" i="5"/>
  <c r="M303" i="5"/>
  <c r="M315" i="5"/>
  <c r="M327" i="5"/>
  <c r="M339" i="5"/>
  <c r="M351" i="5"/>
  <c r="J354" i="5"/>
  <c r="M363" i="5"/>
  <c r="J366" i="5"/>
  <c r="M375" i="5"/>
  <c r="J378" i="5"/>
  <c r="L471" i="5"/>
  <c r="I471" i="5"/>
  <c r="K484" i="5"/>
  <c r="H484" i="5"/>
  <c r="G500" i="5"/>
  <c r="D500" i="5"/>
  <c r="C500" i="5"/>
  <c r="J521" i="5"/>
  <c r="G521" i="5"/>
  <c r="F521" i="5"/>
  <c r="C528" i="5"/>
  <c r="L528" i="5"/>
  <c r="K528" i="5"/>
  <c r="G548" i="5"/>
  <c r="D548" i="5"/>
  <c r="C548" i="5"/>
  <c r="L701" i="5"/>
  <c r="K701" i="5"/>
  <c r="J701" i="5"/>
  <c r="H701" i="5"/>
  <c r="G701" i="5"/>
  <c r="F701" i="5"/>
  <c r="K726" i="5"/>
  <c r="J726" i="5"/>
  <c r="I726" i="5"/>
  <c r="G726" i="5"/>
  <c r="F726" i="5"/>
  <c r="E726" i="5"/>
  <c r="F745" i="5"/>
  <c r="D745" i="5"/>
  <c r="C745" i="5"/>
  <c r="B745" i="5"/>
  <c r="M745" i="5"/>
  <c r="L745" i="5"/>
  <c r="K745" i="5"/>
  <c r="D747" i="5"/>
  <c r="E747" i="5"/>
  <c r="C747" i="5"/>
  <c r="B747" i="5"/>
  <c r="M747" i="5"/>
  <c r="L747" i="5"/>
  <c r="K747" i="5"/>
  <c r="H841" i="5"/>
  <c r="F841" i="5"/>
  <c r="K841" i="5"/>
  <c r="J841" i="5"/>
  <c r="I841" i="5"/>
  <c r="G841" i="5"/>
  <c r="E841" i="5"/>
  <c r="D841" i="5"/>
  <c r="C841" i="5"/>
  <c r="E844" i="5"/>
  <c r="C844" i="5"/>
  <c r="M844" i="5"/>
  <c r="L844" i="5"/>
  <c r="K844" i="5"/>
  <c r="J844" i="5"/>
  <c r="I844" i="5"/>
  <c r="H844" i="5"/>
  <c r="J975" i="5"/>
  <c r="H975" i="5"/>
  <c r="G975" i="5"/>
  <c r="F975" i="5"/>
  <c r="M975" i="5"/>
  <c r="L975" i="5"/>
  <c r="K975" i="5"/>
  <c r="I975" i="5"/>
  <c r="L1068" i="5"/>
  <c r="H1068" i="5"/>
  <c r="G1068" i="5"/>
  <c r="F1068" i="5"/>
  <c r="E1068" i="5"/>
  <c r="D1068" i="5"/>
  <c r="C1068" i="5"/>
  <c r="B1068" i="5"/>
  <c r="M1068" i="5"/>
  <c r="K1068" i="5"/>
  <c r="J1068" i="5"/>
  <c r="I1068" i="5"/>
  <c r="L1080" i="5"/>
  <c r="H1080" i="5"/>
  <c r="G1080" i="5"/>
  <c r="F1080" i="5"/>
  <c r="E1080" i="5"/>
  <c r="D1080" i="5"/>
  <c r="C1080" i="5"/>
  <c r="B1080" i="5"/>
  <c r="M1080" i="5"/>
  <c r="K1080" i="5"/>
  <c r="H1120" i="5"/>
  <c r="I1120" i="5"/>
  <c r="G1120" i="5"/>
  <c r="F1120" i="5"/>
  <c r="E1120" i="5"/>
  <c r="D1120" i="5"/>
  <c r="C1120" i="5"/>
  <c r="B1120" i="5"/>
  <c r="M1120" i="5"/>
  <c r="L1120" i="5"/>
  <c r="K1120" i="5"/>
  <c r="J1120" i="5"/>
  <c r="D1124" i="5"/>
  <c r="I1124" i="5"/>
  <c r="H1124" i="5"/>
  <c r="G1124" i="5"/>
  <c r="F1124" i="5"/>
  <c r="E1124" i="5"/>
  <c r="C1124" i="5"/>
  <c r="B1124" i="5"/>
  <c r="M1124" i="5"/>
  <c r="L1124" i="5"/>
  <c r="K1124" i="5"/>
  <c r="J1124" i="5"/>
  <c r="L507" i="5"/>
  <c r="I507" i="5"/>
  <c r="H507" i="5"/>
  <c r="F513" i="5"/>
  <c r="C513" i="5"/>
  <c r="B513" i="5"/>
  <c r="I534" i="5"/>
  <c r="F534" i="5"/>
  <c r="E534" i="5"/>
  <c r="B541" i="5"/>
  <c r="K541" i="5"/>
  <c r="J541" i="5"/>
  <c r="L555" i="5"/>
  <c r="J555" i="5"/>
  <c r="I555" i="5"/>
  <c r="H555" i="5"/>
  <c r="H559" i="5"/>
  <c r="F559" i="5"/>
  <c r="E559" i="5"/>
  <c r="D559" i="5"/>
  <c r="J569" i="5"/>
  <c r="H569" i="5"/>
  <c r="G569" i="5"/>
  <c r="F569" i="5"/>
  <c r="F573" i="5"/>
  <c r="D573" i="5"/>
  <c r="C573" i="5"/>
  <c r="B573" i="5"/>
  <c r="L579" i="5"/>
  <c r="J579" i="5"/>
  <c r="I579" i="5"/>
  <c r="H579" i="5"/>
  <c r="H583" i="5"/>
  <c r="F583" i="5"/>
  <c r="E583" i="5"/>
  <c r="D583" i="5"/>
  <c r="J593" i="5"/>
  <c r="H593" i="5"/>
  <c r="G593" i="5"/>
  <c r="F593" i="5"/>
  <c r="F597" i="5"/>
  <c r="D597" i="5"/>
  <c r="C597" i="5"/>
  <c r="B597" i="5"/>
  <c r="L603" i="5"/>
  <c r="J603" i="5"/>
  <c r="I603" i="5"/>
  <c r="H603" i="5"/>
  <c r="H607" i="5"/>
  <c r="F607" i="5"/>
  <c r="E607" i="5"/>
  <c r="D607" i="5"/>
  <c r="D625" i="5"/>
  <c r="C625" i="5"/>
  <c r="B625" i="5"/>
  <c r="L625" i="5"/>
  <c r="K625" i="5"/>
  <c r="J625" i="5"/>
  <c r="H633" i="5"/>
  <c r="G633" i="5"/>
  <c r="F633" i="5"/>
  <c r="D633" i="5"/>
  <c r="C633" i="5"/>
  <c r="B633" i="5"/>
  <c r="J643" i="5"/>
  <c r="I643" i="5"/>
  <c r="H643" i="5"/>
  <c r="F643" i="5"/>
  <c r="E643" i="5"/>
  <c r="D643" i="5"/>
  <c r="L653" i="5"/>
  <c r="K653" i="5"/>
  <c r="J653" i="5"/>
  <c r="H653" i="5"/>
  <c r="G653" i="5"/>
  <c r="F653" i="5"/>
  <c r="I668" i="5"/>
  <c r="H668" i="5"/>
  <c r="G668" i="5"/>
  <c r="E668" i="5"/>
  <c r="D668" i="5"/>
  <c r="C668" i="5"/>
  <c r="D685" i="5"/>
  <c r="C685" i="5"/>
  <c r="B685" i="5"/>
  <c r="L685" i="5"/>
  <c r="K685" i="5"/>
  <c r="J685" i="5"/>
  <c r="H693" i="5"/>
  <c r="G693" i="5"/>
  <c r="F693" i="5"/>
  <c r="D693" i="5"/>
  <c r="C693" i="5"/>
  <c r="B693" i="5"/>
  <c r="F855" i="5"/>
  <c r="D855" i="5"/>
  <c r="L855" i="5"/>
  <c r="K855" i="5"/>
  <c r="J855" i="5"/>
  <c r="I855" i="5"/>
  <c r="H855" i="5"/>
  <c r="G855" i="5"/>
  <c r="E855" i="5"/>
  <c r="J915" i="5"/>
  <c r="G915" i="5"/>
  <c r="I915" i="5"/>
  <c r="F915" i="5"/>
  <c r="E915" i="5"/>
  <c r="D915" i="5"/>
  <c r="C915" i="5"/>
  <c r="M915" i="5"/>
  <c r="L915" i="5"/>
  <c r="K915" i="5"/>
  <c r="F919" i="5"/>
  <c r="C919" i="5"/>
  <c r="L919" i="5"/>
  <c r="K919" i="5"/>
  <c r="J919" i="5"/>
  <c r="I919" i="5"/>
  <c r="M919" i="5"/>
  <c r="H919" i="5"/>
  <c r="G919" i="5"/>
  <c r="E919" i="5"/>
  <c r="J951" i="5"/>
  <c r="H951" i="5"/>
  <c r="G951" i="5"/>
  <c r="F951" i="5"/>
  <c r="M951" i="5"/>
  <c r="L951" i="5"/>
  <c r="K951" i="5"/>
  <c r="I951" i="5"/>
  <c r="E951" i="5"/>
  <c r="D951" i="5"/>
  <c r="C951" i="5"/>
  <c r="B951" i="5"/>
  <c r="F979" i="5"/>
  <c r="D979" i="5"/>
  <c r="C979" i="5"/>
  <c r="B979" i="5"/>
  <c r="M979" i="5"/>
  <c r="L979" i="5"/>
  <c r="K979" i="5"/>
  <c r="J979" i="5"/>
  <c r="I979" i="5"/>
  <c r="H979" i="5"/>
  <c r="E1075" i="5"/>
  <c r="I1075" i="5"/>
  <c r="H1075" i="5"/>
  <c r="G1075" i="5"/>
  <c r="F1075" i="5"/>
  <c r="D1075" i="5"/>
  <c r="C1075" i="5"/>
  <c r="B1075" i="5"/>
  <c r="M1075" i="5"/>
  <c r="L1075" i="5"/>
  <c r="K1075" i="5"/>
  <c r="K1181" i="5"/>
  <c r="G1181" i="5"/>
  <c r="E1181" i="5"/>
  <c r="M1181" i="5"/>
  <c r="L1181" i="5"/>
  <c r="J1181" i="5"/>
  <c r="I1181" i="5"/>
  <c r="H1181" i="5"/>
  <c r="F1181" i="5"/>
  <c r="D1181" i="5"/>
  <c r="K1316" i="5"/>
  <c r="J1316" i="5"/>
  <c r="C1316" i="5"/>
  <c r="M1316" i="5"/>
  <c r="L1316" i="5"/>
  <c r="I1316" i="5"/>
  <c r="H1316" i="5"/>
  <c r="G1316" i="5"/>
  <c r="F1316" i="5"/>
  <c r="E1316" i="5"/>
  <c r="D1316" i="5"/>
  <c r="B1316" i="5"/>
  <c r="K259" i="5"/>
  <c r="E265" i="5"/>
  <c r="D266" i="5"/>
  <c r="C267" i="5"/>
  <c r="K271" i="5"/>
  <c r="E277" i="5"/>
  <c r="D278" i="5"/>
  <c r="C279" i="5"/>
  <c r="K283" i="5"/>
  <c r="E289" i="5"/>
  <c r="D290" i="5"/>
  <c r="C291" i="5"/>
  <c r="K295" i="5"/>
  <c r="E301" i="5"/>
  <c r="D302" i="5"/>
  <c r="C303" i="5"/>
  <c r="K307" i="5"/>
  <c r="E313" i="5"/>
  <c r="D314" i="5"/>
  <c r="C315" i="5"/>
  <c r="K319" i="5"/>
  <c r="E325" i="5"/>
  <c r="D326" i="5"/>
  <c r="C327" i="5"/>
  <c r="K331" i="5"/>
  <c r="E337" i="5"/>
  <c r="D338" i="5"/>
  <c r="C339" i="5"/>
  <c r="K343" i="5"/>
  <c r="E349" i="5"/>
  <c r="D350" i="5"/>
  <c r="C351" i="5"/>
  <c r="L354" i="5"/>
  <c r="K355" i="5"/>
  <c r="E361" i="5"/>
  <c r="D362" i="5"/>
  <c r="C363" i="5"/>
  <c r="L366" i="5"/>
  <c r="K367" i="5"/>
  <c r="E373" i="5"/>
  <c r="D374" i="5"/>
  <c r="C375" i="5"/>
  <c r="L378" i="5"/>
  <c r="K379" i="5"/>
  <c r="E385" i="5"/>
  <c r="E386" i="5"/>
  <c r="E387" i="5"/>
  <c r="E388" i="5"/>
  <c r="E389" i="5"/>
  <c r="E390" i="5"/>
  <c r="F391" i="5"/>
  <c r="F392" i="5"/>
  <c r="F393" i="5"/>
  <c r="F394" i="5"/>
  <c r="E396" i="5"/>
  <c r="E397" i="5"/>
  <c r="E398" i="5"/>
  <c r="E399" i="5"/>
  <c r="E400" i="5"/>
  <c r="E401" i="5"/>
  <c r="E402" i="5"/>
  <c r="F403" i="5"/>
  <c r="F404" i="5"/>
  <c r="F405" i="5"/>
  <c r="F406" i="5"/>
  <c r="E408" i="5"/>
  <c r="E409" i="5"/>
  <c r="E410" i="5"/>
  <c r="E411" i="5"/>
  <c r="E412" i="5"/>
  <c r="E413" i="5"/>
  <c r="E414" i="5"/>
  <c r="F415" i="5"/>
  <c r="F416" i="5"/>
  <c r="F417" i="5"/>
  <c r="F418" i="5"/>
  <c r="E420" i="5"/>
  <c r="E421" i="5"/>
  <c r="E422" i="5"/>
  <c r="E423" i="5"/>
  <c r="E424" i="5"/>
  <c r="E425" i="5"/>
  <c r="E426" i="5"/>
  <c r="F427" i="5"/>
  <c r="F428" i="5"/>
  <c r="F429" i="5"/>
  <c r="F430" i="5"/>
  <c r="E432" i="5"/>
  <c r="E433" i="5"/>
  <c r="E434" i="5"/>
  <c r="E435" i="5"/>
  <c r="E436" i="5"/>
  <c r="E437" i="5"/>
  <c r="E438" i="5"/>
  <c r="F439" i="5"/>
  <c r="F440" i="5"/>
  <c r="F441" i="5"/>
  <c r="F442" i="5"/>
  <c r="E444" i="5"/>
  <c r="E445" i="5"/>
  <c r="E446" i="5"/>
  <c r="E447" i="5"/>
  <c r="C456" i="5"/>
  <c r="L456" i="5"/>
  <c r="D459" i="5"/>
  <c r="E460" i="5"/>
  <c r="B469" i="5"/>
  <c r="K469" i="5"/>
  <c r="C471" i="5"/>
  <c r="D472" i="5"/>
  <c r="E473" i="5"/>
  <c r="C484" i="5"/>
  <c r="D485" i="5"/>
  <c r="E486" i="5"/>
  <c r="E495" i="5"/>
  <c r="H499" i="5"/>
  <c r="E499" i="5"/>
  <c r="D499" i="5"/>
  <c r="E500" i="5"/>
  <c r="H501" i="5"/>
  <c r="B507" i="5"/>
  <c r="D508" i="5"/>
  <c r="D513" i="5"/>
  <c r="K520" i="5"/>
  <c r="H520" i="5"/>
  <c r="G520" i="5"/>
  <c r="C521" i="5"/>
  <c r="G522" i="5"/>
  <c r="D528" i="5"/>
  <c r="F529" i="5"/>
  <c r="B534" i="5"/>
  <c r="F535" i="5"/>
  <c r="C541" i="5"/>
  <c r="E543" i="5"/>
  <c r="H547" i="5"/>
  <c r="E547" i="5"/>
  <c r="D547" i="5"/>
  <c r="E548" i="5"/>
  <c r="H549" i="5"/>
  <c r="B555" i="5"/>
  <c r="E556" i="5"/>
  <c r="B559" i="5"/>
  <c r="I560" i="5"/>
  <c r="E565" i="5"/>
  <c r="B569" i="5"/>
  <c r="H570" i="5"/>
  <c r="E573" i="5"/>
  <c r="B579" i="5"/>
  <c r="E580" i="5"/>
  <c r="B583" i="5"/>
  <c r="I584" i="5"/>
  <c r="E589" i="5"/>
  <c r="B593" i="5"/>
  <c r="H594" i="5"/>
  <c r="E597" i="5"/>
  <c r="B603" i="5"/>
  <c r="E604" i="5"/>
  <c r="B607" i="5"/>
  <c r="I608" i="5"/>
  <c r="G613" i="5"/>
  <c r="K618" i="5"/>
  <c r="J618" i="5"/>
  <c r="I618" i="5"/>
  <c r="G618" i="5"/>
  <c r="F618" i="5"/>
  <c r="E618" i="5"/>
  <c r="J621" i="5"/>
  <c r="E625" i="5"/>
  <c r="G631" i="5"/>
  <c r="E633" i="5"/>
  <c r="D641" i="5"/>
  <c r="B643" i="5"/>
  <c r="B653" i="5"/>
  <c r="K656" i="5"/>
  <c r="D666" i="5"/>
  <c r="B668" i="5"/>
  <c r="H673" i="5"/>
  <c r="K678" i="5"/>
  <c r="J678" i="5"/>
  <c r="I678" i="5"/>
  <c r="G678" i="5"/>
  <c r="F678" i="5"/>
  <c r="E678" i="5"/>
  <c r="J681" i="5"/>
  <c r="E685" i="5"/>
  <c r="G691" i="5"/>
  <c r="E693" i="5"/>
  <c r="C701" i="5"/>
  <c r="J703" i="5"/>
  <c r="I703" i="5"/>
  <c r="H703" i="5"/>
  <c r="F703" i="5"/>
  <c r="E703" i="5"/>
  <c r="D703" i="5"/>
  <c r="L713" i="5"/>
  <c r="K713" i="5"/>
  <c r="J713" i="5"/>
  <c r="H713" i="5"/>
  <c r="G713" i="5"/>
  <c r="F713" i="5"/>
  <c r="J716" i="5"/>
  <c r="C726" i="5"/>
  <c r="I728" i="5"/>
  <c r="H728" i="5"/>
  <c r="G728" i="5"/>
  <c r="E728" i="5"/>
  <c r="D728" i="5"/>
  <c r="C728" i="5"/>
  <c r="G733" i="5"/>
  <c r="K738" i="5"/>
  <c r="J738" i="5"/>
  <c r="I738" i="5"/>
  <c r="G738" i="5"/>
  <c r="F738" i="5"/>
  <c r="E738" i="5"/>
  <c r="J741" i="5"/>
  <c r="G745" i="5"/>
  <c r="G747" i="5"/>
  <c r="H829" i="5"/>
  <c r="F829" i="5"/>
  <c r="L829" i="5"/>
  <c r="K829" i="5"/>
  <c r="J829" i="5"/>
  <c r="I829" i="5"/>
  <c r="G829" i="5"/>
  <c r="E829" i="5"/>
  <c r="D829" i="5"/>
  <c r="G831" i="5"/>
  <c r="L841" i="5"/>
  <c r="D844" i="5"/>
  <c r="B855" i="5"/>
  <c r="J901" i="5"/>
  <c r="B915" i="5"/>
  <c r="B919" i="5"/>
  <c r="H941" i="5"/>
  <c r="F941" i="5"/>
  <c r="E941" i="5"/>
  <c r="D941" i="5"/>
  <c r="M941" i="5"/>
  <c r="L941" i="5"/>
  <c r="K941" i="5"/>
  <c r="J941" i="5"/>
  <c r="I941" i="5"/>
  <c r="G941" i="5"/>
  <c r="C975" i="5"/>
  <c r="E979" i="5"/>
  <c r="E1015" i="5"/>
  <c r="G1015" i="5"/>
  <c r="D1015" i="5"/>
  <c r="C1015" i="5"/>
  <c r="B1015" i="5"/>
  <c r="M1015" i="5"/>
  <c r="L1015" i="5"/>
  <c r="K1015" i="5"/>
  <c r="J1015" i="5"/>
  <c r="I1015" i="5"/>
  <c r="H1015" i="5"/>
  <c r="D1064" i="5"/>
  <c r="I1064" i="5"/>
  <c r="H1064" i="5"/>
  <c r="G1064" i="5"/>
  <c r="F1064" i="5"/>
  <c r="E1064" i="5"/>
  <c r="C1064" i="5"/>
  <c r="B1064" i="5"/>
  <c r="M1064" i="5"/>
  <c r="L1072" i="5"/>
  <c r="J1075" i="5"/>
  <c r="J1080" i="5"/>
  <c r="B1181" i="5"/>
  <c r="M354" i="5"/>
  <c r="M366" i="5"/>
  <c r="M378" i="5"/>
  <c r="E454" i="5"/>
  <c r="B454" i="5"/>
  <c r="C468" i="5"/>
  <c r="L468" i="5"/>
  <c r="B481" i="5"/>
  <c r="K481" i="5"/>
  <c r="C492" i="5"/>
  <c r="L492" i="5"/>
  <c r="K492" i="5"/>
  <c r="C507" i="5"/>
  <c r="G512" i="5"/>
  <c r="D512" i="5"/>
  <c r="C512" i="5"/>
  <c r="E513" i="5"/>
  <c r="J533" i="5"/>
  <c r="G533" i="5"/>
  <c r="F533" i="5"/>
  <c r="C534" i="5"/>
  <c r="C540" i="5"/>
  <c r="L540" i="5"/>
  <c r="K540" i="5"/>
  <c r="D541" i="5"/>
  <c r="C555" i="5"/>
  <c r="C559" i="5"/>
  <c r="C569" i="5"/>
  <c r="G573" i="5"/>
  <c r="C579" i="5"/>
  <c r="C583" i="5"/>
  <c r="C593" i="5"/>
  <c r="G597" i="5"/>
  <c r="C603" i="5"/>
  <c r="C607" i="5"/>
  <c r="F625" i="5"/>
  <c r="I633" i="5"/>
  <c r="D637" i="5"/>
  <c r="C637" i="5"/>
  <c r="B637" i="5"/>
  <c r="L637" i="5"/>
  <c r="K637" i="5"/>
  <c r="J637" i="5"/>
  <c r="C643" i="5"/>
  <c r="H645" i="5"/>
  <c r="G645" i="5"/>
  <c r="F645" i="5"/>
  <c r="D645" i="5"/>
  <c r="C645" i="5"/>
  <c r="B645" i="5"/>
  <c r="C653" i="5"/>
  <c r="J655" i="5"/>
  <c r="I655" i="5"/>
  <c r="H655" i="5"/>
  <c r="F655" i="5"/>
  <c r="E655" i="5"/>
  <c r="D655" i="5"/>
  <c r="F668" i="5"/>
  <c r="F685" i="5"/>
  <c r="I693" i="5"/>
  <c r="D697" i="5"/>
  <c r="C697" i="5"/>
  <c r="B697" i="5"/>
  <c r="L697" i="5"/>
  <c r="K697" i="5"/>
  <c r="J697" i="5"/>
  <c r="C855" i="5"/>
  <c r="B887" i="5"/>
  <c r="K887" i="5"/>
  <c r="F887" i="5"/>
  <c r="E887" i="5"/>
  <c r="D887" i="5"/>
  <c r="C887" i="5"/>
  <c r="M887" i="5"/>
  <c r="L887" i="5"/>
  <c r="J887" i="5"/>
  <c r="I887" i="5"/>
  <c r="H887" i="5"/>
  <c r="G887" i="5"/>
  <c r="F895" i="5"/>
  <c r="C895" i="5"/>
  <c r="B895" i="5"/>
  <c r="M895" i="5"/>
  <c r="L895" i="5"/>
  <c r="K895" i="5"/>
  <c r="J895" i="5"/>
  <c r="I895" i="5"/>
  <c r="H895" i="5"/>
  <c r="H915" i="5"/>
  <c r="D919" i="5"/>
  <c r="G979" i="5"/>
  <c r="C1053" i="5"/>
  <c r="I1053" i="5"/>
  <c r="H1053" i="5"/>
  <c r="G1053" i="5"/>
  <c r="F1053" i="5"/>
  <c r="E1053" i="5"/>
  <c r="D1053" i="5"/>
  <c r="B1053" i="5"/>
  <c r="I1159" i="5"/>
  <c r="E1159" i="5"/>
  <c r="C1159" i="5"/>
  <c r="M1159" i="5"/>
  <c r="L1159" i="5"/>
  <c r="K1159" i="5"/>
  <c r="J1159" i="5"/>
  <c r="H1159" i="5"/>
  <c r="G1159" i="5"/>
  <c r="F1159" i="5"/>
  <c r="C1181" i="5"/>
  <c r="J1206" i="5"/>
  <c r="F1206" i="5"/>
  <c r="D1206" i="5"/>
  <c r="K1206" i="5"/>
  <c r="I1206" i="5"/>
  <c r="H1206" i="5"/>
  <c r="G1206" i="5"/>
  <c r="E1206" i="5"/>
  <c r="C1206" i="5"/>
  <c r="B1206" i="5"/>
  <c r="M1206" i="5"/>
  <c r="L1206" i="5"/>
  <c r="G385" i="5"/>
  <c r="G386" i="5"/>
  <c r="G387" i="5"/>
  <c r="G388" i="5"/>
  <c r="H389" i="5"/>
  <c r="H390" i="5"/>
  <c r="H391" i="5"/>
  <c r="H392" i="5"/>
  <c r="H393" i="5"/>
  <c r="H394" i="5"/>
  <c r="G396" i="5"/>
  <c r="G397" i="5"/>
  <c r="G398" i="5"/>
  <c r="G399" i="5"/>
  <c r="G400" i="5"/>
  <c r="H401" i="5"/>
  <c r="H402" i="5"/>
  <c r="H403" i="5"/>
  <c r="H404" i="5"/>
  <c r="H405" i="5"/>
  <c r="H406" i="5"/>
  <c r="G408" i="5"/>
  <c r="G409" i="5"/>
  <c r="G410" i="5"/>
  <c r="G411" i="5"/>
  <c r="G412" i="5"/>
  <c r="H413" i="5"/>
  <c r="H414" i="5"/>
  <c r="H415" i="5"/>
  <c r="H416" i="5"/>
  <c r="H417" i="5"/>
  <c r="H418" i="5"/>
  <c r="G420" i="5"/>
  <c r="G421" i="5"/>
  <c r="G422" i="5"/>
  <c r="G423" i="5"/>
  <c r="G424" i="5"/>
  <c r="H425" i="5"/>
  <c r="H426" i="5"/>
  <c r="H427" i="5"/>
  <c r="H428" i="5"/>
  <c r="H429" i="5"/>
  <c r="H430" i="5"/>
  <c r="G432" i="5"/>
  <c r="G433" i="5"/>
  <c r="G434" i="5"/>
  <c r="G435" i="5"/>
  <c r="G436" i="5"/>
  <c r="H437" i="5"/>
  <c r="H438" i="5"/>
  <c r="H439" i="5"/>
  <c r="F453" i="5"/>
  <c r="C453" i="5"/>
  <c r="C454" i="5"/>
  <c r="E466" i="5"/>
  <c r="B466" i="5"/>
  <c r="B468" i="5"/>
  <c r="E471" i="5"/>
  <c r="C480" i="5"/>
  <c r="L480" i="5"/>
  <c r="C481" i="5"/>
  <c r="E484" i="5"/>
  <c r="B492" i="5"/>
  <c r="I498" i="5"/>
  <c r="F498" i="5"/>
  <c r="E498" i="5"/>
  <c r="H500" i="5"/>
  <c r="B505" i="5"/>
  <c r="K505" i="5"/>
  <c r="J505" i="5"/>
  <c r="D507" i="5"/>
  <c r="B512" i="5"/>
  <c r="G513" i="5"/>
  <c r="L519" i="5"/>
  <c r="I519" i="5"/>
  <c r="H519" i="5"/>
  <c r="E521" i="5"/>
  <c r="F525" i="5"/>
  <c r="C525" i="5"/>
  <c r="B525" i="5"/>
  <c r="F528" i="5"/>
  <c r="B533" i="5"/>
  <c r="D534" i="5"/>
  <c r="B540" i="5"/>
  <c r="E541" i="5"/>
  <c r="I546" i="5"/>
  <c r="F546" i="5"/>
  <c r="E546" i="5"/>
  <c r="H548" i="5"/>
  <c r="B553" i="5"/>
  <c r="K553" i="5"/>
  <c r="J553" i="5"/>
  <c r="D555" i="5"/>
  <c r="I558" i="5"/>
  <c r="G558" i="5"/>
  <c r="F558" i="5"/>
  <c r="E558" i="5"/>
  <c r="G559" i="5"/>
  <c r="K568" i="5"/>
  <c r="I568" i="5"/>
  <c r="H568" i="5"/>
  <c r="G568" i="5"/>
  <c r="D569" i="5"/>
  <c r="G572" i="5"/>
  <c r="E572" i="5"/>
  <c r="D572" i="5"/>
  <c r="C572" i="5"/>
  <c r="H573" i="5"/>
  <c r="D579" i="5"/>
  <c r="I582" i="5"/>
  <c r="G582" i="5"/>
  <c r="F582" i="5"/>
  <c r="E582" i="5"/>
  <c r="G583" i="5"/>
  <c r="K592" i="5"/>
  <c r="I592" i="5"/>
  <c r="H592" i="5"/>
  <c r="G592" i="5"/>
  <c r="D593" i="5"/>
  <c r="G596" i="5"/>
  <c r="E596" i="5"/>
  <c r="D596" i="5"/>
  <c r="C596" i="5"/>
  <c r="H597" i="5"/>
  <c r="D603" i="5"/>
  <c r="I606" i="5"/>
  <c r="G606" i="5"/>
  <c r="F606" i="5"/>
  <c r="E606" i="5"/>
  <c r="G607" i="5"/>
  <c r="I620" i="5"/>
  <c r="H620" i="5"/>
  <c r="G620" i="5"/>
  <c r="E620" i="5"/>
  <c r="D620" i="5"/>
  <c r="C620" i="5"/>
  <c r="G625" i="5"/>
  <c r="K630" i="5"/>
  <c r="J630" i="5"/>
  <c r="I630" i="5"/>
  <c r="G630" i="5"/>
  <c r="F630" i="5"/>
  <c r="E630" i="5"/>
  <c r="J633" i="5"/>
  <c r="E637" i="5"/>
  <c r="G643" i="5"/>
  <c r="E645" i="5"/>
  <c r="D653" i="5"/>
  <c r="B655" i="5"/>
  <c r="L665" i="5"/>
  <c r="K665" i="5"/>
  <c r="J665" i="5"/>
  <c r="H665" i="5"/>
  <c r="G665" i="5"/>
  <c r="F665" i="5"/>
  <c r="J668" i="5"/>
  <c r="I680" i="5"/>
  <c r="H680" i="5"/>
  <c r="G680" i="5"/>
  <c r="E680" i="5"/>
  <c r="D680" i="5"/>
  <c r="C680" i="5"/>
  <c r="G685" i="5"/>
  <c r="K690" i="5"/>
  <c r="J690" i="5"/>
  <c r="I690" i="5"/>
  <c r="G690" i="5"/>
  <c r="F690" i="5"/>
  <c r="E690" i="5"/>
  <c r="J693" i="5"/>
  <c r="E697" i="5"/>
  <c r="E701" i="5"/>
  <c r="H705" i="5"/>
  <c r="G705" i="5"/>
  <c r="F705" i="5"/>
  <c r="D705" i="5"/>
  <c r="C705" i="5"/>
  <c r="B705" i="5"/>
  <c r="J715" i="5"/>
  <c r="I715" i="5"/>
  <c r="H715" i="5"/>
  <c r="F715" i="5"/>
  <c r="E715" i="5"/>
  <c r="D715" i="5"/>
  <c r="H726" i="5"/>
  <c r="I740" i="5"/>
  <c r="H740" i="5"/>
  <c r="G740" i="5"/>
  <c r="E740" i="5"/>
  <c r="D740" i="5"/>
  <c r="C740" i="5"/>
  <c r="I745" i="5"/>
  <c r="I747" i="5"/>
  <c r="G842" i="5"/>
  <c r="E842" i="5"/>
  <c r="L842" i="5"/>
  <c r="K842" i="5"/>
  <c r="J842" i="5"/>
  <c r="I842" i="5"/>
  <c r="H842" i="5"/>
  <c r="F842" i="5"/>
  <c r="D842" i="5"/>
  <c r="G844" i="5"/>
  <c r="M855" i="5"/>
  <c r="D895" i="5"/>
  <c r="E975" i="5"/>
  <c r="C1005" i="5"/>
  <c r="G1005" i="5"/>
  <c r="E1005" i="5"/>
  <c r="D1005" i="5"/>
  <c r="B1005" i="5"/>
  <c r="M1005" i="5"/>
  <c r="L1005" i="5"/>
  <c r="K1005" i="5"/>
  <c r="J1005" i="5"/>
  <c r="I1005" i="5"/>
  <c r="H1005" i="5"/>
  <c r="G1049" i="5"/>
  <c r="I1049" i="5"/>
  <c r="H1049" i="5"/>
  <c r="F1049" i="5"/>
  <c r="E1049" i="5"/>
  <c r="D1049" i="5"/>
  <c r="C1049" i="5"/>
  <c r="B1049" i="5"/>
  <c r="M1049" i="5"/>
  <c r="L1049" i="5"/>
  <c r="K1049" i="5"/>
  <c r="J1053" i="5"/>
  <c r="J1130" i="5"/>
  <c r="H1130" i="5"/>
  <c r="G1130" i="5"/>
  <c r="F1130" i="5"/>
  <c r="E1130" i="5"/>
  <c r="D1130" i="5"/>
  <c r="C1130" i="5"/>
  <c r="B1130" i="5"/>
  <c r="M1130" i="5"/>
  <c r="B1159" i="5"/>
  <c r="M490" i="5"/>
  <c r="M502" i="5"/>
  <c r="M514" i="5"/>
  <c r="M526" i="5"/>
  <c r="M538" i="5"/>
  <c r="M550" i="5"/>
  <c r="M562" i="5"/>
  <c r="K564" i="5"/>
  <c r="M574" i="5"/>
  <c r="K576" i="5"/>
  <c r="M586" i="5"/>
  <c r="K588" i="5"/>
  <c r="M598" i="5"/>
  <c r="K600" i="5"/>
  <c r="M610" i="5"/>
  <c r="K612" i="5"/>
  <c r="H615" i="5"/>
  <c r="G616" i="5"/>
  <c r="M622" i="5"/>
  <c r="K624" i="5"/>
  <c r="H627" i="5"/>
  <c r="G628" i="5"/>
  <c r="M634" i="5"/>
  <c r="K636" i="5"/>
  <c r="H639" i="5"/>
  <c r="G640" i="5"/>
  <c r="M646" i="5"/>
  <c r="K648" i="5"/>
  <c r="H651" i="5"/>
  <c r="G652" i="5"/>
  <c r="M658" i="5"/>
  <c r="K660" i="5"/>
  <c r="H663" i="5"/>
  <c r="G664" i="5"/>
  <c r="M670" i="5"/>
  <c r="K672" i="5"/>
  <c r="H675" i="5"/>
  <c r="G676" i="5"/>
  <c r="M682" i="5"/>
  <c r="K684" i="5"/>
  <c r="H687" i="5"/>
  <c r="G688" i="5"/>
  <c r="M694" i="5"/>
  <c r="K696" i="5"/>
  <c r="H699" i="5"/>
  <c r="G700" i="5"/>
  <c r="M706" i="5"/>
  <c r="K708" i="5"/>
  <c r="H711" i="5"/>
  <c r="G712" i="5"/>
  <c r="M718" i="5"/>
  <c r="K720" i="5"/>
  <c r="H723" i="5"/>
  <c r="G724" i="5"/>
  <c r="M730" i="5"/>
  <c r="K732" i="5"/>
  <c r="H735" i="5"/>
  <c r="G736" i="5"/>
  <c r="M742" i="5"/>
  <c r="K744" i="5"/>
  <c r="K749" i="5"/>
  <c r="J751" i="5"/>
  <c r="J752" i="5"/>
  <c r="K753" i="5"/>
  <c r="K754" i="5"/>
  <c r="K755" i="5"/>
  <c r="K756" i="5"/>
  <c r="K757" i="5"/>
  <c r="K758" i="5"/>
  <c r="K759" i="5"/>
  <c r="K760" i="5"/>
  <c r="K761" i="5"/>
  <c r="J763" i="5"/>
  <c r="J764" i="5"/>
  <c r="K765" i="5"/>
  <c r="K766" i="5"/>
  <c r="K767" i="5"/>
  <c r="K768" i="5"/>
  <c r="K769" i="5"/>
  <c r="K770" i="5"/>
  <c r="K771" i="5"/>
  <c r="K772" i="5"/>
  <c r="K773" i="5"/>
  <c r="J775" i="5"/>
  <c r="J776" i="5"/>
  <c r="K777" i="5"/>
  <c r="K778" i="5"/>
  <c r="K779" i="5"/>
  <c r="K780" i="5"/>
  <c r="K781" i="5"/>
  <c r="K782" i="5"/>
  <c r="K783" i="5"/>
  <c r="K784" i="5"/>
  <c r="K785" i="5"/>
  <c r="J787" i="5"/>
  <c r="J788" i="5"/>
  <c r="K789" i="5"/>
  <c r="K790" i="5"/>
  <c r="K791" i="5"/>
  <c r="K792" i="5"/>
  <c r="K793" i="5"/>
  <c r="K794" i="5"/>
  <c r="K795" i="5"/>
  <c r="K796" i="5"/>
  <c r="K797" i="5"/>
  <c r="J799" i="5"/>
  <c r="J800" i="5"/>
  <c r="K801" i="5"/>
  <c r="K802" i="5"/>
  <c r="K803" i="5"/>
  <c r="K804" i="5"/>
  <c r="K805" i="5"/>
  <c r="K806" i="5"/>
  <c r="K807" i="5"/>
  <c r="K808" i="5"/>
  <c r="K809" i="5"/>
  <c r="J811" i="5"/>
  <c r="J812" i="5"/>
  <c r="K813" i="5"/>
  <c r="K814" i="5"/>
  <c r="K815" i="5"/>
  <c r="K816" i="5"/>
  <c r="K817" i="5"/>
  <c r="K818" i="5"/>
  <c r="K819" i="5"/>
  <c r="K820" i="5"/>
  <c r="K821" i="5"/>
  <c r="K823" i="5"/>
  <c r="K826" i="5"/>
  <c r="I826" i="5"/>
  <c r="I832" i="5"/>
  <c r="J833" i="5"/>
  <c r="J839" i="5"/>
  <c r="H839" i="5"/>
  <c r="I845" i="5"/>
  <c r="I847" i="5"/>
  <c r="K849" i="5"/>
  <c r="I852" i="5"/>
  <c r="G852" i="5"/>
  <c r="H859" i="5"/>
  <c r="K890" i="5"/>
  <c r="H890" i="5"/>
  <c r="J890" i="5"/>
  <c r="G890" i="5"/>
  <c r="F890" i="5"/>
  <c r="E890" i="5"/>
  <c r="D890" i="5"/>
  <c r="I892" i="5"/>
  <c r="F892" i="5"/>
  <c r="M892" i="5"/>
  <c r="K892" i="5"/>
  <c r="J892" i="5"/>
  <c r="H892" i="5"/>
  <c r="G892" i="5"/>
  <c r="G930" i="5"/>
  <c r="E930" i="5"/>
  <c r="D930" i="5"/>
  <c r="C930" i="5"/>
  <c r="L930" i="5"/>
  <c r="J930" i="5"/>
  <c r="I930" i="5"/>
  <c r="H930" i="5"/>
  <c r="F930" i="5"/>
  <c r="L985" i="5"/>
  <c r="J985" i="5"/>
  <c r="I985" i="5"/>
  <c r="H985" i="5"/>
  <c r="M985" i="5"/>
  <c r="K985" i="5"/>
  <c r="G985" i="5"/>
  <c r="I1047" i="5"/>
  <c r="G1047" i="5"/>
  <c r="F1047" i="5"/>
  <c r="E1047" i="5"/>
  <c r="D1047" i="5"/>
  <c r="C1047" i="5"/>
  <c r="B1047" i="5"/>
  <c r="M1047" i="5"/>
  <c r="L1047" i="5"/>
  <c r="K1047" i="5"/>
  <c r="J1047" i="5"/>
  <c r="B1054" i="5"/>
  <c r="I1054" i="5"/>
  <c r="H1054" i="5"/>
  <c r="G1054" i="5"/>
  <c r="F1054" i="5"/>
  <c r="E1054" i="5"/>
  <c r="D1054" i="5"/>
  <c r="C1054" i="5"/>
  <c r="M1054" i="5"/>
  <c r="L1054" i="5"/>
  <c r="K1054" i="5"/>
  <c r="J1054" i="5"/>
  <c r="I1059" i="5"/>
  <c r="H1059" i="5"/>
  <c r="G1059" i="5"/>
  <c r="F1059" i="5"/>
  <c r="E1059" i="5"/>
  <c r="D1059" i="5"/>
  <c r="C1059" i="5"/>
  <c r="B1059" i="5"/>
  <c r="J1070" i="5"/>
  <c r="H1070" i="5"/>
  <c r="G1070" i="5"/>
  <c r="F1070" i="5"/>
  <c r="E1070" i="5"/>
  <c r="D1070" i="5"/>
  <c r="C1070" i="5"/>
  <c r="B1070" i="5"/>
  <c r="M1070" i="5"/>
  <c r="L1070" i="5"/>
  <c r="K1117" i="5"/>
  <c r="H1117" i="5"/>
  <c r="G1117" i="5"/>
  <c r="F1117" i="5"/>
  <c r="E1117" i="5"/>
  <c r="D1117" i="5"/>
  <c r="C1117" i="5"/>
  <c r="B1117" i="5"/>
  <c r="M1117" i="5"/>
  <c r="J1194" i="5"/>
  <c r="F1194" i="5"/>
  <c r="D1194" i="5"/>
  <c r="M1194" i="5"/>
  <c r="L1194" i="5"/>
  <c r="K1194" i="5"/>
  <c r="I1194" i="5"/>
  <c r="H1194" i="5"/>
  <c r="G1194" i="5"/>
  <c r="J458" i="5"/>
  <c r="J470" i="5"/>
  <c r="J482" i="5"/>
  <c r="B490" i="5"/>
  <c r="J494" i="5"/>
  <c r="B502" i="5"/>
  <c r="J506" i="5"/>
  <c r="B514" i="5"/>
  <c r="J518" i="5"/>
  <c r="B526" i="5"/>
  <c r="J530" i="5"/>
  <c r="B538" i="5"/>
  <c r="J542" i="5"/>
  <c r="B550" i="5"/>
  <c r="J554" i="5"/>
  <c r="B562" i="5"/>
  <c r="L564" i="5"/>
  <c r="J566" i="5"/>
  <c r="B574" i="5"/>
  <c r="L576" i="5"/>
  <c r="J578" i="5"/>
  <c r="B586" i="5"/>
  <c r="L588" i="5"/>
  <c r="J590" i="5"/>
  <c r="B598" i="5"/>
  <c r="L600" i="5"/>
  <c r="J602" i="5"/>
  <c r="B610" i="5"/>
  <c r="L612" i="5"/>
  <c r="J614" i="5"/>
  <c r="I615" i="5"/>
  <c r="H616" i="5"/>
  <c r="B622" i="5"/>
  <c r="L624" i="5"/>
  <c r="J626" i="5"/>
  <c r="I627" i="5"/>
  <c r="H628" i="5"/>
  <c r="B634" i="5"/>
  <c r="L636" i="5"/>
  <c r="J638" i="5"/>
  <c r="I639" i="5"/>
  <c r="H640" i="5"/>
  <c r="B646" i="5"/>
  <c r="L648" i="5"/>
  <c r="J650" i="5"/>
  <c r="I651" i="5"/>
  <c r="H652" i="5"/>
  <c r="B658" i="5"/>
  <c r="L660" i="5"/>
  <c r="J662" i="5"/>
  <c r="I663" i="5"/>
  <c r="H664" i="5"/>
  <c r="B670" i="5"/>
  <c r="L672" i="5"/>
  <c r="J674" i="5"/>
  <c r="I675" i="5"/>
  <c r="H676" i="5"/>
  <c r="B682" i="5"/>
  <c r="L684" i="5"/>
  <c r="J686" i="5"/>
  <c r="I687" i="5"/>
  <c r="H688" i="5"/>
  <c r="B694" i="5"/>
  <c r="L696" i="5"/>
  <c r="J698" i="5"/>
  <c r="I699" i="5"/>
  <c r="H700" i="5"/>
  <c r="B706" i="5"/>
  <c r="L708" i="5"/>
  <c r="J710" i="5"/>
  <c r="I711" i="5"/>
  <c r="H712" i="5"/>
  <c r="B718" i="5"/>
  <c r="L720" i="5"/>
  <c r="J722" i="5"/>
  <c r="I723" i="5"/>
  <c r="H724" i="5"/>
  <c r="B730" i="5"/>
  <c r="L732" i="5"/>
  <c r="J734" i="5"/>
  <c r="I735" i="5"/>
  <c r="H736" i="5"/>
  <c r="B742" i="5"/>
  <c r="M743" i="5"/>
  <c r="L744" i="5"/>
  <c r="L749" i="5"/>
  <c r="K751" i="5"/>
  <c r="L752" i="5"/>
  <c r="L753" i="5"/>
  <c r="L754" i="5"/>
  <c r="L755" i="5"/>
  <c r="L756" i="5"/>
  <c r="L757" i="5"/>
  <c r="L758" i="5"/>
  <c r="L759" i="5"/>
  <c r="L760" i="5"/>
  <c r="L761" i="5"/>
  <c r="K763" i="5"/>
  <c r="L764" i="5"/>
  <c r="L765" i="5"/>
  <c r="L766" i="5"/>
  <c r="L767" i="5"/>
  <c r="L768" i="5"/>
  <c r="L769" i="5"/>
  <c r="L770" i="5"/>
  <c r="L771" i="5"/>
  <c r="L772" i="5"/>
  <c r="L773" i="5"/>
  <c r="K775" i="5"/>
  <c r="L776" i="5"/>
  <c r="L777" i="5"/>
  <c r="L778" i="5"/>
  <c r="L779" i="5"/>
  <c r="L780" i="5"/>
  <c r="L781" i="5"/>
  <c r="L782" i="5"/>
  <c r="L783" i="5"/>
  <c r="L784" i="5"/>
  <c r="L785" i="5"/>
  <c r="K787" i="5"/>
  <c r="L788" i="5"/>
  <c r="L789" i="5"/>
  <c r="L790" i="5"/>
  <c r="L791" i="5"/>
  <c r="L792" i="5"/>
  <c r="L793" i="5"/>
  <c r="L794" i="5"/>
  <c r="L795" i="5"/>
  <c r="L796" i="5"/>
  <c r="L797" i="5"/>
  <c r="K799" i="5"/>
  <c r="L800" i="5"/>
  <c r="L801" i="5"/>
  <c r="L802" i="5"/>
  <c r="L803" i="5"/>
  <c r="L804" i="5"/>
  <c r="L805" i="5"/>
  <c r="L806" i="5"/>
  <c r="L807" i="5"/>
  <c r="L808" i="5"/>
  <c r="L809" i="5"/>
  <c r="K811" i="5"/>
  <c r="L812" i="5"/>
  <c r="L813" i="5"/>
  <c r="L814" i="5"/>
  <c r="L815" i="5"/>
  <c r="L816" i="5"/>
  <c r="L817" i="5"/>
  <c r="L818" i="5"/>
  <c r="L819" i="5"/>
  <c r="L820" i="5"/>
  <c r="L821" i="5"/>
  <c r="L825" i="5"/>
  <c r="J825" i="5"/>
  <c r="B826" i="5"/>
  <c r="J832" i="5"/>
  <c r="K833" i="5"/>
  <c r="K838" i="5"/>
  <c r="I838" i="5"/>
  <c r="B839" i="5"/>
  <c r="J845" i="5"/>
  <c r="J847" i="5"/>
  <c r="J851" i="5"/>
  <c r="H851" i="5"/>
  <c r="B852" i="5"/>
  <c r="I859" i="5"/>
  <c r="K902" i="5"/>
  <c r="H902" i="5"/>
  <c r="I902" i="5"/>
  <c r="F902" i="5"/>
  <c r="E902" i="5"/>
  <c r="D902" i="5"/>
  <c r="C902" i="5"/>
  <c r="I904" i="5"/>
  <c r="F904" i="5"/>
  <c r="L904" i="5"/>
  <c r="J904" i="5"/>
  <c r="H904" i="5"/>
  <c r="G904" i="5"/>
  <c r="E904" i="5"/>
  <c r="G906" i="5"/>
  <c r="D906" i="5"/>
  <c r="L906" i="5"/>
  <c r="K906" i="5"/>
  <c r="J906" i="5"/>
  <c r="I906" i="5"/>
  <c r="K926" i="5"/>
  <c r="I926" i="5"/>
  <c r="H926" i="5"/>
  <c r="G926" i="5"/>
  <c r="L926" i="5"/>
  <c r="F926" i="5"/>
  <c r="E926" i="5"/>
  <c r="D926" i="5"/>
  <c r="C926" i="5"/>
  <c r="F955" i="5"/>
  <c r="D955" i="5"/>
  <c r="C955" i="5"/>
  <c r="B955" i="5"/>
  <c r="M955" i="5"/>
  <c r="L955" i="5"/>
  <c r="K955" i="5"/>
  <c r="B959" i="5"/>
  <c r="L959" i="5"/>
  <c r="K959" i="5"/>
  <c r="J959" i="5"/>
  <c r="M959" i="5"/>
  <c r="I959" i="5"/>
  <c r="H959" i="5"/>
  <c r="G959" i="5"/>
  <c r="F959" i="5"/>
  <c r="E959" i="5"/>
  <c r="B985" i="5"/>
  <c r="H1036" i="5"/>
  <c r="G1036" i="5"/>
  <c r="F1036" i="5"/>
  <c r="E1036" i="5"/>
  <c r="D1036" i="5"/>
  <c r="C1036" i="5"/>
  <c r="B1036" i="5"/>
  <c r="M1036" i="5"/>
  <c r="L1036" i="5"/>
  <c r="K1036" i="5"/>
  <c r="J1036" i="5"/>
  <c r="H1047" i="5"/>
  <c r="E1051" i="5"/>
  <c r="I1051" i="5"/>
  <c r="H1051" i="5"/>
  <c r="G1051" i="5"/>
  <c r="F1051" i="5"/>
  <c r="D1051" i="5"/>
  <c r="C1051" i="5"/>
  <c r="B1051" i="5"/>
  <c r="M1051" i="5"/>
  <c r="J1059" i="5"/>
  <c r="I1070" i="5"/>
  <c r="I1117" i="5"/>
  <c r="L1128" i="5"/>
  <c r="H1128" i="5"/>
  <c r="G1128" i="5"/>
  <c r="F1128" i="5"/>
  <c r="E1128" i="5"/>
  <c r="D1128" i="5"/>
  <c r="C1128" i="5"/>
  <c r="B1128" i="5"/>
  <c r="M1128" i="5"/>
  <c r="K1128" i="5"/>
  <c r="J1128" i="5"/>
  <c r="B1194" i="5"/>
  <c r="E1394" i="5"/>
  <c r="D1394" i="5"/>
  <c r="C1394" i="5"/>
  <c r="M1394" i="5"/>
  <c r="L1394" i="5"/>
  <c r="K1394" i="5"/>
  <c r="J1394" i="5"/>
  <c r="I1394" i="5"/>
  <c r="H1394" i="5"/>
  <c r="M564" i="5"/>
  <c r="M576" i="5"/>
  <c r="M588" i="5"/>
  <c r="M600" i="5"/>
  <c r="M612" i="5"/>
  <c r="J615" i="5"/>
  <c r="I616" i="5"/>
  <c r="M624" i="5"/>
  <c r="J627" i="5"/>
  <c r="I628" i="5"/>
  <c r="M636" i="5"/>
  <c r="J639" i="5"/>
  <c r="I640" i="5"/>
  <c r="M648" i="5"/>
  <c r="J651" i="5"/>
  <c r="I652" i="5"/>
  <c r="M660" i="5"/>
  <c r="J663" i="5"/>
  <c r="I664" i="5"/>
  <c r="M672" i="5"/>
  <c r="J675" i="5"/>
  <c r="I676" i="5"/>
  <c r="M684" i="5"/>
  <c r="J687" i="5"/>
  <c r="I688" i="5"/>
  <c r="M696" i="5"/>
  <c r="J699" i="5"/>
  <c r="I700" i="5"/>
  <c r="M708" i="5"/>
  <c r="J711" i="5"/>
  <c r="I712" i="5"/>
  <c r="M720" i="5"/>
  <c r="J723" i="5"/>
  <c r="I724" i="5"/>
  <c r="M732" i="5"/>
  <c r="J735" i="5"/>
  <c r="I736" i="5"/>
  <c r="M744" i="5"/>
  <c r="M749" i="5"/>
  <c r="M751" i="5"/>
  <c r="M752" i="5"/>
  <c r="M753" i="5"/>
  <c r="M754" i="5"/>
  <c r="M755" i="5"/>
  <c r="M756" i="5"/>
  <c r="M757" i="5"/>
  <c r="M758" i="5"/>
  <c r="M759" i="5"/>
  <c r="M760" i="5"/>
  <c r="M761" i="5"/>
  <c r="M763" i="5"/>
  <c r="M764" i="5"/>
  <c r="M765" i="5"/>
  <c r="M766" i="5"/>
  <c r="M767" i="5"/>
  <c r="M768" i="5"/>
  <c r="M769" i="5"/>
  <c r="M770" i="5"/>
  <c r="M771" i="5"/>
  <c r="M772" i="5"/>
  <c r="M773" i="5"/>
  <c r="M775" i="5"/>
  <c r="M776" i="5"/>
  <c r="M777" i="5"/>
  <c r="M778" i="5"/>
  <c r="M779" i="5"/>
  <c r="M780" i="5"/>
  <c r="M781" i="5"/>
  <c r="M782" i="5"/>
  <c r="M783" i="5"/>
  <c r="M784" i="5"/>
  <c r="M785" i="5"/>
  <c r="M787" i="5"/>
  <c r="M788" i="5"/>
  <c r="M789" i="5"/>
  <c r="M790" i="5"/>
  <c r="M791" i="5"/>
  <c r="M792" i="5"/>
  <c r="M793" i="5"/>
  <c r="M794" i="5"/>
  <c r="M795" i="5"/>
  <c r="M796" i="5"/>
  <c r="M797" i="5"/>
  <c r="M799" i="5"/>
  <c r="M800" i="5"/>
  <c r="M801" i="5"/>
  <c r="M802" i="5"/>
  <c r="M803" i="5"/>
  <c r="M804" i="5"/>
  <c r="M805" i="5"/>
  <c r="M806" i="5"/>
  <c r="M807" i="5"/>
  <c r="M808" i="5"/>
  <c r="M809" i="5"/>
  <c r="M811" i="5"/>
  <c r="M812" i="5"/>
  <c r="M813" i="5"/>
  <c r="M814" i="5"/>
  <c r="M815" i="5"/>
  <c r="M816" i="5"/>
  <c r="M817" i="5"/>
  <c r="M818" i="5"/>
  <c r="M819" i="5"/>
  <c r="M820" i="5"/>
  <c r="M821" i="5"/>
  <c r="K832" i="5"/>
  <c r="L837" i="5"/>
  <c r="J837" i="5"/>
  <c r="K845" i="5"/>
  <c r="K850" i="5"/>
  <c r="I850" i="5"/>
  <c r="J859" i="5"/>
  <c r="B935" i="5"/>
  <c r="L935" i="5"/>
  <c r="K935" i="5"/>
  <c r="J935" i="5"/>
  <c r="M935" i="5"/>
  <c r="H935" i="5"/>
  <c r="G935" i="5"/>
  <c r="F935" i="5"/>
  <c r="E935" i="5"/>
  <c r="H989" i="5"/>
  <c r="F989" i="5"/>
  <c r="E989" i="5"/>
  <c r="D989" i="5"/>
  <c r="M989" i="5"/>
  <c r="L989" i="5"/>
  <c r="K989" i="5"/>
  <c r="L997" i="5"/>
  <c r="J997" i="5"/>
  <c r="I997" i="5"/>
  <c r="H997" i="5"/>
  <c r="G997" i="5"/>
  <c r="F997" i="5"/>
  <c r="E997" i="5"/>
  <c r="D997" i="5"/>
  <c r="C997" i="5"/>
  <c r="B997" i="5"/>
  <c r="H1001" i="5"/>
  <c r="F1001" i="5"/>
  <c r="E1001" i="5"/>
  <c r="D1001" i="5"/>
  <c r="K1001" i="5"/>
  <c r="J1001" i="5"/>
  <c r="I1001" i="5"/>
  <c r="G1001" i="5"/>
  <c r="C1001" i="5"/>
  <c r="B1001" i="5"/>
  <c r="K1009" i="5"/>
  <c r="F1009" i="5"/>
  <c r="D1009" i="5"/>
  <c r="C1009" i="5"/>
  <c r="B1009" i="5"/>
  <c r="M1009" i="5"/>
  <c r="L1009" i="5"/>
  <c r="J1009" i="5"/>
  <c r="I1009" i="5"/>
  <c r="H1009" i="5"/>
  <c r="B1018" i="5"/>
  <c r="G1018" i="5"/>
  <c r="E1018" i="5"/>
  <c r="D1018" i="5"/>
  <c r="C1018" i="5"/>
  <c r="M1018" i="5"/>
  <c r="L1018" i="5"/>
  <c r="K1018" i="5"/>
  <c r="J1018" i="5"/>
  <c r="I1018" i="5"/>
  <c r="F1062" i="5"/>
  <c r="I1062" i="5"/>
  <c r="H1062" i="5"/>
  <c r="G1062" i="5"/>
  <c r="E1062" i="5"/>
  <c r="D1062" i="5"/>
  <c r="C1062" i="5"/>
  <c r="B1062" i="5"/>
  <c r="M1062" i="5"/>
  <c r="L1062" i="5"/>
  <c r="K1062" i="5"/>
  <c r="B1066" i="5"/>
  <c r="I1066" i="5"/>
  <c r="H1066" i="5"/>
  <c r="G1066" i="5"/>
  <c r="F1066" i="5"/>
  <c r="E1066" i="5"/>
  <c r="D1066" i="5"/>
  <c r="C1066" i="5"/>
  <c r="K1081" i="5"/>
  <c r="H1081" i="5"/>
  <c r="G1081" i="5"/>
  <c r="F1081" i="5"/>
  <c r="E1081" i="5"/>
  <c r="D1081" i="5"/>
  <c r="C1081" i="5"/>
  <c r="B1081" i="5"/>
  <c r="M1081" i="5"/>
  <c r="L1081" i="5"/>
  <c r="J1081" i="5"/>
  <c r="I1081" i="5"/>
  <c r="G1085" i="5"/>
  <c r="I1085" i="5"/>
  <c r="H1085" i="5"/>
  <c r="F1085" i="5"/>
  <c r="E1085" i="5"/>
  <c r="D1085" i="5"/>
  <c r="C1085" i="5"/>
  <c r="B1085" i="5"/>
  <c r="H1096" i="5"/>
  <c r="I1096" i="5"/>
  <c r="G1096" i="5"/>
  <c r="F1096" i="5"/>
  <c r="E1096" i="5"/>
  <c r="D1096" i="5"/>
  <c r="C1096" i="5"/>
  <c r="B1096" i="5"/>
  <c r="M1096" i="5"/>
  <c r="L1096" i="5"/>
  <c r="I1414" i="5"/>
  <c r="H1414" i="5"/>
  <c r="K1414" i="5"/>
  <c r="E1414" i="5"/>
  <c r="D1414" i="5"/>
  <c r="C1414" i="5"/>
  <c r="M1414" i="5"/>
  <c r="L1414" i="5"/>
  <c r="J1414" i="5"/>
  <c r="G1414" i="5"/>
  <c r="F1414" i="5"/>
  <c r="G1428" i="5"/>
  <c r="F1428" i="5"/>
  <c r="L1428" i="5"/>
  <c r="H1428" i="5"/>
  <c r="E1428" i="5"/>
  <c r="D1428" i="5"/>
  <c r="M1428" i="5"/>
  <c r="K1428" i="5"/>
  <c r="J1428" i="5"/>
  <c r="I1428" i="5"/>
  <c r="C1428" i="5"/>
  <c r="B1428" i="5"/>
  <c r="D1912" i="5"/>
  <c r="J1912" i="5"/>
  <c r="M1912" i="5"/>
  <c r="L1912" i="5"/>
  <c r="C1912" i="5"/>
  <c r="B1912" i="5"/>
  <c r="K1912" i="5"/>
  <c r="I1912" i="5"/>
  <c r="H1912" i="5"/>
  <c r="G1912" i="5"/>
  <c r="F1912" i="5"/>
  <c r="E1912" i="5"/>
  <c r="I1931" i="5"/>
  <c r="J1931" i="5"/>
  <c r="D1931" i="5"/>
  <c r="C1931" i="5"/>
  <c r="M1931" i="5"/>
  <c r="H1931" i="5"/>
  <c r="G1931" i="5"/>
  <c r="L1931" i="5"/>
  <c r="K1931" i="5"/>
  <c r="F1931" i="5"/>
  <c r="E1931" i="5"/>
  <c r="B1931" i="5"/>
  <c r="B823" i="5"/>
  <c r="L823" i="5"/>
  <c r="L849" i="5"/>
  <c r="J849" i="5"/>
  <c r="E908" i="5"/>
  <c r="B908" i="5"/>
  <c r="C908" i="5"/>
  <c r="M908" i="5"/>
  <c r="L908" i="5"/>
  <c r="K908" i="5"/>
  <c r="K914" i="5"/>
  <c r="H914" i="5"/>
  <c r="G914" i="5"/>
  <c r="E914" i="5"/>
  <c r="D914" i="5"/>
  <c r="C914" i="5"/>
  <c r="B914" i="5"/>
  <c r="I916" i="5"/>
  <c r="F916" i="5"/>
  <c r="K916" i="5"/>
  <c r="H916" i="5"/>
  <c r="G916" i="5"/>
  <c r="E916" i="5"/>
  <c r="D916" i="5"/>
  <c r="G918" i="5"/>
  <c r="D918" i="5"/>
  <c r="M918" i="5"/>
  <c r="K918" i="5"/>
  <c r="J918" i="5"/>
  <c r="I918" i="5"/>
  <c r="H918" i="5"/>
  <c r="I964" i="5"/>
  <c r="G964" i="5"/>
  <c r="F964" i="5"/>
  <c r="E964" i="5"/>
  <c r="M964" i="5"/>
  <c r="L964" i="5"/>
  <c r="K964" i="5"/>
  <c r="J964" i="5"/>
  <c r="H964" i="5"/>
  <c r="D964" i="5"/>
  <c r="D1040" i="5"/>
  <c r="H1040" i="5"/>
  <c r="G1040" i="5"/>
  <c r="F1040" i="5"/>
  <c r="E1040" i="5"/>
  <c r="C1040" i="5"/>
  <c r="B1040" i="5"/>
  <c r="M1040" i="5"/>
  <c r="L1040" i="5"/>
  <c r="K1040" i="5"/>
  <c r="J1040" i="5"/>
  <c r="C1077" i="5"/>
  <c r="I1077" i="5"/>
  <c r="H1077" i="5"/>
  <c r="G1077" i="5"/>
  <c r="F1077" i="5"/>
  <c r="E1077" i="5"/>
  <c r="D1077" i="5"/>
  <c r="B1077" i="5"/>
  <c r="M1077" i="5"/>
  <c r="D1200" i="5"/>
  <c r="L1200" i="5"/>
  <c r="J1200" i="5"/>
  <c r="I1200" i="5"/>
  <c r="H1200" i="5"/>
  <c r="G1200" i="5"/>
  <c r="F1200" i="5"/>
  <c r="E1200" i="5"/>
  <c r="C1200" i="5"/>
  <c r="B1200" i="5"/>
  <c r="M1200" i="5"/>
  <c r="H1220" i="5"/>
  <c r="D1220" i="5"/>
  <c r="B1220" i="5"/>
  <c r="L1220" i="5"/>
  <c r="K1220" i="5"/>
  <c r="J1220" i="5"/>
  <c r="I1220" i="5"/>
  <c r="G1220" i="5"/>
  <c r="F1220" i="5"/>
  <c r="E1220" i="5"/>
  <c r="K1400" i="5"/>
  <c r="J1400" i="5"/>
  <c r="H1400" i="5"/>
  <c r="D1400" i="5"/>
  <c r="M1400" i="5"/>
  <c r="L1400" i="5"/>
  <c r="I1400" i="5"/>
  <c r="G1400" i="5"/>
  <c r="F1400" i="5"/>
  <c r="E1400" i="5"/>
  <c r="L615" i="5"/>
  <c r="K616" i="5"/>
  <c r="L627" i="5"/>
  <c r="K628" i="5"/>
  <c r="L639" i="5"/>
  <c r="K640" i="5"/>
  <c r="L651" i="5"/>
  <c r="K652" i="5"/>
  <c r="L663" i="5"/>
  <c r="K664" i="5"/>
  <c r="L675" i="5"/>
  <c r="K676" i="5"/>
  <c r="L687" i="5"/>
  <c r="K688" i="5"/>
  <c r="L699" i="5"/>
  <c r="K700" i="5"/>
  <c r="L711" i="5"/>
  <c r="K712" i="5"/>
  <c r="L723" i="5"/>
  <c r="K724" i="5"/>
  <c r="L735" i="5"/>
  <c r="K736" i="5"/>
  <c r="C749" i="5"/>
  <c r="B751" i="5"/>
  <c r="B752" i="5"/>
  <c r="B753" i="5"/>
  <c r="B754" i="5"/>
  <c r="B755" i="5"/>
  <c r="B756" i="5"/>
  <c r="B757" i="5"/>
  <c r="B758" i="5"/>
  <c r="B759" i="5"/>
  <c r="B760" i="5"/>
  <c r="C761" i="5"/>
  <c r="B763" i="5"/>
  <c r="B764" i="5"/>
  <c r="B765" i="5"/>
  <c r="B766" i="5"/>
  <c r="B767" i="5"/>
  <c r="B768" i="5"/>
  <c r="B769" i="5"/>
  <c r="B770" i="5"/>
  <c r="B771" i="5"/>
  <c r="B772" i="5"/>
  <c r="C773" i="5"/>
  <c r="B775" i="5"/>
  <c r="B776" i="5"/>
  <c r="B777" i="5"/>
  <c r="B778" i="5"/>
  <c r="B779" i="5"/>
  <c r="B780" i="5"/>
  <c r="B781" i="5"/>
  <c r="B782" i="5"/>
  <c r="B783" i="5"/>
  <c r="B784" i="5"/>
  <c r="C785" i="5"/>
  <c r="B787" i="5"/>
  <c r="B788" i="5"/>
  <c r="B789" i="5"/>
  <c r="B790" i="5"/>
  <c r="B791" i="5"/>
  <c r="B792" i="5"/>
  <c r="B793" i="5"/>
  <c r="B794" i="5"/>
  <c r="B795" i="5"/>
  <c r="B796" i="5"/>
  <c r="C797" i="5"/>
  <c r="B799" i="5"/>
  <c r="B800" i="5"/>
  <c r="B801" i="5"/>
  <c r="B802" i="5"/>
  <c r="B803" i="5"/>
  <c r="B804" i="5"/>
  <c r="B805" i="5"/>
  <c r="B806" i="5"/>
  <c r="B807" i="5"/>
  <c r="B808" i="5"/>
  <c r="C809" i="5"/>
  <c r="B811" i="5"/>
  <c r="B812" i="5"/>
  <c r="B813" i="5"/>
  <c r="B814" i="5"/>
  <c r="B815" i="5"/>
  <c r="B816" i="5"/>
  <c r="B817" i="5"/>
  <c r="B818" i="5"/>
  <c r="B819" i="5"/>
  <c r="B820" i="5"/>
  <c r="C821" i="5"/>
  <c r="C823" i="5"/>
  <c r="D825" i="5"/>
  <c r="E826" i="5"/>
  <c r="B835" i="5"/>
  <c r="L835" i="5"/>
  <c r="C837" i="5"/>
  <c r="D838" i="5"/>
  <c r="E839" i="5"/>
  <c r="B849" i="5"/>
  <c r="C850" i="5"/>
  <c r="D851" i="5"/>
  <c r="E852" i="5"/>
  <c r="L890" i="5"/>
  <c r="E892" i="5"/>
  <c r="J902" i="5"/>
  <c r="D904" i="5"/>
  <c r="E906" i="5"/>
  <c r="D908" i="5"/>
  <c r="F914" i="5"/>
  <c r="B916" i="5"/>
  <c r="B918" i="5"/>
  <c r="M926" i="5"/>
  <c r="F931" i="5"/>
  <c r="D931" i="5"/>
  <c r="C931" i="5"/>
  <c r="B931" i="5"/>
  <c r="M931" i="5"/>
  <c r="L931" i="5"/>
  <c r="K931" i="5"/>
  <c r="J931" i="5"/>
  <c r="D935" i="5"/>
  <c r="H955" i="5"/>
  <c r="L961" i="5"/>
  <c r="J961" i="5"/>
  <c r="I961" i="5"/>
  <c r="H961" i="5"/>
  <c r="M961" i="5"/>
  <c r="K961" i="5"/>
  <c r="G961" i="5"/>
  <c r="B964" i="5"/>
  <c r="K974" i="5"/>
  <c r="I974" i="5"/>
  <c r="H974" i="5"/>
  <c r="G974" i="5"/>
  <c r="M974" i="5"/>
  <c r="L974" i="5"/>
  <c r="J974" i="5"/>
  <c r="F974" i="5"/>
  <c r="E974" i="5"/>
  <c r="D974" i="5"/>
  <c r="E985" i="5"/>
  <c r="C989" i="5"/>
  <c r="M997" i="5"/>
  <c r="M1001" i="5"/>
  <c r="G1009" i="5"/>
  <c r="H1018" i="5"/>
  <c r="C1029" i="5"/>
  <c r="H1029" i="5"/>
  <c r="G1029" i="5"/>
  <c r="F1029" i="5"/>
  <c r="E1029" i="5"/>
  <c r="D1029" i="5"/>
  <c r="B1029" i="5"/>
  <c r="M1029" i="5"/>
  <c r="L1029" i="5"/>
  <c r="K1029" i="5"/>
  <c r="J1029" i="5"/>
  <c r="I1040" i="5"/>
  <c r="L1051" i="5"/>
  <c r="M1059" i="5"/>
  <c r="K1066" i="5"/>
  <c r="J1077" i="5"/>
  <c r="K1085" i="5"/>
  <c r="D1088" i="5"/>
  <c r="I1088" i="5"/>
  <c r="H1088" i="5"/>
  <c r="G1088" i="5"/>
  <c r="F1088" i="5"/>
  <c r="E1088" i="5"/>
  <c r="C1088" i="5"/>
  <c r="B1088" i="5"/>
  <c r="M1088" i="5"/>
  <c r="L1088" i="5"/>
  <c r="K1088" i="5"/>
  <c r="K1093" i="5"/>
  <c r="H1093" i="5"/>
  <c r="G1093" i="5"/>
  <c r="F1093" i="5"/>
  <c r="E1093" i="5"/>
  <c r="D1093" i="5"/>
  <c r="C1093" i="5"/>
  <c r="B1093" i="5"/>
  <c r="K1096" i="5"/>
  <c r="I1107" i="5"/>
  <c r="H1107" i="5"/>
  <c r="G1107" i="5"/>
  <c r="F1107" i="5"/>
  <c r="E1107" i="5"/>
  <c r="D1107" i="5"/>
  <c r="C1107" i="5"/>
  <c r="B1107" i="5"/>
  <c r="M1107" i="5"/>
  <c r="L1107" i="5"/>
  <c r="K1107" i="5"/>
  <c r="J1107" i="5"/>
  <c r="E1111" i="5"/>
  <c r="I1111" i="5"/>
  <c r="H1111" i="5"/>
  <c r="G1111" i="5"/>
  <c r="F1111" i="5"/>
  <c r="D1111" i="5"/>
  <c r="C1111" i="5"/>
  <c r="B1111" i="5"/>
  <c r="F1122" i="5"/>
  <c r="I1122" i="5"/>
  <c r="H1122" i="5"/>
  <c r="G1122" i="5"/>
  <c r="E1122" i="5"/>
  <c r="D1122" i="5"/>
  <c r="C1122" i="5"/>
  <c r="B1122" i="5"/>
  <c r="M1122" i="5"/>
  <c r="L1122" i="5"/>
  <c r="L1180" i="5"/>
  <c r="H1180" i="5"/>
  <c r="F1180" i="5"/>
  <c r="M1180" i="5"/>
  <c r="K1180" i="5"/>
  <c r="J1180" i="5"/>
  <c r="I1180" i="5"/>
  <c r="G1180" i="5"/>
  <c r="E1180" i="5"/>
  <c r="D1180" i="5"/>
  <c r="K1200" i="5"/>
  <c r="C1220" i="5"/>
  <c r="L1228" i="5"/>
  <c r="H1228" i="5"/>
  <c r="F1228" i="5"/>
  <c r="M1228" i="5"/>
  <c r="K1228" i="5"/>
  <c r="J1228" i="5"/>
  <c r="I1228" i="5"/>
  <c r="G1228" i="5"/>
  <c r="E1228" i="5"/>
  <c r="D1228" i="5"/>
  <c r="C1228" i="5"/>
  <c r="G1394" i="5"/>
  <c r="B1400" i="5"/>
  <c r="M615" i="5"/>
  <c r="L616" i="5"/>
  <c r="M627" i="5"/>
  <c r="L628" i="5"/>
  <c r="M639" i="5"/>
  <c r="L640" i="5"/>
  <c r="M651" i="5"/>
  <c r="L652" i="5"/>
  <c r="L664" i="5"/>
  <c r="L676" i="5"/>
  <c r="M687" i="5"/>
  <c r="L688" i="5"/>
  <c r="L700" i="5"/>
  <c r="M711" i="5"/>
  <c r="L712" i="5"/>
  <c r="L724" i="5"/>
  <c r="M735" i="5"/>
  <c r="L736" i="5"/>
  <c r="D749" i="5"/>
  <c r="C751" i="5"/>
  <c r="C752" i="5"/>
  <c r="C753" i="5"/>
  <c r="C754" i="5"/>
  <c r="C755" i="5"/>
  <c r="C756" i="5"/>
  <c r="C757" i="5"/>
  <c r="C758" i="5"/>
  <c r="C759" i="5"/>
  <c r="D760" i="5"/>
  <c r="D761" i="5"/>
  <c r="C763" i="5"/>
  <c r="C764" i="5"/>
  <c r="C765" i="5"/>
  <c r="C766" i="5"/>
  <c r="C767" i="5"/>
  <c r="C768" i="5"/>
  <c r="C769" i="5"/>
  <c r="C770" i="5"/>
  <c r="C771" i="5"/>
  <c r="D772" i="5"/>
  <c r="D773" i="5"/>
  <c r="C775" i="5"/>
  <c r="C776" i="5"/>
  <c r="C777" i="5"/>
  <c r="C778" i="5"/>
  <c r="C779" i="5"/>
  <c r="C780" i="5"/>
  <c r="C781" i="5"/>
  <c r="C782" i="5"/>
  <c r="C783" i="5"/>
  <c r="D784" i="5"/>
  <c r="D785" i="5"/>
  <c r="C787" i="5"/>
  <c r="C788" i="5"/>
  <c r="C789" i="5"/>
  <c r="C790" i="5"/>
  <c r="C791" i="5"/>
  <c r="C792" i="5"/>
  <c r="C793" i="5"/>
  <c r="C794" i="5"/>
  <c r="C795" i="5"/>
  <c r="D796" i="5"/>
  <c r="D797" i="5"/>
  <c r="C799" i="5"/>
  <c r="C800" i="5"/>
  <c r="C801" i="5"/>
  <c r="C802" i="5"/>
  <c r="C803" i="5"/>
  <c r="C804" i="5"/>
  <c r="C805" i="5"/>
  <c r="C806" i="5"/>
  <c r="C807" i="5"/>
  <c r="D808" i="5"/>
  <c r="D809" i="5"/>
  <c r="C811" i="5"/>
  <c r="C812" i="5"/>
  <c r="C813" i="5"/>
  <c r="C814" i="5"/>
  <c r="C815" i="5"/>
  <c r="C816" i="5"/>
  <c r="C817" i="5"/>
  <c r="C818" i="5"/>
  <c r="C819" i="5"/>
  <c r="D820" i="5"/>
  <c r="D821" i="5"/>
  <c r="D823" i="5"/>
  <c r="D833" i="5"/>
  <c r="B833" i="5"/>
  <c r="B847" i="5"/>
  <c r="L847" i="5"/>
  <c r="C849" i="5"/>
  <c r="F908" i="5"/>
  <c r="I914" i="5"/>
  <c r="C916" i="5"/>
  <c r="C918" i="5"/>
  <c r="J927" i="5"/>
  <c r="H927" i="5"/>
  <c r="G927" i="5"/>
  <c r="F927" i="5"/>
  <c r="M927" i="5"/>
  <c r="L927" i="5"/>
  <c r="K927" i="5"/>
  <c r="I927" i="5"/>
  <c r="I940" i="5"/>
  <c r="G940" i="5"/>
  <c r="F940" i="5"/>
  <c r="E940" i="5"/>
  <c r="M940" i="5"/>
  <c r="K940" i="5"/>
  <c r="J940" i="5"/>
  <c r="H940" i="5"/>
  <c r="D940" i="5"/>
  <c r="C964" i="5"/>
  <c r="K998" i="5"/>
  <c r="I998" i="5"/>
  <c r="H998" i="5"/>
  <c r="G998" i="5"/>
  <c r="M998" i="5"/>
  <c r="L998" i="5"/>
  <c r="J998" i="5"/>
  <c r="F998" i="5"/>
  <c r="E998" i="5"/>
  <c r="G1002" i="5"/>
  <c r="E1002" i="5"/>
  <c r="D1002" i="5"/>
  <c r="C1002" i="5"/>
  <c r="M1002" i="5"/>
  <c r="L1002" i="5"/>
  <c r="K1002" i="5"/>
  <c r="J1002" i="5"/>
  <c r="I1002" i="5"/>
  <c r="K1045" i="5"/>
  <c r="G1045" i="5"/>
  <c r="F1045" i="5"/>
  <c r="E1045" i="5"/>
  <c r="D1045" i="5"/>
  <c r="C1045" i="5"/>
  <c r="B1045" i="5"/>
  <c r="M1045" i="5"/>
  <c r="L1045" i="5"/>
  <c r="J1045" i="5"/>
  <c r="I1045" i="5"/>
  <c r="K1057" i="5"/>
  <c r="H1057" i="5"/>
  <c r="G1057" i="5"/>
  <c r="F1057" i="5"/>
  <c r="E1057" i="5"/>
  <c r="D1057" i="5"/>
  <c r="C1057" i="5"/>
  <c r="B1057" i="5"/>
  <c r="M1057" i="5"/>
  <c r="L1057" i="5"/>
  <c r="L1104" i="5"/>
  <c r="H1104" i="5"/>
  <c r="G1104" i="5"/>
  <c r="F1104" i="5"/>
  <c r="E1104" i="5"/>
  <c r="D1104" i="5"/>
  <c r="C1104" i="5"/>
  <c r="B1104" i="5"/>
  <c r="M1104" i="5"/>
  <c r="G1133" i="5"/>
  <c r="E1133" i="5"/>
  <c r="L1133" i="5"/>
  <c r="K1133" i="5"/>
  <c r="J1133" i="5"/>
  <c r="I1133" i="5"/>
  <c r="H1133" i="5"/>
  <c r="F1133" i="5"/>
  <c r="D1133" i="5"/>
  <c r="M1133" i="5"/>
  <c r="B1166" i="5"/>
  <c r="J1166" i="5"/>
  <c r="H1166" i="5"/>
  <c r="L1166" i="5"/>
  <c r="K1166" i="5"/>
  <c r="I1166" i="5"/>
  <c r="G1166" i="5"/>
  <c r="F1166" i="5"/>
  <c r="E1166" i="5"/>
  <c r="D1166" i="5"/>
  <c r="F1222" i="5"/>
  <c r="B1222" i="5"/>
  <c r="L1222" i="5"/>
  <c r="M1222" i="5"/>
  <c r="K1222" i="5"/>
  <c r="J1222" i="5"/>
  <c r="I1222" i="5"/>
  <c r="H1222" i="5"/>
  <c r="G1222" i="5"/>
  <c r="E1222" i="5"/>
  <c r="C1400" i="5"/>
  <c r="G1404" i="5"/>
  <c r="F1404" i="5"/>
  <c r="J1404" i="5"/>
  <c r="M1404" i="5"/>
  <c r="L1404" i="5"/>
  <c r="K1404" i="5"/>
  <c r="I1404" i="5"/>
  <c r="H1404" i="5"/>
  <c r="E1404" i="5"/>
  <c r="D1404" i="5"/>
  <c r="C1404" i="5"/>
  <c r="B1404" i="5"/>
  <c r="E749" i="5"/>
  <c r="D751" i="5"/>
  <c r="D752" i="5"/>
  <c r="D753" i="5"/>
  <c r="D754" i="5"/>
  <c r="D755" i="5"/>
  <c r="D756" i="5"/>
  <c r="D757" i="5"/>
  <c r="D758" i="5"/>
  <c r="E759" i="5"/>
  <c r="E760" i="5"/>
  <c r="E761" i="5"/>
  <c r="D763" i="5"/>
  <c r="D764" i="5"/>
  <c r="D765" i="5"/>
  <c r="D766" i="5"/>
  <c r="D767" i="5"/>
  <c r="D768" i="5"/>
  <c r="D769" i="5"/>
  <c r="D770" i="5"/>
  <c r="E771" i="5"/>
  <c r="E772" i="5"/>
  <c r="E773" i="5"/>
  <c r="D775" i="5"/>
  <c r="D776" i="5"/>
  <c r="D777" i="5"/>
  <c r="D778" i="5"/>
  <c r="D779" i="5"/>
  <c r="D780" i="5"/>
  <c r="D781" i="5"/>
  <c r="D782" i="5"/>
  <c r="E783" i="5"/>
  <c r="E784" i="5"/>
  <c r="E785" i="5"/>
  <c r="D787" i="5"/>
  <c r="D788" i="5"/>
  <c r="D789" i="5"/>
  <c r="D790" i="5"/>
  <c r="D791" i="5"/>
  <c r="D792" i="5"/>
  <c r="D793" i="5"/>
  <c r="D794" i="5"/>
  <c r="E795" i="5"/>
  <c r="E796" i="5"/>
  <c r="E797" i="5"/>
  <c r="D799" i="5"/>
  <c r="D800" i="5"/>
  <c r="D801" i="5"/>
  <c r="D802" i="5"/>
  <c r="D803" i="5"/>
  <c r="D804" i="5"/>
  <c r="D805" i="5"/>
  <c r="D806" i="5"/>
  <c r="E807" i="5"/>
  <c r="E808" i="5"/>
  <c r="E809" i="5"/>
  <c r="D811" i="5"/>
  <c r="D812" i="5"/>
  <c r="D813" i="5"/>
  <c r="D814" i="5"/>
  <c r="D815" i="5"/>
  <c r="D816" i="5"/>
  <c r="D817" i="5"/>
  <c r="D818" i="5"/>
  <c r="E819" i="5"/>
  <c r="E820" i="5"/>
  <c r="E821" i="5"/>
  <c r="E823" i="5"/>
  <c r="E832" i="5"/>
  <c r="C832" i="5"/>
  <c r="D845" i="5"/>
  <c r="B845" i="5"/>
  <c r="D849" i="5"/>
  <c r="B859" i="5"/>
  <c r="L859" i="5"/>
  <c r="L889" i="5"/>
  <c r="I889" i="5"/>
  <c r="H889" i="5"/>
  <c r="F889" i="5"/>
  <c r="E889" i="5"/>
  <c r="D889" i="5"/>
  <c r="C889" i="5"/>
  <c r="J891" i="5"/>
  <c r="G891" i="5"/>
  <c r="L891" i="5"/>
  <c r="I891" i="5"/>
  <c r="H891" i="5"/>
  <c r="F891" i="5"/>
  <c r="E891" i="5"/>
  <c r="H893" i="5"/>
  <c r="E893" i="5"/>
  <c r="L893" i="5"/>
  <c r="K893" i="5"/>
  <c r="J893" i="5"/>
  <c r="I893" i="5"/>
  <c r="G908" i="5"/>
  <c r="J914" i="5"/>
  <c r="J916" i="5"/>
  <c r="E918" i="5"/>
  <c r="L937" i="5"/>
  <c r="J937" i="5"/>
  <c r="I937" i="5"/>
  <c r="H937" i="5"/>
  <c r="M937" i="5"/>
  <c r="K937" i="5"/>
  <c r="G937" i="5"/>
  <c r="H965" i="5"/>
  <c r="F965" i="5"/>
  <c r="E965" i="5"/>
  <c r="D965" i="5"/>
  <c r="M965" i="5"/>
  <c r="L965" i="5"/>
  <c r="K965" i="5"/>
  <c r="G978" i="5"/>
  <c r="E978" i="5"/>
  <c r="D978" i="5"/>
  <c r="C978" i="5"/>
  <c r="M978" i="5"/>
  <c r="L978" i="5"/>
  <c r="K978" i="5"/>
  <c r="J978" i="5"/>
  <c r="I978" i="5"/>
  <c r="H978" i="5"/>
  <c r="H1012" i="5"/>
  <c r="F1012" i="5"/>
  <c r="D1012" i="5"/>
  <c r="C1012" i="5"/>
  <c r="B1012" i="5"/>
  <c r="M1012" i="5"/>
  <c r="L1012" i="5"/>
  <c r="K1012" i="5"/>
  <c r="J1012" i="5"/>
  <c r="I1012" i="5"/>
  <c r="J1022" i="5"/>
  <c r="F1022" i="5"/>
  <c r="D1022" i="5"/>
  <c r="C1022" i="5"/>
  <c r="B1022" i="5"/>
  <c r="M1022" i="5"/>
  <c r="L1022" i="5"/>
  <c r="K1022" i="5"/>
  <c r="I1022" i="5"/>
  <c r="H1022" i="5"/>
  <c r="J1034" i="5"/>
  <c r="G1034" i="5"/>
  <c r="F1034" i="5"/>
  <c r="E1034" i="5"/>
  <c r="D1034" i="5"/>
  <c r="C1034" i="5"/>
  <c r="B1034" i="5"/>
  <c r="M1034" i="5"/>
  <c r="L1034" i="5"/>
  <c r="K1034" i="5"/>
  <c r="I1034" i="5"/>
  <c r="B1114" i="5"/>
  <c r="I1114" i="5"/>
  <c r="H1114" i="5"/>
  <c r="G1114" i="5"/>
  <c r="F1114" i="5"/>
  <c r="E1114" i="5"/>
  <c r="D1114" i="5"/>
  <c r="C1114" i="5"/>
  <c r="M1114" i="5"/>
  <c r="L1114" i="5"/>
  <c r="K1114" i="5"/>
  <c r="I1119" i="5"/>
  <c r="H1119" i="5"/>
  <c r="G1119" i="5"/>
  <c r="F1119" i="5"/>
  <c r="E1119" i="5"/>
  <c r="D1119" i="5"/>
  <c r="C1119" i="5"/>
  <c r="B1119" i="5"/>
  <c r="K824" i="5"/>
  <c r="K836" i="5"/>
  <c r="K848" i="5"/>
  <c r="L860" i="5"/>
  <c r="L861" i="5"/>
  <c r="L862" i="5"/>
  <c r="L863" i="5"/>
  <c r="K865" i="5"/>
  <c r="L866" i="5"/>
  <c r="L867" i="5"/>
  <c r="L868" i="5"/>
  <c r="L869" i="5"/>
  <c r="L870" i="5"/>
  <c r="L871" i="5"/>
  <c r="L872" i="5"/>
  <c r="L873" i="5"/>
  <c r="L874" i="5"/>
  <c r="C886" i="5"/>
  <c r="L886" i="5"/>
  <c r="J894" i="5"/>
  <c r="B899" i="5"/>
  <c r="K899" i="5"/>
  <c r="J907" i="5"/>
  <c r="L913" i="5"/>
  <c r="I913" i="5"/>
  <c r="J920" i="5"/>
  <c r="K922" i="5"/>
  <c r="J939" i="5"/>
  <c r="H939" i="5"/>
  <c r="G939" i="5"/>
  <c r="F939" i="5"/>
  <c r="F943" i="5"/>
  <c r="D943" i="5"/>
  <c r="C943" i="5"/>
  <c r="B943" i="5"/>
  <c r="L949" i="5"/>
  <c r="J949" i="5"/>
  <c r="I949" i="5"/>
  <c r="H949" i="5"/>
  <c r="H953" i="5"/>
  <c r="F953" i="5"/>
  <c r="E953" i="5"/>
  <c r="D953" i="5"/>
  <c r="J963" i="5"/>
  <c r="H963" i="5"/>
  <c r="G963" i="5"/>
  <c r="F963" i="5"/>
  <c r="F967" i="5"/>
  <c r="D967" i="5"/>
  <c r="C967" i="5"/>
  <c r="B967" i="5"/>
  <c r="L973" i="5"/>
  <c r="J973" i="5"/>
  <c r="I973" i="5"/>
  <c r="H973" i="5"/>
  <c r="H977" i="5"/>
  <c r="F977" i="5"/>
  <c r="E977" i="5"/>
  <c r="D977" i="5"/>
  <c r="J987" i="5"/>
  <c r="H987" i="5"/>
  <c r="G987" i="5"/>
  <c r="F987" i="5"/>
  <c r="F991" i="5"/>
  <c r="D991" i="5"/>
  <c r="C991" i="5"/>
  <c r="B991" i="5"/>
  <c r="H1024" i="5"/>
  <c r="G1024" i="5"/>
  <c r="F1024" i="5"/>
  <c r="D1024" i="5"/>
  <c r="C1024" i="5"/>
  <c r="B1024" i="5"/>
  <c r="H1060" i="5"/>
  <c r="I1060" i="5"/>
  <c r="G1060" i="5"/>
  <c r="F1060" i="5"/>
  <c r="E1060" i="5"/>
  <c r="D1060" i="5"/>
  <c r="C1060" i="5"/>
  <c r="B1060" i="5"/>
  <c r="G1073" i="5"/>
  <c r="I1073" i="5"/>
  <c r="H1073" i="5"/>
  <c r="F1073" i="5"/>
  <c r="E1073" i="5"/>
  <c r="D1073" i="5"/>
  <c r="C1073" i="5"/>
  <c r="B1073" i="5"/>
  <c r="F1086" i="5"/>
  <c r="I1086" i="5"/>
  <c r="H1086" i="5"/>
  <c r="G1086" i="5"/>
  <c r="E1086" i="5"/>
  <c r="D1086" i="5"/>
  <c r="C1086" i="5"/>
  <c r="B1086" i="5"/>
  <c r="E1099" i="5"/>
  <c r="I1099" i="5"/>
  <c r="H1099" i="5"/>
  <c r="G1099" i="5"/>
  <c r="F1099" i="5"/>
  <c r="D1099" i="5"/>
  <c r="C1099" i="5"/>
  <c r="B1099" i="5"/>
  <c r="D1112" i="5"/>
  <c r="I1112" i="5"/>
  <c r="H1112" i="5"/>
  <c r="G1112" i="5"/>
  <c r="F1112" i="5"/>
  <c r="E1112" i="5"/>
  <c r="C1112" i="5"/>
  <c r="B1112" i="5"/>
  <c r="C1125" i="5"/>
  <c r="I1125" i="5"/>
  <c r="H1125" i="5"/>
  <c r="G1125" i="5"/>
  <c r="F1125" i="5"/>
  <c r="E1125" i="5"/>
  <c r="D1125" i="5"/>
  <c r="B1125" i="5"/>
  <c r="H1144" i="5"/>
  <c r="F1144" i="5"/>
  <c r="J1144" i="5"/>
  <c r="I1144" i="5"/>
  <c r="G1144" i="5"/>
  <c r="E1144" i="5"/>
  <c r="D1144" i="5"/>
  <c r="C1144" i="5"/>
  <c r="B1144" i="5"/>
  <c r="E1147" i="5"/>
  <c r="C1147" i="5"/>
  <c r="M1147" i="5"/>
  <c r="L1147" i="5"/>
  <c r="K1147" i="5"/>
  <c r="J1147" i="5"/>
  <c r="I1147" i="5"/>
  <c r="H1147" i="5"/>
  <c r="G1147" i="5"/>
  <c r="H1160" i="5"/>
  <c r="D1160" i="5"/>
  <c r="B1160" i="5"/>
  <c r="M1160" i="5"/>
  <c r="L1160" i="5"/>
  <c r="K1160" i="5"/>
  <c r="J1160" i="5"/>
  <c r="I1160" i="5"/>
  <c r="F1186" i="5"/>
  <c r="B1186" i="5"/>
  <c r="L1186" i="5"/>
  <c r="K1186" i="5"/>
  <c r="J1186" i="5"/>
  <c r="I1186" i="5"/>
  <c r="H1186" i="5"/>
  <c r="G1186" i="5"/>
  <c r="E1186" i="5"/>
  <c r="D1186" i="5"/>
  <c r="D1335" i="5"/>
  <c r="C1335" i="5"/>
  <c r="K1335" i="5"/>
  <c r="M1335" i="5"/>
  <c r="L1335" i="5"/>
  <c r="J1335" i="5"/>
  <c r="I1335" i="5"/>
  <c r="H1335" i="5"/>
  <c r="G1335" i="5"/>
  <c r="F1335" i="5"/>
  <c r="I1619" i="5"/>
  <c r="D1619" i="5"/>
  <c r="J1619" i="5"/>
  <c r="M1619" i="5"/>
  <c r="L1619" i="5"/>
  <c r="G1619" i="5"/>
  <c r="K1619" i="5"/>
  <c r="H1619" i="5"/>
  <c r="F1619" i="5"/>
  <c r="E1619" i="5"/>
  <c r="C1619" i="5"/>
  <c r="B1619" i="5"/>
  <c r="H1644" i="5"/>
  <c r="C1644" i="5"/>
  <c r="M1644" i="5"/>
  <c r="L1644" i="5"/>
  <c r="I1644" i="5"/>
  <c r="K1644" i="5"/>
  <c r="G1644" i="5"/>
  <c r="F1644" i="5"/>
  <c r="J1644" i="5"/>
  <c r="E1644" i="5"/>
  <c r="K1653" i="5"/>
  <c r="F1653" i="5"/>
  <c r="H1653" i="5"/>
  <c r="G1653" i="5"/>
  <c r="C1653" i="5"/>
  <c r="M1653" i="5"/>
  <c r="J1653" i="5"/>
  <c r="I1653" i="5"/>
  <c r="L1653" i="5"/>
  <c r="E1653" i="5"/>
  <c r="D1653" i="5"/>
  <c r="B1653" i="5"/>
  <c r="K1665" i="5"/>
  <c r="F1665" i="5"/>
  <c r="G1665" i="5"/>
  <c r="E1665" i="5"/>
  <c r="B1665" i="5"/>
  <c r="M1665" i="5"/>
  <c r="L1665" i="5"/>
  <c r="J1665" i="5"/>
  <c r="I1665" i="5"/>
  <c r="H1665" i="5"/>
  <c r="K894" i="5"/>
  <c r="C898" i="5"/>
  <c r="L898" i="5"/>
  <c r="K907" i="5"/>
  <c r="B911" i="5"/>
  <c r="K911" i="5"/>
  <c r="K920" i="5"/>
  <c r="L925" i="5"/>
  <c r="J925" i="5"/>
  <c r="I925" i="5"/>
  <c r="H925" i="5"/>
  <c r="H929" i="5"/>
  <c r="F929" i="5"/>
  <c r="E929" i="5"/>
  <c r="D929" i="5"/>
  <c r="D1004" i="5"/>
  <c r="G1004" i="5"/>
  <c r="E1004" i="5"/>
  <c r="C1004" i="5"/>
  <c r="B1004" i="5"/>
  <c r="L1008" i="5"/>
  <c r="F1008" i="5"/>
  <c r="D1008" i="5"/>
  <c r="C1008" i="5"/>
  <c r="B1008" i="5"/>
  <c r="I1011" i="5"/>
  <c r="F1011" i="5"/>
  <c r="D1011" i="5"/>
  <c r="C1011" i="5"/>
  <c r="B1011" i="5"/>
  <c r="F1014" i="5"/>
  <c r="G1014" i="5"/>
  <c r="D1014" i="5"/>
  <c r="C1014" i="5"/>
  <c r="B1014" i="5"/>
  <c r="C1017" i="5"/>
  <c r="G1017" i="5"/>
  <c r="E1017" i="5"/>
  <c r="D1017" i="5"/>
  <c r="B1017" i="5"/>
  <c r="K1021" i="5"/>
  <c r="F1021" i="5"/>
  <c r="D1021" i="5"/>
  <c r="C1021" i="5"/>
  <c r="B1021" i="5"/>
  <c r="D1052" i="5"/>
  <c r="I1052" i="5"/>
  <c r="H1052" i="5"/>
  <c r="G1052" i="5"/>
  <c r="F1052" i="5"/>
  <c r="E1052" i="5"/>
  <c r="C1052" i="5"/>
  <c r="B1052" i="5"/>
  <c r="C1065" i="5"/>
  <c r="I1065" i="5"/>
  <c r="H1065" i="5"/>
  <c r="G1065" i="5"/>
  <c r="F1065" i="5"/>
  <c r="E1065" i="5"/>
  <c r="D1065" i="5"/>
  <c r="B1065" i="5"/>
  <c r="B1078" i="5"/>
  <c r="I1078" i="5"/>
  <c r="H1078" i="5"/>
  <c r="G1078" i="5"/>
  <c r="F1078" i="5"/>
  <c r="E1078" i="5"/>
  <c r="D1078" i="5"/>
  <c r="C1078" i="5"/>
  <c r="L1092" i="5"/>
  <c r="H1092" i="5"/>
  <c r="G1092" i="5"/>
  <c r="F1092" i="5"/>
  <c r="E1092" i="5"/>
  <c r="D1092" i="5"/>
  <c r="C1092" i="5"/>
  <c r="B1092" i="5"/>
  <c r="K1105" i="5"/>
  <c r="H1105" i="5"/>
  <c r="G1105" i="5"/>
  <c r="F1105" i="5"/>
  <c r="E1105" i="5"/>
  <c r="D1105" i="5"/>
  <c r="C1105" i="5"/>
  <c r="B1105" i="5"/>
  <c r="J1118" i="5"/>
  <c r="H1118" i="5"/>
  <c r="G1118" i="5"/>
  <c r="F1118" i="5"/>
  <c r="E1118" i="5"/>
  <c r="D1118" i="5"/>
  <c r="C1118" i="5"/>
  <c r="B1118" i="5"/>
  <c r="I1131" i="5"/>
  <c r="G1131" i="5"/>
  <c r="J1131" i="5"/>
  <c r="H1131" i="5"/>
  <c r="F1131" i="5"/>
  <c r="E1131" i="5"/>
  <c r="D1131" i="5"/>
  <c r="C1131" i="5"/>
  <c r="B1131" i="5"/>
  <c r="F1134" i="5"/>
  <c r="D1134" i="5"/>
  <c r="M1134" i="5"/>
  <c r="L1134" i="5"/>
  <c r="K1134" i="5"/>
  <c r="J1134" i="5"/>
  <c r="I1134" i="5"/>
  <c r="H1134" i="5"/>
  <c r="G1134" i="5"/>
  <c r="G1157" i="5"/>
  <c r="E1157" i="5"/>
  <c r="J1157" i="5"/>
  <c r="I1157" i="5"/>
  <c r="H1157" i="5"/>
  <c r="F1157" i="5"/>
  <c r="D1157" i="5"/>
  <c r="C1157" i="5"/>
  <c r="B1157" i="5"/>
  <c r="C1201" i="5"/>
  <c r="K1201" i="5"/>
  <c r="I1201" i="5"/>
  <c r="M1201" i="5"/>
  <c r="L1201" i="5"/>
  <c r="J1201" i="5"/>
  <c r="H1201" i="5"/>
  <c r="G1201" i="5"/>
  <c r="F1201" i="5"/>
  <c r="E1201" i="5"/>
  <c r="I1207" i="5"/>
  <c r="E1207" i="5"/>
  <c r="C1207" i="5"/>
  <c r="M1207" i="5"/>
  <c r="L1207" i="5"/>
  <c r="K1207" i="5"/>
  <c r="J1207" i="5"/>
  <c r="H1207" i="5"/>
  <c r="G1207" i="5"/>
  <c r="F1207" i="5"/>
  <c r="K1229" i="5"/>
  <c r="G1229" i="5"/>
  <c r="E1229" i="5"/>
  <c r="M1229" i="5"/>
  <c r="L1229" i="5"/>
  <c r="J1229" i="5"/>
  <c r="I1229" i="5"/>
  <c r="H1229" i="5"/>
  <c r="B1335" i="5"/>
  <c r="C1372" i="5"/>
  <c r="B1372" i="5"/>
  <c r="I1372" i="5"/>
  <c r="E1372" i="5"/>
  <c r="M1372" i="5"/>
  <c r="L1372" i="5"/>
  <c r="K1372" i="5"/>
  <c r="J1372" i="5"/>
  <c r="H1372" i="5"/>
  <c r="J1389" i="5"/>
  <c r="I1389" i="5"/>
  <c r="L1389" i="5"/>
  <c r="F1389" i="5"/>
  <c r="M1389" i="5"/>
  <c r="K1389" i="5"/>
  <c r="H1389" i="5"/>
  <c r="G1389" i="5"/>
  <c r="E1389" i="5"/>
  <c r="D1389" i="5"/>
  <c r="C1389" i="5"/>
  <c r="B1389" i="5"/>
  <c r="F1440" i="5"/>
  <c r="B1440" i="5"/>
  <c r="M1440" i="5"/>
  <c r="C1440" i="5"/>
  <c r="L1440" i="5"/>
  <c r="K1440" i="5"/>
  <c r="J1440" i="5"/>
  <c r="I1440" i="5"/>
  <c r="H1440" i="5"/>
  <c r="G1440" i="5"/>
  <c r="E1440" i="5"/>
  <c r="D1440" i="5"/>
  <c r="B1644" i="5"/>
  <c r="C1665" i="5"/>
  <c r="E884" i="5"/>
  <c r="B884" i="5"/>
  <c r="D886" i="5"/>
  <c r="L894" i="5"/>
  <c r="B898" i="5"/>
  <c r="D899" i="5"/>
  <c r="L907" i="5"/>
  <c r="C910" i="5"/>
  <c r="L910" i="5"/>
  <c r="C911" i="5"/>
  <c r="C913" i="5"/>
  <c r="L920" i="5"/>
  <c r="B923" i="5"/>
  <c r="K923" i="5"/>
  <c r="B925" i="5"/>
  <c r="B929" i="5"/>
  <c r="C939" i="5"/>
  <c r="G943" i="5"/>
  <c r="C949" i="5"/>
  <c r="C953" i="5"/>
  <c r="C963" i="5"/>
  <c r="G967" i="5"/>
  <c r="C973" i="5"/>
  <c r="C977" i="5"/>
  <c r="C987" i="5"/>
  <c r="G991" i="5"/>
  <c r="B995" i="5"/>
  <c r="L995" i="5"/>
  <c r="K995" i="5"/>
  <c r="J995" i="5"/>
  <c r="I1000" i="5"/>
  <c r="G1000" i="5"/>
  <c r="F1000" i="5"/>
  <c r="E1000" i="5"/>
  <c r="F1004" i="5"/>
  <c r="E1008" i="5"/>
  <c r="E1011" i="5"/>
  <c r="E1014" i="5"/>
  <c r="F1017" i="5"/>
  <c r="E1021" i="5"/>
  <c r="I1024" i="5"/>
  <c r="F1026" i="5"/>
  <c r="H1026" i="5"/>
  <c r="G1026" i="5"/>
  <c r="D1026" i="5"/>
  <c r="C1026" i="5"/>
  <c r="B1026" i="5"/>
  <c r="J1052" i="5"/>
  <c r="J1058" i="5"/>
  <c r="H1058" i="5"/>
  <c r="G1058" i="5"/>
  <c r="F1058" i="5"/>
  <c r="E1058" i="5"/>
  <c r="D1058" i="5"/>
  <c r="C1058" i="5"/>
  <c r="B1058" i="5"/>
  <c r="K1060" i="5"/>
  <c r="J1065" i="5"/>
  <c r="I1071" i="5"/>
  <c r="H1071" i="5"/>
  <c r="G1071" i="5"/>
  <c r="F1071" i="5"/>
  <c r="E1071" i="5"/>
  <c r="D1071" i="5"/>
  <c r="C1071" i="5"/>
  <c r="B1071" i="5"/>
  <c r="K1073" i="5"/>
  <c r="J1078" i="5"/>
  <c r="H1084" i="5"/>
  <c r="I1084" i="5"/>
  <c r="G1084" i="5"/>
  <c r="F1084" i="5"/>
  <c r="E1084" i="5"/>
  <c r="D1084" i="5"/>
  <c r="C1084" i="5"/>
  <c r="B1084" i="5"/>
  <c r="K1086" i="5"/>
  <c r="I1092" i="5"/>
  <c r="G1097" i="5"/>
  <c r="I1097" i="5"/>
  <c r="H1097" i="5"/>
  <c r="F1097" i="5"/>
  <c r="E1097" i="5"/>
  <c r="D1097" i="5"/>
  <c r="C1097" i="5"/>
  <c r="B1097" i="5"/>
  <c r="K1099" i="5"/>
  <c r="I1105" i="5"/>
  <c r="F1110" i="5"/>
  <c r="I1110" i="5"/>
  <c r="H1110" i="5"/>
  <c r="G1110" i="5"/>
  <c r="E1110" i="5"/>
  <c r="D1110" i="5"/>
  <c r="C1110" i="5"/>
  <c r="B1110" i="5"/>
  <c r="K1112" i="5"/>
  <c r="I1118" i="5"/>
  <c r="E1123" i="5"/>
  <c r="I1123" i="5"/>
  <c r="H1123" i="5"/>
  <c r="G1123" i="5"/>
  <c r="F1123" i="5"/>
  <c r="D1123" i="5"/>
  <c r="C1123" i="5"/>
  <c r="B1123" i="5"/>
  <c r="K1125" i="5"/>
  <c r="K1131" i="5"/>
  <c r="B1134" i="5"/>
  <c r="L1144" i="5"/>
  <c r="D1147" i="5"/>
  <c r="K1157" i="5"/>
  <c r="E1160" i="5"/>
  <c r="M1186" i="5"/>
  <c r="B1201" i="5"/>
  <c r="B1207" i="5"/>
  <c r="B1229" i="5"/>
  <c r="E1335" i="5"/>
  <c r="D1372" i="5"/>
  <c r="E1430" i="5"/>
  <c r="D1430" i="5"/>
  <c r="J1430" i="5"/>
  <c r="I1430" i="5"/>
  <c r="H1430" i="5"/>
  <c r="M1430" i="5"/>
  <c r="L1430" i="5"/>
  <c r="K1430" i="5"/>
  <c r="G1430" i="5"/>
  <c r="F1430" i="5"/>
  <c r="C1430" i="5"/>
  <c r="D1644" i="5"/>
  <c r="D1665" i="5"/>
  <c r="C1697" i="5"/>
  <c r="J1697" i="5"/>
  <c r="M1697" i="5"/>
  <c r="I1697" i="5"/>
  <c r="L1697" i="5"/>
  <c r="K1697" i="5"/>
  <c r="H1697" i="5"/>
  <c r="G1697" i="5"/>
  <c r="F1697" i="5"/>
  <c r="E1697" i="5"/>
  <c r="D1697" i="5"/>
  <c r="F1838" i="5"/>
  <c r="B1838" i="5"/>
  <c r="E1838" i="5"/>
  <c r="D1838" i="5"/>
  <c r="M1838" i="5"/>
  <c r="L1838" i="5"/>
  <c r="J1838" i="5"/>
  <c r="I1838" i="5"/>
  <c r="K1838" i="5"/>
  <c r="H1838" i="5"/>
  <c r="H1860" i="5"/>
  <c r="J1860" i="5"/>
  <c r="M1860" i="5"/>
  <c r="K1860" i="5"/>
  <c r="I1860" i="5"/>
  <c r="E1860" i="5"/>
  <c r="D1860" i="5"/>
  <c r="L1860" i="5"/>
  <c r="G1860" i="5"/>
  <c r="F1860" i="5"/>
  <c r="K1869" i="5"/>
  <c r="I1869" i="5"/>
  <c r="G1869" i="5"/>
  <c r="M1869" i="5"/>
  <c r="H1869" i="5"/>
  <c r="F1869" i="5"/>
  <c r="J1869" i="5"/>
  <c r="E1869" i="5"/>
  <c r="D1869" i="5"/>
  <c r="C1869" i="5"/>
  <c r="B1869" i="5"/>
  <c r="L1869" i="5"/>
  <c r="J1894" i="5"/>
  <c r="I1894" i="5"/>
  <c r="F1894" i="5"/>
  <c r="E1894" i="5"/>
  <c r="D1894" i="5"/>
  <c r="C1894" i="5"/>
  <c r="M1894" i="5"/>
  <c r="L1894" i="5"/>
  <c r="K1894" i="5"/>
  <c r="H1894" i="5"/>
  <c r="G1894" i="5"/>
  <c r="E896" i="5"/>
  <c r="B896" i="5"/>
  <c r="D898" i="5"/>
  <c r="D911" i="5"/>
  <c r="C922" i="5"/>
  <c r="L922" i="5"/>
  <c r="C925" i="5"/>
  <c r="C929" i="5"/>
  <c r="K938" i="5"/>
  <c r="I938" i="5"/>
  <c r="H938" i="5"/>
  <c r="G938" i="5"/>
  <c r="G942" i="5"/>
  <c r="E942" i="5"/>
  <c r="D942" i="5"/>
  <c r="C942" i="5"/>
  <c r="B947" i="5"/>
  <c r="L947" i="5"/>
  <c r="K947" i="5"/>
  <c r="J947" i="5"/>
  <c r="I952" i="5"/>
  <c r="G952" i="5"/>
  <c r="F952" i="5"/>
  <c r="E952" i="5"/>
  <c r="K962" i="5"/>
  <c r="I962" i="5"/>
  <c r="H962" i="5"/>
  <c r="G962" i="5"/>
  <c r="G966" i="5"/>
  <c r="E966" i="5"/>
  <c r="D966" i="5"/>
  <c r="C966" i="5"/>
  <c r="B971" i="5"/>
  <c r="L971" i="5"/>
  <c r="K971" i="5"/>
  <c r="J971" i="5"/>
  <c r="I976" i="5"/>
  <c r="G976" i="5"/>
  <c r="F976" i="5"/>
  <c r="E976" i="5"/>
  <c r="K986" i="5"/>
  <c r="I986" i="5"/>
  <c r="H986" i="5"/>
  <c r="G986" i="5"/>
  <c r="G990" i="5"/>
  <c r="E990" i="5"/>
  <c r="D990" i="5"/>
  <c r="C990" i="5"/>
  <c r="H1004" i="5"/>
  <c r="G1008" i="5"/>
  <c r="G1011" i="5"/>
  <c r="H1014" i="5"/>
  <c r="H1017" i="5"/>
  <c r="G1021" i="5"/>
  <c r="F1050" i="5"/>
  <c r="I1050" i="5"/>
  <c r="H1050" i="5"/>
  <c r="G1050" i="5"/>
  <c r="E1050" i="5"/>
  <c r="D1050" i="5"/>
  <c r="C1050" i="5"/>
  <c r="B1050" i="5"/>
  <c r="K1052" i="5"/>
  <c r="E1063" i="5"/>
  <c r="I1063" i="5"/>
  <c r="H1063" i="5"/>
  <c r="G1063" i="5"/>
  <c r="F1063" i="5"/>
  <c r="D1063" i="5"/>
  <c r="C1063" i="5"/>
  <c r="B1063" i="5"/>
  <c r="K1065" i="5"/>
  <c r="D1076" i="5"/>
  <c r="I1076" i="5"/>
  <c r="H1076" i="5"/>
  <c r="G1076" i="5"/>
  <c r="F1076" i="5"/>
  <c r="E1076" i="5"/>
  <c r="C1076" i="5"/>
  <c r="B1076" i="5"/>
  <c r="K1078" i="5"/>
  <c r="C1089" i="5"/>
  <c r="I1089" i="5"/>
  <c r="H1089" i="5"/>
  <c r="G1089" i="5"/>
  <c r="F1089" i="5"/>
  <c r="E1089" i="5"/>
  <c r="D1089" i="5"/>
  <c r="B1089" i="5"/>
  <c r="J1092" i="5"/>
  <c r="B1102" i="5"/>
  <c r="I1102" i="5"/>
  <c r="H1102" i="5"/>
  <c r="G1102" i="5"/>
  <c r="F1102" i="5"/>
  <c r="E1102" i="5"/>
  <c r="D1102" i="5"/>
  <c r="C1102" i="5"/>
  <c r="J1105" i="5"/>
  <c r="L1116" i="5"/>
  <c r="H1116" i="5"/>
  <c r="G1116" i="5"/>
  <c r="F1116" i="5"/>
  <c r="E1116" i="5"/>
  <c r="D1116" i="5"/>
  <c r="C1116" i="5"/>
  <c r="B1116" i="5"/>
  <c r="K1118" i="5"/>
  <c r="K1129" i="5"/>
  <c r="H1129" i="5"/>
  <c r="G1129" i="5"/>
  <c r="F1129" i="5"/>
  <c r="E1129" i="5"/>
  <c r="D1129" i="5"/>
  <c r="C1129" i="5"/>
  <c r="B1129" i="5"/>
  <c r="L1131" i="5"/>
  <c r="C1134" i="5"/>
  <c r="H1172" i="5"/>
  <c r="D1172" i="5"/>
  <c r="B1172" i="5"/>
  <c r="L1172" i="5"/>
  <c r="K1172" i="5"/>
  <c r="J1172" i="5"/>
  <c r="I1172" i="5"/>
  <c r="G1172" i="5"/>
  <c r="F1172" i="5"/>
  <c r="E1172" i="5"/>
  <c r="D1188" i="5"/>
  <c r="L1188" i="5"/>
  <c r="J1188" i="5"/>
  <c r="M1188" i="5"/>
  <c r="K1188" i="5"/>
  <c r="I1188" i="5"/>
  <c r="H1188" i="5"/>
  <c r="G1188" i="5"/>
  <c r="F1188" i="5"/>
  <c r="D1201" i="5"/>
  <c r="D1207" i="5"/>
  <c r="C1229" i="5"/>
  <c r="F1234" i="5"/>
  <c r="B1234" i="5"/>
  <c r="L1234" i="5"/>
  <c r="K1234" i="5"/>
  <c r="J1234" i="5"/>
  <c r="I1234" i="5"/>
  <c r="H1234" i="5"/>
  <c r="G1234" i="5"/>
  <c r="E1234" i="5"/>
  <c r="D1234" i="5"/>
  <c r="C1336" i="5"/>
  <c r="B1336" i="5"/>
  <c r="L1336" i="5"/>
  <c r="M1336" i="5"/>
  <c r="K1336" i="5"/>
  <c r="J1336" i="5"/>
  <c r="I1336" i="5"/>
  <c r="H1336" i="5"/>
  <c r="G1336" i="5"/>
  <c r="F1336" i="5"/>
  <c r="E1336" i="5"/>
  <c r="D1336" i="5"/>
  <c r="F1372" i="5"/>
  <c r="G1416" i="5"/>
  <c r="F1416" i="5"/>
  <c r="M1416" i="5"/>
  <c r="I1416" i="5"/>
  <c r="H1416" i="5"/>
  <c r="E1416" i="5"/>
  <c r="L1416" i="5"/>
  <c r="K1416" i="5"/>
  <c r="J1416" i="5"/>
  <c r="D1416" i="5"/>
  <c r="C1416" i="5"/>
  <c r="B1416" i="5"/>
  <c r="I1799" i="5"/>
  <c r="B1799" i="5"/>
  <c r="K1799" i="5"/>
  <c r="J1799" i="5"/>
  <c r="H1799" i="5"/>
  <c r="G1799" i="5"/>
  <c r="E1799" i="5"/>
  <c r="D1799" i="5"/>
  <c r="M1799" i="5"/>
  <c r="L1799" i="5"/>
  <c r="F1799" i="5"/>
  <c r="J1882" i="5"/>
  <c r="I1882" i="5"/>
  <c r="G1882" i="5"/>
  <c r="F1882" i="5"/>
  <c r="K1882" i="5"/>
  <c r="H1882" i="5"/>
  <c r="M1882" i="5"/>
  <c r="L1882" i="5"/>
  <c r="E1882" i="5"/>
  <c r="D1882" i="5"/>
  <c r="C1882" i="5"/>
  <c r="D1028" i="5"/>
  <c r="H1028" i="5"/>
  <c r="G1028" i="5"/>
  <c r="F1028" i="5"/>
  <c r="E1028" i="5"/>
  <c r="C1028" i="5"/>
  <c r="B1028" i="5"/>
  <c r="B1030" i="5"/>
  <c r="H1030" i="5"/>
  <c r="G1030" i="5"/>
  <c r="F1030" i="5"/>
  <c r="E1030" i="5"/>
  <c r="D1030" i="5"/>
  <c r="C1030" i="5"/>
  <c r="K1033" i="5"/>
  <c r="G1033" i="5"/>
  <c r="F1033" i="5"/>
  <c r="E1033" i="5"/>
  <c r="D1033" i="5"/>
  <c r="C1033" i="5"/>
  <c r="B1033" i="5"/>
  <c r="I1035" i="5"/>
  <c r="G1035" i="5"/>
  <c r="F1035" i="5"/>
  <c r="E1035" i="5"/>
  <c r="D1035" i="5"/>
  <c r="C1035" i="5"/>
  <c r="B1035" i="5"/>
  <c r="G1037" i="5"/>
  <c r="H1037" i="5"/>
  <c r="F1037" i="5"/>
  <c r="E1037" i="5"/>
  <c r="D1037" i="5"/>
  <c r="C1037" i="5"/>
  <c r="B1037" i="5"/>
  <c r="E1039" i="5"/>
  <c r="H1039" i="5"/>
  <c r="G1039" i="5"/>
  <c r="F1039" i="5"/>
  <c r="D1039" i="5"/>
  <c r="C1039" i="5"/>
  <c r="B1039" i="5"/>
  <c r="C1041" i="5"/>
  <c r="H1041" i="5"/>
  <c r="G1041" i="5"/>
  <c r="F1041" i="5"/>
  <c r="E1041" i="5"/>
  <c r="D1041" i="5"/>
  <c r="B1041" i="5"/>
  <c r="L1044" i="5"/>
  <c r="G1044" i="5"/>
  <c r="F1044" i="5"/>
  <c r="E1044" i="5"/>
  <c r="D1044" i="5"/>
  <c r="C1044" i="5"/>
  <c r="B1044" i="5"/>
  <c r="J1046" i="5"/>
  <c r="G1046" i="5"/>
  <c r="F1046" i="5"/>
  <c r="E1046" i="5"/>
  <c r="D1046" i="5"/>
  <c r="C1046" i="5"/>
  <c r="B1046" i="5"/>
  <c r="H1048" i="5"/>
  <c r="G1048" i="5"/>
  <c r="F1048" i="5"/>
  <c r="E1048" i="5"/>
  <c r="D1048" i="5"/>
  <c r="C1048" i="5"/>
  <c r="B1048" i="5"/>
  <c r="L1056" i="5"/>
  <c r="H1056" i="5"/>
  <c r="G1056" i="5"/>
  <c r="F1056" i="5"/>
  <c r="E1056" i="5"/>
  <c r="D1056" i="5"/>
  <c r="C1056" i="5"/>
  <c r="B1056" i="5"/>
  <c r="K1069" i="5"/>
  <c r="H1069" i="5"/>
  <c r="G1069" i="5"/>
  <c r="F1069" i="5"/>
  <c r="E1069" i="5"/>
  <c r="D1069" i="5"/>
  <c r="C1069" i="5"/>
  <c r="B1069" i="5"/>
  <c r="J1082" i="5"/>
  <c r="H1082" i="5"/>
  <c r="G1082" i="5"/>
  <c r="F1082" i="5"/>
  <c r="E1082" i="5"/>
  <c r="D1082" i="5"/>
  <c r="C1082" i="5"/>
  <c r="B1082" i="5"/>
  <c r="I1095" i="5"/>
  <c r="H1095" i="5"/>
  <c r="G1095" i="5"/>
  <c r="F1095" i="5"/>
  <c r="E1095" i="5"/>
  <c r="D1095" i="5"/>
  <c r="C1095" i="5"/>
  <c r="B1095" i="5"/>
  <c r="H1108" i="5"/>
  <c r="I1108" i="5"/>
  <c r="G1108" i="5"/>
  <c r="F1108" i="5"/>
  <c r="E1108" i="5"/>
  <c r="D1108" i="5"/>
  <c r="C1108" i="5"/>
  <c r="B1108" i="5"/>
  <c r="G1121" i="5"/>
  <c r="I1121" i="5"/>
  <c r="H1121" i="5"/>
  <c r="F1121" i="5"/>
  <c r="E1121" i="5"/>
  <c r="D1121" i="5"/>
  <c r="C1121" i="5"/>
  <c r="B1121" i="5"/>
  <c r="G1145" i="5"/>
  <c r="E1145" i="5"/>
  <c r="K1145" i="5"/>
  <c r="J1145" i="5"/>
  <c r="I1145" i="5"/>
  <c r="H1145" i="5"/>
  <c r="F1145" i="5"/>
  <c r="D1145" i="5"/>
  <c r="C1145" i="5"/>
  <c r="D1148" i="5"/>
  <c r="B1148" i="5"/>
  <c r="M1148" i="5"/>
  <c r="L1148" i="5"/>
  <c r="K1148" i="5"/>
  <c r="J1148" i="5"/>
  <c r="I1148" i="5"/>
  <c r="H1148" i="5"/>
  <c r="K1193" i="5"/>
  <c r="G1193" i="5"/>
  <c r="E1193" i="5"/>
  <c r="L1193" i="5"/>
  <c r="J1193" i="5"/>
  <c r="I1193" i="5"/>
  <c r="H1193" i="5"/>
  <c r="F1193" i="5"/>
  <c r="D1193" i="5"/>
  <c r="C1193" i="5"/>
  <c r="B1202" i="5"/>
  <c r="J1202" i="5"/>
  <c r="H1202" i="5"/>
  <c r="M1202" i="5"/>
  <c r="L1202" i="5"/>
  <c r="K1202" i="5"/>
  <c r="I1202" i="5"/>
  <c r="G1202" i="5"/>
  <c r="H1208" i="5"/>
  <c r="D1208" i="5"/>
  <c r="B1208" i="5"/>
  <c r="M1208" i="5"/>
  <c r="L1208" i="5"/>
  <c r="K1208" i="5"/>
  <c r="J1208" i="5"/>
  <c r="I1208" i="5"/>
  <c r="K1328" i="5"/>
  <c r="J1328" i="5"/>
  <c r="B1328" i="5"/>
  <c r="I1328" i="5"/>
  <c r="H1328" i="5"/>
  <c r="G1328" i="5"/>
  <c r="F1328" i="5"/>
  <c r="E1328" i="5"/>
  <c r="D1328" i="5"/>
  <c r="C1328" i="5"/>
  <c r="M1328" i="5"/>
  <c r="J1377" i="5"/>
  <c r="I1377" i="5"/>
  <c r="M1377" i="5"/>
  <c r="G1377" i="5"/>
  <c r="L1377" i="5"/>
  <c r="K1377" i="5"/>
  <c r="H1377" i="5"/>
  <c r="F1377" i="5"/>
  <c r="E1377" i="5"/>
  <c r="D1377" i="5"/>
  <c r="C1377" i="5"/>
  <c r="B1377" i="5"/>
  <c r="K1629" i="5"/>
  <c r="F1629" i="5"/>
  <c r="J1629" i="5"/>
  <c r="I1629" i="5"/>
  <c r="E1629" i="5"/>
  <c r="H1629" i="5"/>
  <c r="M1629" i="5"/>
  <c r="L1629" i="5"/>
  <c r="G1629" i="5"/>
  <c r="D1629" i="5"/>
  <c r="C1629" i="5"/>
  <c r="B1629" i="5"/>
  <c r="G894" i="5"/>
  <c r="D894" i="5"/>
  <c r="F907" i="5"/>
  <c r="C907" i="5"/>
  <c r="E920" i="5"/>
  <c r="B920" i="5"/>
  <c r="E995" i="5"/>
  <c r="J999" i="5"/>
  <c r="H999" i="5"/>
  <c r="G999" i="5"/>
  <c r="F999" i="5"/>
  <c r="D1000" i="5"/>
  <c r="E1003" i="5"/>
  <c r="G1003" i="5"/>
  <c r="D1003" i="5"/>
  <c r="C1003" i="5"/>
  <c r="B1003" i="5"/>
  <c r="J1004" i="5"/>
  <c r="B1006" i="5"/>
  <c r="G1006" i="5"/>
  <c r="E1006" i="5"/>
  <c r="D1006" i="5"/>
  <c r="C1006" i="5"/>
  <c r="I1008" i="5"/>
  <c r="J1010" i="5"/>
  <c r="F1010" i="5"/>
  <c r="D1010" i="5"/>
  <c r="C1010" i="5"/>
  <c r="B1010" i="5"/>
  <c r="J1011" i="5"/>
  <c r="G1013" i="5"/>
  <c r="F1013" i="5"/>
  <c r="D1013" i="5"/>
  <c r="C1013" i="5"/>
  <c r="B1013" i="5"/>
  <c r="J1014" i="5"/>
  <c r="D1016" i="5"/>
  <c r="G1016" i="5"/>
  <c r="E1016" i="5"/>
  <c r="C1016" i="5"/>
  <c r="B1016" i="5"/>
  <c r="J1017" i="5"/>
  <c r="L1020" i="5"/>
  <c r="F1020" i="5"/>
  <c r="D1020" i="5"/>
  <c r="C1020" i="5"/>
  <c r="B1020" i="5"/>
  <c r="I1021" i="5"/>
  <c r="I1023" i="5"/>
  <c r="G1023" i="5"/>
  <c r="F1023" i="5"/>
  <c r="D1023" i="5"/>
  <c r="C1023" i="5"/>
  <c r="B1023" i="5"/>
  <c r="L1024" i="5"/>
  <c r="J1026" i="5"/>
  <c r="I1028" i="5"/>
  <c r="I1030" i="5"/>
  <c r="H1033" i="5"/>
  <c r="H1035" i="5"/>
  <c r="I1037" i="5"/>
  <c r="I1039" i="5"/>
  <c r="I1041" i="5"/>
  <c r="H1044" i="5"/>
  <c r="H1046" i="5"/>
  <c r="I1048" i="5"/>
  <c r="K1050" i="5"/>
  <c r="M1052" i="5"/>
  <c r="I1056" i="5"/>
  <c r="L1058" i="5"/>
  <c r="G1061" i="5"/>
  <c r="I1061" i="5"/>
  <c r="H1061" i="5"/>
  <c r="F1061" i="5"/>
  <c r="E1061" i="5"/>
  <c r="D1061" i="5"/>
  <c r="C1061" i="5"/>
  <c r="B1061" i="5"/>
  <c r="K1063" i="5"/>
  <c r="M1065" i="5"/>
  <c r="I1069" i="5"/>
  <c r="L1071" i="5"/>
  <c r="F1074" i="5"/>
  <c r="I1074" i="5"/>
  <c r="H1074" i="5"/>
  <c r="G1074" i="5"/>
  <c r="E1074" i="5"/>
  <c r="D1074" i="5"/>
  <c r="C1074" i="5"/>
  <c r="B1074" i="5"/>
  <c r="K1076" i="5"/>
  <c r="M1078" i="5"/>
  <c r="I1082" i="5"/>
  <c r="L1084" i="5"/>
  <c r="E1087" i="5"/>
  <c r="I1087" i="5"/>
  <c r="H1087" i="5"/>
  <c r="G1087" i="5"/>
  <c r="F1087" i="5"/>
  <c r="D1087" i="5"/>
  <c r="C1087" i="5"/>
  <c r="B1087" i="5"/>
  <c r="K1089" i="5"/>
  <c r="M1092" i="5"/>
  <c r="J1095" i="5"/>
  <c r="L1097" i="5"/>
  <c r="D1100" i="5"/>
  <c r="I1100" i="5"/>
  <c r="H1100" i="5"/>
  <c r="G1100" i="5"/>
  <c r="F1100" i="5"/>
  <c r="E1100" i="5"/>
  <c r="C1100" i="5"/>
  <c r="B1100" i="5"/>
  <c r="K1102" i="5"/>
  <c r="M1105" i="5"/>
  <c r="J1108" i="5"/>
  <c r="L1110" i="5"/>
  <c r="C1113" i="5"/>
  <c r="I1113" i="5"/>
  <c r="H1113" i="5"/>
  <c r="G1113" i="5"/>
  <c r="F1113" i="5"/>
  <c r="E1113" i="5"/>
  <c r="D1113" i="5"/>
  <c r="B1113" i="5"/>
  <c r="J1116" i="5"/>
  <c r="M1118" i="5"/>
  <c r="J1121" i="5"/>
  <c r="L1123" i="5"/>
  <c r="B1126" i="5"/>
  <c r="I1126" i="5"/>
  <c r="H1126" i="5"/>
  <c r="G1126" i="5"/>
  <c r="F1126" i="5"/>
  <c r="E1126" i="5"/>
  <c r="D1126" i="5"/>
  <c r="C1126" i="5"/>
  <c r="J1129" i="5"/>
  <c r="H1132" i="5"/>
  <c r="F1132" i="5"/>
  <c r="K1132" i="5"/>
  <c r="J1132" i="5"/>
  <c r="I1132" i="5"/>
  <c r="G1132" i="5"/>
  <c r="E1132" i="5"/>
  <c r="D1132" i="5"/>
  <c r="C1132" i="5"/>
  <c r="E1135" i="5"/>
  <c r="C1135" i="5"/>
  <c r="M1135" i="5"/>
  <c r="L1135" i="5"/>
  <c r="K1135" i="5"/>
  <c r="J1135" i="5"/>
  <c r="I1135" i="5"/>
  <c r="H1135" i="5"/>
  <c r="B1145" i="5"/>
  <c r="C1148" i="5"/>
  <c r="F1158" i="5"/>
  <c r="D1158" i="5"/>
  <c r="K1158" i="5"/>
  <c r="J1158" i="5"/>
  <c r="I1158" i="5"/>
  <c r="H1158" i="5"/>
  <c r="G1158" i="5"/>
  <c r="E1158" i="5"/>
  <c r="C1158" i="5"/>
  <c r="M1172" i="5"/>
  <c r="F1174" i="5"/>
  <c r="B1174" i="5"/>
  <c r="L1174" i="5"/>
  <c r="M1174" i="5"/>
  <c r="K1174" i="5"/>
  <c r="J1174" i="5"/>
  <c r="I1174" i="5"/>
  <c r="H1174" i="5"/>
  <c r="C1188" i="5"/>
  <c r="B1193" i="5"/>
  <c r="C1202" i="5"/>
  <c r="C1208" i="5"/>
  <c r="F1229" i="5"/>
  <c r="M1234" i="5"/>
  <c r="L1328" i="5"/>
  <c r="I1557" i="5"/>
  <c r="E1557" i="5"/>
  <c r="D1557" i="5"/>
  <c r="C1557" i="5"/>
  <c r="B1557" i="5"/>
  <c r="M1557" i="5"/>
  <c r="L1557" i="5"/>
  <c r="K1557" i="5"/>
  <c r="J1557" i="5"/>
  <c r="H1557" i="5"/>
  <c r="G1557" i="5"/>
  <c r="F1557" i="5"/>
  <c r="J1606" i="5"/>
  <c r="E1606" i="5"/>
  <c r="I1606" i="5"/>
  <c r="D1606" i="5"/>
  <c r="C1606" i="5"/>
  <c r="B1606" i="5"/>
  <c r="M1606" i="5"/>
  <c r="L1606" i="5"/>
  <c r="K1606" i="5"/>
  <c r="H1606" i="5"/>
  <c r="G1606" i="5"/>
  <c r="M932" i="5"/>
  <c r="K934" i="5"/>
  <c r="M944" i="5"/>
  <c r="M956" i="5"/>
  <c r="M968" i="5"/>
  <c r="M980" i="5"/>
  <c r="M992" i="5"/>
  <c r="K994" i="5"/>
  <c r="I1136" i="5"/>
  <c r="K1140" i="5"/>
  <c r="I1143" i="5"/>
  <c r="G1143" i="5"/>
  <c r="I1150" i="5"/>
  <c r="L1153" i="5"/>
  <c r="H1156" i="5"/>
  <c r="F1156" i="5"/>
  <c r="C1165" i="5"/>
  <c r="K1165" i="5"/>
  <c r="I1165" i="5"/>
  <c r="I1168" i="5"/>
  <c r="I1171" i="5"/>
  <c r="E1171" i="5"/>
  <c r="C1171" i="5"/>
  <c r="I1176" i="5"/>
  <c r="K1182" i="5"/>
  <c r="H1189" i="5"/>
  <c r="L1192" i="5"/>
  <c r="H1192" i="5"/>
  <c r="F1192" i="5"/>
  <c r="J1195" i="5"/>
  <c r="C1213" i="5"/>
  <c r="K1213" i="5"/>
  <c r="I1213" i="5"/>
  <c r="I1216" i="5"/>
  <c r="I1219" i="5"/>
  <c r="E1219" i="5"/>
  <c r="C1219" i="5"/>
  <c r="I1224" i="5"/>
  <c r="K1230" i="5"/>
  <c r="H1237" i="5"/>
  <c r="F1536" i="5"/>
  <c r="B1536" i="5"/>
  <c r="I1536" i="5"/>
  <c r="H1536" i="5"/>
  <c r="G1536" i="5"/>
  <c r="C1536" i="5"/>
  <c r="M1536" i="5"/>
  <c r="L1536" i="5"/>
  <c r="K1536" i="5"/>
  <c r="J1536" i="5"/>
  <c r="E1536" i="5"/>
  <c r="M885" i="5"/>
  <c r="M897" i="5"/>
  <c r="M909" i="5"/>
  <c r="M921" i="5"/>
  <c r="B932" i="5"/>
  <c r="M933" i="5"/>
  <c r="L934" i="5"/>
  <c r="B944" i="5"/>
  <c r="M945" i="5"/>
  <c r="L946" i="5"/>
  <c r="B956" i="5"/>
  <c r="M957" i="5"/>
  <c r="L958" i="5"/>
  <c r="B968" i="5"/>
  <c r="M969" i="5"/>
  <c r="L970" i="5"/>
  <c r="B980" i="5"/>
  <c r="M981" i="5"/>
  <c r="L982" i="5"/>
  <c r="B992" i="5"/>
  <c r="M993" i="5"/>
  <c r="L994" i="5"/>
  <c r="J1136" i="5"/>
  <c r="J1142" i="5"/>
  <c r="H1142" i="5"/>
  <c r="B1143" i="5"/>
  <c r="J1150" i="5"/>
  <c r="I1155" i="5"/>
  <c r="G1155" i="5"/>
  <c r="B1156" i="5"/>
  <c r="B1165" i="5"/>
  <c r="J1168" i="5"/>
  <c r="B1171" i="5"/>
  <c r="K1176" i="5"/>
  <c r="B1178" i="5"/>
  <c r="J1178" i="5"/>
  <c r="H1178" i="5"/>
  <c r="L1182" i="5"/>
  <c r="H1184" i="5"/>
  <c r="D1184" i="5"/>
  <c r="B1184" i="5"/>
  <c r="J1189" i="5"/>
  <c r="B1192" i="5"/>
  <c r="K1195" i="5"/>
  <c r="F1198" i="5"/>
  <c r="B1198" i="5"/>
  <c r="L1198" i="5"/>
  <c r="K1205" i="5"/>
  <c r="G1205" i="5"/>
  <c r="E1205" i="5"/>
  <c r="B1213" i="5"/>
  <c r="J1216" i="5"/>
  <c r="B1219" i="5"/>
  <c r="K1224" i="5"/>
  <c r="B1226" i="5"/>
  <c r="J1226" i="5"/>
  <c r="H1226" i="5"/>
  <c r="L1230" i="5"/>
  <c r="H1232" i="5"/>
  <c r="D1232" i="5"/>
  <c r="B1232" i="5"/>
  <c r="J1237" i="5"/>
  <c r="J1329" i="5"/>
  <c r="I1329" i="5"/>
  <c r="C1329" i="5"/>
  <c r="M1329" i="5"/>
  <c r="L1329" i="5"/>
  <c r="K1329" i="5"/>
  <c r="H1329" i="5"/>
  <c r="G1329" i="5"/>
  <c r="F1329" i="5"/>
  <c r="E1329" i="5"/>
  <c r="G1356" i="5"/>
  <c r="F1356" i="5"/>
  <c r="D1356" i="5"/>
  <c r="M1356" i="5"/>
  <c r="L1356" i="5"/>
  <c r="K1356" i="5"/>
  <c r="J1356" i="5"/>
  <c r="I1356" i="5"/>
  <c r="H1356" i="5"/>
  <c r="I1378" i="5"/>
  <c r="H1378" i="5"/>
  <c r="J1378" i="5"/>
  <c r="M1378" i="5"/>
  <c r="L1378" i="5"/>
  <c r="K1378" i="5"/>
  <c r="G1378" i="5"/>
  <c r="F1378" i="5"/>
  <c r="D1536" i="5"/>
  <c r="B1614" i="5"/>
  <c r="I1614" i="5"/>
  <c r="J1614" i="5"/>
  <c r="E1614" i="5"/>
  <c r="M1614" i="5"/>
  <c r="H1614" i="5"/>
  <c r="L1614" i="5"/>
  <c r="K1614" i="5"/>
  <c r="G1614" i="5"/>
  <c r="F1614" i="5"/>
  <c r="D1614" i="5"/>
  <c r="C1614" i="5"/>
  <c r="C932" i="5"/>
  <c r="M934" i="5"/>
  <c r="C944" i="5"/>
  <c r="M946" i="5"/>
  <c r="C956" i="5"/>
  <c r="M958" i="5"/>
  <c r="C968" i="5"/>
  <c r="M970" i="5"/>
  <c r="C980" i="5"/>
  <c r="M982" i="5"/>
  <c r="C992" i="5"/>
  <c r="M994" i="5"/>
  <c r="K1136" i="5"/>
  <c r="K1141" i="5"/>
  <c r="I1141" i="5"/>
  <c r="B1142" i="5"/>
  <c r="C1143" i="5"/>
  <c r="K1150" i="5"/>
  <c r="J1154" i="5"/>
  <c r="H1154" i="5"/>
  <c r="B1155" i="5"/>
  <c r="C1156" i="5"/>
  <c r="D1164" i="5"/>
  <c r="L1164" i="5"/>
  <c r="J1164" i="5"/>
  <c r="D1165" i="5"/>
  <c r="K1168" i="5"/>
  <c r="J1170" i="5"/>
  <c r="F1170" i="5"/>
  <c r="D1170" i="5"/>
  <c r="D1171" i="5"/>
  <c r="C1178" i="5"/>
  <c r="C1184" i="5"/>
  <c r="L1189" i="5"/>
  <c r="C1192" i="5"/>
  <c r="L1195" i="5"/>
  <c r="C1198" i="5"/>
  <c r="B1205" i="5"/>
  <c r="D1212" i="5"/>
  <c r="L1212" i="5"/>
  <c r="J1212" i="5"/>
  <c r="D1213" i="5"/>
  <c r="K1216" i="5"/>
  <c r="J1218" i="5"/>
  <c r="F1218" i="5"/>
  <c r="D1218" i="5"/>
  <c r="D1219" i="5"/>
  <c r="C1226" i="5"/>
  <c r="C1232" i="5"/>
  <c r="L1237" i="5"/>
  <c r="F1321" i="5"/>
  <c r="E1321" i="5"/>
  <c r="J1321" i="5"/>
  <c r="M1321" i="5"/>
  <c r="L1321" i="5"/>
  <c r="K1321" i="5"/>
  <c r="I1321" i="5"/>
  <c r="H1321" i="5"/>
  <c r="G1321" i="5"/>
  <c r="D1321" i="5"/>
  <c r="B1329" i="5"/>
  <c r="B1356" i="5"/>
  <c r="H1367" i="5"/>
  <c r="G1367" i="5"/>
  <c r="B1367" i="5"/>
  <c r="L1367" i="5"/>
  <c r="M1367" i="5"/>
  <c r="K1367" i="5"/>
  <c r="J1367" i="5"/>
  <c r="I1367" i="5"/>
  <c r="F1367" i="5"/>
  <c r="E1367" i="5"/>
  <c r="B1378" i="5"/>
  <c r="B1444" i="5"/>
  <c r="J1444" i="5"/>
  <c r="E1444" i="5"/>
  <c r="D1444" i="5"/>
  <c r="I1444" i="5"/>
  <c r="H1444" i="5"/>
  <c r="G1444" i="5"/>
  <c r="M1444" i="5"/>
  <c r="L1444" i="5"/>
  <c r="G1511" i="5"/>
  <c r="C1511" i="5"/>
  <c r="I1511" i="5"/>
  <c r="H1511" i="5"/>
  <c r="F1511" i="5"/>
  <c r="B1511" i="5"/>
  <c r="M1511" i="5"/>
  <c r="L1511" i="5"/>
  <c r="K1511" i="5"/>
  <c r="J1511" i="5"/>
  <c r="B1590" i="5"/>
  <c r="H1590" i="5"/>
  <c r="D1590" i="5"/>
  <c r="J1590" i="5"/>
  <c r="I1590" i="5"/>
  <c r="G1590" i="5"/>
  <c r="C1590" i="5"/>
  <c r="M1590" i="5"/>
  <c r="L1590" i="5"/>
  <c r="K1590" i="5"/>
  <c r="L1136" i="5"/>
  <c r="L1140" i="5"/>
  <c r="J1140" i="5"/>
  <c r="K1153" i="5"/>
  <c r="I1153" i="5"/>
  <c r="C1177" i="5"/>
  <c r="K1177" i="5"/>
  <c r="I1177" i="5"/>
  <c r="I1183" i="5"/>
  <c r="E1183" i="5"/>
  <c r="C1183" i="5"/>
  <c r="L1204" i="5"/>
  <c r="H1204" i="5"/>
  <c r="F1204" i="5"/>
  <c r="C1225" i="5"/>
  <c r="K1225" i="5"/>
  <c r="I1225" i="5"/>
  <c r="I1231" i="5"/>
  <c r="E1231" i="5"/>
  <c r="C1231" i="5"/>
  <c r="H1343" i="5"/>
  <c r="G1343" i="5"/>
  <c r="D1343" i="5"/>
  <c r="L1343" i="5"/>
  <c r="K1343" i="5"/>
  <c r="J1343" i="5"/>
  <c r="I1343" i="5"/>
  <c r="F1343" i="5"/>
  <c r="E1343" i="5"/>
  <c r="C1343" i="5"/>
  <c r="C1360" i="5"/>
  <c r="B1360" i="5"/>
  <c r="J1360" i="5"/>
  <c r="F1360" i="5"/>
  <c r="M1360" i="5"/>
  <c r="L1360" i="5"/>
  <c r="K1360" i="5"/>
  <c r="I1360" i="5"/>
  <c r="H1360" i="5"/>
  <c r="G1360" i="5"/>
  <c r="E1360" i="5"/>
  <c r="L1458" i="5"/>
  <c r="H1458" i="5"/>
  <c r="F1458" i="5"/>
  <c r="E1458" i="5"/>
  <c r="D1458" i="5"/>
  <c r="M1458" i="5"/>
  <c r="J1458" i="5"/>
  <c r="I1458" i="5"/>
  <c r="G1458" i="5"/>
  <c r="C1458" i="5"/>
  <c r="F1464" i="5"/>
  <c r="B1464" i="5"/>
  <c r="M1464" i="5"/>
  <c r="L1464" i="5"/>
  <c r="K1464" i="5"/>
  <c r="J1464" i="5"/>
  <c r="H1464" i="5"/>
  <c r="G1464" i="5"/>
  <c r="E1464" i="5"/>
  <c r="D1464" i="5"/>
  <c r="B1794" i="5"/>
  <c r="C1794" i="5"/>
  <c r="K1794" i="5"/>
  <c r="J1794" i="5"/>
  <c r="I1794" i="5"/>
  <c r="H1794" i="5"/>
  <c r="F1794" i="5"/>
  <c r="E1794" i="5"/>
  <c r="M1794" i="5"/>
  <c r="L1794" i="5"/>
  <c r="G1794" i="5"/>
  <c r="D1794" i="5"/>
  <c r="B1138" i="5"/>
  <c r="L1138" i="5"/>
  <c r="B1140" i="5"/>
  <c r="C1141" i="5"/>
  <c r="D1142" i="5"/>
  <c r="E1143" i="5"/>
  <c r="L1152" i="5"/>
  <c r="J1152" i="5"/>
  <c r="B1153" i="5"/>
  <c r="C1154" i="5"/>
  <c r="D1155" i="5"/>
  <c r="E1156" i="5"/>
  <c r="F1162" i="5"/>
  <c r="B1162" i="5"/>
  <c r="L1162" i="5"/>
  <c r="C1164" i="5"/>
  <c r="F1165" i="5"/>
  <c r="K1169" i="5"/>
  <c r="G1169" i="5"/>
  <c r="E1169" i="5"/>
  <c r="C1170" i="5"/>
  <c r="G1171" i="5"/>
  <c r="B1177" i="5"/>
  <c r="E1178" i="5"/>
  <c r="B1183" i="5"/>
  <c r="F1184" i="5"/>
  <c r="B1190" i="5"/>
  <c r="J1190" i="5"/>
  <c r="H1190" i="5"/>
  <c r="E1192" i="5"/>
  <c r="H1196" i="5"/>
  <c r="D1196" i="5"/>
  <c r="B1196" i="5"/>
  <c r="E1198" i="5"/>
  <c r="B1204" i="5"/>
  <c r="D1205" i="5"/>
  <c r="F1210" i="5"/>
  <c r="B1210" i="5"/>
  <c r="L1210" i="5"/>
  <c r="C1212" i="5"/>
  <c r="F1213" i="5"/>
  <c r="K1217" i="5"/>
  <c r="G1217" i="5"/>
  <c r="E1217" i="5"/>
  <c r="C1218" i="5"/>
  <c r="G1219" i="5"/>
  <c r="B1225" i="5"/>
  <c r="E1226" i="5"/>
  <c r="B1231" i="5"/>
  <c r="F1232" i="5"/>
  <c r="B1238" i="5"/>
  <c r="J1238" i="5"/>
  <c r="H1238" i="5"/>
  <c r="C1312" i="5"/>
  <c r="B1312" i="5"/>
  <c r="J1312" i="5"/>
  <c r="I1312" i="5"/>
  <c r="H1312" i="5"/>
  <c r="G1312" i="5"/>
  <c r="F1312" i="5"/>
  <c r="E1312" i="5"/>
  <c r="D1312" i="5"/>
  <c r="C1321" i="5"/>
  <c r="I1330" i="5"/>
  <c r="H1330" i="5"/>
  <c r="D1330" i="5"/>
  <c r="M1330" i="5"/>
  <c r="L1330" i="5"/>
  <c r="K1330" i="5"/>
  <c r="J1330" i="5"/>
  <c r="G1330" i="5"/>
  <c r="B1343" i="5"/>
  <c r="E1356" i="5"/>
  <c r="D1360" i="5"/>
  <c r="D1367" i="5"/>
  <c r="D1378" i="5"/>
  <c r="F1444" i="5"/>
  <c r="B1458" i="5"/>
  <c r="C1464" i="5"/>
  <c r="K1471" i="5"/>
  <c r="G1471" i="5"/>
  <c r="F1471" i="5"/>
  <c r="E1471" i="5"/>
  <c r="D1471" i="5"/>
  <c r="M1471" i="5"/>
  <c r="L1471" i="5"/>
  <c r="J1471" i="5"/>
  <c r="I1471" i="5"/>
  <c r="H1471" i="5"/>
  <c r="E1511" i="5"/>
  <c r="F1590" i="5"/>
  <c r="C1140" i="5"/>
  <c r="B1150" i="5"/>
  <c r="L1150" i="5"/>
  <c r="D1176" i="5"/>
  <c r="L1176" i="5"/>
  <c r="J1176" i="5"/>
  <c r="D1177" i="5"/>
  <c r="J1182" i="5"/>
  <c r="F1182" i="5"/>
  <c r="D1182" i="5"/>
  <c r="C1204" i="5"/>
  <c r="D1224" i="5"/>
  <c r="L1224" i="5"/>
  <c r="J1224" i="5"/>
  <c r="D1225" i="5"/>
  <c r="J1230" i="5"/>
  <c r="F1230" i="5"/>
  <c r="D1230" i="5"/>
  <c r="D1231" i="5"/>
  <c r="E1322" i="5"/>
  <c r="D1322" i="5"/>
  <c r="K1322" i="5"/>
  <c r="M1322" i="5"/>
  <c r="L1322" i="5"/>
  <c r="J1322" i="5"/>
  <c r="I1322" i="5"/>
  <c r="H1322" i="5"/>
  <c r="E1334" i="5"/>
  <c r="D1334" i="5"/>
  <c r="J1334" i="5"/>
  <c r="K1334" i="5"/>
  <c r="I1334" i="5"/>
  <c r="H1334" i="5"/>
  <c r="G1334" i="5"/>
  <c r="F1334" i="5"/>
  <c r="C1334" i="5"/>
  <c r="B1334" i="5"/>
  <c r="M1343" i="5"/>
  <c r="E1382" i="5"/>
  <c r="D1382" i="5"/>
  <c r="F1382" i="5"/>
  <c r="L1382" i="5"/>
  <c r="K1382" i="5"/>
  <c r="J1382" i="5"/>
  <c r="I1382" i="5"/>
  <c r="H1382" i="5"/>
  <c r="G1382" i="5"/>
  <c r="C1382" i="5"/>
  <c r="F1393" i="5"/>
  <c r="E1393" i="5"/>
  <c r="B1393" i="5"/>
  <c r="L1393" i="5"/>
  <c r="K1393" i="5"/>
  <c r="J1393" i="5"/>
  <c r="I1393" i="5"/>
  <c r="H1393" i="5"/>
  <c r="G1393" i="5"/>
  <c r="D1393" i="5"/>
  <c r="C1393" i="5"/>
  <c r="L1435" i="5"/>
  <c r="K1435" i="5"/>
  <c r="D1435" i="5"/>
  <c r="M1435" i="5"/>
  <c r="J1435" i="5"/>
  <c r="I1435" i="5"/>
  <c r="H1435" i="5"/>
  <c r="G1435" i="5"/>
  <c r="F1435" i="5"/>
  <c r="E1435" i="5"/>
  <c r="C1435" i="5"/>
  <c r="K1458" i="5"/>
  <c r="I1464" i="5"/>
  <c r="I1715" i="5"/>
  <c r="D1715" i="5"/>
  <c r="E1715" i="5"/>
  <c r="C1715" i="5"/>
  <c r="M1715" i="5"/>
  <c r="L1715" i="5"/>
  <c r="K1715" i="5"/>
  <c r="J1715" i="5"/>
  <c r="H1715" i="5"/>
  <c r="G1715" i="5"/>
  <c r="F1715" i="5"/>
  <c r="D1136" i="5"/>
  <c r="B1136" i="5"/>
  <c r="L1168" i="5"/>
  <c r="H1168" i="5"/>
  <c r="F1168" i="5"/>
  <c r="C1189" i="5"/>
  <c r="K1189" i="5"/>
  <c r="I1189" i="5"/>
  <c r="I1195" i="5"/>
  <c r="E1195" i="5"/>
  <c r="C1195" i="5"/>
  <c r="L1216" i="5"/>
  <c r="H1216" i="5"/>
  <c r="F1216" i="5"/>
  <c r="C1237" i="5"/>
  <c r="K1237" i="5"/>
  <c r="I1237" i="5"/>
  <c r="G1344" i="5"/>
  <c r="F1344" i="5"/>
  <c r="E1344" i="5"/>
  <c r="M1344" i="5"/>
  <c r="L1344" i="5"/>
  <c r="K1344" i="5"/>
  <c r="J1344" i="5"/>
  <c r="I1344" i="5"/>
  <c r="H1344" i="5"/>
  <c r="L1351" i="5"/>
  <c r="K1351" i="5"/>
  <c r="M1351" i="5"/>
  <c r="G1351" i="5"/>
  <c r="J1351" i="5"/>
  <c r="I1351" i="5"/>
  <c r="H1351" i="5"/>
  <c r="F1351" i="5"/>
  <c r="E1351" i="5"/>
  <c r="D1371" i="5"/>
  <c r="C1371" i="5"/>
  <c r="H1371" i="5"/>
  <c r="B1371" i="5"/>
  <c r="L1371" i="5"/>
  <c r="K1371" i="5"/>
  <c r="J1371" i="5"/>
  <c r="I1371" i="5"/>
  <c r="G1371" i="5"/>
  <c r="F1371" i="5"/>
  <c r="E1371" i="5"/>
  <c r="C1420" i="5"/>
  <c r="B1420" i="5"/>
  <c r="E1420" i="5"/>
  <c r="M1420" i="5"/>
  <c r="L1420" i="5"/>
  <c r="K1420" i="5"/>
  <c r="J1420" i="5"/>
  <c r="I1420" i="5"/>
  <c r="H1420" i="5"/>
  <c r="I1449" i="5"/>
  <c r="E1449" i="5"/>
  <c r="K1449" i="5"/>
  <c r="J1449" i="5"/>
  <c r="H1449" i="5"/>
  <c r="G1449" i="5"/>
  <c r="F1449" i="5"/>
  <c r="M1449" i="5"/>
  <c r="L1449" i="5"/>
  <c r="C1539" i="5"/>
  <c r="K1539" i="5"/>
  <c r="L1539" i="5"/>
  <c r="J1539" i="5"/>
  <c r="I1539" i="5"/>
  <c r="F1539" i="5"/>
  <c r="M1539" i="5"/>
  <c r="H1539" i="5"/>
  <c r="G1539" i="5"/>
  <c r="D1550" i="5"/>
  <c r="L1550" i="5"/>
  <c r="J1550" i="5"/>
  <c r="I1550" i="5"/>
  <c r="H1550" i="5"/>
  <c r="E1550" i="5"/>
  <c r="M1550" i="5"/>
  <c r="K1550" i="5"/>
  <c r="G1550" i="5"/>
  <c r="I1631" i="5"/>
  <c r="D1631" i="5"/>
  <c r="M1631" i="5"/>
  <c r="L1631" i="5"/>
  <c r="H1631" i="5"/>
  <c r="J1631" i="5"/>
  <c r="G1631" i="5"/>
  <c r="F1631" i="5"/>
  <c r="B1631" i="5"/>
  <c r="K1631" i="5"/>
  <c r="E1631" i="5"/>
  <c r="C1631" i="5"/>
  <c r="M1137" i="5"/>
  <c r="M1149" i="5"/>
  <c r="M1161" i="5"/>
  <c r="G1167" i="5"/>
  <c r="M1173" i="5"/>
  <c r="G1179" i="5"/>
  <c r="M1185" i="5"/>
  <c r="G1191" i="5"/>
  <c r="M1197" i="5"/>
  <c r="G1203" i="5"/>
  <c r="M1209" i="5"/>
  <c r="G1215" i="5"/>
  <c r="M1221" i="5"/>
  <c r="G1227" i="5"/>
  <c r="M1233" i="5"/>
  <c r="H1239" i="5"/>
  <c r="J1309" i="5"/>
  <c r="K1317" i="5"/>
  <c r="J1323" i="5"/>
  <c r="K1331" i="5"/>
  <c r="I1339" i="5"/>
  <c r="I1342" i="5"/>
  <c r="H1342" i="5"/>
  <c r="C1342" i="5"/>
  <c r="C1348" i="5"/>
  <c r="B1348" i="5"/>
  <c r="K1348" i="5"/>
  <c r="G1348" i="5"/>
  <c r="I1352" i="5"/>
  <c r="J1365" i="5"/>
  <c r="I1365" i="5"/>
  <c r="H1365" i="5"/>
  <c r="K1390" i="5"/>
  <c r="K1395" i="5"/>
  <c r="L1399" i="5"/>
  <c r="K1399" i="5"/>
  <c r="G1399" i="5"/>
  <c r="C1399" i="5"/>
  <c r="H1403" i="5"/>
  <c r="G1403" i="5"/>
  <c r="M1403" i="5"/>
  <c r="I1403" i="5"/>
  <c r="C1408" i="5"/>
  <c r="B1408" i="5"/>
  <c r="F1408" i="5"/>
  <c r="H1427" i="5"/>
  <c r="G1427" i="5"/>
  <c r="K1427" i="5"/>
  <c r="E1427" i="5"/>
  <c r="D1427" i="5"/>
  <c r="C1427" i="5"/>
  <c r="H1438" i="5"/>
  <c r="D1438" i="5"/>
  <c r="L1438" i="5"/>
  <c r="K1438" i="5"/>
  <c r="J1438" i="5"/>
  <c r="E1438" i="5"/>
  <c r="C1438" i="5"/>
  <c r="B1438" i="5"/>
  <c r="H1474" i="5"/>
  <c r="D1474" i="5"/>
  <c r="K1474" i="5"/>
  <c r="J1474" i="5"/>
  <c r="I1474" i="5"/>
  <c r="M1474" i="5"/>
  <c r="L1474" i="5"/>
  <c r="G1474" i="5"/>
  <c r="F1474" i="5"/>
  <c r="L1748" i="5"/>
  <c r="B1748" i="5"/>
  <c r="I1748" i="5"/>
  <c r="K1748" i="5"/>
  <c r="J1748" i="5"/>
  <c r="F1748" i="5"/>
  <c r="M1748" i="5"/>
  <c r="H1748" i="5"/>
  <c r="G1748" i="5"/>
  <c r="E1748" i="5"/>
  <c r="D1748" i="5"/>
  <c r="L1309" i="5"/>
  <c r="D1311" i="5"/>
  <c r="C1311" i="5"/>
  <c r="M1311" i="5"/>
  <c r="L1317" i="5"/>
  <c r="H1319" i="5"/>
  <c r="G1319" i="5"/>
  <c r="F1319" i="5"/>
  <c r="K1323" i="5"/>
  <c r="L1331" i="5"/>
  <c r="F1333" i="5"/>
  <c r="E1333" i="5"/>
  <c r="I1333" i="5"/>
  <c r="L1352" i="5"/>
  <c r="D1359" i="5"/>
  <c r="C1359" i="5"/>
  <c r="I1359" i="5"/>
  <c r="E1359" i="5"/>
  <c r="K1376" i="5"/>
  <c r="J1376" i="5"/>
  <c r="L1376" i="5"/>
  <c r="F1376" i="5"/>
  <c r="F1381" i="5"/>
  <c r="E1381" i="5"/>
  <c r="C1381" i="5"/>
  <c r="M1381" i="5"/>
  <c r="L1395" i="5"/>
  <c r="D1419" i="5"/>
  <c r="C1419" i="5"/>
  <c r="B1419" i="5"/>
  <c r="L1419" i="5"/>
  <c r="K1419" i="5"/>
  <c r="J1419" i="5"/>
  <c r="L1446" i="5"/>
  <c r="H1446" i="5"/>
  <c r="F1446" i="5"/>
  <c r="E1446" i="5"/>
  <c r="B1446" i="5"/>
  <c r="M1446" i="5"/>
  <c r="K1446" i="5"/>
  <c r="J1472" i="5"/>
  <c r="F1472" i="5"/>
  <c r="H1472" i="5"/>
  <c r="G1472" i="5"/>
  <c r="E1472" i="5"/>
  <c r="C1472" i="5"/>
  <c r="B1472" i="5"/>
  <c r="K1483" i="5"/>
  <c r="G1483" i="5"/>
  <c r="E1483" i="5"/>
  <c r="D1483" i="5"/>
  <c r="C1483" i="5"/>
  <c r="M1483" i="5"/>
  <c r="L1483" i="5"/>
  <c r="J1483" i="5"/>
  <c r="I1483" i="5"/>
  <c r="C1563" i="5"/>
  <c r="K1563" i="5"/>
  <c r="L1563" i="5"/>
  <c r="J1563" i="5"/>
  <c r="I1563" i="5"/>
  <c r="F1563" i="5"/>
  <c r="M1563" i="5"/>
  <c r="H1563" i="5"/>
  <c r="G1563" i="5"/>
  <c r="E1563" i="5"/>
  <c r="D1563" i="5"/>
  <c r="G1729" i="5"/>
  <c r="B1729" i="5"/>
  <c r="J1729" i="5"/>
  <c r="M1729" i="5"/>
  <c r="I1729" i="5"/>
  <c r="K1729" i="5"/>
  <c r="H1729" i="5"/>
  <c r="F1729" i="5"/>
  <c r="E1729" i="5"/>
  <c r="D1729" i="5"/>
  <c r="C1729" i="5"/>
  <c r="I1167" i="5"/>
  <c r="I1179" i="5"/>
  <c r="I1191" i="5"/>
  <c r="I1203" i="5"/>
  <c r="I1215" i="5"/>
  <c r="I1227" i="5"/>
  <c r="J1239" i="5"/>
  <c r="J1240" i="5"/>
  <c r="J1241" i="5"/>
  <c r="J1242" i="5"/>
  <c r="J1243" i="5"/>
  <c r="I1245" i="5"/>
  <c r="I1246" i="5"/>
  <c r="I1247" i="5"/>
  <c r="J1248" i="5"/>
  <c r="J1249" i="5"/>
  <c r="J1250" i="5"/>
  <c r="J1251" i="5"/>
  <c r="J1252" i="5"/>
  <c r="J1253" i="5"/>
  <c r="J1254" i="5"/>
  <c r="J1255" i="5"/>
  <c r="I1257" i="5"/>
  <c r="I1258" i="5"/>
  <c r="I1259" i="5"/>
  <c r="J1260" i="5"/>
  <c r="J1261" i="5"/>
  <c r="J1262" i="5"/>
  <c r="J1263" i="5"/>
  <c r="J1264" i="5"/>
  <c r="J1265" i="5"/>
  <c r="J1266" i="5"/>
  <c r="J1267" i="5"/>
  <c r="I1269" i="5"/>
  <c r="I1270" i="5"/>
  <c r="I1271" i="5"/>
  <c r="J1272" i="5"/>
  <c r="J1273" i="5"/>
  <c r="J1274" i="5"/>
  <c r="J1275" i="5"/>
  <c r="J1276" i="5"/>
  <c r="J1277" i="5"/>
  <c r="J1278" i="5"/>
  <c r="J1279" i="5"/>
  <c r="I1281" i="5"/>
  <c r="I1282" i="5"/>
  <c r="I1283" i="5"/>
  <c r="J1284" i="5"/>
  <c r="J1285" i="5"/>
  <c r="J1286" i="5"/>
  <c r="J1287" i="5"/>
  <c r="J1288" i="5"/>
  <c r="J1289" i="5"/>
  <c r="J1290" i="5"/>
  <c r="J1291" i="5"/>
  <c r="I1293" i="5"/>
  <c r="I1294" i="5"/>
  <c r="I1295" i="5"/>
  <c r="J1296" i="5"/>
  <c r="J1297" i="5"/>
  <c r="J1298" i="5"/>
  <c r="J1299" i="5"/>
  <c r="J1300" i="5"/>
  <c r="J1301" i="5"/>
  <c r="J1302" i="5"/>
  <c r="J1303" i="5"/>
  <c r="I1305" i="5"/>
  <c r="I1306" i="5"/>
  <c r="I1307" i="5"/>
  <c r="B1311" i="5"/>
  <c r="B1319" i="5"/>
  <c r="B1333" i="5"/>
  <c r="J1341" i="5"/>
  <c r="I1341" i="5"/>
  <c r="B1341" i="5"/>
  <c r="D1342" i="5"/>
  <c r="D1347" i="5"/>
  <c r="C1347" i="5"/>
  <c r="J1347" i="5"/>
  <c r="E1348" i="5"/>
  <c r="I1354" i="5"/>
  <c r="H1354" i="5"/>
  <c r="B1354" i="5"/>
  <c r="L1354" i="5"/>
  <c r="B1359" i="5"/>
  <c r="C1365" i="5"/>
  <c r="B1376" i="5"/>
  <c r="B1381" i="5"/>
  <c r="L1387" i="5"/>
  <c r="K1387" i="5"/>
  <c r="H1387" i="5"/>
  <c r="D1387" i="5"/>
  <c r="H1391" i="5"/>
  <c r="G1391" i="5"/>
  <c r="J1391" i="5"/>
  <c r="D1399" i="5"/>
  <c r="C1403" i="5"/>
  <c r="E1408" i="5"/>
  <c r="J1413" i="5"/>
  <c r="I1413" i="5"/>
  <c r="H1413" i="5"/>
  <c r="D1413" i="5"/>
  <c r="C1413" i="5"/>
  <c r="B1413" i="5"/>
  <c r="E1419" i="5"/>
  <c r="F1427" i="5"/>
  <c r="F1429" i="5"/>
  <c r="E1429" i="5"/>
  <c r="M1429" i="5"/>
  <c r="I1429" i="5"/>
  <c r="H1429" i="5"/>
  <c r="G1429" i="5"/>
  <c r="G1438" i="5"/>
  <c r="C1446" i="5"/>
  <c r="I1461" i="5"/>
  <c r="E1461" i="5"/>
  <c r="K1461" i="5"/>
  <c r="J1461" i="5"/>
  <c r="H1461" i="5"/>
  <c r="M1461" i="5"/>
  <c r="G1461" i="5"/>
  <c r="F1461" i="5"/>
  <c r="D1461" i="5"/>
  <c r="C1461" i="5"/>
  <c r="D1472" i="5"/>
  <c r="C1474" i="5"/>
  <c r="B1483" i="5"/>
  <c r="B1516" i="5"/>
  <c r="J1516" i="5"/>
  <c r="M1516" i="5"/>
  <c r="L1516" i="5"/>
  <c r="H1516" i="5"/>
  <c r="K1516" i="5"/>
  <c r="I1516" i="5"/>
  <c r="G1516" i="5"/>
  <c r="F1516" i="5"/>
  <c r="E1516" i="5"/>
  <c r="D1516" i="5"/>
  <c r="C1516" i="5"/>
  <c r="H1522" i="5"/>
  <c r="D1522" i="5"/>
  <c r="F1522" i="5"/>
  <c r="E1522" i="5"/>
  <c r="C1522" i="5"/>
  <c r="M1522" i="5"/>
  <c r="L1522" i="5"/>
  <c r="K1522" i="5"/>
  <c r="J1522" i="5"/>
  <c r="B1563" i="5"/>
  <c r="H1582" i="5"/>
  <c r="D1582" i="5"/>
  <c r="E1582" i="5"/>
  <c r="C1582" i="5"/>
  <c r="B1582" i="5"/>
  <c r="M1582" i="5"/>
  <c r="L1582" i="5"/>
  <c r="K1582" i="5"/>
  <c r="J1582" i="5"/>
  <c r="I1582" i="5"/>
  <c r="G1582" i="5"/>
  <c r="F1598" i="5"/>
  <c r="H1598" i="5"/>
  <c r="C1598" i="5"/>
  <c r="L1598" i="5"/>
  <c r="K1598" i="5"/>
  <c r="J1598" i="5"/>
  <c r="E1598" i="5"/>
  <c r="M1598" i="5"/>
  <c r="I1598" i="5"/>
  <c r="D1720" i="5"/>
  <c r="K1720" i="5"/>
  <c r="J1720" i="5"/>
  <c r="I1720" i="5"/>
  <c r="F1720" i="5"/>
  <c r="M1720" i="5"/>
  <c r="L1720" i="5"/>
  <c r="H1720" i="5"/>
  <c r="L1729" i="5"/>
  <c r="D1768" i="5"/>
  <c r="B1768" i="5"/>
  <c r="K1768" i="5"/>
  <c r="J1768" i="5"/>
  <c r="I1768" i="5"/>
  <c r="H1768" i="5"/>
  <c r="F1768" i="5"/>
  <c r="E1768" i="5"/>
  <c r="K1773" i="5"/>
  <c r="B1773" i="5"/>
  <c r="J1773" i="5"/>
  <c r="I1773" i="5"/>
  <c r="H1773" i="5"/>
  <c r="G1773" i="5"/>
  <c r="E1773" i="5"/>
  <c r="D1773" i="5"/>
  <c r="M1773" i="5"/>
  <c r="L1773" i="5"/>
  <c r="E1310" i="5"/>
  <c r="D1310" i="5"/>
  <c r="L1310" i="5"/>
  <c r="E1311" i="5"/>
  <c r="I1318" i="5"/>
  <c r="H1318" i="5"/>
  <c r="E1318" i="5"/>
  <c r="C1319" i="5"/>
  <c r="C1324" i="5"/>
  <c r="B1324" i="5"/>
  <c r="M1324" i="5"/>
  <c r="G1332" i="5"/>
  <c r="F1332" i="5"/>
  <c r="H1332" i="5"/>
  <c r="C1333" i="5"/>
  <c r="F1359" i="5"/>
  <c r="K1364" i="5"/>
  <c r="J1364" i="5"/>
  <c r="M1364" i="5"/>
  <c r="G1364" i="5"/>
  <c r="F1369" i="5"/>
  <c r="E1369" i="5"/>
  <c r="D1369" i="5"/>
  <c r="C1376" i="5"/>
  <c r="D1381" i="5"/>
  <c r="I1402" i="5"/>
  <c r="H1402" i="5"/>
  <c r="L1402" i="5"/>
  <c r="F1402" i="5"/>
  <c r="D1407" i="5"/>
  <c r="C1407" i="5"/>
  <c r="E1407" i="5"/>
  <c r="M1407" i="5"/>
  <c r="F1419" i="5"/>
  <c r="D1446" i="5"/>
  <c r="J1448" i="5"/>
  <c r="F1448" i="5"/>
  <c r="I1448" i="5"/>
  <c r="H1448" i="5"/>
  <c r="L1448" i="5"/>
  <c r="D1448" i="5"/>
  <c r="C1448" i="5"/>
  <c r="B1448" i="5"/>
  <c r="I1472" i="5"/>
  <c r="F1483" i="5"/>
  <c r="I1533" i="5"/>
  <c r="E1533" i="5"/>
  <c r="D1533" i="5"/>
  <c r="C1533" i="5"/>
  <c r="B1533" i="5"/>
  <c r="M1533" i="5"/>
  <c r="L1533" i="5"/>
  <c r="K1533" i="5"/>
  <c r="J1533" i="5"/>
  <c r="D1574" i="5"/>
  <c r="L1574" i="5"/>
  <c r="J1574" i="5"/>
  <c r="I1574" i="5"/>
  <c r="H1574" i="5"/>
  <c r="E1574" i="5"/>
  <c r="M1574" i="5"/>
  <c r="K1574" i="5"/>
  <c r="G1574" i="5"/>
  <c r="F1574" i="5"/>
  <c r="C1574" i="5"/>
  <c r="B1574" i="5"/>
  <c r="C1661" i="5"/>
  <c r="J1661" i="5"/>
  <c r="D1661" i="5"/>
  <c r="B1661" i="5"/>
  <c r="M1661" i="5"/>
  <c r="L1661" i="5"/>
  <c r="K1661" i="5"/>
  <c r="I1661" i="5"/>
  <c r="H1661" i="5"/>
  <c r="G1661" i="5"/>
  <c r="F1661" i="5"/>
  <c r="E1661" i="5"/>
  <c r="C1757" i="5"/>
  <c r="B1757" i="5"/>
  <c r="J1757" i="5"/>
  <c r="E1757" i="5"/>
  <c r="D1757" i="5"/>
  <c r="M1757" i="5"/>
  <c r="L1757" i="5"/>
  <c r="K1757" i="5"/>
  <c r="F1311" i="5"/>
  <c r="D1319" i="5"/>
  <c r="D1333" i="5"/>
  <c r="L1339" i="5"/>
  <c r="K1339" i="5"/>
  <c r="E1346" i="5"/>
  <c r="D1346" i="5"/>
  <c r="I1346" i="5"/>
  <c r="E1358" i="5"/>
  <c r="D1358" i="5"/>
  <c r="H1358" i="5"/>
  <c r="B1358" i="5"/>
  <c r="G1359" i="5"/>
  <c r="B1364" i="5"/>
  <c r="B1369" i="5"/>
  <c r="L1375" i="5"/>
  <c r="K1375" i="5"/>
  <c r="I1375" i="5"/>
  <c r="E1375" i="5"/>
  <c r="D1376" i="5"/>
  <c r="G1380" i="5"/>
  <c r="F1380" i="5"/>
  <c r="B1380" i="5"/>
  <c r="L1380" i="5"/>
  <c r="G1381" i="5"/>
  <c r="B1407" i="5"/>
  <c r="H1415" i="5"/>
  <c r="G1415" i="5"/>
  <c r="L1415" i="5"/>
  <c r="F1415" i="5"/>
  <c r="E1415" i="5"/>
  <c r="D1415" i="5"/>
  <c r="G1419" i="5"/>
  <c r="C1432" i="5"/>
  <c r="B1432" i="5"/>
  <c r="D1432" i="5"/>
  <c r="L1432" i="5"/>
  <c r="K1432" i="5"/>
  <c r="J1432" i="5"/>
  <c r="G1446" i="5"/>
  <c r="E1448" i="5"/>
  <c r="F1452" i="5"/>
  <c r="B1452" i="5"/>
  <c r="M1452" i="5"/>
  <c r="J1452" i="5"/>
  <c r="I1452" i="5"/>
  <c r="E1452" i="5"/>
  <c r="D1452" i="5"/>
  <c r="C1452" i="5"/>
  <c r="K1472" i="5"/>
  <c r="G1475" i="5"/>
  <c r="C1475" i="5"/>
  <c r="L1475" i="5"/>
  <c r="K1475" i="5"/>
  <c r="J1475" i="5"/>
  <c r="D1475" i="5"/>
  <c r="B1475" i="5"/>
  <c r="H1483" i="5"/>
  <c r="F1488" i="5"/>
  <c r="B1488" i="5"/>
  <c r="L1488" i="5"/>
  <c r="K1488" i="5"/>
  <c r="J1488" i="5"/>
  <c r="G1488" i="5"/>
  <c r="M1488" i="5"/>
  <c r="I1488" i="5"/>
  <c r="H1488" i="5"/>
  <c r="E1488" i="5"/>
  <c r="J1508" i="5"/>
  <c r="F1508" i="5"/>
  <c r="D1508" i="5"/>
  <c r="C1508" i="5"/>
  <c r="B1508" i="5"/>
  <c r="M1508" i="5"/>
  <c r="L1508" i="5"/>
  <c r="K1508" i="5"/>
  <c r="I1508" i="5"/>
  <c r="H1508" i="5"/>
  <c r="F1533" i="5"/>
  <c r="H1546" i="5"/>
  <c r="D1546" i="5"/>
  <c r="F1546" i="5"/>
  <c r="E1546" i="5"/>
  <c r="C1546" i="5"/>
  <c r="M1546" i="5"/>
  <c r="L1546" i="5"/>
  <c r="K1546" i="5"/>
  <c r="J1546" i="5"/>
  <c r="I1546" i="5"/>
  <c r="G1546" i="5"/>
  <c r="L1578" i="5"/>
  <c r="H1578" i="5"/>
  <c r="M1578" i="5"/>
  <c r="K1578" i="5"/>
  <c r="G1578" i="5"/>
  <c r="J1578" i="5"/>
  <c r="I1578" i="5"/>
  <c r="F1578" i="5"/>
  <c r="E1578" i="5"/>
  <c r="H1596" i="5"/>
  <c r="G1596" i="5"/>
  <c r="C1596" i="5"/>
  <c r="F1596" i="5"/>
  <c r="E1596" i="5"/>
  <c r="D1596" i="5"/>
  <c r="M1596" i="5"/>
  <c r="L1596" i="5"/>
  <c r="I1727" i="5"/>
  <c r="B1727" i="5"/>
  <c r="J1727" i="5"/>
  <c r="H1727" i="5"/>
  <c r="G1727" i="5"/>
  <c r="D1727" i="5"/>
  <c r="M1727" i="5"/>
  <c r="L1727" i="5"/>
  <c r="K1727" i="5"/>
  <c r="F1727" i="5"/>
  <c r="E1727" i="5"/>
  <c r="F1757" i="5"/>
  <c r="K1947" i="5"/>
  <c r="H1947" i="5"/>
  <c r="L1947" i="5"/>
  <c r="E1947" i="5"/>
  <c r="D1947" i="5"/>
  <c r="M1947" i="5"/>
  <c r="J1947" i="5"/>
  <c r="F1947" i="5"/>
  <c r="C1947" i="5"/>
  <c r="I1947" i="5"/>
  <c r="G1947" i="5"/>
  <c r="K1952" i="5"/>
  <c r="F1952" i="5"/>
  <c r="M1952" i="5"/>
  <c r="E1952" i="5"/>
  <c r="C1952" i="5"/>
  <c r="B1952" i="5"/>
  <c r="L1952" i="5"/>
  <c r="J1952" i="5"/>
  <c r="I1952" i="5"/>
  <c r="H1952" i="5"/>
  <c r="G1952" i="5"/>
  <c r="F1309" i="5"/>
  <c r="E1309" i="5"/>
  <c r="K1309" i="5"/>
  <c r="J1317" i="5"/>
  <c r="I1317" i="5"/>
  <c r="D1317" i="5"/>
  <c r="D1323" i="5"/>
  <c r="C1323" i="5"/>
  <c r="L1323" i="5"/>
  <c r="H1331" i="5"/>
  <c r="G1331" i="5"/>
  <c r="E1331" i="5"/>
  <c r="K1352" i="5"/>
  <c r="J1352" i="5"/>
  <c r="H1352" i="5"/>
  <c r="I1390" i="5"/>
  <c r="H1390" i="5"/>
  <c r="M1390" i="5"/>
  <c r="G1390" i="5"/>
  <c r="D1395" i="5"/>
  <c r="C1395" i="5"/>
  <c r="F1395" i="5"/>
  <c r="I1426" i="5"/>
  <c r="H1426" i="5"/>
  <c r="J1426" i="5"/>
  <c r="D1426" i="5"/>
  <c r="C1426" i="5"/>
  <c r="B1426" i="5"/>
  <c r="G1439" i="5"/>
  <c r="C1439" i="5"/>
  <c r="M1439" i="5"/>
  <c r="L1439" i="5"/>
  <c r="I1439" i="5"/>
  <c r="H1439" i="5"/>
  <c r="F1439" i="5"/>
  <c r="H1486" i="5"/>
  <c r="D1486" i="5"/>
  <c r="J1486" i="5"/>
  <c r="I1486" i="5"/>
  <c r="G1486" i="5"/>
  <c r="C1486" i="5"/>
  <c r="M1486" i="5"/>
  <c r="L1486" i="5"/>
  <c r="C1503" i="5"/>
  <c r="K1503" i="5"/>
  <c r="M1503" i="5"/>
  <c r="L1503" i="5"/>
  <c r="H1503" i="5"/>
  <c r="J1503" i="5"/>
  <c r="I1503" i="5"/>
  <c r="G1503" i="5"/>
  <c r="B1552" i="5"/>
  <c r="J1552" i="5"/>
  <c r="M1552" i="5"/>
  <c r="L1552" i="5"/>
  <c r="K1552" i="5"/>
  <c r="G1552" i="5"/>
  <c r="I1552" i="5"/>
  <c r="H1552" i="5"/>
  <c r="F1552" i="5"/>
  <c r="E1552" i="5"/>
  <c r="D1552" i="5"/>
  <c r="F1560" i="5"/>
  <c r="B1560" i="5"/>
  <c r="I1560" i="5"/>
  <c r="H1560" i="5"/>
  <c r="G1560" i="5"/>
  <c r="C1560" i="5"/>
  <c r="M1560" i="5"/>
  <c r="L1560" i="5"/>
  <c r="K1560" i="5"/>
  <c r="J1560" i="5"/>
  <c r="F1308" i="5"/>
  <c r="J1308" i="5"/>
  <c r="B1309" i="5"/>
  <c r="F1310" i="5"/>
  <c r="H1311" i="5"/>
  <c r="B1317" i="5"/>
  <c r="D1318" i="5"/>
  <c r="I1319" i="5"/>
  <c r="B1323" i="5"/>
  <c r="F1324" i="5"/>
  <c r="B1331" i="5"/>
  <c r="D1332" i="5"/>
  <c r="H1333" i="5"/>
  <c r="C1339" i="5"/>
  <c r="F1341" i="5"/>
  <c r="J1342" i="5"/>
  <c r="F1345" i="5"/>
  <c r="E1345" i="5"/>
  <c r="H1345" i="5"/>
  <c r="C1346" i="5"/>
  <c r="G1347" i="5"/>
  <c r="J1348" i="5"/>
  <c r="B1352" i="5"/>
  <c r="F1354" i="5"/>
  <c r="F1358" i="5"/>
  <c r="J1359" i="5"/>
  <c r="L1363" i="5"/>
  <c r="K1363" i="5"/>
  <c r="J1363" i="5"/>
  <c r="F1363" i="5"/>
  <c r="D1364" i="5"/>
  <c r="G1365" i="5"/>
  <c r="G1368" i="5"/>
  <c r="F1368" i="5"/>
  <c r="C1368" i="5"/>
  <c r="M1368" i="5"/>
  <c r="G1369" i="5"/>
  <c r="C1375" i="5"/>
  <c r="G1376" i="5"/>
  <c r="D1380" i="5"/>
  <c r="I1381" i="5"/>
  <c r="C1384" i="5"/>
  <c r="B1384" i="5"/>
  <c r="H1384" i="5"/>
  <c r="D1384" i="5"/>
  <c r="F1387" i="5"/>
  <c r="B1390" i="5"/>
  <c r="E1391" i="5"/>
  <c r="B1395" i="5"/>
  <c r="I1399" i="5"/>
  <c r="J1401" i="5"/>
  <c r="I1401" i="5"/>
  <c r="K1401" i="5"/>
  <c r="E1401" i="5"/>
  <c r="D1402" i="5"/>
  <c r="J1403" i="5"/>
  <c r="E1406" i="5"/>
  <c r="D1406" i="5"/>
  <c r="B1406" i="5"/>
  <c r="L1406" i="5"/>
  <c r="G1407" i="5"/>
  <c r="J1408" i="5"/>
  <c r="K1413" i="5"/>
  <c r="C1415" i="5"/>
  <c r="F1417" i="5"/>
  <c r="E1417" i="5"/>
  <c r="J1417" i="5"/>
  <c r="I1417" i="5"/>
  <c r="H1417" i="5"/>
  <c r="I1419" i="5"/>
  <c r="E1426" i="5"/>
  <c r="M1427" i="5"/>
  <c r="J1429" i="5"/>
  <c r="F1432" i="5"/>
  <c r="B1439" i="5"/>
  <c r="J1446" i="5"/>
  <c r="K1448" i="5"/>
  <c r="H1452" i="5"/>
  <c r="M1472" i="5"/>
  <c r="F1475" i="5"/>
  <c r="B1486" i="5"/>
  <c r="D1488" i="5"/>
  <c r="G1499" i="5"/>
  <c r="C1499" i="5"/>
  <c r="J1499" i="5"/>
  <c r="I1499" i="5"/>
  <c r="H1499" i="5"/>
  <c r="D1499" i="5"/>
  <c r="M1499" i="5"/>
  <c r="L1499" i="5"/>
  <c r="K1499" i="5"/>
  <c r="F1499" i="5"/>
  <c r="E1499" i="5"/>
  <c r="B1499" i="5"/>
  <c r="B1503" i="5"/>
  <c r="G1508" i="5"/>
  <c r="D1514" i="5"/>
  <c r="L1514" i="5"/>
  <c r="K1514" i="5"/>
  <c r="J1514" i="5"/>
  <c r="I1514" i="5"/>
  <c r="F1514" i="5"/>
  <c r="M1514" i="5"/>
  <c r="H1514" i="5"/>
  <c r="G1514" i="5"/>
  <c r="E1514" i="5"/>
  <c r="B1528" i="5"/>
  <c r="J1528" i="5"/>
  <c r="M1528" i="5"/>
  <c r="L1528" i="5"/>
  <c r="K1528" i="5"/>
  <c r="G1528" i="5"/>
  <c r="I1528" i="5"/>
  <c r="H1528" i="5"/>
  <c r="F1528" i="5"/>
  <c r="H1533" i="5"/>
  <c r="C1552" i="5"/>
  <c r="D1560" i="5"/>
  <c r="C1578" i="5"/>
  <c r="K1593" i="5"/>
  <c r="G1593" i="5"/>
  <c r="C1593" i="5"/>
  <c r="M1593" i="5"/>
  <c r="L1593" i="5"/>
  <c r="H1593" i="5"/>
  <c r="J1593" i="5"/>
  <c r="I1593" i="5"/>
  <c r="I1596" i="5"/>
  <c r="D1612" i="5"/>
  <c r="K1612" i="5"/>
  <c r="G1612" i="5"/>
  <c r="B1612" i="5"/>
  <c r="H1612" i="5"/>
  <c r="F1612" i="5"/>
  <c r="E1612" i="5"/>
  <c r="M1612" i="5"/>
  <c r="L1612" i="5"/>
  <c r="J1612" i="5"/>
  <c r="I1612" i="5"/>
  <c r="D1684" i="5"/>
  <c r="K1684" i="5"/>
  <c r="M1684" i="5"/>
  <c r="I1684" i="5"/>
  <c r="J1684" i="5"/>
  <c r="H1684" i="5"/>
  <c r="G1684" i="5"/>
  <c r="F1684" i="5"/>
  <c r="E1684" i="5"/>
  <c r="C1684" i="5"/>
  <c r="L1684" i="5"/>
  <c r="B1684" i="5"/>
  <c r="G1720" i="5"/>
  <c r="H1757" i="5"/>
  <c r="M1768" i="5"/>
  <c r="K1412" i="5"/>
  <c r="J1412" i="5"/>
  <c r="J1425" i="5"/>
  <c r="I1425" i="5"/>
  <c r="C1443" i="5"/>
  <c r="K1443" i="5"/>
  <c r="D1443" i="5"/>
  <c r="B1443" i="5"/>
  <c r="J1450" i="5"/>
  <c r="L1470" i="5"/>
  <c r="H1470" i="5"/>
  <c r="E1470" i="5"/>
  <c r="D1470" i="5"/>
  <c r="C1470" i="5"/>
  <c r="I1473" i="5"/>
  <c r="E1473" i="5"/>
  <c r="J1473" i="5"/>
  <c r="H1473" i="5"/>
  <c r="G1473" i="5"/>
  <c r="F1476" i="5"/>
  <c r="B1476" i="5"/>
  <c r="M1476" i="5"/>
  <c r="L1476" i="5"/>
  <c r="K1476" i="5"/>
  <c r="I1485" i="5"/>
  <c r="E1485" i="5"/>
  <c r="H1485" i="5"/>
  <c r="G1485" i="5"/>
  <c r="F1485" i="5"/>
  <c r="B1485" i="5"/>
  <c r="J1496" i="5"/>
  <c r="F1496" i="5"/>
  <c r="E1496" i="5"/>
  <c r="D1496" i="5"/>
  <c r="C1496" i="5"/>
  <c r="D1502" i="5"/>
  <c r="L1502" i="5"/>
  <c r="M1502" i="5"/>
  <c r="K1502" i="5"/>
  <c r="J1502" i="5"/>
  <c r="G1502" i="5"/>
  <c r="F1524" i="5"/>
  <c r="B1524" i="5"/>
  <c r="I1524" i="5"/>
  <c r="H1524" i="5"/>
  <c r="G1524" i="5"/>
  <c r="C1524" i="5"/>
  <c r="H1570" i="5"/>
  <c r="D1570" i="5"/>
  <c r="F1570" i="5"/>
  <c r="E1570" i="5"/>
  <c r="C1570" i="5"/>
  <c r="H1584" i="5"/>
  <c r="G1584" i="5"/>
  <c r="C1584" i="5"/>
  <c r="J1584" i="5"/>
  <c r="I1584" i="5"/>
  <c r="F1584" i="5"/>
  <c r="B1584" i="5"/>
  <c r="F1586" i="5"/>
  <c r="H1586" i="5"/>
  <c r="C1586" i="5"/>
  <c r="M1586" i="5"/>
  <c r="L1586" i="5"/>
  <c r="I1586" i="5"/>
  <c r="C1589" i="5"/>
  <c r="H1589" i="5"/>
  <c r="D1589" i="5"/>
  <c r="G1589" i="5"/>
  <c r="F1589" i="5"/>
  <c r="E1589" i="5"/>
  <c r="B1602" i="5"/>
  <c r="I1602" i="5"/>
  <c r="K1602" i="5"/>
  <c r="F1602" i="5"/>
  <c r="J1602" i="5"/>
  <c r="H1602" i="5"/>
  <c r="G1602" i="5"/>
  <c r="C1602" i="5"/>
  <c r="K1617" i="5"/>
  <c r="F1617" i="5"/>
  <c r="L1617" i="5"/>
  <c r="G1617" i="5"/>
  <c r="E1617" i="5"/>
  <c r="D1617" i="5"/>
  <c r="C1617" i="5"/>
  <c r="D1636" i="5"/>
  <c r="K1636" i="5"/>
  <c r="E1636" i="5"/>
  <c r="C1636" i="5"/>
  <c r="M1636" i="5"/>
  <c r="L1636" i="5"/>
  <c r="J1636" i="5"/>
  <c r="H1636" i="5"/>
  <c r="G1636" i="5"/>
  <c r="H1680" i="5"/>
  <c r="C1680" i="5"/>
  <c r="J1680" i="5"/>
  <c r="I1680" i="5"/>
  <c r="E1680" i="5"/>
  <c r="L1680" i="5"/>
  <c r="K1680" i="5"/>
  <c r="G1680" i="5"/>
  <c r="F1680" i="5"/>
  <c r="D1680" i="5"/>
  <c r="B1680" i="5"/>
  <c r="J1702" i="5"/>
  <c r="E1702" i="5"/>
  <c r="D1702" i="5"/>
  <c r="C1702" i="5"/>
  <c r="M1702" i="5"/>
  <c r="L1702" i="5"/>
  <c r="K1702" i="5"/>
  <c r="I1702" i="5"/>
  <c r="H1702" i="5"/>
  <c r="G1702" i="5"/>
  <c r="F1754" i="5"/>
  <c r="B1754" i="5"/>
  <c r="J1754" i="5"/>
  <c r="L1754" i="5"/>
  <c r="K1754" i="5"/>
  <c r="G1754" i="5"/>
  <c r="M1754" i="5"/>
  <c r="I1754" i="5"/>
  <c r="L1411" i="5"/>
  <c r="K1411" i="5"/>
  <c r="B1412" i="5"/>
  <c r="K1424" i="5"/>
  <c r="J1424" i="5"/>
  <c r="B1425" i="5"/>
  <c r="I1437" i="5"/>
  <c r="K1437" i="5"/>
  <c r="J1437" i="5"/>
  <c r="E1443" i="5"/>
  <c r="B1470" i="5"/>
  <c r="B1473" i="5"/>
  <c r="C1476" i="5"/>
  <c r="L1482" i="5"/>
  <c r="H1482" i="5"/>
  <c r="D1482" i="5"/>
  <c r="C1482" i="5"/>
  <c r="B1482" i="5"/>
  <c r="M1482" i="5"/>
  <c r="C1485" i="5"/>
  <c r="B1496" i="5"/>
  <c r="B1502" i="5"/>
  <c r="I1521" i="5"/>
  <c r="E1521" i="5"/>
  <c r="D1521" i="5"/>
  <c r="C1521" i="5"/>
  <c r="B1521" i="5"/>
  <c r="M1521" i="5"/>
  <c r="C1527" i="5"/>
  <c r="K1527" i="5"/>
  <c r="L1527" i="5"/>
  <c r="J1527" i="5"/>
  <c r="I1527" i="5"/>
  <c r="F1527" i="5"/>
  <c r="D1538" i="5"/>
  <c r="L1538" i="5"/>
  <c r="J1538" i="5"/>
  <c r="I1538" i="5"/>
  <c r="H1538" i="5"/>
  <c r="E1538" i="5"/>
  <c r="B1570" i="5"/>
  <c r="B1576" i="5"/>
  <c r="J1576" i="5"/>
  <c r="M1576" i="5"/>
  <c r="L1576" i="5"/>
  <c r="K1576" i="5"/>
  <c r="G1576" i="5"/>
  <c r="D1584" i="5"/>
  <c r="B1586" i="5"/>
  <c r="B1589" i="5"/>
  <c r="L1592" i="5"/>
  <c r="G1592" i="5"/>
  <c r="C1592" i="5"/>
  <c r="K1592" i="5"/>
  <c r="J1592" i="5"/>
  <c r="I1592" i="5"/>
  <c r="E1592" i="5"/>
  <c r="D1602" i="5"/>
  <c r="H1608" i="5"/>
  <c r="C1608" i="5"/>
  <c r="B1608" i="5"/>
  <c r="L1608" i="5"/>
  <c r="K1608" i="5"/>
  <c r="J1608" i="5"/>
  <c r="I1608" i="5"/>
  <c r="E1608" i="5"/>
  <c r="B1617" i="5"/>
  <c r="B1636" i="5"/>
  <c r="H1668" i="5"/>
  <c r="C1668" i="5"/>
  <c r="K1668" i="5"/>
  <c r="J1668" i="5"/>
  <c r="F1668" i="5"/>
  <c r="M1668" i="5"/>
  <c r="L1668" i="5"/>
  <c r="I1668" i="5"/>
  <c r="G1668" i="5"/>
  <c r="E1668" i="5"/>
  <c r="J1678" i="5"/>
  <c r="E1678" i="5"/>
  <c r="G1678" i="5"/>
  <c r="F1678" i="5"/>
  <c r="B1678" i="5"/>
  <c r="M1678" i="5"/>
  <c r="L1678" i="5"/>
  <c r="K1678" i="5"/>
  <c r="M1680" i="5"/>
  <c r="B1702" i="5"/>
  <c r="C1709" i="5"/>
  <c r="J1709" i="5"/>
  <c r="M1709" i="5"/>
  <c r="L1709" i="5"/>
  <c r="H1709" i="5"/>
  <c r="I1709" i="5"/>
  <c r="G1709" i="5"/>
  <c r="F1709" i="5"/>
  <c r="E1709" i="5"/>
  <c r="D1709" i="5"/>
  <c r="B1709" i="5"/>
  <c r="C1733" i="5"/>
  <c r="B1733" i="5"/>
  <c r="J1733" i="5"/>
  <c r="I1733" i="5"/>
  <c r="H1733" i="5"/>
  <c r="E1733" i="5"/>
  <c r="M1733" i="5"/>
  <c r="L1733" i="5"/>
  <c r="K1733" i="5"/>
  <c r="G1733" i="5"/>
  <c r="F1733" i="5"/>
  <c r="C1754" i="5"/>
  <c r="K1761" i="5"/>
  <c r="B1761" i="5"/>
  <c r="J1761" i="5"/>
  <c r="I1761" i="5"/>
  <c r="M1761" i="5"/>
  <c r="G1761" i="5"/>
  <c r="L1761" i="5"/>
  <c r="H1761" i="5"/>
  <c r="F1357" i="5"/>
  <c r="E1357" i="5"/>
  <c r="E1370" i="5"/>
  <c r="D1370" i="5"/>
  <c r="D1383" i="5"/>
  <c r="C1383" i="5"/>
  <c r="C1396" i="5"/>
  <c r="B1396" i="5"/>
  <c r="B1411" i="5"/>
  <c r="C1412" i="5"/>
  <c r="L1423" i="5"/>
  <c r="K1423" i="5"/>
  <c r="B1424" i="5"/>
  <c r="C1425" i="5"/>
  <c r="K1436" i="5"/>
  <c r="J1436" i="5"/>
  <c r="B1437" i="5"/>
  <c r="F1443" i="5"/>
  <c r="K1447" i="5"/>
  <c r="G1447" i="5"/>
  <c r="H1447" i="5"/>
  <c r="F1447" i="5"/>
  <c r="G1451" i="5"/>
  <c r="C1451" i="5"/>
  <c r="M1451" i="5"/>
  <c r="L1451" i="5"/>
  <c r="J1460" i="5"/>
  <c r="F1460" i="5"/>
  <c r="I1460" i="5"/>
  <c r="H1460" i="5"/>
  <c r="G1460" i="5"/>
  <c r="G1463" i="5"/>
  <c r="C1463" i="5"/>
  <c r="M1463" i="5"/>
  <c r="L1463" i="5"/>
  <c r="K1463" i="5"/>
  <c r="F1470" i="5"/>
  <c r="C1473" i="5"/>
  <c r="D1476" i="5"/>
  <c r="E1482" i="5"/>
  <c r="D1485" i="5"/>
  <c r="G1487" i="5"/>
  <c r="C1487" i="5"/>
  <c r="K1487" i="5"/>
  <c r="J1487" i="5"/>
  <c r="I1487" i="5"/>
  <c r="E1487" i="5"/>
  <c r="G1496" i="5"/>
  <c r="C1502" i="5"/>
  <c r="F1521" i="5"/>
  <c r="E1524" i="5"/>
  <c r="B1527" i="5"/>
  <c r="B1538" i="5"/>
  <c r="F1548" i="5"/>
  <c r="B1548" i="5"/>
  <c r="I1548" i="5"/>
  <c r="H1548" i="5"/>
  <c r="G1548" i="5"/>
  <c r="C1548" i="5"/>
  <c r="G1570" i="5"/>
  <c r="C1576" i="5"/>
  <c r="E1584" i="5"/>
  <c r="D1586" i="5"/>
  <c r="I1589" i="5"/>
  <c r="B1592" i="5"/>
  <c r="G1597" i="5"/>
  <c r="H1597" i="5"/>
  <c r="C1597" i="5"/>
  <c r="J1597" i="5"/>
  <c r="I1597" i="5"/>
  <c r="F1597" i="5"/>
  <c r="B1597" i="5"/>
  <c r="E1599" i="5"/>
  <c r="H1599" i="5"/>
  <c r="C1599" i="5"/>
  <c r="M1599" i="5"/>
  <c r="L1599" i="5"/>
  <c r="I1599" i="5"/>
  <c r="E1602" i="5"/>
  <c r="D1608" i="5"/>
  <c r="H1617" i="5"/>
  <c r="F1636" i="5"/>
  <c r="B1668" i="5"/>
  <c r="C1678" i="5"/>
  <c r="G1681" i="5"/>
  <c r="B1681" i="5"/>
  <c r="K1681" i="5"/>
  <c r="J1681" i="5"/>
  <c r="F1681" i="5"/>
  <c r="M1681" i="5"/>
  <c r="L1681" i="5"/>
  <c r="I1681" i="5"/>
  <c r="K1689" i="5"/>
  <c r="F1689" i="5"/>
  <c r="D1689" i="5"/>
  <c r="C1689" i="5"/>
  <c r="L1689" i="5"/>
  <c r="J1689" i="5"/>
  <c r="I1689" i="5"/>
  <c r="H1689" i="5"/>
  <c r="G1689" i="5"/>
  <c r="E1689" i="5"/>
  <c r="F1702" i="5"/>
  <c r="E1707" i="5"/>
  <c r="L1707" i="5"/>
  <c r="J1707" i="5"/>
  <c r="I1707" i="5"/>
  <c r="F1707" i="5"/>
  <c r="M1707" i="5"/>
  <c r="K1707" i="5"/>
  <c r="H1707" i="5"/>
  <c r="K1709" i="5"/>
  <c r="D1733" i="5"/>
  <c r="J1738" i="5"/>
  <c r="B1738" i="5"/>
  <c r="I1738" i="5"/>
  <c r="D1738" i="5"/>
  <c r="C1738" i="5"/>
  <c r="M1738" i="5"/>
  <c r="L1738" i="5"/>
  <c r="D1754" i="5"/>
  <c r="C1761" i="5"/>
  <c r="G1765" i="5"/>
  <c r="B1765" i="5"/>
  <c r="K1765" i="5"/>
  <c r="J1765" i="5"/>
  <c r="M1765" i="5"/>
  <c r="I1765" i="5"/>
  <c r="H1765" i="5"/>
  <c r="L1765" i="5"/>
  <c r="F1765" i="5"/>
  <c r="E1765" i="5"/>
  <c r="D1765" i="5"/>
  <c r="B1456" i="5"/>
  <c r="J1456" i="5"/>
  <c r="E1456" i="5"/>
  <c r="D1456" i="5"/>
  <c r="C1456" i="5"/>
  <c r="D1490" i="5"/>
  <c r="L1490" i="5"/>
  <c r="M1490" i="5"/>
  <c r="K1490" i="5"/>
  <c r="H1490" i="5"/>
  <c r="F1512" i="5"/>
  <c r="B1512" i="5"/>
  <c r="J1512" i="5"/>
  <c r="I1512" i="5"/>
  <c r="H1512" i="5"/>
  <c r="D1512" i="5"/>
  <c r="H1534" i="5"/>
  <c r="D1534" i="5"/>
  <c r="F1534" i="5"/>
  <c r="E1534" i="5"/>
  <c r="C1534" i="5"/>
  <c r="B1540" i="5"/>
  <c r="J1540" i="5"/>
  <c r="M1540" i="5"/>
  <c r="L1540" i="5"/>
  <c r="K1540" i="5"/>
  <c r="G1540" i="5"/>
  <c r="I1545" i="5"/>
  <c r="E1545" i="5"/>
  <c r="D1545" i="5"/>
  <c r="C1545" i="5"/>
  <c r="B1545" i="5"/>
  <c r="M1545" i="5"/>
  <c r="C1551" i="5"/>
  <c r="K1551" i="5"/>
  <c r="L1551" i="5"/>
  <c r="J1551" i="5"/>
  <c r="I1551" i="5"/>
  <c r="F1551" i="5"/>
  <c r="D1562" i="5"/>
  <c r="L1562" i="5"/>
  <c r="J1562" i="5"/>
  <c r="I1562" i="5"/>
  <c r="H1562" i="5"/>
  <c r="E1562" i="5"/>
  <c r="H1632" i="5"/>
  <c r="C1632" i="5"/>
  <c r="M1632" i="5"/>
  <c r="J1632" i="5"/>
  <c r="L1632" i="5"/>
  <c r="G1632" i="5"/>
  <c r="K1641" i="5"/>
  <c r="F1641" i="5"/>
  <c r="I1641" i="5"/>
  <c r="H1641" i="5"/>
  <c r="D1641" i="5"/>
  <c r="M1641" i="5"/>
  <c r="J1641" i="5"/>
  <c r="G1641" i="5"/>
  <c r="B1710" i="5"/>
  <c r="I1710" i="5"/>
  <c r="M1710" i="5"/>
  <c r="J1710" i="5"/>
  <c r="L1710" i="5"/>
  <c r="K1710" i="5"/>
  <c r="H1710" i="5"/>
  <c r="G1710" i="5"/>
  <c r="D1744" i="5"/>
  <c r="B1744" i="5"/>
  <c r="J1744" i="5"/>
  <c r="E1744" i="5"/>
  <c r="C1744" i="5"/>
  <c r="M1744" i="5"/>
  <c r="L1744" i="5"/>
  <c r="K1744" i="5"/>
  <c r="B1782" i="5"/>
  <c r="C1782" i="5"/>
  <c r="K1782" i="5"/>
  <c r="J1782" i="5"/>
  <c r="M1782" i="5"/>
  <c r="I1782" i="5"/>
  <c r="H1782" i="5"/>
  <c r="I1787" i="5"/>
  <c r="B1787" i="5"/>
  <c r="K1787" i="5"/>
  <c r="J1787" i="5"/>
  <c r="M1787" i="5"/>
  <c r="H1787" i="5"/>
  <c r="G1787" i="5"/>
  <c r="L1787" i="5"/>
  <c r="F1787" i="5"/>
  <c r="E1791" i="5"/>
  <c r="B1791" i="5"/>
  <c r="K1791" i="5"/>
  <c r="J1791" i="5"/>
  <c r="M1791" i="5"/>
  <c r="I1791" i="5"/>
  <c r="H1791" i="5"/>
  <c r="L1791" i="5"/>
  <c r="G1791" i="5"/>
  <c r="F1791" i="5"/>
  <c r="D1791" i="5"/>
  <c r="H1498" i="5"/>
  <c r="D1498" i="5"/>
  <c r="I1498" i="5"/>
  <c r="G1498" i="5"/>
  <c r="F1498" i="5"/>
  <c r="B1498" i="5"/>
  <c r="I1509" i="5"/>
  <c r="E1509" i="5"/>
  <c r="F1509" i="5"/>
  <c r="D1509" i="5"/>
  <c r="C1509" i="5"/>
  <c r="C1515" i="5"/>
  <c r="K1515" i="5"/>
  <c r="M1515" i="5"/>
  <c r="L1515" i="5"/>
  <c r="J1515" i="5"/>
  <c r="G1515" i="5"/>
  <c r="H1558" i="5"/>
  <c r="D1558" i="5"/>
  <c r="F1558" i="5"/>
  <c r="E1558" i="5"/>
  <c r="C1558" i="5"/>
  <c r="C1613" i="5"/>
  <c r="J1613" i="5"/>
  <c r="H1613" i="5"/>
  <c r="D1613" i="5"/>
  <c r="L1613" i="5"/>
  <c r="K1613" i="5"/>
  <c r="I1613" i="5"/>
  <c r="E1613" i="5"/>
  <c r="G1693" i="5"/>
  <c r="B1693" i="5"/>
  <c r="J1693" i="5"/>
  <c r="I1693" i="5"/>
  <c r="E1693" i="5"/>
  <c r="M1693" i="5"/>
  <c r="L1693" i="5"/>
  <c r="K1693" i="5"/>
  <c r="H1693" i="5"/>
  <c r="F1693" i="5"/>
  <c r="G1777" i="5"/>
  <c r="B1777" i="5"/>
  <c r="K1777" i="5"/>
  <c r="J1777" i="5"/>
  <c r="I1777" i="5"/>
  <c r="H1777" i="5"/>
  <c r="E1777" i="5"/>
  <c r="D1777" i="5"/>
  <c r="M1777" i="5"/>
  <c r="L1777" i="5"/>
  <c r="F1777" i="5"/>
  <c r="C1777" i="5"/>
  <c r="D1782" i="5"/>
  <c r="C1787" i="5"/>
  <c r="C1791" i="5"/>
  <c r="L1832" i="5"/>
  <c r="B1832" i="5"/>
  <c r="K1832" i="5"/>
  <c r="J1832" i="5"/>
  <c r="G1832" i="5"/>
  <c r="F1832" i="5"/>
  <c r="I1832" i="5"/>
  <c r="H1832" i="5"/>
  <c r="D1876" i="5"/>
  <c r="J1876" i="5"/>
  <c r="B1876" i="5"/>
  <c r="M1876" i="5"/>
  <c r="I1876" i="5"/>
  <c r="H1876" i="5"/>
  <c r="L1876" i="5"/>
  <c r="K1876" i="5"/>
  <c r="G1876" i="5"/>
  <c r="F1876" i="5"/>
  <c r="E1876" i="5"/>
  <c r="C1876" i="5"/>
  <c r="K1917" i="5"/>
  <c r="I1917" i="5"/>
  <c r="C1917" i="5"/>
  <c r="B1917" i="5"/>
  <c r="J1917" i="5"/>
  <c r="H1917" i="5"/>
  <c r="M1917" i="5"/>
  <c r="L1917" i="5"/>
  <c r="G1917" i="5"/>
  <c r="F1917" i="5"/>
  <c r="E1917" i="5"/>
  <c r="H1955" i="5"/>
  <c r="C1955" i="5"/>
  <c r="B1955" i="5"/>
  <c r="L1955" i="5"/>
  <c r="M1955" i="5"/>
  <c r="K1955" i="5"/>
  <c r="I1955" i="5"/>
  <c r="G1955" i="5"/>
  <c r="J1955" i="5"/>
  <c r="F1955" i="5"/>
  <c r="E1955" i="5"/>
  <c r="H1450" i="5"/>
  <c r="D1450" i="5"/>
  <c r="L1450" i="5"/>
  <c r="K1450" i="5"/>
  <c r="G1456" i="5"/>
  <c r="C1490" i="5"/>
  <c r="K1495" i="5"/>
  <c r="G1495" i="5"/>
  <c r="D1495" i="5"/>
  <c r="C1495" i="5"/>
  <c r="B1495" i="5"/>
  <c r="M1495" i="5"/>
  <c r="C1498" i="5"/>
  <c r="B1509" i="5"/>
  <c r="B1515" i="5"/>
  <c r="B1558" i="5"/>
  <c r="B1564" i="5"/>
  <c r="J1564" i="5"/>
  <c r="M1564" i="5"/>
  <c r="L1564" i="5"/>
  <c r="K1564" i="5"/>
  <c r="G1564" i="5"/>
  <c r="I1569" i="5"/>
  <c r="E1569" i="5"/>
  <c r="D1569" i="5"/>
  <c r="C1569" i="5"/>
  <c r="B1569" i="5"/>
  <c r="M1569" i="5"/>
  <c r="F1572" i="5"/>
  <c r="B1572" i="5"/>
  <c r="I1572" i="5"/>
  <c r="H1572" i="5"/>
  <c r="G1572" i="5"/>
  <c r="C1572" i="5"/>
  <c r="I1583" i="5"/>
  <c r="G1583" i="5"/>
  <c r="C1583" i="5"/>
  <c r="F1583" i="5"/>
  <c r="E1583" i="5"/>
  <c r="D1583" i="5"/>
  <c r="L1604" i="5"/>
  <c r="G1604" i="5"/>
  <c r="K1604" i="5"/>
  <c r="F1604" i="5"/>
  <c r="M1604" i="5"/>
  <c r="J1604" i="5"/>
  <c r="E1604" i="5"/>
  <c r="B1613" i="5"/>
  <c r="C1625" i="5"/>
  <c r="J1625" i="5"/>
  <c r="G1625" i="5"/>
  <c r="F1625" i="5"/>
  <c r="B1625" i="5"/>
  <c r="K1625" i="5"/>
  <c r="D1632" i="5"/>
  <c r="C1641" i="5"/>
  <c r="H1656" i="5"/>
  <c r="C1656" i="5"/>
  <c r="L1656" i="5"/>
  <c r="K1656" i="5"/>
  <c r="G1656" i="5"/>
  <c r="M1656" i="5"/>
  <c r="I1656" i="5"/>
  <c r="F1656" i="5"/>
  <c r="C1693" i="5"/>
  <c r="E1719" i="5"/>
  <c r="L1719" i="5"/>
  <c r="I1719" i="5"/>
  <c r="H1719" i="5"/>
  <c r="D1719" i="5"/>
  <c r="M1719" i="5"/>
  <c r="K1719" i="5"/>
  <c r="J1719" i="5"/>
  <c r="G1719" i="5"/>
  <c r="F1719" i="5"/>
  <c r="C1719" i="5"/>
  <c r="H1740" i="5"/>
  <c r="B1740" i="5"/>
  <c r="J1740" i="5"/>
  <c r="I1740" i="5"/>
  <c r="G1740" i="5"/>
  <c r="D1740" i="5"/>
  <c r="M1740" i="5"/>
  <c r="L1740" i="5"/>
  <c r="K1740" i="5"/>
  <c r="F1740" i="5"/>
  <c r="E1740" i="5"/>
  <c r="C1740" i="5"/>
  <c r="I1751" i="5"/>
  <c r="B1751" i="5"/>
  <c r="J1751" i="5"/>
  <c r="D1751" i="5"/>
  <c r="C1751" i="5"/>
  <c r="M1751" i="5"/>
  <c r="L1751" i="5"/>
  <c r="K1751" i="5"/>
  <c r="I1907" i="5"/>
  <c r="J1907" i="5"/>
  <c r="F1907" i="5"/>
  <c r="E1907" i="5"/>
  <c r="L1907" i="5"/>
  <c r="K1907" i="5"/>
  <c r="M1907" i="5"/>
  <c r="H1907" i="5"/>
  <c r="G1907" i="5"/>
  <c r="D1907" i="5"/>
  <c r="L1327" i="5"/>
  <c r="K1327" i="5"/>
  <c r="K1340" i="5"/>
  <c r="J1340" i="5"/>
  <c r="J1353" i="5"/>
  <c r="I1353" i="5"/>
  <c r="G1357" i="5"/>
  <c r="I1366" i="5"/>
  <c r="H1366" i="5"/>
  <c r="G1370" i="5"/>
  <c r="H1379" i="5"/>
  <c r="G1379" i="5"/>
  <c r="G1383" i="5"/>
  <c r="G1392" i="5"/>
  <c r="F1392" i="5"/>
  <c r="G1396" i="5"/>
  <c r="F1405" i="5"/>
  <c r="E1405" i="5"/>
  <c r="F1411" i="5"/>
  <c r="G1412" i="5"/>
  <c r="E1418" i="5"/>
  <c r="D1418" i="5"/>
  <c r="E1423" i="5"/>
  <c r="F1424" i="5"/>
  <c r="G1425" i="5"/>
  <c r="D1431" i="5"/>
  <c r="C1431" i="5"/>
  <c r="E1436" i="5"/>
  <c r="F1437" i="5"/>
  <c r="J1443" i="5"/>
  <c r="E1447" i="5"/>
  <c r="B1450" i="5"/>
  <c r="F1451" i="5"/>
  <c r="H1456" i="5"/>
  <c r="K1459" i="5"/>
  <c r="G1459" i="5"/>
  <c r="H1459" i="5"/>
  <c r="F1459" i="5"/>
  <c r="E1459" i="5"/>
  <c r="E1460" i="5"/>
  <c r="H1462" i="5"/>
  <c r="D1462" i="5"/>
  <c r="L1462" i="5"/>
  <c r="K1462" i="5"/>
  <c r="J1462" i="5"/>
  <c r="F1463" i="5"/>
  <c r="K1470" i="5"/>
  <c r="L1473" i="5"/>
  <c r="I1476" i="5"/>
  <c r="J1482" i="5"/>
  <c r="M1485" i="5"/>
  <c r="H1487" i="5"/>
  <c r="E1490" i="5"/>
  <c r="E1495" i="5"/>
  <c r="L1496" i="5"/>
  <c r="E1498" i="5"/>
  <c r="F1500" i="5"/>
  <c r="B1500" i="5"/>
  <c r="K1500" i="5"/>
  <c r="J1500" i="5"/>
  <c r="I1500" i="5"/>
  <c r="E1500" i="5"/>
  <c r="I1502" i="5"/>
  <c r="G1509" i="5"/>
  <c r="G1512" i="5"/>
  <c r="D1515" i="5"/>
  <c r="K1521" i="5"/>
  <c r="M1524" i="5"/>
  <c r="D1526" i="5"/>
  <c r="L1526" i="5"/>
  <c r="J1526" i="5"/>
  <c r="I1526" i="5"/>
  <c r="H1526" i="5"/>
  <c r="E1526" i="5"/>
  <c r="H1527" i="5"/>
  <c r="I1534" i="5"/>
  <c r="K1538" i="5"/>
  <c r="E1540" i="5"/>
  <c r="H1545" i="5"/>
  <c r="K1548" i="5"/>
  <c r="E1551" i="5"/>
  <c r="G1558" i="5"/>
  <c r="F1562" i="5"/>
  <c r="C1564" i="5"/>
  <c r="F1569" i="5"/>
  <c r="L1570" i="5"/>
  <c r="D1572" i="5"/>
  <c r="C1575" i="5"/>
  <c r="K1575" i="5"/>
  <c r="L1575" i="5"/>
  <c r="J1575" i="5"/>
  <c r="I1575" i="5"/>
  <c r="F1575" i="5"/>
  <c r="H1576" i="5"/>
  <c r="B1583" i="5"/>
  <c r="G1585" i="5"/>
  <c r="H1585" i="5"/>
  <c r="C1585" i="5"/>
  <c r="L1585" i="5"/>
  <c r="K1585" i="5"/>
  <c r="J1585" i="5"/>
  <c r="E1585" i="5"/>
  <c r="K1586" i="5"/>
  <c r="M1589" i="5"/>
  <c r="M1592" i="5"/>
  <c r="L1597" i="5"/>
  <c r="G1599" i="5"/>
  <c r="C1601" i="5"/>
  <c r="J1601" i="5"/>
  <c r="I1601" i="5"/>
  <c r="E1601" i="5"/>
  <c r="F1601" i="5"/>
  <c r="D1601" i="5"/>
  <c r="B1601" i="5"/>
  <c r="B1604" i="5"/>
  <c r="G1609" i="5"/>
  <c r="B1609" i="5"/>
  <c r="D1609" i="5"/>
  <c r="M1609" i="5"/>
  <c r="L1609" i="5"/>
  <c r="I1609" i="5"/>
  <c r="F1613" i="5"/>
  <c r="J1618" i="5"/>
  <c r="E1618" i="5"/>
  <c r="M1618" i="5"/>
  <c r="H1618" i="5"/>
  <c r="K1618" i="5"/>
  <c r="I1618" i="5"/>
  <c r="G1618" i="5"/>
  <c r="C1618" i="5"/>
  <c r="D1625" i="5"/>
  <c r="L1628" i="5"/>
  <c r="G1628" i="5"/>
  <c r="I1628" i="5"/>
  <c r="H1628" i="5"/>
  <c r="D1628" i="5"/>
  <c r="K1628" i="5"/>
  <c r="J1628" i="5"/>
  <c r="F1628" i="5"/>
  <c r="B1628" i="5"/>
  <c r="E1632" i="5"/>
  <c r="E1641" i="5"/>
  <c r="D1648" i="5"/>
  <c r="K1648" i="5"/>
  <c r="C1648" i="5"/>
  <c r="B1648" i="5"/>
  <c r="M1648" i="5"/>
  <c r="L1648" i="5"/>
  <c r="J1648" i="5"/>
  <c r="H1648" i="5"/>
  <c r="G1648" i="5"/>
  <c r="B1656" i="5"/>
  <c r="H1681" i="5"/>
  <c r="D1693" i="5"/>
  <c r="G1707" i="5"/>
  <c r="E1710" i="5"/>
  <c r="B1719" i="5"/>
  <c r="B1722" i="5"/>
  <c r="C1722" i="5"/>
  <c r="J1722" i="5"/>
  <c r="M1722" i="5"/>
  <c r="I1722" i="5"/>
  <c r="L1722" i="5"/>
  <c r="K1722" i="5"/>
  <c r="H1722" i="5"/>
  <c r="G1722" i="5"/>
  <c r="F1722" i="5"/>
  <c r="E1722" i="5"/>
  <c r="H1738" i="5"/>
  <c r="G1741" i="5"/>
  <c r="B1741" i="5"/>
  <c r="J1741" i="5"/>
  <c r="L1741" i="5"/>
  <c r="K1741" i="5"/>
  <c r="F1741" i="5"/>
  <c r="M1741" i="5"/>
  <c r="H1744" i="5"/>
  <c r="E1751" i="5"/>
  <c r="F1782" i="5"/>
  <c r="E1787" i="5"/>
  <c r="C1829" i="5"/>
  <c r="B1829" i="5"/>
  <c r="J1829" i="5"/>
  <c r="I1829" i="5"/>
  <c r="F1829" i="5"/>
  <c r="E1829" i="5"/>
  <c r="M1829" i="5"/>
  <c r="L1829" i="5"/>
  <c r="D1832" i="5"/>
  <c r="E1899" i="5"/>
  <c r="J1899" i="5"/>
  <c r="M1899" i="5"/>
  <c r="L1899" i="5"/>
  <c r="H1899" i="5"/>
  <c r="G1899" i="5"/>
  <c r="C1899" i="5"/>
  <c r="B1899" i="5"/>
  <c r="B1907" i="5"/>
  <c r="J1484" i="5"/>
  <c r="F1484" i="5"/>
  <c r="I1497" i="5"/>
  <c r="E1497" i="5"/>
  <c r="H1510" i="5"/>
  <c r="D1510" i="5"/>
  <c r="G1523" i="5"/>
  <c r="C1523" i="5"/>
  <c r="G1535" i="5"/>
  <c r="C1535" i="5"/>
  <c r="G1547" i="5"/>
  <c r="C1547" i="5"/>
  <c r="G1559" i="5"/>
  <c r="C1559" i="5"/>
  <c r="G1571" i="5"/>
  <c r="C1571" i="5"/>
  <c r="E1623" i="5"/>
  <c r="L1623" i="5"/>
  <c r="D1623" i="5"/>
  <c r="C1623" i="5"/>
  <c r="L1640" i="5"/>
  <c r="G1640" i="5"/>
  <c r="H1640" i="5"/>
  <c r="F1640" i="5"/>
  <c r="C1640" i="5"/>
  <c r="I1643" i="5"/>
  <c r="D1643" i="5"/>
  <c r="L1643" i="5"/>
  <c r="K1643" i="5"/>
  <c r="G1643" i="5"/>
  <c r="L1652" i="5"/>
  <c r="G1652" i="5"/>
  <c r="F1652" i="5"/>
  <c r="E1652" i="5"/>
  <c r="B1652" i="5"/>
  <c r="I1655" i="5"/>
  <c r="D1655" i="5"/>
  <c r="K1655" i="5"/>
  <c r="J1655" i="5"/>
  <c r="F1655" i="5"/>
  <c r="E1671" i="5"/>
  <c r="L1671" i="5"/>
  <c r="M1671" i="5"/>
  <c r="I1671" i="5"/>
  <c r="L1676" i="5"/>
  <c r="G1676" i="5"/>
  <c r="D1676" i="5"/>
  <c r="C1676" i="5"/>
  <c r="D1696" i="5"/>
  <c r="K1696" i="5"/>
  <c r="M1696" i="5"/>
  <c r="L1696" i="5"/>
  <c r="H1696" i="5"/>
  <c r="G1705" i="5"/>
  <c r="B1705" i="5"/>
  <c r="I1705" i="5"/>
  <c r="H1705" i="5"/>
  <c r="D1705" i="5"/>
  <c r="J1714" i="5"/>
  <c r="E1714" i="5"/>
  <c r="C1714" i="5"/>
  <c r="B1714" i="5"/>
  <c r="M1714" i="5"/>
  <c r="L1736" i="5"/>
  <c r="B1736" i="5"/>
  <c r="I1736" i="5"/>
  <c r="M1736" i="5"/>
  <c r="H1736" i="5"/>
  <c r="B1746" i="5"/>
  <c r="C1746" i="5"/>
  <c r="J1746" i="5"/>
  <c r="I1746" i="5"/>
  <c r="H1746" i="5"/>
  <c r="E1746" i="5"/>
  <c r="G1753" i="5"/>
  <c r="B1753" i="5"/>
  <c r="J1753" i="5"/>
  <c r="I1753" i="5"/>
  <c r="H1753" i="5"/>
  <c r="D1753" i="5"/>
  <c r="C1769" i="5"/>
  <c r="B1769" i="5"/>
  <c r="K1769" i="5"/>
  <c r="J1769" i="5"/>
  <c r="M1769" i="5"/>
  <c r="I1769" i="5"/>
  <c r="H1769" i="5"/>
  <c r="E1803" i="5"/>
  <c r="B1803" i="5"/>
  <c r="K1803" i="5"/>
  <c r="J1803" i="5"/>
  <c r="I1803" i="5"/>
  <c r="H1803" i="5"/>
  <c r="F1803" i="5"/>
  <c r="D1803" i="5"/>
  <c r="B1854" i="5"/>
  <c r="J1854" i="5"/>
  <c r="G1854" i="5"/>
  <c r="M1854" i="5"/>
  <c r="I1854" i="5"/>
  <c r="H1854" i="5"/>
  <c r="L1854" i="5"/>
  <c r="G1885" i="5"/>
  <c r="J1885" i="5"/>
  <c r="L1885" i="5"/>
  <c r="K1885" i="5"/>
  <c r="I1885" i="5"/>
  <c r="H1885" i="5"/>
  <c r="D1885" i="5"/>
  <c r="C1885" i="5"/>
  <c r="D1900" i="5"/>
  <c r="J1900" i="5"/>
  <c r="M1900" i="5"/>
  <c r="L1900" i="5"/>
  <c r="K1900" i="5"/>
  <c r="G1900" i="5"/>
  <c r="F1900" i="5"/>
  <c r="I1900" i="5"/>
  <c r="H1900" i="5"/>
  <c r="E1900" i="5"/>
  <c r="C1900" i="5"/>
  <c r="F1910" i="5"/>
  <c r="J1910" i="5"/>
  <c r="K1910" i="5"/>
  <c r="I1910" i="5"/>
  <c r="M1910" i="5"/>
  <c r="L1910" i="5"/>
  <c r="E1910" i="5"/>
  <c r="D1910" i="5"/>
  <c r="D1942" i="5"/>
  <c r="I1942" i="5"/>
  <c r="G1942" i="5"/>
  <c r="L1942" i="5"/>
  <c r="K1942" i="5"/>
  <c r="J1942" i="5"/>
  <c r="H1942" i="5"/>
  <c r="C1942" i="5"/>
  <c r="B1942" i="5"/>
  <c r="E1635" i="5"/>
  <c r="L1635" i="5"/>
  <c r="C1635" i="5"/>
  <c r="B1635" i="5"/>
  <c r="M1635" i="5"/>
  <c r="I1667" i="5"/>
  <c r="D1667" i="5"/>
  <c r="J1667" i="5"/>
  <c r="H1667" i="5"/>
  <c r="E1667" i="5"/>
  <c r="H1692" i="5"/>
  <c r="C1692" i="5"/>
  <c r="I1692" i="5"/>
  <c r="G1692" i="5"/>
  <c r="D1692" i="5"/>
  <c r="K1701" i="5"/>
  <c r="F1701" i="5"/>
  <c r="C1701" i="5"/>
  <c r="B1701" i="5"/>
  <c r="M1701" i="5"/>
  <c r="F1742" i="5"/>
  <c r="B1742" i="5"/>
  <c r="J1742" i="5"/>
  <c r="M1742" i="5"/>
  <c r="I1742" i="5"/>
  <c r="L1760" i="5"/>
  <c r="B1760" i="5"/>
  <c r="J1760" i="5"/>
  <c r="I1760" i="5"/>
  <c r="H1760" i="5"/>
  <c r="G1760" i="5"/>
  <c r="D1760" i="5"/>
  <c r="C1781" i="5"/>
  <c r="B1781" i="5"/>
  <c r="K1781" i="5"/>
  <c r="J1781" i="5"/>
  <c r="I1781" i="5"/>
  <c r="H1781" i="5"/>
  <c r="F1781" i="5"/>
  <c r="E1781" i="5"/>
  <c r="L1796" i="5"/>
  <c r="B1796" i="5"/>
  <c r="J1796" i="5"/>
  <c r="I1796" i="5"/>
  <c r="M1796" i="5"/>
  <c r="H1796" i="5"/>
  <c r="G1796" i="5"/>
  <c r="I1847" i="5"/>
  <c r="B1847" i="5"/>
  <c r="M1847" i="5"/>
  <c r="J1847" i="5"/>
  <c r="H1847" i="5"/>
  <c r="G1847" i="5"/>
  <c r="F1847" i="5"/>
  <c r="E1847" i="5"/>
  <c r="D1847" i="5"/>
  <c r="C1847" i="5"/>
  <c r="D1852" i="5"/>
  <c r="J1852" i="5"/>
  <c r="E1852" i="5"/>
  <c r="I1852" i="5"/>
  <c r="H1852" i="5"/>
  <c r="C1852" i="5"/>
  <c r="B1852" i="5"/>
  <c r="E1970" i="5"/>
  <c r="L1970" i="5"/>
  <c r="C1970" i="5"/>
  <c r="J1970" i="5"/>
  <c r="I1970" i="5"/>
  <c r="F1970" i="5"/>
  <c r="D1970" i="5"/>
  <c r="M1970" i="5"/>
  <c r="G1970" i="5"/>
  <c r="B1970" i="5"/>
  <c r="L1975" i="5"/>
  <c r="G1975" i="5"/>
  <c r="I1975" i="5"/>
  <c r="E1975" i="5"/>
  <c r="J1975" i="5"/>
  <c r="F1975" i="5"/>
  <c r="D1975" i="5"/>
  <c r="C1975" i="5"/>
  <c r="K1975" i="5"/>
  <c r="H1975" i="5"/>
  <c r="B1662" i="5"/>
  <c r="I1662" i="5"/>
  <c r="E1662" i="5"/>
  <c r="D1662" i="5"/>
  <c r="E1683" i="5"/>
  <c r="L1683" i="5"/>
  <c r="M1683" i="5"/>
  <c r="K1683" i="5"/>
  <c r="H1683" i="5"/>
  <c r="L1688" i="5"/>
  <c r="G1688" i="5"/>
  <c r="C1688" i="5"/>
  <c r="B1688" i="5"/>
  <c r="M1688" i="5"/>
  <c r="C1721" i="5"/>
  <c r="J1721" i="5"/>
  <c r="L1721" i="5"/>
  <c r="K1721" i="5"/>
  <c r="G1721" i="5"/>
  <c r="K1749" i="5"/>
  <c r="B1749" i="5"/>
  <c r="I1749" i="5"/>
  <c r="M1749" i="5"/>
  <c r="H1749" i="5"/>
  <c r="E1755" i="5"/>
  <c r="B1755" i="5"/>
  <c r="J1755" i="5"/>
  <c r="M1755" i="5"/>
  <c r="I1755" i="5"/>
  <c r="J1774" i="5"/>
  <c r="B1774" i="5"/>
  <c r="K1774" i="5"/>
  <c r="I1774" i="5"/>
  <c r="M1774" i="5"/>
  <c r="H1774" i="5"/>
  <c r="G1774" i="5"/>
  <c r="G1825" i="5"/>
  <c r="B1825" i="5"/>
  <c r="E1825" i="5"/>
  <c r="D1825" i="5"/>
  <c r="M1825" i="5"/>
  <c r="K1825" i="5"/>
  <c r="J1825" i="5"/>
  <c r="D1864" i="5"/>
  <c r="J1864" i="5"/>
  <c r="C1864" i="5"/>
  <c r="E1864" i="5"/>
  <c r="B1864" i="5"/>
  <c r="M1864" i="5"/>
  <c r="L1864" i="5"/>
  <c r="K1864" i="5"/>
  <c r="F1940" i="5"/>
  <c r="I1940" i="5"/>
  <c r="D1940" i="5"/>
  <c r="G1940" i="5"/>
  <c r="E1940" i="5"/>
  <c r="L1940" i="5"/>
  <c r="K1940" i="5"/>
  <c r="M1940" i="5"/>
  <c r="AD59" i="7"/>
  <c r="R59" i="7"/>
  <c r="F59" i="7"/>
  <c r="AC59" i="7"/>
  <c r="Q59" i="7"/>
  <c r="E59" i="7"/>
  <c r="AB59" i="7"/>
  <c r="P59" i="7"/>
  <c r="D59" i="7"/>
  <c r="AA59" i="7"/>
  <c r="O59" i="7"/>
  <c r="C59" i="7"/>
  <c r="Z59" i="7"/>
  <c r="N59" i="7"/>
  <c r="AK59" i="7"/>
  <c r="Y59" i="7"/>
  <c r="M59" i="7"/>
  <c r="AG59" i="7"/>
  <c r="I59" i="7"/>
  <c r="AF59" i="7"/>
  <c r="H59" i="7"/>
  <c r="AE59" i="7"/>
  <c r="G59" i="7"/>
  <c r="X59" i="7"/>
  <c r="W59" i="7"/>
  <c r="V59" i="7"/>
  <c r="AH59" i="7"/>
  <c r="T59" i="7"/>
  <c r="L59" i="7"/>
  <c r="K59" i="7"/>
  <c r="S59" i="7"/>
  <c r="J59" i="7"/>
  <c r="AJ59" i="7"/>
  <c r="C1455" i="5"/>
  <c r="K1455" i="5"/>
  <c r="B1468" i="5"/>
  <c r="J1468" i="5"/>
  <c r="B1480" i="5"/>
  <c r="J1480" i="5"/>
  <c r="D1484" i="5"/>
  <c r="L1494" i="5"/>
  <c r="H1494" i="5"/>
  <c r="D1497" i="5"/>
  <c r="K1507" i="5"/>
  <c r="G1507" i="5"/>
  <c r="E1510" i="5"/>
  <c r="J1520" i="5"/>
  <c r="F1520" i="5"/>
  <c r="E1523" i="5"/>
  <c r="J1532" i="5"/>
  <c r="F1532" i="5"/>
  <c r="E1535" i="5"/>
  <c r="J1544" i="5"/>
  <c r="F1544" i="5"/>
  <c r="E1547" i="5"/>
  <c r="J1556" i="5"/>
  <c r="F1556" i="5"/>
  <c r="J1568" i="5"/>
  <c r="F1568" i="5"/>
  <c r="I1581" i="5"/>
  <c r="E1581" i="5"/>
  <c r="D1588" i="5"/>
  <c r="H1588" i="5"/>
  <c r="C1588" i="5"/>
  <c r="I1595" i="5"/>
  <c r="G1595" i="5"/>
  <c r="C1595" i="5"/>
  <c r="B1626" i="5"/>
  <c r="I1626" i="5"/>
  <c r="H1626" i="5"/>
  <c r="G1626" i="5"/>
  <c r="D1626" i="5"/>
  <c r="J1630" i="5"/>
  <c r="E1630" i="5"/>
  <c r="L1630" i="5"/>
  <c r="K1630" i="5"/>
  <c r="G1630" i="5"/>
  <c r="F1635" i="5"/>
  <c r="C1662" i="5"/>
  <c r="C1667" i="5"/>
  <c r="I1679" i="5"/>
  <c r="D1679" i="5"/>
  <c r="H1679" i="5"/>
  <c r="G1679" i="5"/>
  <c r="C1679" i="5"/>
  <c r="B1683" i="5"/>
  <c r="D1688" i="5"/>
  <c r="E1692" i="5"/>
  <c r="E1701" i="5"/>
  <c r="D1708" i="5"/>
  <c r="K1708" i="5"/>
  <c r="L1708" i="5"/>
  <c r="J1708" i="5"/>
  <c r="G1708" i="5"/>
  <c r="G1717" i="5"/>
  <c r="B1717" i="5"/>
  <c r="H1717" i="5"/>
  <c r="F1717" i="5"/>
  <c r="C1717" i="5"/>
  <c r="B1721" i="5"/>
  <c r="D1742" i="5"/>
  <c r="C1749" i="5"/>
  <c r="C1755" i="5"/>
  <c r="E1760" i="5"/>
  <c r="C1774" i="5"/>
  <c r="G1781" i="5"/>
  <c r="J1786" i="5"/>
  <c r="B1786" i="5"/>
  <c r="K1786" i="5"/>
  <c r="I1786" i="5"/>
  <c r="H1786" i="5"/>
  <c r="G1786" i="5"/>
  <c r="E1786" i="5"/>
  <c r="D1786" i="5"/>
  <c r="D1796" i="5"/>
  <c r="H1800" i="5"/>
  <c r="B1800" i="5"/>
  <c r="K1800" i="5"/>
  <c r="J1800" i="5"/>
  <c r="M1800" i="5"/>
  <c r="I1800" i="5"/>
  <c r="G1800" i="5"/>
  <c r="C1825" i="5"/>
  <c r="K1845" i="5"/>
  <c r="B1845" i="5"/>
  <c r="L1845" i="5"/>
  <c r="J1845" i="5"/>
  <c r="G1845" i="5"/>
  <c r="F1845" i="5"/>
  <c r="M1845" i="5"/>
  <c r="I1845" i="5"/>
  <c r="H1845" i="5"/>
  <c r="E1845" i="5"/>
  <c r="L1847" i="5"/>
  <c r="G1852" i="5"/>
  <c r="F1864" i="5"/>
  <c r="G1873" i="5"/>
  <c r="J1873" i="5"/>
  <c r="M1873" i="5"/>
  <c r="H1873" i="5"/>
  <c r="F1873" i="5"/>
  <c r="C1873" i="5"/>
  <c r="B1873" i="5"/>
  <c r="L1873" i="5"/>
  <c r="K1873" i="5"/>
  <c r="B1890" i="5"/>
  <c r="J1890" i="5"/>
  <c r="D1890" i="5"/>
  <c r="C1890" i="5"/>
  <c r="K1890" i="5"/>
  <c r="I1890" i="5"/>
  <c r="F1890" i="5"/>
  <c r="E1890" i="5"/>
  <c r="M1890" i="5"/>
  <c r="L1890" i="5"/>
  <c r="H1890" i="5"/>
  <c r="G1890" i="5"/>
  <c r="H1896" i="5"/>
  <c r="J1896" i="5"/>
  <c r="I1896" i="5"/>
  <c r="G1896" i="5"/>
  <c r="M1896" i="5"/>
  <c r="F1896" i="5"/>
  <c r="E1896" i="5"/>
  <c r="L1896" i="5"/>
  <c r="D1924" i="5"/>
  <c r="J1924" i="5"/>
  <c r="L1924" i="5"/>
  <c r="K1924" i="5"/>
  <c r="I1924" i="5"/>
  <c r="H1924" i="5"/>
  <c r="E1924" i="5"/>
  <c r="C1924" i="5"/>
  <c r="M1924" i="5"/>
  <c r="G1924" i="5"/>
  <c r="F1924" i="5"/>
  <c r="B1940" i="5"/>
  <c r="B1949" i="5"/>
  <c r="I1949" i="5"/>
  <c r="J1949" i="5"/>
  <c r="L1949" i="5"/>
  <c r="K1949" i="5"/>
  <c r="E1949" i="5"/>
  <c r="D1949" i="5"/>
  <c r="M1949" i="5"/>
  <c r="H1949" i="5"/>
  <c r="G1956" i="5"/>
  <c r="B1956" i="5"/>
  <c r="D1956" i="5"/>
  <c r="E1956" i="5"/>
  <c r="C1956" i="5"/>
  <c r="M1956" i="5"/>
  <c r="L1956" i="5"/>
  <c r="K1956" i="5"/>
  <c r="J1956" i="5"/>
  <c r="I1956" i="5"/>
  <c r="H1956" i="5"/>
  <c r="F1956" i="5"/>
  <c r="K1970" i="5"/>
  <c r="M1975" i="5"/>
  <c r="L1314" i="5"/>
  <c r="L1326" i="5"/>
  <c r="L1338" i="5"/>
  <c r="L1350" i="5"/>
  <c r="L1362" i="5"/>
  <c r="L1374" i="5"/>
  <c r="L1386" i="5"/>
  <c r="L1398" i="5"/>
  <c r="L1410" i="5"/>
  <c r="L1422" i="5"/>
  <c r="L1434" i="5"/>
  <c r="D1442" i="5"/>
  <c r="L1442" i="5"/>
  <c r="D1454" i="5"/>
  <c r="L1454" i="5"/>
  <c r="B1455" i="5"/>
  <c r="C1467" i="5"/>
  <c r="K1467" i="5"/>
  <c r="C1468" i="5"/>
  <c r="C1479" i="5"/>
  <c r="K1479" i="5"/>
  <c r="C1480" i="5"/>
  <c r="E1484" i="5"/>
  <c r="B1492" i="5"/>
  <c r="J1492" i="5"/>
  <c r="B1494" i="5"/>
  <c r="F1497" i="5"/>
  <c r="L1506" i="5"/>
  <c r="H1506" i="5"/>
  <c r="B1507" i="5"/>
  <c r="F1510" i="5"/>
  <c r="K1519" i="5"/>
  <c r="G1519" i="5"/>
  <c r="B1520" i="5"/>
  <c r="F1523" i="5"/>
  <c r="K1531" i="5"/>
  <c r="G1531" i="5"/>
  <c r="B1532" i="5"/>
  <c r="F1535" i="5"/>
  <c r="K1543" i="5"/>
  <c r="G1543" i="5"/>
  <c r="B1544" i="5"/>
  <c r="F1547" i="5"/>
  <c r="K1555" i="5"/>
  <c r="G1555" i="5"/>
  <c r="B1556" i="5"/>
  <c r="F1559" i="5"/>
  <c r="K1567" i="5"/>
  <c r="G1567" i="5"/>
  <c r="B1568" i="5"/>
  <c r="F1571" i="5"/>
  <c r="J1580" i="5"/>
  <c r="F1580" i="5"/>
  <c r="B1581" i="5"/>
  <c r="B1588" i="5"/>
  <c r="B1595" i="5"/>
  <c r="L1616" i="5"/>
  <c r="G1616" i="5"/>
  <c r="J1616" i="5"/>
  <c r="E1616" i="5"/>
  <c r="G1621" i="5"/>
  <c r="B1621" i="5"/>
  <c r="C1621" i="5"/>
  <c r="L1621" i="5"/>
  <c r="H1623" i="5"/>
  <c r="C1626" i="5"/>
  <c r="B1630" i="5"/>
  <c r="G1635" i="5"/>
  <c r="B1638" i="5"/>
  <c r="I1638" i="5"/>
  <c r="G1638" i="5"/>
  <c r="F1638" i="5"/>
  <c r="C1638" i="5"/>
  <c r="I1640" i="5"/>
  <c r="J1642" i="5"/>
  <c r="E1642" i="5"/>
  <c r="K1642" i="5"/>
  <c r="I1642" i="5"/>
  <c r="F1642" i="5"/>
  <c r="F1643" i="5"/>
  <c r="G1645" i="5"/>
  <c r="B1645" i="5"/>
  <c r="M1645" i="5"/>
  <c r="J1645" i="5"/>
  <c r="I1652" i="5"/>
  <c r="J1654" i="5"/>
  <c r="E1654" i="5"/>
  <c r="I1654" i="5"/>
  <c r="H1654" i="5"/>
  <c r="D1654" i="5"/>
  <c r="G1655" i="5"/>
  <c r="G1657" i="5"/>
  <c r="B1657" i="5"/>
  <c r="M1657" i="5"/>
  <c r="L1657" i="5"/>
  <c r="I1657" i="5"/>
  <c r="F1662" i="5"/>
  <c r="F1667" i="5"/>
  <c r="F1671" i="5"/>
  <c r="B1674" i="5"/>
  <c r="I1674" i="5"/>
  <c r="D1674" i="5"/>
  <c r="C1674" i="5"/>
  <c r="M1674" i="5"/>
  <c r="H1676" i="5"/>
  <c r="B1679" i="5"/>
  <c r="C1683" i="5"/>
  <c r="E1688" i="5"/>
  <c r="F1692" i="5"/>
  <c r="E1695" i="5"/>
  <c r="L1695" i="5"/>
  <c r="K1695" i="5"/>
  <c r="J1695" i="5"/>
  <c r="G1695" i="5"/>
  <c r="F1696" i="5"/>
  <c r="G1701" i="5"/>
  <c r="H1704" i="5"/>
  <c r="C1704" i="5"/>
  <c r="G1704" i="5"/>
  <c r="F1704" i="5"/>
  <c r="B1704" i="5"/>
  <c r="J1705" i="5"/>
  <c r="B1708" i="5"/>
  <c r="H1714" i="5"/>
  <c r="D1717" i="5"/>
  <c r="D1721" i="5"/>
  <c r="K1725" i="5"/>
  <c r="B1725" i="5"/>
  <c r="I1725" i="5"/>
  <c r="D1725" i="5"/>
  <c r="C1725" i="5"/>
  <c r="H1728" i="5"/>
  <c r="B1728" i="5"/>
  <c r="J1728" i="5"/>
  <c r="L1728" i="5"/>
  <c r="K1728" i="5"/>
  <c r="F1728" i="5"/>
  <c r="F1736" i="5"/>
  <c r="E1742" i="5"/>
  <c r="K1746" i="5"/>
  <c r="D1749" i="5"/>
  <c r="K1753" i="5"/>
  <c r="D1755" i="5"/>
  <c r="F1760" i="5"/>
  <c r="G1769" i="5"/>
  <c r="D1774" i="5"/>
  <c r="F1778" i="5"/>
  <c r="B1778" i="5"/>
  <c r="K1778" i="5"/>
  <c r="J1778" i="5"/>
  <c r="M1778" i="5"/>
  <c r="I1778" i="5"/>
  <c r="H1778" i="5"/>
  <c r="L1781" i="5"/>
  <c r="C1786" i="5"/>
  <c r="E1796" i="5"/>
  <c r="C1800" i="5"/>
  <c r="M1803" i="5"/>
  <c r="F1825" i="5"/>
  <c r="D1828" i="5"/>
  <c r="B1828" i="5"/>
  <c r="I1828" i="5"/>
  <c r="H1828" i="5"/>
  <c r="E1828" i="5"/>
  <c r="C1828" i="5"/>
  <c r="L1828" i="5"/>
  <c r="K1828" i="5"/>
  <c r="G1828" i="5"/>
  <c r="F1828" i="5"/>
  <c r="C1845" i="5"/>
  <c r="K1852" i="5"/>
  <c r="F1854" i="5"/>
  <c r="K1857" i="5"/>
  <c r="I1857" i="5"/>
  <c r="H1857" i="5"/>
  <c r="C1857" i="5"/>
  <c r="B1857" i="5"/>
  <c r="M1857" i="5"/>
  <c r="J1857" i="5"/>
  <c r="G1857" i="5"/>
  <c r="F1857" i="5"/>
  <c r="E1857" i="5"/>
  <c r="D1857" i="5"/>
  <c r="G1864" i="5"/>
  <c r="B1866" i="5"/>
  <c r="J1866" i="5"/>
  <c r="F1866" i="5"/>
  <c r="I1866" i="5"/>
  <c r="H1866" i="5"/>
  <c r="D1866" i="5"/>
  <c r="C1866" i="5"/>
  <c r="M1866" i="5"/>
  <c r="L1866" i="5"/>
  <c r="K1866" i="5"/>
  <c r="G1866" i="5"/>
  <c r="E1866" i="5"/>
  <c r="D1873" i="5"/>
  <c r="M1885" i="5"/>
  <c r="B1896" i="5"/>
  <c r="H1910" i="5"/>
  <c r="B1924" i="5"/>
  <c r="C1940" i="5"/>
  <c r="C1943" i="5"/>
  <c r="I1943" i="5"/>
  <c r="H1943" i="5"/>
  <c r="M1943" i="5"/>
  <c r="J1943" i="5"/>
  <c r="G1943" i="5"/>
  <c r="L1943" i="5"/>
  <c r="K1943" i="5"/>
  <c r="F1943" i="5"/>
  <c r="E1943" i="5"/>
  <c r="D1943" i="5"/>
  <c r="B1943" i="5"/>
  <c r="C1949" i="5"/>
  <c r="C1960" i="5"/>
  <c r="J1960" i="5"/>
  <c r="G1960" i="5"/>
  <c r="F1960" i="5"/>
  <c r="K1960" i="5"/>
  <c r="I1960" i="5"/>
  <c r="M1960" i="5"/>
  <c r="L1960" i="5"/>
  <c r="K1976" i="5"/>
  <c r="F1976" i="5"/>
  <c r="J1976" i="5"/>
  <c r="H1976" i="5"/>
  <c r="L1976" i="5"/>
  <c r="I1976" i="5"/>
  <c r="G1976" i="5"/>
  <c r="M1976" i="5"/>
  <c r="E1976" i="5"/>
  <c r="D1976" i="5"/>
  <c r="D1983" i="5"/>
  <c r="K1983" i="5"/>
  <c r="C1983" i="5"/>
  <c r="G1983" i="5"/>
  <c r="M1983" i="5"/>
  <c r="L1983" i="5"/>
  <c r="J1983" i="5"/>
  <c r="F1983" i="5"/>
  <c r="E1983" i="5"/>
  <c r="I1983" i="5"/>
  <c r="H1983" i="5"/>
  <c r="B1983" i="5"/>
  <c r="B1442" i="5"/>
  <c r="B1454" i="5"/>
  <c r="D1455" i="5"/>
  <c r="D1466" i="5"/>
  <c r="L1466" i="5"/>
  <c r="B1467" i="5"/>
  <c r="D1468" i="5"/>
  <c r="D1478" i="5"/>
  <c r="L1478" i="5"/>
  <c r="B1479" i="5"/>
  <c r="D1480" i="5"/>
  <c r="G1484" i="5"/>
  <c r="C1491" i="5"/>
  <c r="K1491" i="5"/>
  <c r="C1492" i="5"/>
  <c r="C1494" i="5"/>
  <c r="G1497" i="5"/>
  <c r="B1504" i="5"/>
  <c r="J1504" i="5"/>
  <c r="B1506" i="5"/>
  <c r="C1507" i="5"/>
  <c r="G1510" i="5"/>
  <c r="L1518" i="5"/>
  <c r="H1518" i="5"/>
  <c r="B1519" i="5"/>
  <c r="C1520" i="5"/>
  <c r="H1523" i="5"/>
  <c r="L1530" i="5"/>
  <c r="H1530" i="5"/>
  <c r="B1531" i="5"/>
  <c r="C1532" i="5"/>
  <c r="H1535" i="5"/>
  <c r="L1542" i="5"/>
  <c r="H1542" i="5"/>
  <c r="B1543" i="5"/>
  <c r="C1544" i="5"/>
  <c r="H1547" i="5"/>
  <c r="L1554" i="5"/>
  <c r="H1554" i="5"/>
  <c r="B1555" i="5"/>
  <c r="C1556" i="5"/>
  <c r="H1559" i="5"/>
  <c r="L1566" i="5"/>
  <c r="H1566" i="5"/>
  <c r="C1568" i="5"/>
  <c r="H1571" i="5"/>
  <c r="K1579" i="5"/>
  <c r="G1579" i="5"/>
  <c r="C1581" i="5"/>
  <c r="E1587" i="5"/>
  <c r="H1587" i="5"/>
  <c r="C1587" i="5"/>
  <c r="E1588" i="5"/>
  <c r="J1594" i="5"/>
  <c r="G1594" i="5"/>
  <c r="C1594" i="5"/>
  <c r="D1595" i="5"/>
  <c r="D1600" i="5"/>
  <c r="K1600" i="5"/>
  <c r="H1600" i="5"/>
  <c r="C1600" i="5"/>
  <c r="K1605" i="5"/>
  <c r="F1605" i="5"/>
  <c r="M1605" i="5"/>
  <c r="H1605" i="5"/>
  <c r="B1616" i="5"/>
  <c r="D1621" i="5"/>
  <c r="I1623" i="5"/>
  <c r="E1626" i="5"/>
  <c r="C1630" i="5"/>
  <c r="H1635" i="5"/>
  <c r="D1638" i="5"/>
  <c r="J1640" i="5"/>
  <c r="B1642" i="5"/>
  <c r="H1643" i="5"/>
  <c r="C1645" i="5"/>
  <c r="C1649" i="5"/>
  <c r="J1649" i="5"/>
  <c r="E1649" i="5"/>
  <c r="D1649" i="5"/>
  <c r="J1652" i="5"/>
  <c r="B1654" i="5"/>
  <c r="H1655" i="5"/>
  <c r="C1657" i="5"/>
  <c r="G1662" i="5"/>
  <c r="J1666" i="5"/>
  <c r="E1666" i="5"/>
  <c r="H1666" i="5"/>
  <c r="G1666" i="5"/>
  <c r="C1666" i="5"/>
  <c r="G1667" i="5"/>
  <c r="G1669" i="5"/>
  <c r="B1669" i="5"/>
  <c r="L1669" i="5"/>
  <c r="K1669" i="5"/>
  <c r="H1669" i="5"/>
  <c r="G1671" i="5"/>
  <c r="E1674" i="5"/>
  <c r="I1676" i="5"/>
  <c r="E1679" i="5"/>
  <c r="D1683" i="5"/>
  <c r="F1688" i="5"/>
  <c r="I1691" i="5"/>
  <c r="D1691" i="5"/>
  <c r="G1691" i="5"/>
  <c r="F1691" i="5"/>
  <c r="B1691" i="5"/>
  <c r="J1692" i="5"/>
  <c r="B1695" i="5"/>
  <c r="G1696" i="5"/>
  <c r="H1701" i="5"/>
  <c r="K1705" i="5"/>
  <c r="C1708" i="5"/>
  <c r="I1714" i="5"/>
  <c r="E1717" i="5"/>
  <c r="E1721" i="5"/>
  <c r="E1725" i="5"/>
  <c r="E1731" i="5"/>
  <c r="B1731" i="5"/>
  <c r="J1731" i="5"/>
  <c r="D1731" i="5"/>
  <c r="C1731" i="5"/>
  <c r="B1734" i="5"/>
  <c r="C1734" i="5"/>
  <c r="J1734" i="5"/>
  <c r="L1734" i="5"/>
  <c r="K1734" i="5"/>
  <c r="G1734" i="5"/>
  <c r="G1736" i="5"/>
  <c r="G1742" i="5"/>
  <c r="L1746" i="5"/>
  <c r="E1749" i="5"/>
  <c r="L1753" i="5"/>
  <c r="F1755" i="5"/>
  <c r="K1760" i="5"/>
  <c r="H1764" i="5"/>
  <c r="B1764" i="5"/>
  <c r="K1764" i="5"/>
  <c r="J1764" i="5"/>
  <c r="I1764" i="5"/>
  <c r="G1764" i="5"/>
  <c r="E1764" i="5"/>
  <c r="D1764" i="5"/>
  <c r="L1769" i="5"/>
  <c r="E1774" i="5"/>
  <c r="C1778" i="5"/>
  <c r="M1781" i="5"/>
  <c r="F1786" i="5"/>
  <c r="F1790" i="5"/>
  <c r="B1790" i="5"/>
  <c r="K1790" i="5"/>
  <c r="J1790" i="5"/>
  <c r="I1790" i="5"/>
  <c r="H1790" i="5"/>
  <c r="E1790" i="5"/>
  <c r="D1790" i="5"/>
  <c r="F1796" i="5"/>
  <c r="D1800" i="5"/>
  <c r="D1804" i="5"/>
  <c r="B1804" i="5"/>
  <c r="K1804" i="5"/>
  <c r="J1804" i="5"/>
  <c r="M1804" i="5"/>
  <c r="I1804" i="5"/>
  <c r="H1804" i="5"/>
  <c r="H1825" i="5"/>
  <c r="J1828" i="5"/>
  <c r="J1834" i="5"/>
  <c r="B1834" i="5"/>
  <c r="M1834" i="5"/>
  <c r="I1834" i="5"/>
  <c r="H1834" i="5"/>
  <c r="K1834" i="5"/>
  <c r="G1834" i="5"/>
  <c r="E1834" i="5"/>
  <c r="D1834" i="5"/>
  <c r="B1842" i="5"/>
  <c r="C1842" i="5"/>
  <c r="J1842" i="5"/>
  <c r="I1842" i="5"/>
  <c r="F1842" i="5"/>
  <c r="E1842" i="5"/>
  <c r="M1842" i="5"/>
  <c r="L1842" i="5"/>
  <c r="D1845" i="5"/>
  <c r="L1852" i="5"/>
  <c r="K1854" i="5"/>
  <c r="L1857" i="5"/>
  <c r="H1864" i="5"/>
  <c r="L1868" i="5"/>
  <c r="I1868" i="5"/>
  <c r="F1868" i="5"/>
  <c r="K1868" i="5"/>
  <c r="J1868" i="5"/>
  <c r="E1868" i="5"/>
  <c r="D1868" i="5"/>
  <c r="E1873" i="5"/>
  <c r="C1896" i="5"/>
  <c r="F1898" i="5"/>
  <c r="J1898" i="5"/>
  <c r="L1898" i="5"/>
  <c r="K1898" i="5"/>
  <c r="D1898" i="5"/>
  <c r="C1898" i="5"/>
  <c r="M1898" i="5"/>
  <c r="I1898" i="5"/>
  <c r="H1898" i="5"/>
  <c r="G1898" i="5"/>
  <c r="E1898" i="5"/>
  <c r="H1920" i="5"/>
  <c r="J1920" i="5"/>
  <c r="F1920" i="5"/>
  <c r="E1920" i="5"/>
  <c r="L1920" i="5"/>
  <c r="K1920" i="5"/>
  <c r="D1920" i="5"/>
  <c r="C1920" i="5"/>
  <c r="H1940" i="5"/>
  <c r="F1949" i="5"/>
  <c r="B1960" i="5"/>
  <c r="B1976" i="5"/>
  <c r="G1921" i="5"/>
  <c r="J1921" i="5"/>
  <c r="H1921" i="5"/>
  <c r="F1921" i="5"/>
  <c r="K1921" i="5"/>
  <c r="I1921" i="5"/>
  <c r="M1441" i="5"/>
  <c r="I1445" i="5"/>
  <c r="M1453" i="5"/>
  <c r="I1457" i="5"/>
  <c r="I1469" i="5"/>
  <c r="M1477" i="5"/>
  <c r="M1489" i="5"/>
  <c r="M1501" i="5"/>
  <c r="M1513" i="5"/>
  <c r="M1525" i="5"/>
  <c r="I1529" i="5"/>
  <c r="M1537" i="5"/>
  <c r="I1541" i="5"/>
  <c r="M1549" i="5"/>
  <c r="I1553" i="5"/>
  <c r="M1561" i="5"/>
  <c r="I1565" i="5"/>
  <c r="M1573" i="5"/>
  <c r="E1611" i="5"/>
  <c r="L1611" i="5"/>
  <c r="D1624" i="5"/>
  <c r="K1624" i="5"/>
  <c r="C1637" i="5"/>
  <c r="J1637" i="5"/>
  <c r="B1650" i="5"/>
  <c r="I1650" i="5"/>
  <c r="L1664" i="5"/>
  <c r="G1664" i="5"/>
  <c r="K1677" i="5"/>
  <c r="F1677" i="5"/>
  <c r="J1690" i="5"/>
  <c r="E1690" i="5"/>
  <c r="I1703" i="5"/>
  <c r="D1703" i="5"/>
  <c r="H1716" i="5"/>
  <c r="C1716" i="5"/>
  <c r="J1726" i="5"/>
  <c r="B1726" i="5"/>
  <c r="I1726" i="5"/>
  <c r="D1732" i="5"/>
  <c r="B1732" i="5"/>
  <c r="J1732" i="5"/>
  <c r="I1739" i="5"/>
  <c r="B1739" i="5"/>
  <c r="J1739" i="5"/>
  <c r="C1745" i="5"/>
  <c r="B1745" i="5"/>
  <c r="J1745" i="5"/>
  <c r="H1752" i="5"/>
  <c r="B1752" i="5"/>
  <c r="J1752" i="5"/>
  <c r="B1758" i="5"/>
  <c r="C1758" i="5"/>
  <c r="J1758" i="5"/>
  <c r="H1824" i="5"/>
  <c r="B1824" i="5"/>
  <c r="D1824" i="5"/>
  <c r="C1824" i="5"/>
  <c r="M1824" i="5"/>
  <c r="L1824" i="5"/>
  <c r="C1841" i="5"/>
  <c r="B1841" i="5"/>
  <c r="I1841" i="5"/>
  <c r="H1841" i="5"/>
  <c r="E1841" i="5"/>
  <c r="D1841" i="5"/>
  <c r="C1853" i="5"/>
  <c r="J1853" i="5"/>
  <c r="F1853" i="5"/>
  <c r="L1853" i="5"/>
  <c r="K1853" i="5"/>
  <c r="G1853" i="5"/>
  <c r="E1853" i="5"/>
  <c r="F1886" i="5"/>
  <c r="J1886" i="5"/>
  <c r="M1886" i="5"/>
  <c r="L1886" i="5"/>
  <c r="H1886" i="5"/>
  <c r="G1886" i="5"/>
  <c r="E1911" i="5"/>
  <c r="J1911" i="5"/>
  <c r="L1911" i="5"/>
  <c r="K1911" i="5"/>
  <c r="I1911" i="5"/>
  <c r="H1911" i="5"/>
  <c r="B1921" i="5"/>
  <c r="E1941" i="5"/>
  <c r="I1941" i="5"/>
  <c r="F1941" i="5"/>
  <c r="J1941" i="5"/>
  <c r="H1941" i="5"/>
  <c r="C1941" i="5"/>
  <c r="B1941" i="5"/>
  <c r="L1951" i="5"/>
  <c r="G1951" i="5"/>
  <c r="K1951" i="5"/>
  <c r="C1951" i="5"/>
  <c r="M1951" i="5"/>
  <c r="J1951" i="5"/>
  <c r="F1951" i="5"/>
  <c r="E1951" i="5"/>
  <c r="D1995" i="5"/>
  <c r="K1995" i="5"/>
  <c r="B1995" i="5"/>
  <c r="C1995" i="5"/>
  <c r="M1995" i="5"/>
  <c r="L1995" i="5"/>
  <c r="J1995" i="5"/>
  <c r="G1995" i="5"/>
  <c r="F1995" i="5"/>
  <c r="I1763" i="5"/>
  <c r="B1763" i="5"/>
  <c r="K1763" i="5"/>
  <c r="J1763" i="5"/>
  <c r="E1767" i="5"/>
  <c r="B1767" i="5"/>
  <c r="K1767" i="5"/>
  <c r="J1767" i="5"/>
  <c r="L1772" i="5"/>
  <c r="B1772" i="5"/>
  <c r="J1772" i="5"/>
  <c r="I1772" i="5"/>
  <c r="H1776" i="5"/>
  <c r="B1776" i="5"/>
  <c r="K1776" i="5"/>
  <c r="J1776" i="5"/>
  <c r="D1780" i="5"/>
  <c r="B1780" i="5"/>
  <c r="K1780" i="5"/>
  <c r="J1780" i="5"/>
  <c r="K1785" i="5"/>
  <c r="B1785" i="5"/>
  <c r="J1785" i="5"/>
  <c r="I1785" i="5"/>
  <c r="G1789" i="5"/>
  <c r="B1789" i="5"/>
  <c r="K1789" i="5"/>
  <c r="J1789" i="5"/>
  <c r="C1793" i="5"/>
  <c r="B1793" i="5"/>
  <c r="K1793" i="5"/>
  <c r="J1793" i="5"/>
  <c r="J1798" i="5"/>
  <c r="B1798" i="5"/>
  <c r="K1798" i="5"/>
  <c r="I1798" i="5"/>
  <c r="F1802" i="5"/>
  <c r="B1802" i="5"/>
  <c r="K1802" i="5"/>
  <c r="J1802" i="5"/>
  <c r="B1830" i="5"/>
  <c r="C1830" i="5"/>
  <c r="K1830" i="5"/>
  <c r="J1830" i="5"/>
  <c r="G1830" i="5"/>
  <c r="F1830" i="5"/>
  <c r="G1837" i="5"/>
  <c r="B1837" i="5"/>
  <c r="D1837" i="5"/>
  <c r="C1837" i="5"/>
  <c r="M1837" i="5"/>
  <c r="L1837" i="5"/>
  <c r="B1878" i="5"/>
  <c r="J1878" i="5"/>
  <c r="E1878" i="5"/>
  <c r="D1878" i="5"/>
  <c r="C1878" i="5"/>
  <c r="M1878" i="5"/>
  <c r="L1904" i="5"/>
  <c r="I1904" i="5"/>
  <c r="C1904" i="5"/>
  <c r="B1904" i="5"/>
  <c r="E1904" i="5"/>
  <c r="D1904" i="5"/>
  <c r="C1921" i="5"/>
  <c r="J1930" i="5"/>
  <c r="I1930" i="5"/>
  <c r="C1930" i="5"/>
  <c r="B1930" i="5"/>
  <c r="K1930" i="5"/>
  <c r="H1930" i="5"/>
  <c r="E1930" i="5"/>
  <c r="D1930" i="5"/>
  <c r="J1948" i="5"/>
  <c r="H1948" i="5"/>
  <c r="M1948" i="5"/>
  <c r="G1948" i="5"/>
  <c r="F1948" i="5"/>
  <c r="L1948" i="5"/>
  <c r="K1948" i="5"/>
  <c r="B1997" i="5"/>
  <c r="I1997" i="5"/>
  <c r="E1997" i="5"/>
  <c r="F1997" i="5"/>
  <c r="K1997" i="5"/>
  <c r="J1997" i="5"/>
  <c r="H1997" i="5"/>
  <c r="G1997" i="5"/>
  <c r="D1997" i="5"/>
  <c r="L1997" i="5"/>
  <c r="C1997" i="5"/>
  <c r="L1844" i="5"/>
  <c r="B1844" i="5"/>
  <c r="J1844" i="5"/>
  <c r="I1844" i="5"/>
  <c r="F1844" i="5"/>
  <c r="E1844" i="5"/>
  <c r="F1850" i="5"/>
  <c r="J1850" i="5"/>
  <c r="B1850" i="5"/>
  <c r="D1850" i="5"/>
  <c r="C1850" i="5"/>
  <c r="M1850" i="5"/>
  <c r="F1874" i="5"/>
  <c r="J1874" i="5"/>
  <c r="K1874" i="5"/>
  <c r="I1874" i="5"/>
  <c r="E1874" i="5"/>
  <c r="D1874" i="5"/>
  <c r="F1878" i="5"/>
  <c r="I1895" i="5"/>
  <c r="J1895" i="5"/>
  <c r="G1895" i="5"/>
  <c r="F1895" i="5"/>
  <c r="K1895" i="5"/>
  <c r="H1895" i="5"/>
  <c r="C1895" i="5"/>
  <c r="B1895" i="5"/>
  <c r="D1921" i="5"/>
  <c r="C1925" i="5"/>
  <c r="J1925" i="5"/>
  <c r="M1925" i="5"/>
  <c r="L1925" i="5"/>
  <c r="H1925" i="5"/>
  <c r="G1925" i="5"/>
  <c r="G1939" i="5"/>
  <c r="I1939" i="5"/>
  <c r="C1939" i="5"/>
  <c r="D1939" i="5"/>
  <c r="B1939" i="5"/>
  <c r="L1939" i="5"/>
  <c r="K1939" i="5"/>
  <c r="F1939" i="5"/>
  <c r="E1939" i="5"/>
  <c r="J1989" i="5"/>
  <c r="E1989" i="5"/>
  <c r="K1989" i="5"/>
  <c r="D1989" i="5"/>
  <c r="B1989" i="5"/>
  <c r="L1989" i="5"/>
  <c r="I1989" i="5"/>
  <c r="L1999" i="5"/>
  <c r="G1999" i="5"/>
  <c r="F1999" i="5"/>
  <c r="I1999" i="5"/>
  <c r="M1999" i="5"/>
  <c r="K1999" i="5"/>
  <c r="J1999" i="5"/>
  <c r="E1647" i="5"/>
  <c r="L1647" i="5"/>
  <c r="D1660" i="5"/>
  <c r="K1660" i="5"/>
  <c r="C1673" i="5"/>
  <c r="J1673" i="5"/>
  <c r="B1686" i="5"/>
  <c r="I1686" i="5"/>
  <c r="L1700" i="5"/>
  <c r="G1700" i="5"/>
  <c r="K1713" i="5"/>
  <c r="F1713" i="5"/>
  <c r="D1763" i="5"/>
  <c r="D1767" i="5"/>
  <c r="D1772" i="5"/>
  <c r="D1776" i="5"/>
  <c r="E1780" i="5"/>
  <c r="D1785" i="5"/>
  <c r="D1789" i="5"/>
  <c r="E1793" i="5"/>
  <c r="D1798" i="5"/>
  <c r="D1802" i="5"/>
  <c r="E1830" i="5"/>
  <c r="K1833" i="5"/>
  <c r="B1833" i="5"/>
  <c r="M1833" i="5"/>
  <c r="L1833" i="5"/>
  <c r="H1833" i="5"/>
  <c r="G1833" i="5"/>
  <c r="F1837" i="5"/>
  <c r="C1844" i="5"/>
  <c r="E1850" i="5"/>
  <c r="I1859" i="5"/>
  <c r="J1859" i="5"/>
  <c r="L1859" i="5"/>
  <c r="G1859" i="5"/>
  <c r="F1859" i="5"/>
  <c r="C1859" i="5"/>
  <c r="B1859" i="5"/>
  <c r="G1861" i="5"/>
  <c r="J1861" i="5"/>
  <c r="M1861" i="5"/>
  <c r="L1861" i="5"/>
  <c r="H1861" i="5"/>
  <c r="F1861" i="5"/>
  <c r="B1874" i="5"/>
  <c r="G1878" i="5"/>
  <c r="D1895" i="5"/>
  <c r="E1921" i="5"/>
  <c r="B1925" i="5"/>
  <c r="K1935" i="5"/>
  <c r="H1935" i="5"/>
  <c r="M1935" i="5"/>
  <c r="J1935" i="5"/>
  <c r="I1935" i="5"/>
  <c r="L1935" i="5"/>
  <c r="E1935" i="5"/>
  <c r="D1935" i="5"/>
  <c r="H1939" i="5"/>
  <c r="L1946" i="5"/>
  <c r="H1946" i="5"/>
  <c r="J1946" i="5"/>
  <c r="C1946" i="5"/>
  <c r="B1946" i="5"/>
  <c r="F1946" i="5"/>
  <c r="E1946" i="5"/>
  <c r="D1959" i="5"/>
  <c r="K1959" i="5"/>
  <c r="F1959" i="5"/>
  <c r="C1959" i="5"/>
  <c r="G1959" i="5"/>
  <c r="E1959" i="5"/>
  <c r="M1959" i="5"/>
  <c r="L1959" i="5"/>
  <c r="H1959" i="5"/>
  <c r="B1959" i="5"/>
  <c r="I1966" i="5"/>
  <c r="D1966" i="5"/>
  <c r="E1966" i="5"/>
  <c r="M1966" i="5"/>
  <c r="L1966" i="5"/>
  <c r="J1966" i="5"/>
  <c r="H1966" i="5"/>
  <c r="C1989" i="5"/>
  <c r="B1999" i="5"/>
  <c r="I1607" i="5"/>
  <c r="D1607" i="5"/>
  <c r="F1611" i="5"/>
  <c r="H1620" i="5"/>
  <c r="C1620" i="5"/>
  <c r="F1624" i="5"/>
  <c r="G1633" i="5"/>
  <c r="B1633" i="5"/>
  <c r="F1637" i="5"/>
  <c r="B1647" i="5"/>
  <c r="F1650" i="5"/>
  <c r="E1659" i="5"/>
  <c r="L1659" i="5"/>
  <c r="B1660" i="5"/>
  <c r="E1664" i="5"/>
  <c r="D1672" i="5"/>
  <c r="K1672" i="5"/>
  <c r="B1673" i="5"/>
  <c r="E1677" i="5"/>
  <c r="C1685" i="5"/>
  <c r="J1685" i="5"/>
  <c r="C1686" i="5"/>
  <c r="F1690" i="5"/>
  <c r="B1698" i="5"/>
  <c r="I1698" i="5"/>
  <c r="B1700" i="5"/>
  <c r="F1703" i="5"/>
  <c r="L1712" i="5"/>
  <c r="G1712" i="5"/>
  <c r="B1713" i="5"/>
  <c r="F1716" i="5"/>
  <c r="L1724" i="5"/>
  <c r="B1724" i="5"/>
  <c r="I1724" i="5"/>
  <c r="F1726" i="5"/>
  <c r="F1730" i="5"/>
  <c r="B1730" i="5"/>
  <c r="J1730" i="5"/>
  <c r="G1732" i="5"/>
  <c r="K1737" i="5"/>
  <c r="B1737" i="5"/>
  <c r="I1737" i="5"/>
  <c r="F1739" i="5"/>
  <c r="E1743" i="5"/>
  <c r="B1743" i="5"/>
  <c r="J1743" i="5"/>
  <c r="G1745" i="5"/>
  <c r="J1750" i="5"/>
  <c r="B1750" i="5"/>
  <c r="I1750" i="5"/>
  <c r="F1752" i="5"/>
  <c r="D1756" i="5"/>
  <c r="B1756" i="5"/>
  <c r="J1756" i="5"/>
  <c r="J1762" i="5"/>
  <c r="B1762" i="5"/>
  <c r="K1762" i="5"/>
  <c r="I1762" i="5"/>
  <c r="E1763" i="5"/>
  <c r="F1766" i="5"/>
  <c r="B1766" i="5"/>
  <c r="K1766" i="5"/>
  <c r="J1766" i="5"/>
  <c r="F1767" i="5"/>
  <c r="B1770" i="5"/>
  <c r="C1770" i="5"/>
  <c r="K1770" i="5"/>
  <c r="J1770" i="5"/>
  <c r="E1772" i="5"/>
  <c r="I1775" i="5"/>
  <c r="B1775" i="5"/>
  <c r="K1775" i="5"/>
  <c r="J1775" i="5"/>
  <c r="E1776" i="5"/>
  <c r="E1779" i="5"/>
  <c r="B1779" i="5"/>
  <c r="K1779" i="5"/>
  <c r="J1779" i="5"/>
  <c r="F1780" i="5"/>
  <c r="L1784" i="5"/>
  <c r="B1784" i="5"/>
  <c r="J1784" i="5"/>
  <c r="I1784" i="5"/>
  <c r="E1785" i="5"/>
  <c r="H1788" i="5"/>
  <c r="B1788" i="5"/>
  <c r="K1788" i="5"/>
  <c r="J1788" i="5"/>
  <c r="E1789" i="5"/>
  <c r="D1792" i="5"/>
  <c r="B1792" i="5"/>
  <c r="K1792" i="5"/>
  <c r="J1792" i="5"/>
  <c r="F1793" i="5"/>
  <c r="K1797" i="5"/>
  <c r="B1797" i="5"/>
  <c r="J1797" i="5"/>
  <c r="I1797" i="5"/>
  <c r="E1798" i="5"/>
  <c r="G1801" i="5"/>
  <c r="B1801" i="5"/>
  <c r="K1801" i="5"/>
  <c r="J1801" i="5"/>
  <c r="E1802" i="5"/>
  <c r="H1830" i="5"/>
  <c r="C1833" i="5"/>
  <c r="H1837" i="5"/>
  <c r="D1844" i="5"/>
  <c r="J1846" i="5"/>
  <c r="B1846" i="5"/>
  <c r="M1846" i="5"/>
  <c r="L1846" i="5"/>
  <c r="H1846" i="5"/>
  <c r="G1846" i="5"/>
  <c r="G1850" i="5"/>
  <c r="I1853" i="5"/>
  <c r="D1859" i="5"/>
  <c r="B1861" i="5"/>
  <c r="I1871" i="5"/>
  <c r="J1871" i="5"/>
  <c r="K1871" i="5"/>
  <c r="C1871" i="5"/>
  <c r="B1871" i="5"/>
  <c r="M1871" i="5"/>
  <c r="C1874" i="5"/>
  <c r="H1878" i="5"/>
  <c r="K1881" i="5"/>
  <c r="I1881" i="5"/>
  <c r="F1881" i="5"/>
  <c r="E1881" i="5"/>
  <c r="L1881" i="5"/>
  <c r="J1881" i="5"/>
  <c r="D1881" i="5"/>
  <c r="C1881" i="5"/>
  <c r="E1886" i="5"/>
  <c r="L1892" i="5"/>
  <c r="I1892" i="5"/>
  <c r="D1892" i="5"/>
  <c r="C1892" i="5"/>
  <c r="M1892" i="5"/>
  <c r="H1892" i="5"/>
  <c r="G1892" i="5"/>
  <c r="E1895" i="5"/>
  <c r="H1904" i="5"/>
  <c r="J1906" i="5"/>
  <c r="I1906" i="5"/>
  <c r="E1906" i="5"/>
  <c r="D1906" i="5"/>
  <c r="M1906" i="5"/>
  <c r="L1906" i="5"/>
  <c r="G1906" i="5"/>
  <c r="F1906" i="5"/>
  <c r="H1908" i="5"/>
  <c r="J1908" i="5"/>
  <c r="G1908" i="5"/>
  <c r="F1908" i="5"/>
  <c r="C1908" i="5"/>
  <c r="B1908" i="5"/>
  <c r="F1911" i="5"/>
  <c r="L1921" i="5"/>
  <c r="D1925" i="5"/>
  <c r="L1930" i="5"/>
  <c r="B1935" i="5"/>
  <c r="J1939" i="5"/>
  <c r="L1941" i="5"/>
  <c r="D1946" i="5"/>
  <c r="D1948" i="5"/>
  <c r="I1951" i="5"/>
  <c r="I1959" i="5"/>
  <c r="B1966" i="5"/>
  <c r="L1987" i="5"/>
  <c r="G1987" i="5"/>
  <c r="H1987" i="5"/>
  <c r="K1987" i="5"/>
  <c r="I1987" i="5"/>
  <c r="F1987" i="5"/>
  <c r="E1987" i="5"/>
  <c r="M1987" i="5"/>
  <c r="F1989" i="5"/>
  <c r="H1991" i="5"/>
  <c r="C1991" i="5"/>
  <c r="M1991" i="5"/>
  <c r="J1991" i="5"/>
  <c r="K1991" i="5"/>
  <c r="G1991" i="5"/>
  <c r="F1991" i="5"/>
  <c r="E1991" i="5"/>
  <c r="D1991" i="5"/>
  <c r="B1991" i="5"/>
  <c r="C1999" i="5"/>
  <c r="M1610" i="5"/>
  <c r="M1622" i="5"/>
  <c r="M1634" i="5"/>
  <c r="M1646" i="5"/>
  <c r="M1658" i="5"/>
  <c r="M1670" i="5"/>
  <c r="M1682" i="5"/>
  <c r="M1694" i="5"/>
  <c r="M1706" i="5"/>
  <c r="M1718" i="5"/>
  <c r="J1805" i="5"/>
  <c r="J1806" i="5"/>
  <c r="I1808" i="5"/>
  <c r="I1809" i="5"/>
  <c r="I1810" i="5"/>
  <c r="J1811" i="5"/>
  <c r="J1812" i="5"/>
  <c r="J1813" i="5"/>
  <c r="J1814" i="5"/>
  <c r="J1815" i="5"/>
  <c r="J1816" i="5"/>
  <c r="J1817" i="5"/>
  <c r="J1818" i="5"/>
  <c r="I1820" i="5"/>
  <c r="I1821" i="5"/>
  <c r="I1822" i="5"/>
  <c r="K1823" i="5"/>
  <c r="E1827" i="5"/>
  <c r="B1827" i="5"/>
  <c r="K1836" i="5"/>
  <c r="D1840" i="5"/>
  <c r="B1840" i="5"/>
  <c r="K1849" i="5"/>
  <c r="K1887" i="5"/>
  <c r="K1905" i="5"/>
  <c r="I1905" i="5"/>
  <c r="D1905" i="5"/>
  <c r="C1905" i="5"/>
  <c r="G1909" i="5"/>
  <c r="J1909" i="5"/>
  <c r="I1909" i="5"/>
  <c r="H1909" i="5"/>
  <c r="C1913" i="5"/>
  <c r="J1913" i="5"/>
  <c r="M1913" i="5"/>
  <c r="K1926" i="5"/>
  <c r="J1965" i="5"/>
  <c r="E1965" i="5"/>
  <c r="M1965" i="5"/>
  <c r="B1965" i="5"/>
  <c r="I1965" i="5"/>
  <c r="H1965" i="5"/>
  <c r="AJ39" i="7"/>
  <c r="X39" i="7"/>
  <c r="L39" i="7"/>
  <c r="AI39" i="7"/>
  <c r="W39" i="7"/>
  <c r="K39" i="7"/>
  <c r="AH39" i="7"/>
  <c r="V39" i="7"/>
  <c r="J39" i="7"/>
  <c r="AG39" i="7"/>
  <c r="U39" i="7"/>
  <c r="I39" i="7"/>
  <c r="AF39" i="7"/>
  <c r="T39" i="7"/>
  <c r="H39" i="7"/>
  <c r="AE39" i="7"/>
  <c r="S39" i="7"/>
  <c r="G39" i="7"/>
  <c r="R39" i="7"/>
  <c r="Q39" i="7"/>
  <c r="P39" i="7"/>
  <c r="O39" i="7"/>
  <c r="N39" i="7"/>
  <c r="AK39" i="7"/>
  <c r="M39" i="7"/>
  <c r="AD39" i="7"/>
  <c r="AB39" i="7"/>
  <c r="Z39" i="7"/>
  <c r="Y39" i="7"/>
  <c r="AC39" i="7"/>
  <c r="AA39" i="7"/>
  <c r="F39" i="7"/>
  <c r="E39" i="7"/>
  <c r="D39" i="7"/>
  <c r="Z47" i="7"/>
  <c r="N47" i="7"/>
  <c r="C47" i="7"/>
  <c r="AK47" i="7"/>
  <c r="Y47" i="7"/>
  <c r="M47" i="7"/>
  <c r="AJ47" i="7"/>
  <c r="X47" i="7"/>
  <c r="L47" i="7"/>
  <c r="AI47" i="7"/>
  <c r="W47" i="7"/>
  <c r="K47" i="7"/>
  <c r="AH47" i="7"/>
  <c r="V47" i="7"/>
  <c r="J47" i="7"/>
  <c r="AG47" i="7"/>
  <c r="U47" i="7"/>
  <c r="I47" i="7"/>
  <c r="P47" i="7"/>
  <c r="O47" i="7"/>
  <c r="AF47" i="7"/>
  <c r="H47" i="7"/>
  <c r="AE47" i="7"/>
  <c r="G47" i="7"/>
  <c r="AD47" i="7"/>
  <c r="F47" i="7"/>
  <c r="AC47" i="7"/>
  <c r="E47" i="7"/>
  <c r="AB47" i="7"/>
  <c r="T47" i="7"/>
  <c r="R47" i="7"/>
  <c r="Q47" i="7"/>
  <c r="K1805" i="5"/>
  <c r="K1806" i="5"/>
  <c r="J1808" i="5"/>
  <c r="J1809" i="5"/>
  <c r="K1810" i="5"/>
  <c r="K1811" i="5"/>
  <c r="K1812" i="5"/>
  <c r="K1813" i="5"/>
  <c r="K1814" i="5"/>
  <c r="K1815" i="5"/>
  <c r="K1816" i="5"/>
  <c r="K1817" i="5"/>
  <c r="K1818" i="5"/>
  <c r="J1820" i="5"/>
  <c r="J1821" i="5"/>
  <c r="K1822" i="5"/>
  <c r="F1826" i="5"/>
  <c r="B1826" i="5"/>
  <c r="E1839" i="5"/>
  <c r="B1839" i="5"/>
  <c r="E1851" i="5"/>
  <c r="J1851" i="5"/>
  <c r="C1851" i="5"/>
  <c r="J1858" i="5"/>
  <c r="I1858" i="5"/>
  <c r="K1858" i="5"/>
  <c r="C1865" i="5"/>
  <c r="J1865" i="5"/>
  <c r="E1865" i="5"/>
  <c r="H1872" i="5"/>
  <c r="J1872" i="5"/>
  <c r="L1872" i="5"/>
  <c r="L1880" i="5"/>
  <c r="I1880" i="5"/>
  <c r="E1880" i="5"/>
  <c r="D1880" i="5"/>
  <c r="H1884" i="5"/>
  <c r="J1884" i="5"/>
  <c r="K1884" i="5"/>
  <c r="I1884" i="5"/>
  <c r="I1919" i="5"/>
  <c r="J1919" i="5"/>
  <c r="E1919" i="5"/>
  <c r="D1919" i="5"/>
  <c r="E1923" i="5"/>
  <c r="J1923" i="5"/>
  <c r="K1923" i="5"/>
  <c r="I1923" i="5"/>
  <c r="L1934" i="5"/>
  <c r="H1934" i="5"/>
  <c r="K1934" i="5"/>
  <c r="G1934" i="5"/>
  <c r="F1934" i="5"/>
  <c r="J1953" i="5"/>
  <c r="E1953" i="5"/>
  <c r="H1953" i="5"/>
  <c r="G1953" i="5"/>
  <c r="F1953" i="5"/>
  <c r="B1961" i="5"/>
  <c r="I1961" i="5"/>
  <c r="H1961" i="5"/>
  <c r="J1961" i="5"/>
  <c r="M1961" i="5"/>
  <c r="K1988" i="5"/>
  <c r="F1988" i="5"/>
  <c r="I1988" i="5"/>
  <c r="B1988" i="5"/>
  <c r="M1988" i="5"/>
  <c r="L1988" i="5"/>
  <c r="J1988" i="5"/>
  <c r="C39" i="7"/>
  <c r="C41" i="7" s="1"/>
  <c r="C42" i="7" s="1"/>
  <c r="C40" i="7" s="1"/>
  <c r="D47" i="7"/>
  <c r="I1823" i="5"/>
  <c r="B1823" i="5"/>
  <c r="H1836" i="5"/>
  <c r="B1836" i="5"/>
  <c r="G1849" i="5"/>
  <c r="B1849" i="5"/>
  <c r="I1883" i="5"/>
  <c r="J1883" i="5"/>
  <c r="H1883" i="5"/>
  <c r="G1883" i="5"/>
  <c r="E1887" i="5"/>
  <c r="J1887" i="5"/>
  <c r="M1887" i="5"/>
  <c r="J1918" i="5"/>
  <c r="I1918" i="5"/>
  <c r="D1918" i="5"/>
  <c r="C1918" i="5"/>
  <c r="F1922" i="5"/>
  <c r="J1922" i="5"/>
  <c r="I1922" i="5"/>
  <c r="H1922" i="5"/>
  <c r="B1926" i="5"/>
  <c r="J1926" i="5"/>
  <c r="M1926" i="5"/>
  <c r="K1964" i="5"/>
  <c r="F1964" i="5"/>
  <c r="L1964" i="5"/>
  <c r="E1964" i="5"/>
  <c r="D1964" i="5"/>
  <c r="C1984" i="5"/>
  <c r="J1984" i="5"/>
  <c r="E1984" i="5"/>
  <c r="I1984" i="5"/>
  <c r="B1984" i="5"/>
  <c r="G1992" i="5"/>
  <c r="B1992" i="5"/>
  <c r="L1992" i="5"/>
  <c r="K1992" i="5"/>
  <c r="J1992" i="5"/>
  <c r="I1992" i="5"/>
  <c r="B1805" i="5"/>
  <c r="C1806" i="5"/>
  <c r="B1808" i="5"/>
  <c r="B1809" i="5"/>
  <c r="B1810" i="5"/>
  <c r="B1811" i="5"/>
  <c r="B1812" i="5"/>
  <c r="B1813" i="5"/>
  <c r="B1814" i="5"/>
  <c r="B1815" i="5"/>
  <c r="B1816" i="5"/>
  <c r="B1817" i="5"/>
  <c r="C1818" i="5"/>
  <c r="B1820" i="5"/>
  <c r="B1821" i="5"/>
  <c r="B1822" i="5"/>
  <c r="C1823" i="5"/>
  <c r="G1826" i="5"/>
  <c r="H1827" i="5"/>
  <c r="I1835" i="5"/>
  <c r="B1835" i="5"/>
  <c r="C1836" i="5"/>
  <c r="G1839" i="5"/>
  <c r="H1840" i="5"/>
  <c r="H1848" i="5"/>
  <c r="B1848" i="5"/>
  <c r="C1849" i="5"/>
  <c r="G1851" i="5"/>
  <c r="L1856" i="5"/>
  <c r="I1856" i="5"/>
  <c r="G1856" i="5"/>
  <c r="E1858" i="5"/>
  <c r="E1863" i="5"/>
  <c r="J1863" i="5"/>
  <c r="B1863" i="5"/>
  <c r="G1865" i="5"/>
  <c r="J1870" i="5"/>
  <c r="I1870" i="5"/>
  <c r="H1870" i="5"/>
  <c r="E1872" i="5"/>
  <c r="C1877" i="5"/>
  <c r="J1877" i="5"/>
  <c r="D1877" i="5"/>
  <c r="G1880" i="5"/>
  <c r="B1883" i="5"/>
  <c r="E1884" i="5"/>
  <c r="B1887" i="5"/>
  <c r="K1893" i="5"/>
  <c r="I1893" i="5"/>
  <c r="E1893" i="5"/>
  <c r="D1893" i="5"/>
  <c r="G1897" i="5"/>
  <c r="J1897" i="5"/>
  <c r="K1897" i="5"/>
  <c r="I1897" i="5"/>
  <c r="H1905" i="5"/>
  <c r="F1909" i="5"/>
  <c r="G1913" i="5"/>
  <c r="B1918" i="5"/>
  <c r="G1919" i="5"/>
  <c r="B1922" i="5"/>
  <c r="F1923" i="5"/>
  <c r="C1926" i="5"/>
  <c r="B1932" i="5"/>
  <c r="I1932" i="5"/>
  <c r="K1932" i="5"/>
  <c r="F1932" i="5"/>
  <c r="E1932" i="5"/>
  <c r="E1934" i="5"/>
  <c r="J1936" i="5"/>
  <c r="H1936" i="5"/>
  <c r="M1936" i="5"/>
  <c r="L1936" i="5"/>
  <c r="I1953" i="5"/>
  <c r="F1961" i="5"/>
  <c r="B1964" i="5"/>
  <c r="K1965" i="5"/>
  <c r="D1971" i="5"/>
  <c r="K1971" i="5"/>
  <c r="E1971" i="5"/>
  <c r="M1971" i="5"/>
  <c r="J1971" i="5"/>
  <c r="I1971" i="5"/>
  <c r="H1971" i="5"/>
  <c r="E1982" i="5"/>
  <c r="L1982" i="5"/>
  <c r="B1982" i="5"/>
  <c r="D1982" i="5"/>
  <c r="K1982" i="5"/>
  <c r="I1982" i="5"/>
  <c r="H1982" i="5"/>
  <c r="G1982" i="5"/>
  <c r="D1984" i="5"/>
  <c r="G1988" i="5"/>
  <c r="C1992" i="5"/>
  <c r="C1889" i="5"/>
  <c r="J1889" i="5"/>
  <c r="B1902" i="5"/>
  <c r="J1902" i="5"/>
  <c r="L1916" i="5"/>
  <c r="I1916" i="5"/>
  <c r="K1929" i="5"/>
  <c r="I1929" i="5"/>
  <c r="L1963" i="5"/>
  <c r="G1963" i="5"/>
  <c r="J1963" i="5"/>
  <c r="M1963" i="5"/>
  <c r="L1972" i="5"/>
  <c r="B1985" i="5"/>
  <c r="I1985" i="5"/>
  <c r="F1985" i="5"/>
  <c r="L1985" i="5"/>
  <c r="I1990" i="5"/>
  <c r="D1990" i="5"/>
  <c r="L1990" i="5"/>
  <c r="G1990" i="5"/>
  <c r="F1862" i="5"/>
  <c r="J1862" i="5"/>
  <c r="E1875" i="5"/>
  <c r="J1875" i="5"/>
  <c r="D1888" i="5"/>
  <c r="J1888" i="5"/>
  <c r="B1889" i="5"/>
  <c r="C1901" i="5"/>
  <c r="J1901" i="5"/>
  <c r="C1902" i="5"/>
  <c r="B1914" i="5"/>
  <c r="J1914" i="5"/>
  <c r="B1916" i="5"/>
  <c r="L1928" i="5"/>
  <c r="I1928" i="5"/>
  <c r="B1929" i="5"/>
  <c r="H1938" i="5"/>
  <c r="I1938" i="5"/>
  <c r="B1938" i="5"/>
  <c r="B1944" i="5"/>
  <c r="I1944" i="5"/>
  <c r="J1944" i="5"/>
  <c r="B1963" i="5"/>
  <c r="G1968" i="5"/>
  <c r="B1968" i="5"/>
  <c r="C1968" i="5"/>
  <c r="I1968" i="5"/>
  <c r="I1978" i="5"/>
  <c r="D1978" i="5"/>
  <c r="M1978" i="5"/>
  <c r="C1985" i="5"/>
  <c r="B1990" i="5"/>
  <c r="C1996" i="5"/>
  <c r="J1996" i="5"/>
  <c r="D1996" i="5"/>
  <c r="B1996" i="5"/>
  <c r="B1973" i="5"/>
  <c r="I1973" i="5"/>
  <c r="G1973" i="5"/>
  <c r="C1973" i="5"/>
  <c r="C1972" i="5"/>
  <c r="J1972" i="5"/>
  <c r="F1972" i="5"/>
  <c r="E1973" i="5"/>
  <c r="J1977" i="5"/>
  <c r="E1977" i="5"/>
  <c r="L1977" i="5"/>
  <c r="K1977" i="5"/>
  <c r="AG29" i="7"/>
  <c r="U29" i="7"/>
  <c r="I29" i="7"/>
  <c r="AF29" i="7"/>
  <c r="T29" i="7"/>
  <c r="H29" i="7"/>
  <c r="AE29" i="7"/>
  <c r="S29" i="7"/>
  <c r="G29" i="7"/>
  <c r="AD29" i="7"/>
  <c r="R29" i="7"/>
  <c r="F29" i="7"/>
  <c r="AC29" i="7"/>
  <c r="Q29" i="7"/>
  <c r="E29" i="7"/>
  <c r="AB29" i="7"/>
  <c r="P29" i="7"/>
  <c r="D29" i="7"/>
  <c r="AH29" i="7"/>
  <c r="J29" i="7"/>
  <c r="AA29" i="7"/>
  <c r="C29" i="7"/>
  <c r="C31" i="7" s="1"/>
  <c r="C32" i="7" s="1"/>
  <c r="C30" i="7" s="1"/>
  <c r="Z29" i="7"/>
  <c r="Y29" i="7"/>
  <c r="X29" i="7"/>
  <c r="W29" i="7"/>
  <c r="AK29" i="7"/>
  <c r="AI29" i="7"/>
  <c r="O29" i="7"/>
  <c r="N29" i="7"/>
  <c r="V29" i="7"/>
  <c r="M29" i="7"/>
  <c r="L29" i="7"/>
  <c r="K29" i="7"/>
  <c r="AI149" i="7"/>
  <c r="W149" i="7"/>
  <c r="K149" i="7"/>
  <c r="AH149" i="7"/>
  <c r="V149" i="7"/>
  <c r="J149" i="7"/>
  <c r="AD149" i="7"/>
  <c r="R149" i="7"/>
  <c r="F149" i="7"/>
  <c r="AA149" i="7"/>
  <c r="L149" i="7"/>
  <c r="Z149" i="7"/>
  <c r="I149" i="7"/>
  <c r="X149" i="7"/>
  <c r="G149" i="7"/>
  <c r="AK149" i="7"/>
  <c r="T149" i="7"/>
  <c r="D149" i="7"/>
  <c r="AJ149" i="7"/>
  <c r="S149" i="7"/>
  <c r="C149" i="7"/>
  <c r="C151" i="7" s="1"/>
  <c r="C152" i="7" s="1"/>
  <c r="C150" i="7" s="1"/>
  <c r="Y149" i="7"/>
  <c r="Q149" i="7"/>
  <c r="P149" i="7"/>
  <c r="O149" i="7"/>
  <c r="AE149" i="7"/>
  <c r="AB149" i="7"/>
  <c r="N149" i="7"/>
  <c r="M149" i="7"/>
  <c r="AG149" i="7"/>
  <c r="AF149" i="7"/>
  <c r="AC149" i="7"/>
  <c r="E149" i="7"/>
  <c r="AI36" i="7"/>
  <c r="W36" i="7"/>
  <c r="K36" i="7"/>
  <c r="AH36" i="7"/>
  <c r="V36" i="7"/>
  <c r="J36" i="7"/>
  <c r="AG36" i="7"/>
  <c r="U36" i="7"/>
  <c r="I36" i="7"/>
  <c r="AF36" i="7"/>
  <c r="T36" i="7"/>
  <c r="H36" i="7"/>
  <c r="AE36" i="7"/>
  <c r="S36" i="7"/>
  <c r="G36" i="7"/>
  <c r="AD36" i="7"/>
  <c r="R36" i="7"/>
  <c r="F36" i="7"/>
  <c r="Q36" i="7"/>
  <c r="P36" i="7"/>
  <c r="O36" i="7"/>
  <c r="N36" i="7"/>
  <c r="AK36" i="7"/>
  <c r="M36" i="7"/>
  <c r="AJ36" i="7"/>
  <c r="L36" i="7"/>
  <c r="AC36" i="7"/>
  <c r="AA36" i="7"/>
  <c r="Z36" i="7"/>
  <c r="AB36" i="7"/>
  <c r="Y36" i="7"/>
  <c r="X36" i="7"/>
  <c r="E36" i="7"/>
  <c r="AJ89" i="7"/>
  <c r="X89" i="7"/>
  <c r="L89" i="7"/>
  <c r="AF89" i="7"/>
  <c r="T89" i="7"/>
  <c r="H89" i="7"/>
  <c r="AE89" i="7"/>
  <c r="S89" i="7"/>
  <c r="G89" i="7"/>
  <c r="AG89" i="7"/>
  <c r="P89" i="7"/>
  <c r="AD89" i="7"/>
  <c r="O89" i="7"/>
  <c r="V89" i="7"/>
  <c r="C89" i="7"/>
  <c r="U89" i="7"/>
  <c r="R89" i="7"/>
  <c r="AK89" i="7"/>
  <c r="Q89" i="7"/>
  <c r="AI89" i="7"/>
  <c r="N89" i="7"/>
  <c r="AH89" i="7"/>
  <c r="M89" i="7"/>
  <c r="Z89" i="7"/>
  <c r="Y89" i="7"/>
  <c r="W89" i="7"/>
  <c r="K89" i="7"/>
  <c r="J89" i="7"/>
  <c r="I89" i="7"/>
  <c r="AA89" i="7"/>
  <c r="AH99" i="7"/>
  <c r="V99" i="7"/>
  <c r="AE99" i="7"/>
  <c r="S99" i="7"/>
  <c r="G99" i="7"/>
  <c r="AD99" i="7"/>
  <c r="P99" i="7"/>
  <c r="C99" i="7"/>
  <c r="C101" i="7" s="1"/>
  <c r="C102" i="7" s="1"/>
  <c r="C100" i="7" s="1"/>
  <c r="AB99" i="7"/>
  <c r="N99" i="7"/>
  <c r="AA99" i="7"/>
  <c r="M99" i="7"/>
  <c r="Z99" i="7"/>
  <c r="L99" i="7"/>
  <c r="Y99" i="7"/>
  <c r="K99" i="7"/>
  <c r="AC99" i="7"/>
  <c r="E99" i="7"/>
  <c r="X99" i="7"/>
  <c r="D99" i="7"/>
  <c r="W99" i="7"/>
  <c r="U99" i="7"/>
  <c r="T99" i="7"/>
  <c r="R99" i="7"/>
  <c r="J99" i="7"/>
  <c r="I99" i="7"/>
  <c r="H99" i="7"/>
  <c r="F99" i="7"/>
  <c r="AK99" i="7"/>
  <c r="O99" i="7"/>
  <c r="AI99" i="7"/>
  <c r="AG99" i="7"/>
  <c r="AF99" i="7"/>
  <c r="Q99" i="7"/>
  <c r="AB89" i="7"/>
  <c r="AC89" i="7"/>
  <c r="I1937" i="5"/>
  <c r="H1937" i="5"/>
  <c r="E1958" i="5"/>
  <c r="L1958" i="5"/>
  <c r="D1958" i="5"/>
  <c r="H1979" i="5"/>
  <c r="C1979" i="5"/>
  <c r="AH66" i="7"/>
  <c r="V66" i="7"/>
  <c r="J66" i="7"/>
  <c r="AA66" i="7"/>
  <c r="N66" i="7"/>
  <c r="Z66" i="7"/>
  <c r="M66" i="7"/>
  <c r="Y66" i="7"/>
  <c r="L66" i="7"/>
  <c r="AK66" i="7"/>
  <c r="X66" i="7"/>
  <c r="K66" i="7"/>
  <c r="AJ66" i="7"/>
  <c r="W66" i="7"/>
  <c r="I66" i="7"/>
  <c r="AI66" i="7"/>
  <c r="U66" i="7"/>
  <c r="H66" i="7"/>
  <c r="P66" i="7"/>
  <c r="O66" i="7"/>
  <c r="AG66" i="7"/>
  <c r="G66" i="7"/>
  <c r="AF66" i="7"/>
  <c r="F66" i="7"/>
  <c r="AE66" i="7"/>
  <c r="E66" i="7"/>
  <c r="AD66" i="7"/>
  <c r="D66" i="7"/>
  <c r="Q66" i="7"/>
  <c r="C66" i="7"/>
  <c r="I1954" i="5"/>
  <c r="D1954" i="5"/>
  <c r="H1967" i="5"/>
  <c r="C1967" i="5"/>
  <c r="G1980" i="5"/>
  <c r="B1980" i="5"/>
  <c r="E1994" i="5"/>
  <c r="L1994" i="5"/>
  <c r="AI69" i="7"/>
  <c r="W69" i="7"/>
  <c r="K69" i="7"/>
  <c r="AH69" i="7"/>
  <c r="U69" i="7"/>
  <c r="H69" i="7"/>
  <c r="AG69" i="7"/>
  <c r="T69" i="7"/>
  <c r="G69" i="7"/>
  <c r="AF69" i="7"/>
  <c r="S69" i="7"/>
  <c r="F69" i="7"/>
  <c r="AE69" i="7"/>
  <c r="R69" i="7"/>
  <c r="E69" i="7"/>
  <c r="AD69" i="7"/>
  <c r="Q69" i="7"/>
  <c r="D69" i="7"/>
  <c r="AC69" i="7"/>
  <c r="P69" i="7"/>
  <c r="C69" i="7"/>
  <c r="V69" i="7"/>
  <c r="O69" i="7"/>
  <c r="N69" i="7"/>
  <c r="M69" i="7"/>
  <c r="L69" i="7"/>
  <c r="AK69" i="7"/>
  <c r="J69" i="7"/>
  <c r="H1950" i="5"/>
  <c r="H1962" i="5"/>
  <c r="H1974" i="5"/>
  <c r="H1986" i="5"/>
  <c r="H1998" i="5"/>
  <c r="AK109" i="7"/>
  <c r="Y109" i="7"/>
  <c r="M109" i="7"/>
  <c r="Z109" i="7"/>
  <c r="L109" i="7"/>
  <c r="AI109" i="7"/>
  <c r="V109" i="7"/>
  <c r="I109" i="7"/>
  <c r="X109" i="7"/>
  <c r="H109" i="7"/>
  <c r="U109" i="7"/>
  <c r="F109" i="7"/>
  <c r="AJ109" i="7"/>
  <c r="T109" i="7"/>
  <c r="E109" i="7"/>
  <c r="AH109" i="7"/>
  <c r="S109" i="7"/>
  <c r="D109" i="7"/>
  <c r="AG109" i="7"/>
  <c r="R109" i="7"/>
  <c r="C109" i="7"/>
  <c r="C111" i="7" s="1"/>
  <c r="C112" i="7" s="1"/>
  <c r="C110" i="7" s="1"/>
  <c r="AD109" i="7"/>
  <c r="AC109" i="7"/>
  <c r="AB109" i="7"/>
  <c r="AA109" i="7"/>
  <c r="W109" i="7"/>
  <c r="Q109" i="7"/>
  <c r="AF109" i="7"/>
  <c r="AE109" i="7"/>
  <c r="P109" i="7"/>
  <c r="O109" i="7"/>
  <c r="N109" i="7"/>
  <c r="K109" i="7"/>
  <c r="W19" i="7"/>
  <c r="Q46" i="7"/>
  <c r="Z79" i="7"/>
  <c r="AC119" i="7"/>
  <c r="Q119" i="7"/>
  <c r="E119" i="7"/>
  <c r="AE119" i="7"/>
  <c r="R119" i="7"/>
  <c r="D119" i="7"/>
  <c r="X119" i="7"/>
  <c r="J119" i="7"/>
  <c r="AJ119" i="7"/>
  <c r="V119" i="7"/>
  <c r="H119" i="7"/>
  <c r="AI119" i="7"/>
  <c r="U119" i="7"/>
  <c r="G119" i="7"/>
  <c r="S119" i="7"/>
  <c r="AK119" i="7"/>
  <c r="P119" i="7"/>
  <c r="AH119" i="7"/>
  <c r="O119" i="7"/>
  <c r="AG119" i="7"/>
  <c r="N119" i="7"/>
  <c r="AF119" i="7"/>
  <c r="M119" i="7"/>
  <c r="AD119" i="7"/>
  <c r="L119" i="7"/>
  <c r="T119" i="7"/>
  <c r="K119" i="7"/>
  <c r="I119" i="7"/>
  <c r="F119" i="7"/>
  <c r="C119" i="7"/>
  <c r="C121" i="7" s="1"/>
  <c r="C122" i="7" s="1"/>
  <c r="C120" i="7" s="1"/>
  <c r="W119" i="7"/>
  <c r="R46" i="7"/>
  <c r="AA79" i="7"/>
  <c r="AD97" i="7"/>
  <c r="R97" i="7"/>
  <c r="F97" i="7"/>
  <c r="Y97" i="7"/>
  <c r="L97" i="7"/>
  <c r="AJ97" i="7"/>
  <c r="W97" i="7"/>
  <c r="J97" i="7"/>
  <c r="AI97" i="7"/>
  <c r="V97" i="7"/>
  <c r="I97" i="7"/>
  <c r="AH97" i="7"/>
  <c r="U97" i="7"/>
  <c r="H97" i="7"/>
  <c r="AG97" i="7"/>
  <c r="T97" i="7"/>
  <c r="G97" i="7"/>
  <c r="P97" i="7"/>
  <c r="O97" i="7"/>
  <c r="AK97" i="7"/>
  <c r="N97" i="7"/>
  <c r="AF97" i="7"/>
  <c r="M97" i="7"/>
  <c r="AE97" i="7"/>
  <c r="K97" i="7"/>
  <c r="AC97" i="7"/>
  <c r="E97" i="7"/>
  <c r="AB97" i="7"/>
  <c r="AA97" i="7"/>
  <c r="Z97" i="7"/>
  <c r="AB129" i="7"/>
  <c r="P129" i="7"/>
  <c r="D129" i="7"/>
  <c r="AI129" i="7"/>
  <c r="V129" i="7"/>
  <c r="I129" i="7"/>
  <c r="AF129" i="7"/>
  <c r="S129" i="7"/>
  <c r="F129" i="7"/>
  <c r="AA129" i="7"/>
  <c r="L129" i="7"/>
  <c r="X129" i="7"/>
  <c r="H129" i="7"/>
  <c r="W129" i="7"/>
  <c r="G129" i="7"/>
  <c r="AC129" i="7"/>
  <c r="E129" i="7"/>
  <c r="Y129" i="7"/>
  <c r="T129" i="7"/>
  <c r="R129" i="7"/>
  <c r="AG129" i="7"/>
  <c r="AE129" i="7"/>
  <c r="AD129" i="7"/>
  <c r="Z129" i="7"/>
  <c r="U129" i="7"/>
  <c r="Q129" i="7"/>
  <c r="AK129" i="7"/>
  <c r="AJ129" i="7"/>
  <c r="AH129" i="7"/>
  <c r="O129" i="7"/>
  <c r="N129" i="7"/>
  <c r="M129" i="7"/>
  <c r="K129" i="7"/>
  <c r="J129" i="7"/>
  <c r="C129" i="7"/>
  <c r="S46" i="7"/>
  <c r="AC79" i="7"/>
  <c r="AI86" i="7"/>
  <c r="W86" i="7"/>
  <c r="K86" i="7"/>
  <c r="AE86" i="7"/>
  <c r="S86" i="7"/>
  <c r="G86" i="7"/>
  <c r="AD86" i="7"/>
  <c r="R86" i="7"/>
  <c r="F86" i="7"/>
  <c r="X86" i="7"/>
  <c r="H86" i="7"/>
  <c r="V86" i="7"/>
  <c r="E86" i="7"/>
  <c r="AJ86" i="7"/>
  <c r="P86" i="7"/>
  <c r="AH86" i="7"/>
  <c r="O86" i="7"/>
  <c r="AG86" i="7"/>
  <c r="N86" i="7"/>
  <c r="AF86" i="7"/>
  <c r="M86" i="7"/>
  <c r="AC86" i="7"/>
  <c r="L86" i="7"/>
  <c r="AB86" i="7"/>
  <c r="J86" i="7"/>
  <c r="AD19" i="7"/>
  <c r="R19" i="7"/>
  <c r="F19" i="7"/>
  <c r="AC19" i="7"/>
  <c r="Q19" i="7"/>
  <c r="E19" i="7"/>
  <c r="AB19" i="7"/>
  <c r="P19" i="7"/>
  <c r="D19" i="7"/>
  <c r="AA19" i="7"/>
  <c r="O19" i="7"/>
  <c r="C19" i="7"/>
  <c r="C21" i="7" s="1"/>
  <c r="C22" i="7" s="1"/>
  <c r="C20" i="7" s="1"/>
  <c r="Z19" i="7"/>
  <c r="N19" i="7"/>
  <c r="AK19" i="7"/>
  <c r="Y19" i="7"/>
  <c r="M19" i="7"/>
  <c r="AF139" i="7"/>
  <c r="T139" i="7"/>
  <c r="H139" i="7"/>
  <c r="AE139" i="7"/>
  <c r="S139" i="7"/>
  <c r="G139" i="7"/>
  <c r="AA139" i="7"/>
  <c r="O139" i="7"/>
  <c r="C139" i="7"/>
  <c r="AI139" i="7"/>
  <c r="R139" i="7"/>
  <c r="AG139" i="7"/>
  <c r="P139" i="7"/>
  <c r="AD139" i="7"/>
  <c r="N139" i="7"/>
  <c r="AJ139" i="7"/>
  <c r="L139" i="7"/>
  <c r="AC139" i="7"/>
  <c r="J139" i="7"/>
  <c r="AB139" i="7"/>
  <c r="I139" i="7"/>
  <c r="Z139" i="7"/>
  <c r="F139" i="7"/>
  <c r="E139" i="7"/>
  <c r="AK139" i="7"/>
  <c r="Y139" i="7"/>
  <c r="X139" i="7"/>
  <c r="Q139" i="7"/>
  <c r="M139" i="7"/>
  <c r="K139" i="7"/>
  <c r="D139" i="7"/>
  <c r="AH139" i="7"/>
  <c r="W139" i="7"/>
  <c r="V139" i="7"/>
  <c r="H19" i="7"/>
  <c r="AF19" i="7"/>
  <c r="AI37" i="7"/>
  <c r="W37" i="7"/>
  <c r="K37" i="7"/>
  <c r="AH37" i="7"/>
  <c r="V37" i="7"/>
  <c r="J37" i="7"/>
  <c r="AG37" i="7"/>
  <c r="U37" i="7"/>
  <c r="I37" i="7"/>
  <c r="AF37" i="7"/>
  <c r="T37" i="7"/>
  <c r="H37" i="7"/>
  <c r="AE37" i="7"/>
  <c r="S37" i="7"/>
  <c r="G37" i="7"/>
  <c r="AD37" i="7"/>
  <c r="R37" i="7"/>
  <c r="F37" i="7"/>
  <c r="AA37" i="7"/>
  <c r="D86" i="7"/>
  <c r="Q97" i="7"/>
  <c r="G109" i="7"/>
  <c r="Z46" i="7"/>
  <c r="N46" i="7"/>
  <c r="C46" i="7"/>
  <c r="AK46" i="7"/>
  <c r="Y46" i="7"/>
  <c r="M46" i="7"/>
  <c r="AJ46" i="7"/>
  <c r="X46" i="7"/>
  <c r="L46" i="7"/>
  <c r="AI46" i="7"/>
  <c r="W46" i="7"/>
  <c r="K46" i="7"/>
  <c r="AH46" i="7"/>
  <c r="V46" i="7"/>
  <c r="J46" i="7"/>
  <c r="AG46" i="7"/>
  <c r="U46" i="7"/>
  <c r="I46" i="7"/>
  <c r="AA46" i="7"/>
  <c r="AB79" i="7"/>
  <c r="P79" i="7"/>
  <c r="D79" i="7"/>
  <c r="AJ79" i="7"/>
  <c r="W79" i="7"/>
  <c r="J79" i="7"/>
  <c r="X79" i="7"/>
  <c r="I79" i="7"/>
  <c r="AK79" i="7"/>
  <c r="V79" i="7"/>
  <c r="H79" i="7"/>
  <c r="AI79" i="7"/>
  <c r="U79" i="7"/>
  <c r="G79" i="7"/>
  <c r="AH79" i="7"/>
  <c r="T79" i="7"/>
  <c r="F79" i="7"/>
  <c r="AG79" i="7"/>
  <c r="S79" i="7"/>
  <c r="E79" i="7"/>
  <c r="AF79" i="7"/>
  <c r="R79" i="7"/>
  <c r="C79" i="7"/>
  <c r="C81" i="7" s="1"/>
  <c r="C82" i="7" s="1"/>
  <c r="C80" i="7" s="1"/>
  <c r="AE79" i="7"/>
  <c r="J109" i="7"/>
  <c r="Y119" i="7"/>
  <c r="J19" i="7"/>
  <c r="AH19" i="7"/>
  <c r="D46" i="7"/>
  <c r="AB46" i="7"/>
  <c r="K79" i="7"/>
  <c r="Z119" i="7"/>
  <c r="Z159" i="7"/>
  <c r="N159" i="7"/>
  <c r="AK159" i="7"/>
  <c r="Y159" i="7"/>
  <c r="M159" i="7"/>
  <c r="AG159" i="7"/>
  <c r="U159" i="7"/>
  <c r="I159" i="7"/>
  <c r="AB159" i="7"/>
  <c r="P159" i="7"/>
  <c r="D159" i="7"/>
  <c r="T159" i="7"/>
  <c r="C159" i="7"/>
  <c r="C161" i="7" s="1"/>
  <c r="C162" i="7" s="1"/>
  <c r="C160" i="7" s="1"/>
  <c r="AJ159" i="7"/>
  <c r="S159" i="7"/>
  <c r="AI159" i="7"/>
  <c r="R159" i="7"/>
  <c r="AH159" i="7"/>
  <c r="Q159" i="7"/>
  <c r="AF159" i="7"/>
  <c r="O159" i="7"/>
  <c r="AE159" i="7"/>
  <c r="L159" i="7"/>
  <c r="AD159" i="7"/>
  <c r="K159" i="7"/>
  <c r="F159" i="7"/>
  <c r="AC159" i="7"/>
  <c r="E159" i="7"/>
  <c r="AA159" i="7"/>
  <c r="X159" i="7"/>
  <c r="W159" i="7"/>
  <c r="V159" i="7"/>
  <c r="L16" i="7"/>
  <c r="X16" i="7"/>
  <c r="AJ16" i="7"/>
  <c r="L17" i="7"/>
  <c r="X17" i="7"/>
  <c r="AJ17" i="7"/>
  <c r="O26" i="7"/>
  <c r="O27" i="7"/>
  <c r="J49" i="7"/>
  <c r="V49" i="7"/>
  <c r="AH49" i="7"/>
  <c r="L56" i="7"/>
  <c r="X56" i="7"/>
  <c r="AJ56" i="7"/>
  <c r="L57" i="7"/>
  <c r="X57" i="7"/>
  <c r="AJ57" i="7"/>
  <c r="L67" i="7"/>
  <c r="Y67" i="7"/>
  <c r="M16" i="7"/>
  <c r="Y16" i="7"/>
  <c r="AK16" i="7"/>
  <c r="M17" i="7"/>
  <c r="Y17" i="7"/>
  <c r="AK17" i="7"/>
  <c r="K49" i="7"/>
  <c r="W49" i="7"/>
  <c r="AI49" i="7"/>
  <c r="M56" i="7"/>
  <c r="Y56" i="7"/>
  <c r="AK56" i="7"/>
  <c r="M57" i="7"/>
  <c r="Y57" i="7"/>
  <c r="AK57" i="7"/>
  <c r="M67" i="7"/>
  <c r="Z67" i="7"/>
  <c r="AJ106" i="7"/>
  <c r="X106" i="7"/>
  <c r="L106" i="7"/>
  <c r="AE106" i="7"/>
  <c r="R106" i="7"/>
  <c r="E106" i="7"/>
  <c r="AB106" i="7"/>
  <c r="O106" i="7"/>
  <c r="C106" i="7"/>
  <c r="AG106" i="7"/>
  <c r="Q106" i="7"/>
  <c r="AD106" i="7"/>
  <c r="N106" i="7"/>
  <c r="AC106" i="7"/>
  <c r="M106" i="7"/>
  <c r="AA106" i="7"/>
  <c r="K106" i="7"/>
  <c r="Z106" i="7"/>
  <c r="J106" i="7"/>
  <c r="U106" i="7"/>
  <c r="T106" i="7"/>
  <c r="S106" i="7"/>
  <c r="P106" i="7"/>
  <c r="I106" i="7"/>
  <c r="AK106" i="7"/>
  <c r="H106" i="7"/>
  <c r="L49" i="7"/>
  <c r="X49" i="7"/>
  <c r="AJ49" i="7"/>
  <c r="N67" i="7"/>
  <c r="AA67" i="7"/>
  <c r="O16" i="7"/>
  <c r="O17" i="7"/>
  <c r="M49" i="7"/>
  <c r="Y49" i="7"/>
  <c r="AK49" i="7"/>
  <c r="O56" i="7"/>
  <c r="O57" i="7"/>
  <c r="C67" i="7"/>
  <c r="C71" i="7" s="1"/>
  <c r="C72" i="7" s="1"/>
  <c r="C70" i="7" s="1"/>
  <c r="O67" i="7"/>
  <c r="F106" i="7"/>
  <c r="G159" i="7"/>
  <c r="N49" i="7"/>
  <c r="Z49" i="7"/>
  <c r="AH67" i="7"/>
  <c r="V67" i="7"/>
  <c r="J67" i="7"/>
  <c r="P67" i="7"/>
  <c r="AC67" i="7"/>
  <c r="H159" i="7"/>
  <c r="C49" i="7"/>
  <c r="O49" i="7"/>
  <c r="D67" i="7"/>
  <c r="Q67" i="7"/>
  <c r="AD67" i="7"/>
  <c r="J159" i="7"/>
  <c r="AJ107" i="7"/>
  <c r="X107" i="7"/>
  <c r="L107" i="7"/>
  <c r="AH107" i="7"/>
  <c r="U107" i="7"/>
  <c r="H107" i="7"/>
  <c r="AE107" i="7"/>
  <c r="R107" i="7"/>
  <c r="E107" i="7"/>
  <c r="AB107" i="7"/>
  <c r="M107" i="7"/>
  <c r="Z107" i="7"/>
  <c r="J107" i="7"/>
  <c r="Y107" i="7"/>
  <c r="I107" i="7"/>
  <c r="W107" i="7"/>
  <c r="G107" i="7"/>
  <c r="V107" i="7"/>
  <c r="F107" i="7"/>
  <c r="AF107" i="7"/>
  <c r="C87" i="7"/>
  <c r="C91" i="7" s="1"/>
  <c r="C92" i="7" s="1"/>
  <c r="C90" i="7" s="1"/>
  <c r="Q87" i="7"/>
  <c r="K107" i="7"/>
  <c r="AI107" i="7"/>
  <c r="AI87" i="7"/>
  <c r="W87" i="7"/>
  <c r="K87" i="7"/>
  <c r="AE87" i="7"/>
  <c r="S87" i="7"/>
  <c r="G87" i="7"/>
  <c r="AD87" i="7"/>
  <c r="R87" i="7"/>
  <c r="F87" i="7"/>
  <c r="T87" i="7"/>
  <c r="AJ87" i="7"/>
  <c r="N107" i="7"/>
  <c r="AK107" i="7"/>
  <c r="AE126" i="7"/>
  <c r="S126" i="7"/>
  <c r="G126" i="7"/>
  <c r="AB126" i="7"/>
  <c r="P126" i="7"/>
  <c r="D126" i="7"/>
  <c r="X126" i="7"/>
  <c r="J126" i="7"/>
  <c r="AI126" i="7"/>
  <c r="U126" i="7"/>
  <c r="F126" i="7"/>
  <c r="AH126" i="7"/>
  <c r="T126" i="7"/>
  <c r="E126" i="7"/>
  <c r="AJ126" i="7"/>
  <c r="O126" i="7"/>
  <c r="AF126" i="7"/>
  <c r="M126" i="7"/>
  <c r="AD126" i="7"/>
  <c r="L126" i="7"/>
  <c r="R126" i="7"/>
  <c r="Q126" i="7"/>
  <c r="N126" i="7"/>
  <c r="K126" i="7"/>
  <c r="AK126" i="7"/>
  <c r="I126" i="7"/>
  <c r="AG126" i="7"/>
  <c r="H126" i="7"/>
  <c r="O76" i="7"/>
  <c r="O77" i="7"/>
  <c r="AD96" i="7"/>
  <c r="R96" i="7"/>
  <c r="F96" i="7"/>
  <c r="P96" i="7"/>
  <c r="AC96" i="7"/>
  <c r="W127" i="7"/>
  <c r="AH146" i="7"/>
  <c r="V146" i="7"/>
  <c r="J146" i="7"/>
  <c r="AG146" i="7"/>
  <c r="U146" i="7"/>
  <c r="I146" i="7"/>
  <c r="AC146" i="7"/>
  <c r="Q146" i="7"/>
  <c r="E146" i="7"/>
  <c r="AI146" i="7"/>
  <c r="R146" i="7"/>
  <c r="C146" i="7"/>
  <c r="AF146" i="7"/>
  <c r="P146" i="7"/>
  <c r="AD146" i="7"/>
  <c r="N146" i="7"/>
  <c r="AA146" i="7"/>
  <c r="L146" i="7"/>
  <c r="Z146" i="7"/>
  <c r="K146" i="7"/>
  <c r="M146" i="7"/>
  <c r="AK146" i="7"/>
  <c r="G146" i="7"/>
  <c r="AJ146" i="7"/>
  <c r="F146" i="7"/>
  <c r="AE146" i="7"/>
  <c r="D146" i="7"/>
  <c r="AB146" i="7"/>
  <c r="X146" i="7"/>
  <c r="T146" i="7"/>
  <c r="S146" i="7"/>
  <c r="D96" i="7"/>
  <c r="Q96" i="7"/>
  <c r="AE96" i="7"/>
  <c r="H146" i="7"/>
  <c r="AE127" i="7"/>
  <c r="S127" i="7"/>
  <c r="G127" i="7"/>
  <c r="AB127" i="7"/>
  <c r="P127" i="7"/>
  <c r="D127" i="7"/>
  <c r="AF127" i="7"/>
  <c r="Q127" i="7"/>
  <c r="C127" i="7"/>
  <c r="AA127" i="7"/>
  <c r="M127" i="7"/>
  <c r="Z127" i="7"/>
  <c r="L127" i="7"/>
  <c r="AK127" i="7"/>
  <c r="T127" i="7"/>
  <c r="AI127" i="7"/>
  <c r="O127" i="7"/>
  <c r="AH127" i="7"/>
  <c r="N127" i="7"/>
  <c r="Y127" i="7"/>
  <c r="E127" i="7"/>
  <c r="AC127" i="7"/>
  <c r="H127" i="7"/>
  <c r="AG127" i="7"/>
  <c r="S136" i="7"/>
  <c r="AJ136" i="7"/>
  <c r="T136" i="7"/>
  <c r="AD136" i="7"/>
  <c r="R136" i="7"/>
  <c r="F136" i="7"/>
  <c r="Z136" i="7"/>
  <c r="N136" i="7"/>
  <c r="C136" i="7"/>
  <c r="AE136" i="7"/>
  <c r="P136" i="7"/>
  <c r="AB136" i="7"/>
  <c r="M136" i="7"/>
  <c r="AA136" i="7"/>
  <c r="L136" i="7"/>
  <c r="U136" i="7"/>
  <c r="AD137" i="7"/>
  <c r="R137" i="7"/>
  <c r="F137" i="7"/>
  <c r="Z137" i="7"/>
  <c r="N137" i="7"/>
  <c r="C137" i="7"/>
  <c r="AK137" i="7"/>
  <c r="W137" i="7"/>
  <c r="I137" i="7"/>
  <c r="AI137" i="7"/>
  <c r="U137" i="7"/>
  <c r="G137" i="7"/>
  <c r="AH137" i="7"/>
  <c r="T137" i="7"/>
  <c r="E137" i="7"/>
  <c r="X137" i="7"/>
  <c r="O116" i="7"/>
  <c r="O117" i="7"/>
  <c r="E136" i="7"/>
  <c r="W136" i="7"/>
  <c r="H137" i="7"/>
  <c r="AA137" i="7"/>
  <c r="AH147" i="7"/>
  <c r="V147" i="7"/>
  <c r="J147" i="7"/>
  <c r="AG147" i="7"/>
  <c r="U147" i="7"/>
  <c r="I147" i="7"/>
  <c r="AC147" i="7"/>
  <c r="Q147" i="7"/>
  <c r="E147" i="7"/>
  <c r="AD147" i="7"/>
  <c r="N147" i="7"/>
  <c r="AB147" i="7"/>
  <c r="M147" i="7"/>
  <c r="Z147" i="7"/>
  <c r="K147" i="7"/>
  <c r="X147" i="7"/>
  <c r="G147" i="7"/>
  <c r="W147" i="7"/>
  <c r="F147" i="7"/>
  <c r="AF147" i="7"/>
  <c r="N156" i="7"/>
  <c r="AC156" i="7"/>
  <c r="O156" i="7"/>
  <c r="AD156" i="7"/>
  <c r="P156" i="7"/>
  <c r="AE156" i="7"/>
  <c r="C156" i="7"/>
  <c r="Q156" i="7"/>
  <c r="AK156" i="7"/>
  <c r="Y156" i="7"/>
  <c r="M156" i="7"/>
  <c r="AJ156" i="7"/>
  <c r="X156" i="7"/>
  <c r="L156" i="7"/>
  <c r="AF156" i="7"/>
  <c r="T156" i="7"/>
  <c r="H156" i="7"/>
  <c r="R156" i="7"/>
  <c r="AH156" i="7"/>
  <c r="D156" i="7"/>
  <c r="S156" i="7"/>
  <c r="AI156" i="7"/>
  <c r="E156" i="7"/>
  <c r="U156" i="7"/>
  <c r="O157" i="7"/>
  <c r="AA157" i="7"/>
  <c r="H157" i="7"/>
  <c r="T157" i="7"/>
  <c r="AF157" i="7"/>
  <c r="L157" i="7"/>
  <c r="X157" i="7"/>
  <c r="AJ157" i="7"/>
  <c r="M157" i="7"/>
  <c r="Y157" i="7"/>
  <c r="D41" i="7" l="1"/>
  <c r="D42" i="7" s="1"/>
  <c r="C141" i="7"/>
  <c r="C142" i="7" s="1"/>
  <c r="C140" i="7" s="1"/>
  <c r="D170" i="4"/>
  <c r="D167" i="4"/>
  <c r="D164" i="4"/>
  <c r="D161" i="4"/>
  <c r="E161" i="4" s="1"/>
  <c r="F161" i="4" s="1"/>
  <c r="D158" i="4"/>
  <c r="E158" i="4" s="1"/>
  <c r="F158" i="4" s="1"/>
  <c r="D155" i="4"/>
  <c r="E155" i="4" s="1"/>
  <c r="F155" i="4" s="1"/>
  <c r="D152" i="4"/>
  <c r="E152" i="4" s="1"/>
  <c r="F152" i="4" s="1"/>
  <c r="D149" i="4"/>
  <c r="E149" i="4" s="1"/>
  <c r="F149" i="4" s="1"/>
  <c r="D146" i="4"/>
  <c r="E146" i="4" s="1"/>
  <c r="F146" i="4" s="1"/>
  <c r="D143" i="4"/>
  <c r="E143" i="4" s="1"/>
  <c r="F143" i="4" s="1"/>
  <c r="D140" i="4"/>
  <c r="E140" i="4" s="1"/>
  <c r="F140" i="4" s="1"/>
  <c r="D137" i="4"/>
  <c r="E137" i="4" s="1"/>
  <c r="F137" i="4" s="1"/>
  <c r="D134" i="4"/>
  <c r="D131" i="4"/>
  <c r="D128" i="4"/>
  <c r="D125" i="4"/>
  <c r="E125" i="4" s="1"/>
  <c r="F125" i="4" s="1"/>
  <c r="D122" i="4"/>
  <c r="E122" i="4" s="1"/>
  <c r="F122" i="4" s="1"/>
  <c r="D119" i="4"/>
  <c r="E119" i="4" s="1"/>
  <c r="F119" i="4" s="1"/>
  <c r="D116" i="4"/>
  <c r="E116" i="4" s="1"/>
  <c r="F116" i="4" s="1"/>
  <c r="D113" i="4"/>
  <c r="E113" i="4" s="1"/>
  <c r="F113" i="4" s="1"/>
  <c r="D110" i="4"/>
  <c r="E110" i="4" s="1"/>
  <c r="F110" i="4" s="1"/>
  <c r="D107" i="4"/>
  <c r="E107" i="4" s="1"/>
  <c r="F107" i="4" s="1"/>
  <c r="D104" i="4"/>
  <c r="E104" i="4" s="1"/>
  <c r="F104" i="4" s="1"/>
  <c r="D101" i="4"/>
  <c r="E101" i="4" s="1"/>
  <c r="F101" i="4" s="1"/>
  <c r="D98" i="4"/>
  <c r="D95" i="4"/>
  <c r="D92" i="4"/>
  <c r="D89" i="4"/>
  <c r="E89" i="4" s="1"/>
  <c r="F89" i="4" s="1"/>
  <c r="D86" i="4"/>
  <c r="E86" i="4" s="1"/>
  <c r="F86" i="4" s="1"/>
  <c r="D83" i="4"/>
  <c r="E83" i="4" s="1"/>
  <c r="F83" i="4" s="1"/>
  <c r="D80" i="4"/>
  <c r="E80" i="4" s="1"/>
  <c r="F80" i="4" s="1"/>
  <c r="D77" i="4"/>
  <c r="E77" i="4" s="1"/>
  <c r="F77" i="4" s="1"/>
  <c r="D74" i="4"/>
  <c r="E74" i="4" s="1"/>
  <c r="F74" i="4" s="1"/>
  <c r="D71" i="4"/>
  <c r="E71" i="4" s="1"/>
  <c r="F71" i="4" s="1"/>
  <c r="D68" i="4"/>
  <c r="E68" i="4" s="1"/>
  <c r="F68" i="4" s="1"/>
  <c r="D65" i="4"/>
  <c r="E65" i="4" s="1"/>
  <c r="F65" i="4" s="1"/>
  <c r="D62" i="4"/>
  <c r="D59" i="4"/>
  <c r="D56" i="4"/>
  <c r="D53" i="4"/>
  <c r="E53" i="4" s="1"/>
  <c r="F53" i="4" s="1"/>
  <c r="D50" i="4"/>
  <c r="E50" i="4" s="1"/>
  <c r="F50" i="4" s="1"/>
  <c r="D47" i="4"/>
  <c r="E47" i="4" s="1"/>
  <c r="F47" i="4" s="1"/>
  <c r="D44" i="4"/>
  <c r="E44" i="4" s="1"/>
  <c r="F44" i="4" s="1"/>
  <c r="D41" i="4"/>
  <c r="E41" i="4" s="1"/>
  <c r="F41" i="4" s="1"/>
  <c r="D38" i="4"/>
  <c r="E38" i="4" s="1"/>
  <c r="F38" i="4" s="1"/>
  <c r="D35" i="4"/>
  <c r="E35" i="4" s="1"/>
  <c r="F35" i="4" s="1"/>
  <c r="D32" i="4"/>
  <c r="E32" i="4" s="1"/>
  <c r="F32" i="4" s="1"/>
  <c r="D29" i="4"/>
  <c r="E29" i="4" s="1"/>
  <c r="F29" i="4" s="1"/>
  <c r="D26" i="4"/>
  <c r="D23" i="4"/>
  <c r="D20" i="4"/>
  <c r="D17" i="4"/>
  <c r="E17" i="4" s="1"/>
  <c r="F17" i="4" s="1"/>
  <c r="D14" i="4"/>
  <c r="E14" i="4" s="1"/>
  <c r="F14" i="4" s="1"/>
  <c r="D11" i="4"/>
  <c r="E11" i="4" s="1"/>
  <c r="F11" i="4" s="1"/>
  <c r="D8" i="4"/>
  <c r="E8" i="4" s="1"/>
  <c r="F8" i="4" s="1"/>
  <c r="D5" i="4"/>
  <c r="E5" i="4" s="1"/>
  <c r="F5" i="4" s="1"/>
  <c r="D2" i="4"/>
  <c r="E2" i="4" s="1"/>
  <c r="F2" i="4" s="1"/>
  <c r="A170" i="4"/>
  <c r="A167" i="4"/>
  <c r="A164" i="4"/>
  <c r="A161" i="4"/>
  <c r="A158" i="4"/>
  <c r="A155" i="4"/>
  <c r="A152" i="4"/>
  <c r="A149" i="4"/>
  <c r="A146" i="4"/>
  <c r="A143" i="4"/>
  <c r="A140" i="4"/>
  <c r="A137" i="4"/>
  <c r="A134" i="4"/>
  <c r="A131" i="4"/>
  <c r="A128" i="4"/>
  <c r="A125" i="4"/>
  <c r="A122" i="4"/>
  <c r="A119" i="4"/>
  <c r="A116" i="4"/>
  <c r="A113" i="4"/>
  <c r="A110" i="4"/>
  <c r="A107" i="4"/>
  <c r="A104" i="4"/>
  <c r="A101" i="4"/>
  <c r="A98" i="4"/>
  <c r="A95" i="4"/>
  <c r="A92" i="4"/>
  <c r="A89" i="4"/>
  <c r="A86" i="4"/>
  <c r="A83" i="4"/>
  <c r="A80" i="4"/>
  <c r="A77" i="4"/>
  <c r="A74" i="4"/>
  <c r="A71" i="4"/>
  <c r="A68" i="4"/>
  <c r="A65" i="4"/>
  <c r="A62" i="4"/>
  <c r="A59" i="4"/>
  <c r="A56" i="4"/>
  <c r="A53" i="4"/>
  <c r="A50" i="4"/>
  <c r="A47" i="4"/>
  <c r="A44" i="4"/>
  <c r="A41" i="4"/>
  <c r="A38" i="4"/>
  <c r="A35" i="4"/>
  <c r="A32" i="4"/>
  <c r="A29" i="4"/>
  <c r="A26" i="4"/>
  <c r="A23" i="4"/>
  <c r="A20" i="4"/>
  <c r="A17" i="4"/>
  <c r="A14" i="4"/>
  <c r="A11" i="4"/>
  <c r="A8" i="4"/>
  <c r="A5" i="4"/>
  <c r="A171" i="4"/>
  <c r="B167" i="4"/>
  <c r="C163" i="4"/>
  <c r="A160" i="4"/>
  <c r="C156" i="4"/>
  <c r="A153" i="4"/>
  <c r="B149" i="4"/>
  <c r="C145" i="4"/>
  <c r="A142" i="4"/>
  <c r="C138" i="4"/>
  <c r="A135" i="4"/>
  <c r="B131" i="4"/>
  <c r="C127" i="4"/>
  <c r="A124" i="4"/>
  <c r="C120" i="4"/>
  <c r="A117" i="4"/>
  <c r="B113" i="4"/>
  <c r="C109" i="4"/>
  <c r="A106" i="4"/>
  <c r="C102" i="4"/>
  <c r="A99" i="4"/>
  <c r="B95" i="4"/>
  <c r="C91" i="4"/>
  <c r="A88" i="4"/>
  <c r="C84" i="4"/>
  <c r="A81" i="4"/>
  <c r="B77" i="4"/>
  <c r="C73" i="4"/>
  <c r="A70" i="4"/>
  <c r="C66" i="4"/>
  <c r="A63" i="4"/>
  <c r="B59" i="4"/>
  <c r="C55" i="4"/>
  <c r="A52" i="4"/>
  <c r="C48" i="4"/>
  <c r="A45" i="4"/>
  <c r="B41" i="4"/>
  <c r="C37" i="4"/>
  <c r="A34" i="4"/>
  <c r="C30" i="4"/>
  <c r="A27" i="4"/>
  <c r="B23" i="4"/>
  <c r="C19" i="4"/>
  <c r="A16" i="4"/>
  <c r="C12" i="4"/>
  <c r="A9" i="4"/>
  <c r="B5" i="4"/>
  <c r="C170" i="4"/>
  <c r="D166" i="4"/>
  <c r="B163" i="4"/>
  <c r="D159" i="4"/>
  <c r="B156" i="4"/>
  <c r="C152" i="4"/>
  <c r="D148" i="4"/>
  <c r="E148" i="4" s="1"/>
  <c r="F148" i="4" s="1"/>
  <c r="B145" i="4"/>
  <c r="D141" i="4"/>
  <c r="B138" i="4"/>
  <c r="C134" i="4"/>
  <c r="D130" i="4"/>
  <c r="B127" i="4"/>
  <c r="D169" i="4"/>
  <c r="E169" i="4" s="1"/>
  <c r="F169" i="4" s="1"/>
  <c r="B166" i="4"/>
  <c r="D162" i="4"/>
  <c r="E162" i="4" s="1"/>
  <c r="F162" i="4" s="1"/>
  <c r="B159" i="4"/>
  <c r="C155" i="4"/>
  <c r="D151" i="4"/>
  <c r="E151" i="4" s="1"/>
  <c r="F151" i="4" s="1"/>
  <c r="B148" i="4"/>
  <c r="D144" i="4"/>
  <c r="B141" i="4"/>
  <c r="C137" i="4"/>
  <c r="D133" i="4"/>
  <c r="B130" i="4"/>
  <c r="D126" i="4"/>
  <c r="B123" i="4"/>
  <c r="C119" i="4"/>
  <c r="D115" i="4"/>
  <c r="E115" i="4" s="1"/>
  <c r="F115" i="4" s="1"/>
  <c r="B112" i="4"/>
  <c r="D108" i="4"/>
  <c r="E108" i="4" s="1"/>
  <c r="F108" i="4" s="1"/>
  <c r="B105" i="4"/>
  <c r="C101" i="4"/>
  <c r="D97" i="4"/>
  <c r="B94" i="4"/>
  <c r="D90" i="4"/>
  <c r="B87" i="4"/>
  <c r="C83" i="4"/>
  <c r="D79" i="4"/>
  <c r="B76" i="4"/>
  <c r="D72" i="4"/>
  <c r="E72" i="4" s="1"/>
  <c r="F72" i="4" s="1"/>
  <c r="B69" i="4"/>
  <c r="C65" i="4"/>
  <c r="D61" i="4"/>
  <c r="E61" i="4" s="1"/>
  <c r="F61" i="4" s="1"/>
  <c r="B58" i="4"/>
  <c r="D54" i="4"/>
  <c r="B51" i="4"/>
  <c r="C47" i="4"/>
  <c r="D43" i="4"/>
  <c r="E43" i="4" s="1"/>
  <c r="F43" i="4" s="1"/>
  <c r="B40" i="4"/>
  <c r="D36" i="4"/>
  <c r="B33" i="4"/>
  <c r="C29" i="4"/>
  <c r="D25" i="4"/>
  <c r="B22" i="4"/>
  <c r="D18" i="4"/>
  <c r="E18" i="4" s="1"/>
  <c r="F18" i="4" s="1"/>
  <c r="B15" i="4"/>
  <c r="C11" i="4"/>
  <c r="D7" i="4"/>
  <c r="B4" i="4"/>
  <c r="C172" i="4"/>
  <c r="B168" i="4"/>
  <c r="A163" i="4"/>
  <c r="B158" i="4"/>
  <c r="D153" i="4"/>
  <c r="C148" i="4"/>
  <c r="A144" i="4"/>
  <c r="B139" i="4"/>
  <c r="B134" i="4"/>
  <c r="C129" i="4"/>
  <c r="D124" i="4"/>
  <c r="D120" i="4"/>
  <c r="B116" i="4"/>
  <c r="D111" i="4"/>
  <c r="E111" i="4" s="1"/>
  <c r="F111" i="4" s="1"/>
  <c r="C107" i="4"/>
  <c r="B103" i="4"/>
  <c r="B99" i="4"/>
  <c r="C94" i="4"/>
  <c r="B90" i="4"/>
  <c r="D85" i="4"/>
  <c r="E85" i="4" s="1"/>
  <c r="F85" i="4" s="1"/>
  <c r="D81" i="4"/>
  <c r="C77" i="4"/>
  <c r="A73" i="4"/>
  <c r="C68" i="4"/>
  <c r="B64" i="4"/>
  <c r="B60" i="4"/>
  <c r="D55" i="4"/>
  <c r="C51" i="4"/>
  <c r="D46" i="4"/>
  <c r="E46" i="4" s="1"/>
  <c r="F46" i="4" s="1"/>
  <c r="D42" i="4"/>
  <c r="E42" i="4" s="1"/>
  <c r="F42" i="4" s="1"/>
  <c r="C38" i="4"/>
  <c r="B34" i="4"/>
  <c r="A30" i="4"/>
  <c r="B25" i="4"/>
  <c r="B21" i="4"/>
  <c r="D16" i="4"/>
  <c r="E16" i="4" s="1"/>
  <c r="F16" i="4" s="1"/>
  <c r="D12" i="4"/>
  <c r="B8" i="4"/>
  <c r="D3" i="4"/>
  <c r="E3" i="4" s="1"/>
  <c r="F3" i="4" s="1"/>
  <c r="C159" i="4"/>
  <c r="C117" i="4"/>
  <c r="B91" i="4"/>
  <c r="B65" i="4"/>
  <c r="B48" i="4"/>
  <c r="A31" i="4"/>
  <c r="C13" i="4"/>
  <c r="B172" i="4"/>
  <c r="A168" i="4"/>
  <c r="C162" i="4"/>
  <c r="D157" i="4"/>
  <c r="C153" i="4"/>
  <c r="A148" i="4"/>
  <c r="C143" i="4"/>
  <c r="A139" i="4"/>
  <c r="C133" i="4"/>
  <c r="B129" i="4"/>
  <c r="C124" i="4"/>
  <c r="B120" i="4"/>
  <c r="C115" i="4"/>
  <c r="C111" i="4"/>
  <c r="B107" i="4"/>
  <c r="A103" i="4"/>
  <c r="C98" i="4"/>
  <c r="A94" i="4"/>
  <c r="A90" i="4"/>
  <c r="C85" i="4"/>
  <c r="C81" i="4"/>
  <c r="D76" i="4"/>
  <c r="C72" i="4"/>
  <c r="B68" i="4"/>
  <c r="A64" i="4"/>
  <c r="A60" i="4"/>
  <c r="B55" i="4"/>
  <c r="A51" i="4"/>
  <c r="C46" i="4"/>
  <c r="C42" i="4"/>
  <c r="B38" i="4"/>
  <c r="D33" i="4"/>
  <c r="B29" i="4"/>
  <c r="A25" i="4"/>
  <c r="A21" i="4"/>
  <c r="C16" i="4"/>
  <c r="B12" i="4"/>
  <c r="C7" i="4"/>
  <c r="C3" i="4"/>
  <c r="A165" i="4"/>
  <c r="A136" i="4"/>
  <c r="A109" i="4"/>
  <c r="C87" i="4"/>
  <c r="A66" i="4"/>
  <c r="B44" i="4"/>
  <c r="B27" i="4"/>
  <c r="D9" i="4"/>
  <c r="B140" i="4"/>
  <c r="B104" i="4"/>
  <c r="C78" i="4"/>
  <c r="A61" i="4"/>
  <c r="C43" i="4"/>
  <c r="C26" i="4"/>
  <c r="C9" i="4"/>
  <c r="A172" i="4"/>
  <c r="C167" i="4"/>
  <c r="B162" i="4"/>
  <c r="C157" i="4"/>
  <c r="B153" i="4"/>
  <c r="D147" i="4"/>
  <c r="B143" i="4"/>
  <c r="D138" i="4"/>
  <c r="B133" i="4"/>
  <c r="A129" i="4"/>
  <c r="B124" i="4"/>
  <c r="A120" i="4"/>
  <c r="B115" i="4"/>
  <c r="B111" i="4"/>
  <c r="D106" i="4"/>
  <c r="D102" i="4"/>
  <c r="E102" i="4" s="1"/>
  <c r="F102" i="4" s="1"/>
  <c r="B98" i="4"/>
  <c r="D93" i="4"/>
  <c r="C89" i="4"/>
  <c r="B85" i="4"/>
  <c r="B81" i="4"/>
  <c r="C76" i="4"/>
  <c r="B72" i="4"/>
  <c r="D67" i="4"/>
  <c r="D63" i="4"/>
  <c r="C59" i="4"/>
  <c r="A55" i="4"/>
  <c r="C50" i="4"/>
  <c r="B46" i="4"/>
  <c r="B42" i="4"/>
  <c r="D37" i="4"/>
  <c r="C33" i="4"/>
  <c r="D28" i="4"/>
  <c r="D24" i="4"/>
  <c r="C20" i="4"/>
  <c r="B16" i="4"/>
  <c r="A12" i="4"/>
  <c r="B7" i="4"/>
  <c r="B3" i="4"/>
  <c r="B169" i="4"/>
  <c r="D154" i="4"/>
  <c r="D145" i="4"/>
  <c r="C131" i="4"/>
  <c r="D121" i="4"/>
  <c r="E121" i="4" s="1"/>
  <c r="F121" i="4" s="1"/>
  <c r="C113" i="4"/>
  <c r="B100" i="4"/>
  <c r="D91" i="4"/>
  <c r="D78" i="4"/>
  <c r="E78" i="4" s="1"/>
  <c r="F78" i="4" s="1"/>
  <c r="B70" i="4"/>
  <c r="B57" i="4"/>
  <c r="D48" i="4"/>
  <c r="E48" i="4" s="1"/>
  <c r="F48" i="4" s="1"/>
  <c r="C35" i="4"/>
  <c r="C22" i="4"/>
  <c r="D13" i="4"/>
  <c r="A169" i="4"/>
  <c r="C154" i="4"/>
  <c r="A145" i="4"/>
  <c r="C130" i="4"/>
  <c r="C121" i="4"/>
  <c r="C108" i="4"/>
  <c r="A96" i="4"/>
  <c r="C82" i="4"/>
  <c r="D69" i="4"/>
  <c r="E69" i="4" s="1"/>
  <c r="F69" i="4" s="1"/>
  <c r="C52" i="4"/>
  <c r="B35" i="4"/>
  <c r="A18" i="4"/>
  <c r="D171" i="4"/>
  <c r="C166" i="4"/>
  <c r="A162" i="4"/>
  <c r="B157" i="4"/>
  <c r="B152" i="4"/>
  <c r="C147" i="4"/>
  <c r="D142" i="4"/>
  <c r="E142" i="4" s="1"/>
  <c r="F142" i="4" s="1"/>
  <c r="A138" i="4"/>
  <c r="A133" i="4"/>
  <c r="C128" i="4"/>
  <c r="D123" i="4"/>
  <c r="B119" i="4"/>
  <c r="A115" i="4"/>
  <c r="A111" i="4"/>
  <c r="C106" i="4"/>
  <c r="B102" i="4"/>
  <c r="C97" i="4"/>
  <c r="C93" i="4"/>
  <c r="B89" i="4"/>
  <c r="A85" i="4"/>
  <c r="C80" i="4"/>
  <c r="A76" i="4"/>
  <c r="A72" i="4"/>
  <c r="C67" i="4"/>
  <c r="C63" i="4"/>
  <c r="D58" i="4"/>
  <c r="C54" i="4"/>
  <c r="B50" i="4"/>
  <c r="A46" i="4"/>
  <c r="A42" i="4"/>
  <c r="B37" i="4"/>
  <c r="A33" i="4"/>
  <c r="C28" i="4"/>
  <c r="C24" i="4"/>
  <c r="B20" i="4"/>
  <c r="D15" i="4"/>
  <c r="B11" i="4"/>
  <c r="A7" i="4"/>
  <c r="A3" i="4"/>
  <c r="C171" i="4"/>
  <c r="A166" i="4"/>
  <c r="C161" i="4"/>
  <c r="A157" i="4"/>
  <c r="C151" i="4"/>
  <c r="B147" i="4"/>
  <c r="C142" i="4"/>
  <c r="B137" i="4"/>
  <c r="D132" i="4"/>
  <c r="B128" i="4"/>
  <c r="C123" i="4"/>
  <c r="D118" i="4"/>
  <c r="E118" i="4" s="1"/>
  <c r="F118" i="4" s="1"/>
  <c r="D114" i="4"/>
  <c r="E114" i="4" s="1"/>
  <c r="F114" i="4" s="1"/>
  <c r="C110" i="4"/>
  <c r="B106" i="4"/>
  <c r="A102" i="4"/>
  <c r="B97" i="4"/>
  <c r="B93" i="4"/>
  <c r="D88" i="4"/>
  <c r="E88" i="4" s="1"/>
  <c r="F88" i="4" s="1"/>
  <c r="D84" i="4"/>
  <c r="B80" i="4"/>
  <c r="D75" i="4"/>
  <c r="C71" i="4"/>
  <c r="B67" i="4"/>
  <c r="B63" i="4"/>
  <c r="C58" i="4"/>
  <c r="B54" i="4"/>
  <c r="D49" i="4"/>
  <c r="E49" i="4" s="1"/>
  <c r="F49" i="4" s="1"/>
  <c r="D45" i="4"/>
  <c r="E45" i="4" s="1"/>
  <c r="F45" i="4" s="1"/>
  <c r="C41" i="4"/>
  <c r="A37" i="4"/>
  <c r="C32" i="4"/>
  <c r="B28" i="4"/>
  <c r="B24" i="4"/>
  <c r="D19" i="4"/>
  <c r="C15" i="4"/>
  <c r="D10" i="4"/>
  <c r="E10" i="4" s="1"/>
  <c r="F10" i="4" s="1"/>
  <c r="D6" i="4"/>
  <c r="E6" i="4" s="1"/>
  <c r="F6" i="4" s="1"/>
  <c r="C2" i="4"/>
  <c r="B171" i="4"/>
  <c r="D165" i="4"/>
  <c r="E165" i="4" s="1"/>
  <c r="F165" i="4" s="1"/>
  <c r="B161" i="4"/>
  <c r="D156" i="4"/>
  <c r="E156" i="4" s="1"/>
  <c r="F156" i="4" s="1"/>
  <c r="B151" i="4"/>
  <c r="A147" i="4"/>
  <c r="B142" i="4"/>
  <c r="D136" i="4"/>
  <c r="C132" i="4"/>
  <c r="D127" i="4"/>
  <c r="A123" i="4"/>
  <c r="C118" i="4"/>
  <c r="C114" i="4"/>
  <c r="B110" i="4"/>
  <c r="D105" i="4"/>
  <c r="E105" i="4" s="1"/>
  <c r="F105" i="4" s="1"/>
  <c r="B101" i="4"/>
  <c r="A97" i="4"/>
  <c r="A93" i="4"/>
  <c r="C88" i="4"/>
  <c r="B84" i="4"/>
  <c r="C79" i="4"/>
  <c r="C75" i="4"/>
  <c r="B71" i="4"/>
  <c r="A67" i="4"/>
  <c r="C62" i="4"/>
  <c r="A58" i="4"/>
  <c r="A54" i="4"/>
  <c r="C49" i="4"/>
  <c r="C45" i="4"/>
  <c r="D40" i="4"/>
  <c r="C36" i="4"/>
  <c r="B32" i="4"/>
  <c r="A28" i="4"/>
  <c r="A24" i="4"/>
  <c r="B19" i="4"/>
  <c r="A15" i="4"/>
  <c r="C10" i="4"/>
  <c r="C6" i="4"/>
  <c r="B2" i="4"/>
  <c r="B170" i="4"/>
  <c r="C165" i="4"/>
  <c r="D160" i="4"/>
  <c r="A156" i="4"/>
  <c r="A151" i="4"/>
  <c r="C146" i="4"/>
  <c r="C141" i="4"/>
  <c r="C136" i="4"/>
  <c r="B132" i="4"/>
  <c r="A127" i="4"/>
  <c r="C122" i="4"/>
  <c r="B118" i="4"/>
  <c r="B114" i="4"/>
  <c r="D109" i="4"/>
  <c r="C105" i="4"/>
  <c r="D100" i="4"/>
  <c r="E100" i="4" s="1"/>
  <c r="F100" i="4" s="1"/>
  <c r="D96" i="4"/>
  <c r="C92" i="4"/>
  <c r="B88" i="4"/>
  <c r="A84" i="4"/>
  <c r="B79" i="4"/>
  <c r="B75" i="4"/>
  <c r="D70" i="4"/>
  <c r="E70" i="4" s="1"/>
  <c r="F70" i="4" s="1"/>
  <c r="D66" i="4"/>
  <c r="E66" i="4" s="1"/>
  <c r="F66" i="4" s="1"/>
  <c r="B62" i="4"/>
  <c r="D57" i="4"/>
  <c r="C53" i="4"/>
  <c r="B49" i="4"/>
  <c r="B45" i="4"/>
  <c r="C40" i="4"/>
  <c r="B36" i="4"/>
  <c r="D31" i="4"/>
  <c r="E31" i="4" s="1"/>
  <c r="F31" i="4" s="1"/>
  <c r="D27" i="4"/>
  <c r="C23" i="4"/>
  <c r="A19" i="4"/>
  <c r="C14" i="4"/>
  <c r="B10" i="4"/>
  <c r="B6" i="4"/>
  <c r="A2" i="4"/>
  <c r="C169" i="4"/>
  <c r="B165" i="4"/>
  <c r="C160" i="4"/>
  <c r="B155" i="4"/>
  <c r="D150" i="4"/>
  <c r="E150" i="4" s="1"/>
  <c r="F150" i="4" s="1"/>
  <c r="B146" i="4"/>
  <c r="A141" i="4"/>
  <c r="B136" i="4"/>
  <c r="A132" i="4"/>
  <c r="C126" i="4"/>
  <c r="B122" i="4"/>
  <c r="A118" i="4"/>
  <c r="A114" i="4"/>
  <c r="B109" i="4"/>
  <c r="A105" i="4"/>
  <c r="C100" i="4"/>
  <c r="C96" i="4"/>
  <c r="B92" i="4"/>
  <c r="D87" i="4"/>
  <c r="E87" i="4" s="1"/>
  <c r="F87" i="4" s="1"/>
  <c r="B83" i="4"/>
  <c r="A79" i="4"/>
  <c r="A75" i="4"/>
  <c r="C70" i="4"/>
  <c r="B66" i="4"/>
  <c r="C61" i="4"/>
  <c r="C57" i="4"/>
  <c r="B53" i="4"/>
  <c r="A49" i="4"/>
  <c r="C44" i="4"/>
  <c r="A40" i="4"/>
  <c r="A36" i="4"/>
  <c r="C31" i="4"/>
  <c r="C27" i="4"/>
  <c r="D22" i="4"/>
  <c r="E22" i="4" s="1"/>
  <c r="F22" i="4" s="1"/>
  <c r="C18" i="4"/>
  <c r="B14" i="4"/>
  <c r="A10" i="4"/>
  <c r="A6" i="4"/>
  <c r="B160" i="4"/>
  <c r="C150" i="4"/>
  <c r="C140" i="4"/>
  <c r="B126" i="4"/>
  <c r="D117" i="4"/>
  <c r="E117" i="4" s="1"/>
  <c r="F117" i="4" s="1"/>
  <c r="C104" i="4"/>
  <c r="B96" i="4"/>
  <c r="D82" i="4"/>
  <c r="E82" i="4" s="1"/>
  <c r="F82" i="4" s="1"/>
  <c r="C74" i="4"/>
  <c r="B61" i="4"/>
  <c r="D52" i="4"/>
  <c r="E52" i="4" s="1"/>
  <c r="F52" i="4" s="1"/>
  <c r="D39" i="4"/>
  <c r="B31" i="4"/>
  <c r="B18" i="4"/>
  <c r="C5" i="4"/>
  <c r="C164" i="4"/>
  <c r="B150" i="4"/>
  <c r="D135" i="4"/>
  <c r="E135" i="4" s="1"/>
  <c r="F135" i="4" s="1"/>
  <c r="A126" i="4"/>
  <c r="D112" i="4"/>
  <c r="E112" i="4" s="1"/>
  <c r="F112" i="4" s="1"/>
  <c r="A100" i="4"/>
  <c r="A87" i="4"/>
  <c r="B74" i="4"/>
  <c r="A57" i="4"/>
  <c r="C39" i="4"/>
  <c r="A22" i="4"/>
  <c r="D4" i="4"/>
  <c r="E4" i="4" s="1"/>
  <c r="F4" i="4" s="1"/>
  <c r="A159" i="4"/>
  <c r="A130" i="4"/>
  <c r="D103" i="4"/>
  <c r="E103" i="4" s="1"/>
  <c r="F103" i="4" s="1"/>
  <c r="B78" i="4"/>
  <c r="B52" i="4"/>
  <c r="B26" i="4"/>
  <c r="C158" i="4"/>
  <c r="D129" i="4"/>
  <c r="C103" i="4"/>
  <c r="A78" i="4"/>
  <c r="D51" i="4"/>
  <c r="E51" i="4" s="1"/>
  <c r="F51" i="4" s="1"/>
  <c r="C25" i="4"/>
  <c r="C60" i="4"/>
  <c r="B164" i="4"/>
  <c r="B154" i="4"/>
  <c r="C125" i="4"/>
  <c r="D99" i="4"/>
  <c r="E99" i="4" s="1"/>
  <c r="F99" i="4" s="1"/>
  <c r="D73" i="4"/>
  <c r="E73" i="4" s="1"/>
  <c r="F73" i="4" s="1"/>
  <c r="A48" i="4"/>
  <c r="D21" i="4"/>
  <c r="E21" i="4" s="1"/>
  <c r="F21" i="4" s="1"/>
  <c r="D34" i="4"/>
  <c r="C135" i="4"/>
  <c r="B82" i="4"/>
  <c r="D30" i="4"/>
  <c r="E30" i="4" s="1"/>
  <c r="F30" i="4" s="1"/>
  <c r="A154" i="4"/>
  <c r="B125" i="4"/>
  <c r="C99" i="4"/>
  <c r="B73" i="4"/>
  <c r="B47" i="4"/>
  <c r="C21" i="4"/>
  <c r="D168" i="4"/>
  <c r="C112" i="4"/>
  <c r="C86" i="4"/>
  <c r="D60" i="4"/>
  <c r="E60" i="4" s="1"/>
  <c r="F60" i="4" s="1"/>
  <c r="B9" i="4"/>
  <c r="C168" i="4"/>
  <c r="A112" i="4"/>
  <c r="B86" i="4"/>
  <c r="C34" i="4"/>
  <c r="C8" i="4"/>
  <c r="D163" i="4"/>
  <c r="E163" i="4" s="1"/>
  <c r="F163" i="4" s="1"/>
  <c r="A108" i="4"/>
  <c r="A82" i="4"/>
  <c r="B56" i="4"/>
  <c r="B30" i="4"/>
  <c r="A4" i="4"/>
  <c r="A150" i="4"/>
  <c r="B121" i="4"/>
  <c r="C95" i="4"/>
  <c r="C69" i="4"/>
  <c r="B43" i="4"/>
  <c r="C17" i="4"/>
  <c r="C149" i="4"/>
  <c r="A121" i="4"/>
  <c r="D94" i="4"/>
  <c r="A69" i="4"/>
  <c r="A43" i="4"/>
  <c r="B17" i="4"/>
  <c r="D139" i="4"/>
  <c r="C144" i="4"/>
  <c r="B117" i="4"/>
  <c r="A91" i="4"/>
  <c r="D64" i="4"/>
  <c r="E64" i="4" s="1"/>
  <c r="F64" i="4" s="1"/>
  <c r="B39" i="4"/>
  <c r="B13" i="4"/>
  <c r="D172" i="4"/>
  <c r="B144" i="4"/>
  <c r="C116" i="4"/>
  <c r="C90" i="4"/>
  <c r="C64" i="4"/>
  <c r="A39" i="4"/>
  <c r="A13" i="4"/>
  <c r="C139" i="4"/>
  <c r="B108" i="4"/>
  <c r="C56" i="4"/>
  <c r="C4" i="4"/>
  <c r="B135" i="4"/>
  <c r="D161" i="7"/>
  <c r="D162" i="7" s="1"/>
  <c r="D160" i="7" s="1"/>
  <c r="D151" i="7"/>
  <c r="D152" i="7" s="1"/>
  <c r="D150" i="7" s="1"/>
  <c r="D101" i="7"/>
  <c r="D102" i="7" s="1"/>
  <c r="D100" i="7" s="1"/>
  <c r="D61" i="7"/>
  <c r="D62" i="7" s="1"/>
  <c r="D60" i="7" s="1"/>
  <c r="D111" i="7"/>
  <c r="D112" i="7" s="1"/>
  <c r="D110" i="7" s="1"/>
  <c r="E111" i="7" s="1"/>
  <c r="E112" i="7" s="1"/>
  <c r="D141" i="7"/>
  <c r="D142" i="7" s="1"/>
  <c r="D140" i="7" s="1"/>
  <c r="D81" i="7"/>
  <c r="D82" i="7" s="1"/>
  <c r="D80" i="7" s="1"/>
  <c r="D90" i="7"/>
  <c r="D71" i="7"/>
  <c r="D72" i="7" s="1"/>
  <c r="D70" i="7" s="1"/>
  <c r="A2" i="5" a="1"/>
  <c r="D40" i="7"/>
  <c r="E41" i="7" s="1"/>
  <c r="E42" i="7" s="1"/>
  <c r="D31" i="7"/>
  <c r="D32" i="7" s="1"/>
  <c r="D30" i="7" s="1"/>
  <c r="D131" i="7"/>
  <c r="D132" i="7" s="1"/>
  <c r="D20" i="7"/>
  <c r="E21" i="7" s="1"/>
  <c r="E22" i="7" s="1"/>
  <c r="D23" i="7" s="1"/>
  <c r="D121" i="7"/>
  <c r="D122" i="7" s="1"/>
  <c r="D120" i="7" s="1"/>
  <c r="C131" i="7"/>
  <c r="C132" i="7" s="1"/>
  <c r="C130" i="7" s="1"/>
  <c r="C51" i="7"/>
  <c r="C52" i="7" s="1"/>
  <c r="C50" i="7" s="1"/>
  <c r="D51" i="7" s="1"/>
  <c r="D52" i="7" s="1"/>
  <c r="D21" i="7"/>
  <c r="D22" i="7" s="1"/>
  <c r="C23" i="7" s="1"/>
  <c r="E61" i="7" l="1"/>
  <c r="E62" i="7" s="1"/>
  <c r="E60" i="7" s="1"/>
  <c r="E101" i="7"/>
  <c r="E102" i="7" s="1"/>
  <c r="E100" i="7" s="1"/>
  <c r="E121" i="7"/>
  <c r="E122" i="7" s="1"/>
  <c r="E120" i="7" s="1"/>
  <c r="E141" i="7"/>
  <c r="E142" i="7" s="1"/>
  <c r="E140" i="7" s="1"/>
  <c r="E151" i="7"/>
  <c r="E152" i="7" s="1"/>
  <c r="E150" i="7" s="1"/>
  <c r="E161" i="7"/>
  <c r="E162" i="7" s="1"/>
  <c r="E160" i="7" s="1"/>
  <c r="E33" i="4"/>
  <c r="F33" i="4" s="1"/>
  <c r="E153" i="4"/>
  <c r="F153" i="4" s="1"/>
  <c r="E81" i="7"/>
  <c r="E82" i="7" s="1"/>
  <c r="E80" i="7" s="1"/>
  <c r="E67" i="4"/>
  <c r="F67" i="4" s="1"/>
  <c r="E91" i="4"/>
  <c r="F91" i="4" s="1"/>
  <c r="E55" i="4"/>
  <c r="F55" i="4" s="1"/>
  <c r="E79" i="4"/>
  <c r="F79" i="4" s="1"/>
  <c r="D171" i="5"/>
  <c r="B169" i="5"/>
  <c r="E166" i="5"/>
  <c r="C164" i="5"/>
  <c r="A162" i="5"/>
  <c r="D159" i="5"/>
  <c r="B157" i="5"/>
  <c r="E154" i="5"/>
  <c r="C152" i="5"/>
  <c r="A150" i="5"/>
  <c r="D147" i="5"/>
  <c r="B145" i="5"/>
  <c r="E142" i="5"/>
  <c r="C140" i="5"/>
  <c r="A138" i="5"/>
  <c r="D135" i="5"/>
  <c r="B133" i="5"/>
  <c r="E130" i="5"/>
  <c r="C128" i="5"/>
  <c r="A126" i="5"/>
  <c r="D123" i="5"/>
  <c r="B121" i="5"/>
  <c r="E118" i="5"/>
  <c r="C116" i="5"/>
  <c r="A114" i="5"/>
  <c r="D111" i="5"/>
  <c r="B109" i="5"/>
  <c r="E106" i="5"/>
  <c r="C104" i="5"/>
  <c r="A102" i="5"/>
  <c r="D99" i="5"/>
  <c r="B97" i="5"/>
  <c r="E94" i="5"/>
  <c r="C92" i="5"/>
  <c r="A90" i="5"/>
  <c r="D87" i="5"/>
  <c r="B85" i="5"/>
  <c r="E82" i="5"/>
  <c r="C80" i="5"/>
  <c r="A78" i="5"/>
  <c r="D75" i="5"/>
  <c r="B73" i="5"/>
  <c r="E70" i="5"/>
  <c r="C68" i="5"/>
  <c r="A66" i="5"/>
  <c r="D63" i="5"/>
  <c r="B61" i="5"/>
  <c r="E58" i="5"/>
  <c r="C56" i="5"/>
  <c r="A54" i="5"/>
  <c r="D51" i="5"/>
  <c r="B49" i="5"/>
  <c r="E46" i="5"/>
  <c r="C44" i="5"/>
  <c r="A42" i="5"/>
  <c r="D39" i="5"/>
  <c r="B37" i="5"/>
  <c r="E34" i="5"/>
  <c r="C32" i="5"/>
  <c r="A30" i="5"/>
  <c r="D27" i="5"/>
  <c r="B25" i="5"/>
  <c r="E22" i="5"/>
  <c r="C20" i="5"/>
  <c r="A18" i="5"/>
  <c r="D15" i="5"/>
  <c r="B13" i="5"/>
  <c r="E10" i="5"/>
  <c r="C8" i="5"/>
  <c r="A6" i="5"/>
  <c r="D3" i="5"/>
  <c r="B171" i="5"/>
  <c r="E168" i="5"/>
  <c r="C166" i="5"/>
  <c r="A164" i="5"/>
  <c r="D161" i="5"/>
  <c r="B159" i="5"/>
  <c r="E156" i="5"/>
  <c r="C154" i="5"/>
  <c r="A152" i="5"/>
  <c r="D149" i="5"/>
  <c r="B147" i="5"/>
  <c r="E144" i="5"/>
  <c r="C142" i="5"/>
  <c r="A140" i="5"/>
  <c r="D137" i="5"/>
  <c r="B135" i="5"/>
  <c r="E132" i="5"/>
  <c r="C130" i="5"/>
  <c r="A128" i="5"/>
  <c r="D125" i="5"/>
  <c r="B123" i="5"/>
  <c r="E120" i="5"/>
  <c r="C118" i="5"/>
  <c r="A116" i="5"/>
  <c r="D113" i="5"/>
  <c r="B111" i="5"/>
  <c r="E108" i="5"/>
  <c r="C106" i="5"/>
  <c r="A104" i="5"/>
  <c r="D101" i="5"/>
  <c r="B99" i="5"/>
  <c r="E96" i="5"/>
  <c r="C94" i="5"/>
  <c r="A92" i="5"/>
  <c r="D89" i="5"/>
  <c r="B87" i="5"/>
  <c r="E84" i="5"/>
  <c r="C82" i="5"/>
  <c r="A80" i="5"/>
  <c r="D77" i="5"/>
  <c r="B75" i="5"/>
  <c r="E72" i="5"/>
  <c r="C70" i="5"/>
  <c r="A68" i="5"/>
  <c r="D65" i="5"/>
  <c r="B63" i="5"/>
  <c r="E60" i="5"/>
  <c r="C58" i="5"/>
  <c r="A56" i="5"/>
  <c r="D53" i="5"/>
  <c r="B51" i="5"/>
  <c r="E48" i="5"/>
  <c r="C46" i="5"/>
  <c r="A171" i="5"/>
  <c r="D168" i="5"/>
  <c r="B166" i="5"/>
  <c r="E163" i="5"/>
  <c r="C161" i="5"/>
  <c r="A159" i="5"/>
  <c r="D156" i="5"/>
  <c r="B154" i="5"/>
  <c r="E151" i="5"/>
  <c r="C149" i="5"/>
  <c r="A147" i="5"/>
  <c r="D144" i="5"/>
  <c r="B142" i="5"/>
  <c r="E139" i="5"/>
  <c r="C137" i="5"/>
  <c r="A135" i="5"/>
  <c r="D132" i="5"/>
  <c r="B130" i="5"/>
  <c r="E127" i="5"/>
  <c r="C125" i="5"/>
  <c r="A123" i="5"/>
  <c r="D120" i="5"/>
  <c r="B118" i="5"/>
  <c r="E115" i="5"/>
  <c r="C113" i="5"/>
  <c r="A111" i="5"/>
  <c r="D108" i="5"/>
  <c r="B106" i="5"/>
  <c r="E103" i="5"/>
  <c r="C101" i="5"/>
  <c r="A99" i="5"/>
  <c r="D96" i="5"/>
  <c r="B94" i="5"/>
  <c r="E91" i="5"/>
  <c r="C89" i="5"/>
  <c r="A87" i="5"/>
  <c r="D84" i="5"/>
  <c r="B82" i="5"/>
  <c r="E79" i="5"/>
  <c r="C77" i="5"/>
  <c r="A75" i="5"/>
  <c r="D72" i="5"/>
  <c r="B70" i="5"/>
  <c r="E67" i="5"/>
  <c r="C65" i="5"/>
  <c r="A63" i="5"/>
  <c r="D60" i="5"/>
  <c r="B58" i="5"/>
  <c r="E55" i="5"/>
  <c r="C53" i="5"/>
  <c r="A51" i="5"/>
  <c r="D48" i="5"/>
  <c r="B46" i="5"/>
  <c r="E43" i="5"/>
  <c r="C41" i="5"/>
  <c r="A39" i="5"/>
  <c r="D36" i="5"/>
  <c r="B34" i="5"/>
  <c r="E31" i="5"/>
  <c r="C29" i="5"/>
  <c r="A27" i="5"/>
  <c r="D24" i="5"/>
  <c r="B22" i="5"/>
  <c r="E19" i="5"/>
  <c r="C17" i="5"/>
  <c r="A15" i="5"/>
  <c r="D12" i="5"/>
  <c r="B10" i="5"/>
  <c r="E7" i="5"/>
  <c r="C5" i="5"/>
  <c r="A3" i="5"/>
  <c r="A172" i="5"/>
  <c r="C168" i="5"/>
  <c r="C165" i="5"/>
  <c r="C162" i="5"/>
  <c r="E158" i="5"/>
  <c r="E155" i="5"/>
  <c r="E152" i="5"/>
  <c r="B149" i="5"/>
  <c r="B146" i="5"/>
  <c r="B143" i="5"/>
  <c r="D139" i="5"/>
  <c r="D136" i="5"/>
  <c r="D133" i="5"/>
  <c r="A130" i="5"/>
  <c r="A127" i="5"/>
  <c r="A124" i="5"/>
  <c r="C120" i="5"/>
  <c r="C117" i="5"/>
  <c r="C114" i="5"/>
  <c r="E110" i="5"/>
  <c r="E107" i="5"/>
  <c r="E104" i="5"/>
  <c r="B101" i="5"/>
  <c r="B98" i="5"/>
  <c r="B95" i="5"/>
  <c r="D91" i="5"/>
  <c r="D88" i="5"/>
  <c r="D85" i="5"/>
  <c r="A82" i="5"/>
  <c r="A79" i="5"/>
  <c r="A76" i="5"/>
  <c r="C72" i="5"/>
  <c r="C69" i="5"/>
  <c r="C66" i="5"/>
  <c r="E62" i="5"/>
  <c r="E59" i="5"/>
  <c r="E56" i="5"/>
  <c r="B53" i="5"/>
  <c r="B50" i="5"/>
  <c r="B47" i="5"/>
  <c r="A44" i="5"/>
  <c r="A41" i="5"/>
  <c r="B38" i="5"/>
  <c r="C35" i="5"/>
  <c r="D32" i="5"/>
  <c r="D29" i="5"/>
  <c r="D26" i="5"/>
  <c r="E23" i="5"/>
  <c r="A21" i="5"/>
  <c r="B18" i="5"/>
  <c r="B15" i="5"/>
  <c r="B12" i="5"/>
  <c r="C9" i="5"/>
  <c r="D6" i="5"/>
  <c r="E3" i="5"/>
  <c r="E171" i="5"/>
  <c r="B168" i="5"/>
  <c r="B165" i="5"/>
  <c r="B162" i="5"/>
  <c r="D158" i="5"/>
  <c r="D155" i="5"/>
  <c r="D152" i="5"/>
  <c r="A149" i="5"/>
  <c r="A146" i="5"/>
  <c r="A143" i="5"/>
  <c r="C139" i="5"/>
  <c r="C136" i="5"/>
  <c r="C133" i="5"/>
  <c r="E129" i="5"/>
  <c r="E126" i="5"/>
  <c r="E123" i="5"/>
  <c r="B120" i="5"/>
  <c r="B117" i="5"/>
  <c r="B114" i="5"/>
  <c r="D110" i="5"/>
  <c r="D107" i="5"/>
  <c r="D104" i="5"/>
  <c r="A101" i="5"/>
  <c r="A98" i="5"/>
  <c r="A95" i="5"/>
  <c r="C91" i="5"/>
  <c r="C88" i="5"/>
  <c r="C85" i="5"/>
  <c r="E81" i="5"/>
  <c r="E78" i="5"/>
  <c r="E75" i="5"/>
  <c r="B72" i="5"/>
  <c r="B69" i="5"/>
  <c r="B66" i="5"/>
  <c r="D62" i="5"/>
  <c r="D59" i="5"/>
  <c r="D56" i="5"/>
  <c r="A53" i="5"/>
  <c r="A50" i="5"/>
  <c r="A47" i="5"/>
  <c r="D43" i="5"/>
  <c r="E40" i="5"/>
  <c r="A38" i="5"/>
  <c r="B35" i="5"/>
  <c r="B32" i="5"/>
  <c r="B29" i="5"/>
  <c r="C26" i="5"/>
  <c r="D23" i="5"/>
  <c r="E20" i="5"/>
  <c r="E17" i="5"/>
  <c r="E14" i="5"/>
  <c r="A12" i="5"/>
  <c r="B9" i="5"/>
  <c r="C6" i="5"/>
  <c r="C3" i="5"/>
  <c r="C171" i="5"/>
  <c r="A168" i="5"/>
  <c r="A165" i="5"/>
  <c r="E161" i="5"/>
  <c r="C158" i="5"/>
  <c r="C155" i="5"/>
  <c r="B152" i="5"/>
  <c r="E148" i="5"/>
  <c r="E145" i="5"/>
  <c r="D142" i="5"/>
  <c r="B139" i="5"/>
  <c r="B136" i="5"/>
  <c r="A133" i="5"/>
  <c r="D129" i="5"/>
  <c r="D126" i="5"/>
  <c r="C123" i="5"/>
  <c r="A120" i="5"/>
  <c r="A117" i="5"/>
  <c r="E113" i="5"/>
  <c r="C110" i="5"/>
  <c r="C107" i="5"/>
  <c r="B104" i="5"/>
  <c r="E100" i="5"/>
  <c r="E97" i="5"/>
  <c r="D94" i="5"/>
  <c r="B91" i="5"/>
  <c r="B88" i="5"/>
  <c r="A85" i="5"/>
  <c r="D81" i="5"/>
  <c r="D78" i="5"/>
  <c r="C75" i="5"/>
  <c r="A72" i="5"/>
  <c r="A69" i="5"/>
  <c r="E65" i="5"/>
  <c r="C62" i="5"/>
  <c r="C59" i="5"/>
  <c r="B56" i="5"/>
  <c r="E52" i="5"/>
  <c r="E49" i="5"/>
  <c r="D46" i="5"/>
  <c r="C43" i="5"/>
  <c r="D40" i="5"/>
  <c r="E37" i="5"/>
  <c r="A35" i="5"/>
  <c r="A32" i="5"/>
  <c r="A29" i="5"/>
  <c r="B26" i="5"/>
  <c r="C23" i="5"/>
  <c r="D20" i="5"/>
  <c r="D17" i="5"/>
  <c r="D14" i="5"/>
  <c r="E11" i="5"/>
  <c r="A9" i="5"/>
  <c r="B6" i="5"/>
  <c r="B3" i="5"/>
  <c r="E170" i="5"/>
  <c r="E167" i="5"/>
  <c r="E164" i="5"/>
  <c r="B161" i="5"/>
  <c r="B158" i="5"/>
  <c r="B155" i="5"/>
  <c r="D151" i="5"/>
  <c r="D148" i="5"/>
  <c r="D145" i="5"/>
  <c r="A142" i="5"/>
  <c r="A139" i="5"/>
  <c r="A136" i="5"/>
  <c r="C132" i="5"/>
  <c r="C129" i="5"/>
  <c r="C126" i="5"/>
  <c r="E122" i="5"/>
  <c r="E119" i="5"/>
  <c r="E116" i="5"/>
  <c r="B113" i="5"/>
  <c r="B110" i="5"/>
  <c r="B107" i="5"/>
  <c r="D103" i="5"/>
  <c r="D100" i="5"/>
  <c r="D97" i="5"/>
  <c r="A94" i="5"/>
  <c r="A91" i="5"/>
  <c r="A88" i="5"/>
  <c r="C84" i="5"/>
  <c r="C81" i="5"/>
  <c r="C78" i="5"/>
  <c r="E74" i="5"/>
  <c r="E71" i="5"/>
  <c r="E68" i="5"/>
  <c r="B65" i="5"/>
  <c r="B62" i="5"/>
  <c r="B59" i="5"/>
  <c r="D55" i="5"/>
  <c r="D52" i="5"/>
  <c r="D49" i="5"/>
  <c r="A46" i="5"/>
  <c r="B43" i="5"/>
  <c r="C40" i="5"/>
  <c r="D37" i="5"/>
  <c r="D34" i="5"/>
  <c r="D31" i="5"/>
  <c r="E28" i="5"/>
  <c r="A26" i="5"/>
  <c r="B23" i="5"/>
  <c r="B20" i="5"/>
  <c r="B17" i="5"/>
  <c r="C14" i="5"/>
  <c r="D11" i="5"/>
  <c r="E8" i="5"/>
  <c r="E5" i="5"/>
  <c r="E2" i="5"/>
  <c r="E172" i="5"/>
  <c r="D167" i="5"/>
  <c r="B163" i="5"/>
  <c r="A158" i="5"/>
  <c r="D153" i="5"/>
  <c r="C148" i="5"/>
  <c r="A144" i="5"/>
  <c r="E138" i="5"/>
  <c r="C134" i="5"/>
  <c r="B129" i="5"/>
  <c r="E124" i="5"/>
  <c r="D119" i="5"/>
  <c r="B115" i="5"/>
  <c r="A110" i="5"/>
  <c r="D105" i="5"/>
  <c r="C100" i="5"/>
  <c r="A96" i="5"/>
  <c r="E90" i="5"/>
  <c r="C86" i="5"/>
  <c r="B81" i="5"/>
  <c r="E76" i="5"/>
  <c r="D71" i="5"/>
  <c r="B67" i="5"/>
  <c r="A62" i="5"/>
  <c r="D57" i="5"/>
  <c r="C52" i="5"/>
  <c r="A48" i="5"/>
  <c r="A43" i="5"/>
  <c r="B39" i="5"/>
  <c r="C34" i="5"/>
  <c r="D30" i="5"/>
  <c r="E25" i="5"/>
  <c r="E21" i="5"/>
  <c r="A17" i="5"/>
  <c r="C13" i="5"/>
  <c r="D8" i="5"/>
  <c r="D4" i="5"/>
  <c r="E169" i="5"/>
  <c r="D150" i="5"/>
  <c r="C131" i="5"/>
  <c r="B112" i="5"/>
  <c r="A93" i="5"/>
  <c r="E73" i="5"/>
  <c r="D54" i="5"/>
  <c r="B36" i="5"/>
  <c r="A19" i="5"/>
  <c r="D5" i="5"/>
  <c r="A160" i="5"/>
  <c r="A145" i="5"/>
  <c r="E125" i="5"/>
  <c r="D106" i="5"/>
  <c r="E92" i="5"/>
  <c r="E77" i="5"/>
  <c r="A64" i="5"/>
  <c r="A49" i="5"/>
  <c r="A36" i="5"/>
  <c r="D22" i="5"/>
  <c r="A14" i="5"/>
  <c r="C169" i="5"/>
  <c r="A154" i="5"/>
  <c r="C144" i="5"/>
  <c r="A131" i="5"/>
  <c r="D115" i="5"/>
  <c r="A106" i="5"/>
  <c r="E86" i="5"/>
  <c r="C73" i="5"/>
  <c r="A58" i="5"/>
  <c r="B54" i="5"/>
  <c r="E39" i="5"/>
  <c r="B27" i="5"/>
  <c r="E13" i="5"/>
  <c r="A5" i="5"/>
  <c r="D172" i="5"/>
  <c r="C167" i="5"/>
  <c r="A163" i="5"/>
  <c r="E157" i="5"/>
  <c r="C153" i="5"/>
  <c r="B148" i="5"/>
  <c r="E143" i="5"/>
  <c r="D138" i="5"/>
  <c r="B134" i="5"/>
  <c r="A129" i="5"/>
  <c r="D124" i="5"/>
  <c r="C119" i="5"/>
  <c r="A115" i="5"/>
  <c r="E109" i="5"/>
  <c r="C105" i="5"/>
  <c r="B100" i="5"/>
  <c r="E95" i="5"/>
  <c r="D90" i="5"/>
  <c r="B86" i="5"/>
  <c r="A81" i="5"/>
  <c r="D76" i="5"/>
  <c r="C71" i="5"/>
  <c r="A67" i="5"/>
  <c r="E61" i="5"/>
  <c r="C57" i="5"/>
  <c r="B52" i="5"/>
  <c r="E47" i="5"/>
  <c r="E42" i="5"/>
  <c r="E38" i="5"/>
  <c r="A34" i="5"/>
  <c r="C30" i="5"/>
  <c r="D25" i="5"/>
  <c r="D21" i="5"/>
  <c r="E16" i="5"/>
  <c r="A13" i="5"/>
  <c r="B8" i="5"/>
  <c r="C4" i="5"/>
  <c r="A155" i="5"/>
  <c r="E135" i="5"/>
  <c r="D116" i="5"/>
  <c r="C97" i="5"/>
  <c r="B78" i="5"/>
  <c r="A59" i="5"/>
  <c r="B40" i="5"/>
  <c r="E27" i="5"/>
  <c r="B14" i="5"/>
  <c r="A2" i="5"/>
  <c r="D169" i="5"/>
  <c r="C150" i="5"/>
  <c r="B131" i="5"/>
  <c r="A112" i="5"/>
  <c r="C102" i="5"/>
  <c r="B83" i="5"/>
  <c r="D73" i="5"/>
  <c r="C54" i="5"/>
  <c r="E44" i="5"/>
  <c r="C27" i="5"/>
  <c r="E18" i="5"/>
  <c r="B5" i="5"/>
  <c r="D163" i="5"/>
  <c r="B150" i="5"/>
  <c r="E134" i="5"/>
  <c r="C121" i="5"/>
  <c r="E111" i="5"/>
  <c r="B102" i="5"/>
  <c r="D92" i="5"/>
  <c r="B77" i="5"/>
  <c r="E63" i="5"/>
  <c r="C48" i="5"/>
  <c r="E35" i="5"/>
  <c r="C22" i="5"/>
  <c r="C172" i="5"/>
  <c r="B167" i="5"/>
  <c r="E162" i="5"/>
  <c r="D157" i="5"/>
  <c r="B153" i="5"/>
  <c r="A148" i="5"/>
  <c r="D143" i="5"/>
  <c r="C138" i="5"/>
  <c r="A134" i="5"/>
  <c r="E128" i="5"/>
  <c r="C124" i="5"/>
  <c r="B119" i="5"/>
  <c r="E114" i="5"/>
  <c r="D109" i="5"/>
  <c r="B105" i="5"/>
  <c r="A100" i="5"/>
  <c r="D95" i="5"/>
  <c r="C90" i="5"/>
  <c r="A86" i="5"/>
  <c r="E80" i="5"/>
  <c r="C76" i="5"/>
  <c r="B71" i="5"/>
  <c r="E66" i="5"/>
  <c r="D61" i="5"/>
  <c r="B57" i="5"/>
  <c r="A52" i="5"/>
  <c r="D47" i="5"/>
  <c r="D42" i="5"/>
  <c r="D38" i="5"/>
  <c r="E33" i="5"/>
  <c r="B30" i="5"/>
  <c r="C25" i="5"/>
  <c r="C21" i="5"/>
  <c r="D16" i="5"/>
  <c r="E12" i="5"/>
  <c r="A8" i="5"/>
  <c r="B4" i="5"/>
  <c r="D164" i="5"/>
  <c r="C145" i="5"/>
  <c r="B126" i="5"/>
  <c r="A107" i="5"/>
  <c r="E87" i="5"/>
  <c r="D68" i="5"/>
  <c r="C49" i="5"/>
  <c r="C31" i="5"/>
  <c r="C10" i="5"/>
  <c r="D154" i="5"/>
  <c r="C135" i="5"/>
  <c r="B116" i="5"/>
  <c r="C87" i="5"/>
  <c r="D58" i="5"/>
  <c r="B31" i="5"/>
  <c r="D140" i="5"/>
  <c r="A83" i="5"/>
  <c r="A31" i="5"/>
  <c r="B172" i="5"/>
  <c r="A167" i="5"/>
  <c r="D162" i="5"/>
  <c r="C157" i="5"/>
  <c r="A153" i="5"/>
  <c r="E147" i="5"/>
  <c r="C143" i="5"/>
  <c r="B138" i="5"/>
  <c r="E133" i="5"/>
  <c r="D128" i="5"/>
  <c r="B124" i="5"/>
  <c r="A119" i="5"/>
  <c r="D114" i="5"/>
  <c r="C109" i="5"/>
  <c r="A105" i="5"/>
  <c r="E99" i="5"/>
  <c r="C95" i="5"/>
  <c r="B90" i="5"/>
  <c r="E85" i="5"/>
  <c r="D80" i="5"/>
  <c r="B76" i="5"/>
  <c r="A71" i="5"/>
  <c r="D66" i="5"/>
  <c r="C61" i="5"/>
  <c r="A57" i="5"/>
  <c r="E51" i="5"/>
  <c r="C47" i="5"/>
  <c r="C42" i="5"/>
  <c r="C38" i="5"/>
  <c r="D33" i="5"/>
  <c r="E29" i="5"/>
  <c r="A25" i="5"/>
  <c r="B21" i="5"/>
  <c r="C16" i="5"/>
  <c r="C12" i="5"/>
  <c r="D7" i="5"/>
  <c r="A4" i="5"/>
  <c r="B125" i="5"/>
  <c r="D67" i="5"/>
  <c r="D170" i="5"/>
  <c r="D166" i="5"/>
  <c r="A161" i="5"/>
  <c r="A157" i="5"/>
  <c r="C151" i="5"/>
  <c r="C147" i="5"/>
  <c r="E141" i="5"/>
  <c r="E137" i="5"/>
  <c r="B132" i="5"/>
  <c r="B128" i="5"/>
  <c r="D122" i="5"/>
  <c r="D118" i="5"/>
  <c r="A113" i="5"/>
  <c r="A109" i="5"/>
  <c r="C103" i="5"/>
  <c r="C99" i="5"/>
  <c r="E93" i="5"/>
  <c r="E89" i="5"/>
  <c r="B84" i="5"/>
  <c r="B80" i="5"/>
  <c r="D74" i="5"/>
  <c r="D70" i="5"/>
  <c r="A65" i="5"/>
  <c r="A61" i="5"/>
  <c r="C55" i="5"/>
  <c r="C51" i="5"/>
  <c r="E45" i="5"/>
  <c r="B42" i="5"/>
  <c r="C37" i="5"/>
  <c r="C33" i="5"/>
  <c r="D28" i="5"/>
  <c r="E24" i="5"/>
  <c r="A20" i="5"/>
  <c r="B16" i="5"/>
  <c r="C11" i="5"/>
  <c r="C7" i="5"/>
  <c r="D2" i="5"/>
  <c r="C170" i="5"/>
  <c r="A166" i="5"/>
  <c r="E160" i="5"/>
  <c r="C156" i="5"/>
  <c r="B151" i="5"/>
  <c r="E146" i="5"/>
  <c r="D141" i="5"/>
  <c r="B137" i="5"/>
  <c r="A132" i="5"/>
  <c r="D127" i="5"/>
  <c r="C122" i="5"/>
  <c r="A118" i="5"/>
  <c r="E112" i="5"/>
  <c r="C108" i="5"/>
  <c r="B103" i="5"/>
  <c r="E98" i="5"/>
  <c r="D93" i="5"/>
  <c r="B89" i="5"/>
  <c r="A84" i="5"/>
  <c r="D79" i="5"/>
  <c r="C74" i="5"/>
  <c r="A70" i="5"/>
  <c r="E64" i="5"/>
  <c r="C60" i="5"/>
  <c r="B55" i="5"/>
  <c r="E50" i="5"/>
  <c r="D45" i="5"/>
  <c r="E41" i="5"/>
  <c r="A37" i="5"/>
  <c r="B33" i="5"/>
  <c r="C28" i="5"/>
  <c r="C24" i="5"/>
  <c r="D19" i="5"/>
  <c r="A16" i="5"/>
  <c r="B11" i="5"/>
  <c r="B7" i="5"/>
  <c r="C2" i="5"/>
  <c r="B170" i="5"/>
  <c r="E165" i="5"/>
  <c r="D160" i="5"/>
  <c r="B156" i="5"/>
  <c r="A151" i="5"/>
  <c r="D146" i="5"/>
  <c r="C141" i="5"/>
  <c r="A137" i="5"/>
  <c r="E131" i="5"/>
  <c r="C127" i="5"/>
  <c r="B122" i="5"/>
  <c r="E117" i="5"/>
  <c r="D112" i="5"/>
  <c r="B108" i="5"/>
  <c r="A103" i="5"/>
  <c r="D98" i="5"/>
  <c r="C93" i="5"/>
  <c r="A89" i="5"/>
  <c r="E83" i="5"/>
  <c r="C79" i="5"/>
  <c r="B74" i="5"/>
  <c r="E69" i="5"/>
  <c r="D64" i="5"/>
  <c r="B60" i="5"/>
  <c r="A55" i="5"/>
  <c r="D50" i="5"/>
  <c r="C45" i="5"/>
  <c r="D41" i="5"/>
  <c r="E36" i="5"/>
  <c r="A33" i="5"/>
  <c r="B28" i="5"/>
  <c r="B24" i="5"/>
  <c r="C19" i="5"/>
  <c r="E15" i="5"/>
  <c r="A11" i="5"/>
  <c r="A7" i="5"/>
  <c r="B2" i="5"/>
  <c r="A170" i="5"/>
  <c r="D165" i="5"/>
  <c r="C160" i="5"/>
  <c r="A156" i="5"/>
  <c r="E150" i="5"/>
  <c r="C146" i="5"/>
  <c r="B141" i="5"/>
  <c r="E136" i="5"/>
  <c r="D131" i="5"/>
  <c r="B127" i="5"/>
  <c r="A122" i="5"/>
  <c r="D117" i="5"/>
  <c r="C112" i="5"/>
  <c r="A108" i="5"/>
  <c r="E102" i="5"/>
  <c r="C98" i="5"/>
  <c r="B93" i="5"/>
  <c r="E88" i="5"/>
  <c r="D83" i="5"/>
  <c r="B79" i="5"/>
  <c r="A74" i="5"/>
  <c r="D69" i="5"/>
  <c r="C64" i="5"/>
  <c r="A60" i="5"/>
  <c r="E54" i="5"/>
  <c r="C50" i="5"/>
  <c r="B45" i="5"/>
  <c r="B41" i="5"/>
  <c r="C36" i="5"/>
  <c r="E32" i="5"/>
  <c r="A28" i="5"/>
  <c r="A24" i="5"/>
  <c r="B19" i="5"/>
  <c r="C15" i="5"/>
  <c r="D10" i="5"/>
  <c r="E6" i="5"/>
  <c r="B160" i="5"/>
  <c r="A141" i="5"/>
  <c r="E121" i="5"/>
  <c r="D102" i="5"/>
  <c r="C83" i="5"/>
  <c r="B64" i="5"/>
  <c r="A45" i="5"/>
  <c r="A23" i="5"/>
  <c r="B164" i="5"/>
  <c r="E140" i="5"/>
  <c r="D121" i="5"/>
  <c r="A97" i="5"/>
  <c r="B68" i="5"/>
  <c r="A40" i="5"/>
  <c r="A10" i="5"/>
  <c r="E159" i="5"/>
  <c r="C96" i="5"/>
  <c r="D44" i="5"/>
  <c r="E149" i="5"/>
  <c r="B92" i="5"/>
  <c r="D35" i="5"/>
  <c r="B144" i="5"/>
  <c r="D86" i="5"/>
  <c r="E30" i="5"/>
  <c r="E53" i="5"/>
  <c r="E105" i="5"/>
  <c r="E101" i="5"/>
  <c r="B140" i="5"/>
  <c r="D82" i="5"/>
  <c r="E26" i="5"/>
  <c r="C111" i="5"/>
  <c r="C159" i="5"/>
  <c r="D134" i="5"/>
  <c r="A77" i="5"/>
  <c r="A22" i="5"/>
  <c r="D9" i="5"/>
  <c r="C163" i="5"/>
  <c r="B48" i="5"/>
  <c r="E4" i="5"/>
  <c r="E153" i="5"/>
  <c r="B96" i="5"/>
  <c r="C39" i="5"/>
  <c r="D130" i="5"/>
  <c r="A73" i="5"/>
  <c r="D18" i="5"/>
  <c r="A125" i="5"/>
  <c r="C67" i="5"/>
  <c r="C18" i="5"/>
  <c r="A121" i="5"/>
  <c r="C63" i="5"/>
  <c r="D13" i="5"/>
  <c r="A169" i="5"/>
  <c r="C115" i="5"/>
  <c r="E57" i="5"/>
  <c r="E9" i="5"/>
  <c r="B44" i="5"/>
  <c r="E110" i="7"/>
  <c r="E91" i="7"/>
  <c r="E92" i="7" s="1"/>
  <c r="E90" i="7" s="1"/>
  <c r="E27" i="4"/>
  <c r="F27" i="4" s="1"/>
  <c r="E36" i="4"/>
  <c r="F36" i="4" s="1"/>
  <c r="E139" i="4"/>
  <c r="F139" i="4" s="1"/>
  <c r="E127" i="4"/>
  <c r="F127" i="4" s="1"/>
  <c r="E24" i="4"/>
  <c r="F24" i="4" s="1"/>
  <c r="E157" i="4"/>
  <c r="F157" i="4" s="1"/>
  <c r="E166" i="4"/>
  <c r="F166" i="4" s="1"/>
  <c r="E28" i="4"/>
  <c r="F28" i="4" s="1"/>
  <c r="E12" i="4"/>
  <c r="F12" i="4" s="1"/>
  <c r="E39" i="4"/>
  <c r="F39" i="4" s="1"/>
  <c r="E136" i="4"/>
  <c r="F136" i="4" s="1"/>
  <c r="E58" i="4"/>
  <c r="F58" i="4" s="1"/>
  <c r="E129" i="4"/>
  <c r="F129" i="4" s="1"/>
  <c r="E75" i="4"/>
  <c r="F75" i="4" s="1"/>
  <c r="E171" i="4"/>
  <c r="F171" i="4" s="1"/>
  <c r="E37" i="4"/>
  <c r="F37" i="4" s="1"/>
  <c r="E124" i="4"/>
  <c r="F124" i="4" s="1"/>
  <c r="E7" i="4"/>
  <c r="F7" i="4" s="1"/>
  <c r="E20" i="4"/>
  <c r="F20" i="4" s="1"/>
  <c r="E56" i="4"/>
  <c r="F56" i="4" s="1"/>
  <c r="E92" i="4"/>
  <c r="F92" i="4" s="1"/>
  <c r="E128" i="4"/>
  <c r="F128" i="4" s="1"/>
  <c r="E164" i="4"/>
  <c r="F164" i="4" s="1"/>
  <c r="E31" i="7"/>
  <c r="E32" i="7" s="1"/>
  <c r="C33" i="7" s="1"/>
  <c r="E76" i="4"/>
  <c r="F76" i="4" s="1"/>
  <c r="E106" i="4"/>
  <c r="F106" i="4" s="1"/>
  <c r="E25" i="4"/>
  <c r="F25" i="4" s="1"/>
  <c r="E40" i="7"/>
  <c r="E63" i="4"/>
  <c r="F63" i="4" s="1"/>
  <c r="E159" i="4"/>
  <c r="F159" i="4" s="1"/>
  <c r="E71" i="7"/>
  <c r="E72" i="7" s="1"/>
  <c r="E70" i="7" s="1"/>
  <c r="E126" i="4"/>
  <c r="F126" i="4" s="1"/>
  <c r="E34" i="4"/>
  <c r="F34" i="4" s="1"/>
  <c r="E96" i="4"/>
  <c r="F96" i="4" s="1"/>
  <c r="E19" i="4"/>
  <c r="F19" i="4" s="1"/>
  <c r="E120" i="4"/>
  <c r="F120" i="4" s="1"/>
  <c r="E133" i="4"/>
  <c r="F133" i="4" s="1"/>
  <c r="E130" i="4"/>
  <c r="F130" i="4" s="1"/>
  <c r="D130" i="7"/>
  <c r="E94" i="4"/>
  <c r="F94" i="4" s="1"/>
  <c r="E168" i="4"/>
  <c r="F168" i="4" s="1"/>
  <c r="G34" i="6"/>
  <c r="D33" i="6"/>
  <c r="G30" i="6"/>
  <c r="D29" i="6"/>
  <c r="G26" i="6"/>
  <c r="G35" i="6"/>
  <c r="B34" i="6"/>
  <c r="E32" i="6"/>
  <c r="B29" i="6"/>
  <c r="E27" i="6"/>
  <c r="F24" i="6"/>
  <c r="C23" i="6"/>
  <c r="F20" i="6"/>
  <c r="C19" i="6"/>
  <c r="F16" i="6"/>
  <c r="C15" i="6"/>
  <c r="F12" i="6"/>
  <c r="C11" i="6"/>
  <c r="F8" i="6"/>
  <c r="C7" i="6"/>
  <c r="F4" i="6"/>
  <c r="C3" i="6"/>
  <c r="G36" i="6"/>
  <c r="B35" i="6"/>
  <c r="E33" i="6"/>
  <c r="G31" i="6"/>
  <c r="B30" i="6"/>
  <c r="E28" i="6"/>
  <c r="D25" i="6"/>
  <c r="G22" i="6"/>
  <c r="D21" i="6"/>
  <c r="G18" i="6"/>
  <c r="D17" i="6"/>
  <c r="G14" i="6"/>
  <c r="D13" i="6"/>
  <c r="G10" i="6"/>
  <c r="D9" i="6"/>
  <c r="G6" i="6"/>
  <c r="D5" i="6"/>
  <c r="G2" i="6"/>
  <c r="E34" i="6"/>
  <c r="E31" i="6"/>
  <c r="F28" i="6"/>
  <c r="G25" i="6"/>
  <c r="F23" i="6"/>
  <c r="E21" i="6"/>
  <c r="D19" i="6"/>
  <c r="B17" i="6"/>
  <c r="C34" i="6"/>
  <c r="C31" i="6"/>
  <c r="C28" i="6"/>
  <c r="E25" i="6"/>
  <c r="D23" i="6"/>
  <c r="B21" i="6"/>
  <c r="G16" i="6"/>
  <c r="E14" i="6"/>
  <c r="D12" i="6"/>
  <c r="C10" i="6"/>
  <c r="B8" i="6"/>
  <c r="G5" i="6"/>
  <c r="F3" i="6"/>
  <c r="E36" i="6"/>
  <c r="F33" i="6"/>
  <c r="E30" i="6"/>
  <c r="F27" i="6"/>
  <c r="B25" i="6"/>
  <c r="G20" i="6"/>
  <c r="E18" i="6"/>
  <c r="D16" i="6"/>
  <c r="C14" i="6"/>
  <c r="B12" i="6"/>
  <c r="G9" i="6"/>
  <c r="F7" i="6"/>
  <c r="E5" i="6"/>
  <c r="D36" i="6"/>
  <c r="C33" i="6"/>
  <c r="D30" i="6"/>
  <c r="D27" i="6"/>
  <c r="F22" i="6"/>
  <c r="E20" i="6"/>
  <c r="D18" i="6"/>
  <c r="C16" i="6"/>
  <c r="B14" i="6"/>
  <c r="G11" i="6"/>
  <c r="F9" i="6"/>
  <c r="E7" i="6"/>
  <c r="C5" i="6"/>
  <c r="B3" i="6"/>
  <c r="C30" i="6"/>
  <c r="C29" i="6"/>
  <c r="G13" i="6"/>
  <c r="B6" i="6"/>
  <c r="E4" i="6"/>
  <c r="G32" i="6"/>
  <c r="F31" i="6"/>
  <c r="G15" i="6"/>
  <c r="E26" i="6"/>
  <c r="G21" i="6"/>
  <c r="B20" i="6"/>
  <c r="D15" i="6"/>
  <c r="C2" i="6"/>
  <c r="F34" i="6"/>
  <c r="F30" i="6"/>
  <c r="D26" i="6"/>
  <c r="F21" i="6"/>
  <c r="E16" i="6"/>
  <c r="B15" i="6"/>
  <c r="B2" i="6"/>
  <c r="D34" i="6"/>
  <c r="C26" i="6"/>
  <c r="E22" i="6"/>
  <c r="C21" i="6"/>
  <c r="G17" i="6"/>
  <c r="B16" i="6"/>
  <c r="F35" i="6"/>
  <c r="G27" i="6"/>
  <c r="B26" i="6"/>
  <c r="D22" i="6"/>
  <c r="F17" i="6"/>
  <c r="E35" i="6"/>
  <c r="D31" i="6"/>
  <c r="C27" i="6"/>
  <c r="C22" i="6"/>
  <c r="E17" i="6"/>
  <c r="C32" i="6"/>
  <c r="B23" i="6"/>
  <c r="B19" i="6"/>
  <c r="C9" i="6"/>
  <c r="D4" i="6"/>
  <c r="B32" i="6"/>
  <c r="B27" i="6"/>
  <c r="F25" i="6"/>
  <c r="B9" i="6"/>
  <c r="G7" i="6"/>
  <c r="C4" i="6"/>
  <c r="F36" i="6"/>
  <c r="C25" i="6"/>
  <c r="F18" i="6"/>
  <c r="F14" i="6"/>
  <c r="G12" i="6"/>
  <c r="B36" i="6"/>
  <c r="B31" i="6"/>
  <c r="F29" i="6"/>
  <c r="G24" i="6"/>
  <c r="B18" i="6"/>
  <c r="C12" i="6"/>
  <c r="F10" i="6"/>
  <c r="F5" i="6"/>
  <c r="E2" i="6"/>
  <c r="E29" i="6"/>
  <c r="E24" i="6"/>
  <c r="B22" i="6"/>
  <c r="D20" i="6"/>
  <c r="E10" i="6"/>
  <c r="B5" i="6"/>
  <c r="D2" i="6"/>
  <c r="B33" i="6"/>
  <c r="G29" i="6"/>
  <c r="E11" i="6"/>
  <c r="E6" i="6"/>
  <c r="D14" i="6"/>
  <c r="D11" i="6"/>
  <c r="G8" i="6"/>
  <c r="D6" i="6"/>
  <c r="B11" i="6"/>
  <c r="E8" i="6"/>
  <c r="C6" i="6"/>
  <c r="G3" i="6"/>
  <c r="C36" i="6"/>
  <c r="F32" i="6"/>
  <c r="G28" i="6"/>
  <c r="D24" i="6"/>
  <c r="C17" i="6"/>
  <c r="F13" i="6"/>
  <c r="D8" i="6"/>
  <c r="E3" i="6"/>
  <c r="D32" i="6"/>
  <c r="D28" i="6"/>
  <c r="C24" i="6"/>
  <c r="E13" i="6"/>
  <c r="C8" i="6"/>
  <c r="D3" i="6"/>
  <c r="D35" i="6"/>
  <c r="B28" i="6"/>
  <c r="B24" i="6"/>
  <c r="C20" i="6"/>
  <c r="C13" i="6"/>
  <c r="D10" i="6"/>
  <c r="E19" i="6"/>
  <c r="G33" i="6"/>
  <c r="C18" i="6"/>
  <c r="F11" i="6"/>
  <c r="F6" i="6"/>
  <c r="B10" i="6"/>
  <c r="G23" i="6"/>
  <c r="E23" i="6"/>
  <c r="F15" i="6"/>
  <c r="E9" i="6"/>
  <c r="G4" i="6"/>
  <c r="B13" i="6"/>
  <c r="F2" i="6"/>
  <c r="E12" i="6"/>
  <c r="F26" i="6"/>
  <c r="D7" i="6"/>
  <c r="B7" i="6"/>
  <c r="B4" i="6"/>
  <c r="C35" i="6"/>
  <c r="G19" i="6"/>
  <c r="F19" i="6"/>
  <c r="E15" i="6"/>
  <c r="E160" i="4"/>
  <c r="F160" i="4" s="1"/>
  <c r="E40" i="4"/>
  <c r="F40" i="4" s="1"/>
  <c r="E132" i="4"/>
  <c r="F132" i="4" s="1"/>
  <c r="E15" i="4"/>
  <c r="F15" i="4" s="1"/>
  <c r="E13" i="4"/>
  <c r="F13" i="4" s="1"/>
  <c r="E145" i="4"/>
  <c r="F145" i="4" s="1"/>
  <c r="E93" i="4"/>
  <c r="F93" i="4" s="1"/>
  <c r="E147" i="4"/>
  <c r="F147" i="4" s="1"/>
  <c r="E54" i="4"/>
  <c r="F54" i="4" s="1"/>
  <c r="E97" i="4"/>
  <c r="F97" i="4" s="1"/>
  <c r="E23" i="4"/>
  <c r="F23" i="4" s="1"/>
  <c r="E59" i="4"/>
  <c r="F59" i="4" s="1"/>
  <c r="E95" i="4"/>
  <c r="F95" i="4" s="1"/>
  <c r="E131" i="4"/>
  <c r="F131" i="4" s="1"/>
  <c r="E167" i="4"/>
  <c r="F167" i="4" s="1"/>
  <c r="E138" i="4"/>
  <c r="F138" i="4" s="1"/>
  <c r="E90" i="4"/>
  <c r="F90" i="4" s="1"/>
  <c r="D50" i="7"/>
  <c r="E20" i="7"/>
  <c r="E172" i="4"/>
  <c r="F172" i="4" s="1"/>
  <c r="E57" i="4"/>
  <c r="F57" i="4" s="1"/>
  <c r="E109" i="4"/>
  <c r="F109" i="4" s="1"/>
  <c r="E84" i="4"/>
  <c r="F84" i="4" s="1"/>
  <c r="E123" i="4"/>
  <c r="F123" i="4" s="1"/>
  <c r="E154" i="4"/>
  <c r="F154" i="4" s="1"/>
  <c r="E9" i="4"/>
  <c r="F9" i="4" s="1"/>
  <c r="E81" i="4"/>
  <c r="F81" i="4" s="1"/>
  <c r="E144" i="4"/>
  <c r="F144" i="4" s="1"/>
  <c r="E141" i="4"/>
  <c r="F141" i="4" s="1"/>
  <c r="E26" i="4"/>
  <c r="F26" i="4" s="1"/>
  <c r="E62" i="4"/>
  <c r="F62" i="4" s="1"/>
  <c r="E98" i="4"/>
  <c r="F98" i="4" s="1"/>
  <c r="E134" i="4"/>
  <c r="F134" i="4" s="1"/>
  <c r="E170" i="4"/>
  <c r="F170" i="4" s="1"/>
  <c r="F81" i="7" l="1"/>
  <c r="F82" i="7" s="1"/>
  <c r="F80" i="7" s="1"/>
  <c r="F71" i="7"/>
  <c r="F72" i="7" s="1"/>
  <c r="F70" i="7" s="1"/>
  <c r="F161" i="7"/>
  <c r="F162" i="7" s="1"/>
  <c r="F160" i="7" s="1"/>
  <c r="F151" i="7"/>
  <c r="F152" i="7" s="1"/>
  <c r="F150" i="7" s="1"/>
  <c r="F141" i="7"/>
  <c r="F142" i="7" s="1"/>
  <c r="F140" i="7" s="1"/>
  <c r="F121" i="7"/>
  <c r="F122" i="7" s="1"/>
  <c r="C123" i="7" s="1"/>
  <c r="F101" i="7"/>
  <c r="F102" i="7" s="1"/>
  <c r="F100" i="7" s="1"/>
  <c r="F61" i="7"/>
  <c r="F62" i="7" s="1"/>
  <c r="F60" i="7" s="1"/>
  <c r="V31" i="6"/>
  <c r="J31" i="6"/>
  <c r="M31" i="6"/>
  <c r="T31" i="6"/>
  <c r="U31" i="6"/>
  <c r="R31" i="6"/>
  <c r="P31" i="6"/>
  <c r="O31" i="6"/>
  <c r="H31" i="6"/>
  <c r="N31" i="6"/>
  <c r="L31" i="6"/>
  <c r="K31" i="6"/>
  <c r="I31" i="6"/>
  <c r="S31" i="6"/>
  <c r="Q31" i="6"/>
  <c r="G65" i="5"/>
  <c r="G64" i="5" s="1"/>
  <c r="U13" i="6"/>
  <c r="I13" i="6"/>
  <c r="P13" i="6"/>
  <c r="N13" i="6"/>
  <c r="L13" i="6"/>
  <c r="J13" i="6"/>
  <c r="H13" i="6"/>
  <c r="S13" i="6"/>
  <c r="R13" i="6"/>
  <c r="Q13" i="6"/>
  <c r="O13" i="6"/>
  <c r="M13" i="6"/>
  <c r="V13" i="6"/>
  <c r="T13" i="6"/>
  <c r="K13" i="6"/>
  <c r="S34" i="6"/>
  <c r="O34" i="6"/>
  <c r="J34" i="6"/>
  <c r="U34" i="6"/>
  <c r="R34" i="6"/>
  <c r="P34" i="6"/>
  <c r="N34" i="6"/>
  <c r="M34" i="6"/>
  <c r="L34" i="6"/>
  <c r="H34" i="6"/>
  <c r="K34" i="6"/>
  <c r="I34" i="6"/>
  <c r="Q34" i="6"/>
  <c r="V34" i="6"/>
  <c r="T34" i="6"/>
  <c r="R24" i="6"/>
  <c r="M24" i="6"/>
  <c r="N24" i="6"/>
  <c r="K24" i="6"/>
  <c r="I24" i="6"/>
  <c r="V24" i="6"/>
  <c r="H24" i="6"/>
  <c r="P24" i="6"/>
  <c r="O24" i="6"/>
  <c r="U24" i="6"/>
  <c r="T24" i="6"/>
  <c r="S24" i="6"/>
  <c r="Q24" i="6"/>
  <c r="L24" i="6"/>
  <c r="J24" i="6"/>
  <c r="G98" i="5"/>
  <c r="G97" i="5" s="1"/>
  <c r="M32" i="6"/>
  <c r="R32" i="6"/>
  <c r="L32" i="6"/>
  <c r="P32" i="6"/>
  <c r="N32" i="6"/>
  <c r="J32" i="6"/>
  <c r="I32" i="6"/>
  <c r="H32" i="6"/>
  <c r="U32" i="6"/>
  <c r="T32" i="6"/>
  <c r="S32" i="6"/>
  <c r="Q32" i="6"/>
  <c r="O32" i="6"/>
  <c r="V32" i="6"/>
  <c r="K32" i="6"/>
  <c r="M36" i="6"/>
  <c r="L36" i="6"/>
  <c r="T36" i="6"/>
  <c r="J36" i="6"/>
  <c r="H36" i="6"/>
  <c r="U36" i="6"/>
  <c r="S36" i="6"/>
  <c r="R36" i="6"/>
  <c r="Q36" i="6"/>
  <c r="V36" i="6"/>
  <c r="P36" i="6"/>
  <c r="O36" i="6"/>
  <c r="N36" i="6"/>
  <c r="K36" i="6"/>
  <c r="I36" i="6"/>
  <c r="M28" i="6"/>
  <c r="J28" i="6"/>
  <c r="R28" i="6"/>
  <c r="U28" i="6"/>
  <c r="S28" i="6"/>
  <c r="P28" i="6"/>
  <c r="O28" i="6"/>
  <c r="V28" i="6"/>
  <c r="T28" i="6"/>
  <c r="Q28" i="6"/>
  <c r="N28" i="6"/>
  <c r="L28" i="6"/>
  <c r="K28" i="6"/>
  <c r="I28" i="6"/>
  <c r="H28" i="6"/>
  <c r="O3" i="6"/>
  <c r="V3" i="6"/>
  <c r="J3" i="6"/>
  <c r="T3" i="6"/>
  <c r="Q3" i="6"/>
  <c r="I3" i="6"/>
  <c r="S3" i="6"/>
  <c r="R3" i="6"/>
  <c r="P3" i="6"/>
  <c r="N3" i="6"/>
  <c r="M3" i="6"/>
  <c r="L3" i="6"/>
  <c r="K3" i="6"/>
  <c r="U3" i="6"/>
  <c r="H3" i="6"/>
  <c r="F66" i="5"/>
  <c r="O11" i="6"/>
  <c r="V11" i="6"/>
  <c r="J11" i="6"/>
  <c r="K11" i="6"/>
  <c r="H11" i="6"/>
  <c r="U11" i="6"/>
  <c r="L11" i="6"/>
  <c r="Q11" i="6"/>
  <c r="P11" i="6"/>
  <c r="N11" i="6"/>
  <c r="M11" i="6"/>
  <c r="I11" i="6"/>
  <c r="T11" i="6"/>
  <c r="R11" i="6"/>
  <c r="S11" i="6"/>
  <c r="S26" i="6"/>
  <c r="M26" i="6"/>
  <c r="U26" i="6"/>
  <c r="H26" i="6"/>
  <c r="P26" i="6"/>
  <c r="N26" i="6"/>
  <c r="K26" i="6"/>
  <c r="J26" i="6"/>
  <c r="R26" i="6"/>
  <c r="Q26" i="6"/>
  <c r="V26" i="6"/>
  <c r="O26" i="6"/>
  <c r="L26" i="6"/>
  <c r="T26" i="6"/>
  <c r="I26" i="6"/>
  <c r="P29" i="6"/>
  <c r="O29" i="6"/>
  <c r="J29" i="6"/>
  <c r="Q29" i="6"/>
  <c r="M29" i="6"/>
  <c r="K29" i="6"/>
  <c r="I29" i="6"/>
  <c r="V29" i="6"/>
  <c r="U29" i="6"/>
  <c r="T29" i="6"/>
  <c r="S29" i="6"/>
  <c r="N29" i="6"/>
  <c r="L29" i="6"/>
  <c r="H29" i="6"/>
  <c r="R29" i="6"/>
  <c r="L22" i="6"/>
  <c r="S22" i="6"/>
  <c r="M22" i="6"/>
  <c r="J22" i="6"/>
  <c r="V22" i="6"/>
  <c r="H22" i="6"/>
  <c r="U22" i="6"/>
  <c r="O22" i="6"/>
  <c r="N22" i="6"/>
  <c r="K22" i="6"/>
  <c r="I22" i="6"/>
  <c r="T22" i="6"/>
  <c r="R22" i="6"/>
  <c r="P22" i="6"/>
  <c r="Q22" i="6"/>
  <c r="O19" i="6"/>
  <c r="V19" i="6"/>
  <c r="J19" i="6"/>
  <c r="R19" i="6"/>
  <c r="P19" i="6"/>
  <c r="M19" i="6"/>
  <c r="L19" i="6"/>
  <c r="K19" i="6"/>
  <c r="I19" i="6"/>
  <c r="U19" i="6"/>
  <c r="T19" i="6"/>
  <c r="S19" i="6"/>
  <c r="Q19" i="6"/>
  <c r="N19" i="6"/>
  <c r="H19" i="6"/>
  <c r="G33" i="5"/>
  <c r="O23" i="6"/>
  <c r="V23" i="6"/>
  <c r="J23" i="6"/>
  <c r="T23" i="6"/>
  <c r="R23" i="6"/>
  <c r="P23" i="6"/>
  <c r="N23" i="6"/>
  <c r="M23" i="6"/>
  <c r="L23" i="6"/>
  <c r="S23" i="6"/>
  <c r="Q23" i="6"/>
  <c r="K23" i="6"/>
  <c r="I23" i="6"/>
  <c r="H23" i="6"/>
  <c r="U23" i="6"/>
  <c r="U21" i="6"/>
  <c r="I21" i="6"/>
  <c r="P21" i="6"/>
  <c r="S21" i="6"/>
  <c r="Q21" i="6"/>
  <c r="N21" i="6"/>
  <c r="M21" i="6"/>
  <c r="L21" i="6"/>
  <c r="K21" i="6"/>
  <c r="R21" i="6"/>
  <c r="O21" i="6"/>
  <c r="J21" i="6"/>
  <c r="H21" i="6"/>
  <c r="V21" i="6"/>
  <c r="T21" i="6"/>
  <c r="R20" i="6"/>
  <c r="M20" i="6"/>
  <c r="K20" i="6"/>
  <c r="I20" i="6"/>
  <c r="U20" i="6"/>
  <c r="T20" i="6"/>
  <c r="N20" i="6"/>
  <c r="L20" i="6"/>
  <c r="V20" i="6"/>
  <c r="S20" i="6"/>
  <c r="Q20" i="6"/>
  <c r="P20" i="6"/>
  <c r="O20" i="6"/>
  <c r="H20" i="6"/>
  <c r="J20" i="6"/>
  <c r="S30" i="6"/>
  <c r="U30" i="6"/>
  <c r="H30" i="6"/>
  <c r="O30" i="6"/>
  <c r="K30" i="6"/>
  <c r="I30" i="6"/>
  <c r="V30" i="6"/>
  <c r="T30" i="6"/>
  <c r="J30" i="6"/>
  <c r="R30" i="6"/>
  <c r="Q30" i="6"/>
  <c r="P30" i="6"/>
  <c r="N30" i="6"/>
  <c r="M30" i="6"/>
  <c r="L30" i="6"/>
  <c r="F126" i="5"/>
  <c r="E131" i="7"/>
  <c r="E132" i="7" s="1"/>
  <c r="E130" i="7" s="1"/>
  <c r="R4" i="6"/>
  <c r="M4" i="6"/>
  <c r="N4" i="6"/>
  <c r="J4" i="6"/>
  <c r="V4" i="6"/>
  <c r="Q4" i="6"/>
  <c r="P4" i="6"/>
  <c r="O4" i="6"/>
  <c r="L4" i="6"/>
  <c r="K4" i="6"/>
  <c r="U4" i="6"/>
  <c r="T4" i="6"/>
  <c r="S4" i="6"/>
  <c r="I4" i="6"/>
  <c r="H4" i="6"/>
  <c r="L10" i="6"/>
  <c r="S10" i="6"/>
  <c r="Q10" i="6"/>
  <c r="O10" i="6"/>
  <c r="N10" i="6"/>
  <c r="K10" i="6"/>
  <c r="R10" i="6"/>
  <c r="P10" i="6"/>
  <c r="M10" i="6"/>
  <c r="J10" i="6"/>
  <c r="I10" i="6"/>
  <c r="V10" i="6"/>
  <c r="U10" i="6"/>
  <c r="T10" i="6"/>
  <c r="H10" i="6"/>
  <c r="G124" i="5"/>
  <c r="G123" i="5"/>
  <c r="R16" i="6"/>
  <c r="M16" i="6"/>
  <c r="I16" i="6"/>
  <c r="U16" i="6"/>
  <c r="S16" i="6"/>
  <c r="Q16" i="6"/>
  <c r="K16" i="6"/>
  <c r="J16" i="6"/>
  <c r="H16" i="6"/>
  <c r="P16" i="6"/>
  <c r="O16" i="6"/>
  <c r="N16" i="6"/>
  <c r="V16" i="6"/>
  <c r="T16" i="6"/>
  <c r="L16" i="6"/>
  <c r="O7" i="6"/>
  <c r="V7" i="6"/>
  <c r="J7" i="6"/>
  <c r="H7" i="6"/>
  <c r="T7" i="6"/>
  <c r="S7" i="6"/>
  <c r="Q7" i="6"/>
  <c r="P7" i="6"/>
  <c r="N7" i="6"/>
  <c r="M7" i="6"/>
  <c r="L7" i="6"/>
  <c r="K7" i="6"/>
  <c r="I7" i="6"/>
  <c r="U7" i="6"/>
  <c r="R7" i="6"/>
  <c r="P33" i="6"/>
  <c r="J33" i="6"/>
  <c r="R33" i="6"/>
  <c r="K33" i="6"/>
  <c r="H33" i="6"/>
  <c r="U33" i="6"/>
  <c r="T33" i="6"/>
  <c r="M33" i="6"/>
  <c r="L33" i="6"/>
  <c r="V33" i="6"/>
  <c r="S33" i="6"/>
  <c r="Q33" i="6"/>
  <c r="N33" i="6"/>
  <c r="I33" i="6"/>
  <c r="O33" i="6"/>
  <c r="L18" i="6"/>
  <c r="S18" i="6"/>
  <c r="J18" i="6"/>
  <c r="V18" i="6"/>
  <c r="H18" i="6"/>
  <c r="T18" i="6"/>
  <c r="R18" i="6"/>
  <c r="M18" i="6"/>
  <c r="K18" i="6"/>
  <c r="Q18" i="6"/>
  <c r="P18" i="6"/>
  <c r="O18" i="6"/>
  <c r="N18" i="6"/>
  <c r="I18" i="6"/>
  <c r="U18" i="6"/>
  <c r="U9" i="6"/>
  <c r="I9" i="6"/>
  <c r="P9" i="6"/>
  <c r="J9" i="6"/>
  <c r="V9" i="6"/>
  <c r="T9" i="6"/>
  <c r="N9" i="6"/>
  <c r="Q9" i="6"/>
  <c r="O9" i="6"/>
  <c r="M9" i="6"/>
  <c r="L9" i="6"/>
  <c r="K9" i="6"/>
  <c r="S9" i="6"/>
  <c r="R9" i="6"/>
  <c r="H9" i="6"/>
  <c r="G122" i="5"/>
  <c r="G121" i="5" s="1"/>
  <c r="F2" i="5"/>
  <c r="L6" i="6"/>
  <c r="S6" i="6"/>
  <c r="O6" i="6"/>
  <c r="M6" i="6"/>
  <c r="K6" i="6"/>
  <c r="T6" i="6"/>
  <c r="Q6" i="6"/>
  <c r="P6" i="6"/>
  <c r="N6" i="6"/>
  <c r="J6" i="6"/>
  <c r="I6" i="6"/>
  <c r="V6" i="6"/>
  <c r="U6" i="6"/>
  <c r="H6" i="6"/>
  <c r="R6" i="6"/>
  <c r="U25" i="6"/>
  <c r="I25" i="6"/>
  <c r="P25" i="6"/>
  <c r="V25" i="6"/>
  <c r="S25" i="6"/>
  <c r="Q25" i="6"/>
  <c r="O25" i="6"/>
  <c r="N25" i="6"/>
  <c r="M25" i="6"/>
  <c r="T25" i="6"/>
  <c r="H25" i="6"/>
  <c r="K25" i="6"/>
  <c r="J25" i="6"/>
  <c r="R25" i="6"/>
  <c r="L25" i="6"/>
  <c r="E51" i="7"/>
  <c r="E52" i="7" s="1"/>
  <c r="E50" i="7" s="1"/>
  <c r="L2" i="6"/>
  <c r="S2" i="6"/>
  <c r="M2" i="6"/>
  <c r="I2" i="6"/>
  <c r="N2" i="6"/>
  <c r="U2" i="6"/>
  <c r="T2" i="6"/>
  <c r="R2" i="6"/>
  <c r="Q2" i="6"/>
  <c r="P2" i="6"/>
  <c r="K2" i="6"/>
  <c r="J2" i="6"/>
  <c r="V2" i="6"/>
  <c r="O2" i="6"/>
  <c r="H2" i="6"/>
  <c r="U17" i="6"/>
  <c r="I17" i="6"/>
  <c r="P17" i="6"/>
  <c r="Q17" i="6"/>
  <c r="N17" i="6"/>
  <c r="L17" i="6"/>
  <c r="K17" i="6"/>
  <c r="J17" i="6"/>
  <c r="H17" i="6"/>
  <c r="O17" i="6"/>
  <c r="M17" i="6"/>
  <c r="V17" i="6"/>
  <c r="T17" i="6"/>
  <c r="S17" i="6"/>
  <c r="R17" i="6"/>
  <c r="V35" i="6"/>
  <c r="J35" i="6"/>
  <c r="T35" i="6"/>
  <c r="O35" i="6"/>
  <c r="P35" i="6"/>
  <c r="M35" i="6"/>
  <c r="K35" i="6"/>
  <c r="I35" i="6"/>
  <c r="R35" i="6"/>
  <c r="Q35" i="6"/>
  <c r="N35" i="6"/>
  <c r="L35" i="6"/>
  <c r="H35" i="6"/>
  <c r="U35" i="6"/>
  <c r="S35" i="6"/>
  <c r="F91" i="7"/>
  <c r="F92" i="7" s="1"/>
  <c r="F90" i="7" s="1"/>
  <c r="G125" i="5"/>
  <c r="G171" i="5"/>
  <c r="G170" i="5" s="1"/>
  <c r="F34" i="5"/>
  <c r="F140" i="5"/>
  <c r="E30" i="7"/>
  <c r="G139" i="5"/>
  <c r="G138" i="5" s="1"/>
  <c r="F99" i="5"/>
  <c r="F21" i="7"/>
  <c r="F22" i="7" s="1"/>
  <c r="E23" i="7" s="1"/>
  <c r="U5" i="6"/>
  <c r="I5" i="6"/>
  <c r="P5" i="6"/>
  <c r="V5" i="6"/>
  <c r="S5" i="6"/>
  <c r="R5" i="6"/>
  <c r="O5" i="6"/>
  <c r="N5" i="6"/>
  <c r="M5" i="6"/>
  <c r="L5" i="6"/>
  <c r="K5" i="6"/>
  <c r="T5" i="6"/>
  <c r="Q5" i="6"/>
  <c r="J5" i="6"/>
  <c r="H5" i="6"/>
  <c r="V27" i="6"/>
  <c r="J27" i="6"/>
  <c r="R27" i="6"/>
  <c r="M27" i="6"/>
  <c r="K27" i="6"/>
  <c r="H27" i="6"/>
  <c r="U27" i="6"/>
  <c r="T27" i="6"/>
  <c r="S27" i="6"/>
  <c r="Q27" i="6"/>
  <c r="N27" i="6"/>
  <c r="L27" i="6"/>
  <c r="I27" i="6"/>
  <c r="O27" i="6"/>
  <c r="P27" i="6"/>
  <c r="O15" i="6"/>
  <c r="V15" i="6"/>
  <c r="J15" i="6"/>
  <c r="P15" i="6"/>
  <c r="M15" i="6"/>
  <c r="K15" i="6"/>
  <c r="I15" i="6"/>
  <c r="H15" i="6"/>
  <c r="U15" i="6"/>
  <c r="T15" i="6"/>
  <c r="S15" i="6"/>
  <c r="R15" i="6"/>
  <c r="Q15" i="6"/>
  <c r="N15" i="6"/>
  <c r="L15" i="6"/>
  <c r="L14" i="6"/>
  <c r="S14" i="6"/>
  <c r="V14" i="6"/>
  <c r="H14" i="6"/>
  <c r="T14" i="6"/>
  <c r="Q14" i="6"/>
  <c r="P14" i="6"/>
  <c r="J14" i="6"/>
  <c r="I14" i="6"/>
  <c r="U14" i="6"/>
  <c r="R14" i="6"/>
  <c r="O14" i="6"/>
  <c r="M14" i="6"/>
  <c r="K14" i="6"/>
  <c r="N14" i="6"/>
  <c r="R12" i="6"/>
  <c r="M12" i="6"/>
  <c r="U12" i="6"/>
  <c r="S12" i="6"/>
  <c r="P12" i="6"/>
  <c r="O12" i="6"/>
  <c r="I12" i="6"/>
  <c r="Q12" i="6"/>
  <c r="N12" i="6"/>
  <c r="L12" i="6"/>
  <c r="K12" i="6"/>
  <c r="J12" i="6"/>
  <c r="T12" i="6"/>
  <c r="H12" i="6"/>
  <c r="V12" i="6"/>
  <c r="R8" i="6"/>
  <c r="M8" i="6"/>
  <c r="P8" i="6"/>
  <c r="N8" i="6"/>
  <c r="L8" i="6"/>
  <c r="Q8" i="6"/>
  <c r="S8" i="6"/>
  <c r="O8" i="6"/>
  <c r="K8" i="6"/>
  <c r="J8" i="6"/>
  <c r="I8" i="6"/>
  <c r="T8" i="6"/>
  <c r="H8" i="6"/>
  <c r="U8" i="6"/>
  <c r="V8" i="6"/>
  <c r="F41" i="7"/>
  <c r="F42" i="7" s="1"/>
  <c r="C43" i="7" s="1"/>
  <c r="F111" i="7"/>
  <c r="F112" i="7" s="1"/>
  <c r="F110" i="7" s="1"/>
  <c r="G172" i="5"/>
  <c r="G137" i="5" l="1"/>
  <c r="G169" i="5"/>
  <c r="G96" i="5"/>
  <c r="G101" i="7"/>
  <c r="G102" i="7" s="1"/>
  <c r="C103" i="7" s="1"/>
  <c r="G141" i="7"/>
  <c r="G142" i="7" s="1"/>
  <c r="G140" i="7" s="1"/>
  <c r="G91" i="7"/>
  <c r="G92" i="7" s="1"/>
  <c r="G90" i="7" s="1"/>
  <c r="G151" i="7"/>
  <c r="G152" i="7" s="1"/>
  <c r="G150" i="7" s="1"/>
  <c r="G161" i="7"/>
  <c r="G162" i="7" s="1"/>
  <c r="G160" i="7" s="1"/>
  <c r="G110" i="7"/>
  <c r="G111" i="7"/>
  <c r="G112" i="7" s="1"/>
  <c r="G71" i="7"/>
  <c r="G72" i="7" s="1"/>
  <c r="G70" i="7" s="1"/>
  <c r="G120" i="5"/>
  <c r="F51" i="7"/>
  <c r="F52" i="7" s="1"/>
  <c r="F50" i="7" s="1"/>
  <c r="G63" i="5"/>
  <c r="G81" i="7"/>
  <c r="G82" i="7" s="1"/>
  <c r="G80" i="7" s="1"/>
  <c r="F31" i="7"/>
  <c r="F32" i="7" s="1"/>
  <c r="D33" i="7" s="1"/>
  <c r="F20" i="7"/>
  <c r="F131" i="7"/>
  <c r="F132" i="7" s="1"/>
  <c r="F130" i="7" s="1"/>
  <c r="G32" i="5"/>
  <c r="G61" i="7"/>
  <c r="G62" i="7" s="1"/>
  <c r="G60" i="7" s="1"/>
  <c r="F120" i="7"/>
  <c r="F40" i="7"/>
  <c r="H91" i="7" l="1"/>
  <c r="H92" i="7" s="1"/>
  <c r="H90" i="7" s="1"/>
  <c r="H61" i="7"/>
  <c r="H62" i="7" s="1"/>
  <c r="H60" i="7" s="1"/>
  <c r="H81" i="7"/>
  <c r="H82" i="7" s="1"/>
  <c r="H80" i="7" s="1"/>
  <c r="H71" i="7"/>
  <c r="H72" i="7" s="1"/>
  <c r="C73" i="7" s="1"/>
  <c r="H161" i="7"/>
  <c r="H162" i="7" s="1"/>
  <c r="H160" i="7" s="1"/>
  <c r="H151" i="7"/>
  <c r="H152" i="7" s="1"/>
  <c r="H150" i="7" s="1"/>
  <c r="G50" i="7"/>
  <c r="G51" i="7"/>
  <c r="G52" i="7" s="1"/>
  <c r="H141" i="7"/>
  <c r="H142" i="7" s="1"/>
  <c r="C143" i="7" s="1"/>
  <c r="G100" i="7"/>
  <c r="G121" i="7"/>
  <c r="G122" i="7" s="1"/>
  <c r="D123" i="7" s="1"/>
  <c r="G95" i="5"/>
  <c r="F30" i="7"/>
  <c r="G168" i="5"/>
  <c r="G21" i="7"/>
  <c r="G22" i="7" s="1"/>
  <c r="F23" i="7" s="1"/>
  <c r="H111" i="7"/>
  <c r="H112" i="7" s="1"/>
  <c r="H110" i="7" s="1"/>
  <c r="G31" i="5"/>
  <c r="G62" i="5"/>
  <c r="G119" i="5"/>
  <c r="G41" i="7"/>
  <c r="G42" i="7" s="1"/>
  <c r="D43" i="7" s="1"/>
  <c r="G131" i="7"/>
  <c r="G132" i="7" s="1"/>
  <c r="G130" i="7" s="1"/>
  <c r="G136" i="5"/>
  <c r="G20" i="7" l="1"/>
  <c r="H21" i="7" s="1"/>
  <c r="H22" i="7" s="1"/>
  <c r="G23" i="7" s="1"/>
  <c r="H140" i="7"/>
  <c r="I151" i="7"/>
  <c r="I152" i="7" s="1"/>
  <c r="I150" i="7" s="1"/>
  <c r="I161" i="7"/>
  <c r="I162" i="7" s="1"/>
  <c r="I160" i="7" s="1"/>
  <c r="I111" i="7"/>
  <c r="I112" i="7" s="1"/>
  <c r="I110" i="7" s="1"/>
  <c r="H70" i="7"/>
  <c r="G120" i="7"/>
  <c r="G40" i="7"/>
  <c r="G31" i="7"/>
  <c r="G32" i="7" s="1"/>
  <c r="E33" i="7" s="1"/>
  <c r="G94" i="5"/>
  <c r="G61" i="5"/>
  <c r="G30" i="5"/>
  <c r="H101" i="7"/>
  <c r="H102" i="7" s="1"/>
  <c r="D103" i="7" s="1"/>
  <c r="I81" i="7"/>
  <c r="I82" i="7" s="1"/>
  <c r="C83" i="7" s="1"/>
  <c r="G118" i="5"/>
  <c r="G135" i="5"/>
  <c r="I141" i="7"/>
  <c r="I142" i="7" s="1"/>
  <c r="D143" i="7" s="1"/>
  <c r="I61" i="7"/>
  <c r="I62" i="7" s="1"/>
  <c r="I60" i="7" s="1"/>
  <c r="G167" i="5"/>
  <c r="H131" i="7"/>
  <c r="H132" i="7" s="1"/>
  <c r="H130" i="7" s="1"/>
  <c r="H51" i="7"/>
  <c r="H52" i="7" s="1"/>
  <c r="H50" i="7" s="1"/>
  <c r="I91" i="7"/>
  <c r="I92" i="7" s="1"/>
  <c r="I90" i="7" s="1"/>
  <c r="J61" i="7" l="1"/>
  <c r="J62" i="7" s="1"/>
  <c r="J60" i="7" s="1"/>
  <c r="J91" i="7"/>
  <c r="J92" i="7" s="1"/>
  <c r="J90" i="7" s="1"/>
  <c r="I131" i="7"/>
  <c r="I132" i="7" s="1"/>
  <c r="I130" i="7" s="1"/>
  <c r="J151" i="7"/>
  <c r="J152" i="7" s="1"/>
  <c r="J150" i="7" s="1"/>
  <c r="H20" i="7"/>
  <c r="I51" i="7"/>
  <c r="I52" i="7" s="1"/>
  <c r="I50" i="7" s="1"/>
  <c r="H121" i="7"/>
  <c r="H122" i="7" s="1"/>
  <c r="E123" i="7" s="1"/>
  <c r="H41" i="7"/>
  <c r="H42" i="7" s="1"/>
  <c r="E43" i="7" s="1"/>
  <c r="G166" i="5"/>
  <c r="H100" i="7"/>
  <c r="G117" i="5"/>
  <c r="I80" i="7"/>
  <c r="I71" i="7"/>
  <c r="I72" i="7" s="1"/>
  <c r="D73" i="7" s="1"/>
  <c r="J111" i="7"/>
  <c r="J112" i="7" s="1"/>
  <c r="J110" i="7" s="1"/>
  <c r="G29" i="5"/>
  <c r="G30" i="7"/>
  <c r="G60" i="5"/>
  <c r="J161" i="7"/>
  <c r="J162" i="7" s="1"/>
  <c r="C163" i="7" s="1"/>
  <c r="I140" i="7"/>
  <c r="G134" i="5"/>
  <c r="G93" i="5"/>
  <c r="H120" i="7" l="1"/>
  <c r="I121" i="7" s="1"/>
  <c r="I122" i="7" s="1"/>
  <c r="F123" i="7" s="1"/>
  <c r="J131" i="7"/>
  <c r="J132" i="7" s="1"/>
  <c r="J130" i="7" s="1"/>
  <c r="J51" i="7"/>
  <c r="J52" i="7" s="1"/>
  <c r="J50" i="7" s="1"/>
  <c r="K151" i="7"/>
  <c r="K152" i="7" s="1"/>
  <c r="K150" i="7" s="1"/>
  <c r="K61" i="7"/>
  <c r="K62" i="7" s="1"/>
  <c r="K60" i="7" s="1"/>
  <c r="J160" i="7"/>
  <c r="G133" i="5"/>
  <c r="J81" i="7"/>
  <c r="J82" i="7" s="1"/>
  <c r="D83" i="7" s="1"/>
  <c r="I101" i="7"/>
  <c r="I102" i="7" s="1"/>
  <c r="E103" i="7" s="1"/>
  <c r="K111" i="7"/>
  <c r="K112" i="7" s="1"/>
  <c r="K110" i="7" s="1"/>
  <c r="J141" i="7"/>
  <c r="J142" i="7" s="1"/>
  <c r="E143" i="7" s="1"/>
  <c r="G59" i="5"/>
  <c r="I21" i="7"/>
  <c r="I22" i="7" s="1"/>
  <c r="H23" i="7" s="1"/>
  <c r="G165" i="5"/>
  <c r="I70" i="7"/>
  <c r="G116" i="5"/>
  <c r="H31" i="7"/>
  <c r="H32" i="7" s="1"/>
  <c r="F33" i="7" s="1"/>
  <c r="G28" i="5"/>
  <c r="K91" i="7"/>
  <c r="K92" i="7" s="1"/>
  <c r="K90" i="7" s="1"/>
  <c r="H40" i="7"/>
  <c r="G92" i="5"/>
  <c r="J80" i="7" l="1"/>
  <c r="J140" i="7"/>
  <c r="L111" i="7"/>
  <c r="L112" i="7" s="1"/>
  <c r="L110" i="7" s="1"/>
  <c r="L61" i="7"/>
  <c r="L62" i="7" s="1"/>
  <c r="L60" i="7" s="1"/>
  <c r="L91" i="7"/>
  <c r="L92" i="7" s="1"/>
  <c r="C93" i="7" s="1"/>
  <c r="L151" i="7"/>
  <c r="L152" i="7" s="1"/>
  <c r="C153" i="7" s="1"/>
  <c r="K131" i="7"/>
  <c r="K132" i="7" s="1"/>
  <c r="C133" i="7" s="1"/>
  <c r="G164" i="5"/>
  <c r="G27" i="5"/>
  <c r="G58" i="5"/>
  <c r="K161" i="7"/>
  <c r="K162" i="7" s="1"/>
  <c r="D163" i="7" s="1"/>
  <c r="K81" i="7"/>
  <c r="K82" i="7" s="1"/>
  <c r="E83" i="7" s="1"/>
  <c r="G132" i="5"/>
  <c r="H30" i="7"/>
  <c r="G115" i="5"/>
  <c r="J71" i="7"/>
  <c r="J72" i="7" s="1"/>
  <c r="E73" i="7" s="1"/>
  <c r="K50" i="7"/>
  <c r="K51" i="7"/>
  <c r="K52" i="7" s="1"/>
  <c r="I120" i="7"/>
  <c r="I100" i="7"/>
  <c r="I20" i="7"/>
  <c r="G91" i="5"/>
  <c r="I41" i="7"/>
  <c r="I42" i="7" s="1"/>
  <c r="F43" i="7" s="1"/>
  <c r="K141" i="7" l="1"/>
  <c r="K142" i="7" s="1"/>
  <c r="F143" i="7" s="1"/>
  <c r="M61" i="7"/>
  <c r="M62" i="7" s="1"/>
  <c r="C63" i="7" s="1"/>
  <c r="M111" i="7"/>
  <c r="M112" i="7" s="1"/>
  <c r="M110" i="7" s="1"/>
  <c r="I31" i="7"/>
  <c r="I32" i="7" s="1"/>
  <c r="G33" i="7" s="1"/>
  <c r="G163" i="5"/>
  <c r="J21" i="7"/>
  <c r="J22" i="7" s="1"/>
  <c r="I23" i="7" s="1"/>
  <c r="G131" i="5"/>
  <c r="J121" i="7"/>
  <c r="J122" i="7" s="1"/>
  <c r="G123" i="7" s="1"/>
  <c r="K80" i="7"/>
  <c r="L150" i="7"/>
  <c r="K160" i="7"/>
  <c r="L90" i="7"/>
  <c r="G57" i="5"/>
  <c r="G90" i="5"/>
  <c r="J101" i="7"/>
  <c r="J102" i="7" s="1"/>
  <c r="F103" i="7" s="1"/>
  <c r="K130" i="7"/>
  <c r="L50" i="7"/>
  <c r="L51" i="7"/>
  <c r="L52" i="7" s="1"/>
  <c r="J70" i="7"/>
  <c r="G114" i="5"/>
  <c r="G26" i="5"/>
  <c r="I40" i="7"/>
  <c r="K140" i="7" l="1"/>
  <c r="L141" i="7" s="1"/>
  <c r="L142" i="7" s="1"/>
  <c r="G143" i="7" s="1"/>
  <c r="N111" i="7"/>
  <c r="N112" i="7" s="1"/>
  <c r="C113" i="7" s="1"/>
  <c r="G25" i="5"/>
  <c r="M91" i="7"/>
  <c r="M92" i="7" s="1"/>
  <c r="D93" i="7" s="1"/>
  <c r="G89" i="5"/>
  <c r="G113" i="5"/>
  <c r="L161" i="7"/>
  <c r="L162" i="7" s="1"/>
  <c r="E163" i="7" s="1"/>
  <c r="I30" i="7"/>
  <c r="K71" i="7"/>
  <c r="K72" i="7" s="1"/>
  <c r="F73" i="7" s="1"/>
  <c r="M150" i="7"/>
  <c r="M151" i="7"/>
  <c r="M152" i="7" s="1"/>
  <c r="D153" i="7" s="1"/>
  <c r="L81" i="7"/>
  <c r="L82" i="7" s="1"/>
  <c r="F83" i="7" s="1"/>
  <c r="L140" i="7"/>
  <c r="J20" i="7"/>
  <c r="M51" i="7"/>
  <c r="M52" i="7" s="1"/>
  <c r="M50" i="7" s="1"/>
  <c r="J41" i="7"/>
  <c r="J42" i="7" s="1"/>
  <c r="G43" i="7" s="1"/>
  <c r="G56" i="5"/>
  <c r="G162" i="5"/>
  <c r="L131" i="7"/>
  <c r="L132" i="7" s="1"/>
  <c r="D133" i="7" s="1"/>
  <c r="J120" i="7"/>
  <c r="J100" i="7"/>
  <c r="G130" i="5"/>
  <c r="M60" i="7"/>
  <c r="J40" i="7" l="1"/>
  <c r="K41" i="7" s="1"/>
  <c r="K42" i="7" s="1"/>
  <c r="H43" i="7" s="1"/>
  <c r="L80" i="7"/>
  <c r="N51" i="7"/>
  <c r="N52" i="7" s="1"/>
  <c r="N50" i="7" s="1"/>
  <c r="G129" i="5"/>
  <c r="M141" i="7"/>
  <c r="M142" i="7" s="1"/>
  <c r="H143" i="7" s="1"/>
  <c r="G88" i="5"/>
  <c r="G112" i="5"/>
  <c r="N61" i="7"/>
  <c r="N62" i="7" s="1"/>
  <c r="D63" i="7" s="1"/>
  <c r="K101" i="7"/>
  <c r="K102" i="7" s="1"/>
  <c r="G103" i="7" s="1"/>
  <c r="M90" i="7"/>
  <c r="L160" i="7"/>
  <c r="K21" i="7"/>
  <c r="K22" i="7" s="1"/>
  <c r="J23" i="7" s="1"/>
  <c r="K121" i="7"/>
  <c r="K122" i="7" s="1"/>
  <c r="H123" i="7" s="1"/>
  <c r="M81" i="7"/>
  <c r="M82" i="7" s="1"/>
  <c r="G83" i="7" s="1"/>
  <c r="G24" i="5"/>
  <c r="K70" i="7"/>
  <c r="L130" i="7"/>
  <c r="G161" i="5"/>
  <c r="N151" i="7"/>
  <c r="N152" i="7" s="1"/>
  <c r="E153" i="7" s="1"/>
  <c r="G55" i="5"/>
  <c r="J31" i="7"/>
  <c r="J32" i="7" s="1"/>
  <c r="H33" i="7" s="1"/>
  <c r="N110" i="7"/>
  <c r="O51" i="7" l="1"/>
  <c r="O52" i="7" s="1"/>
  <c r="O50" i="7" s="1"/>
  <c r="G111" i="5"/>
  <c r="K120" i="7"/>
  <c r="N150" i="7"/>
  <c r="K20" i="7"/>
  <c r="G87" i="5"/>
  <c r="G160" i="5"/>
  <c r="N90" i="7"/>
  <c r="N91" i="7"/>
  <c r="N92" i="7" s="1"/>
  <c r="E93" i="7" s="1"/>
  <c r="M140" i="7"/>
  <c r="G128" i="5"/>
  <c r="G54" i="5"/>
  <c r="J30" i="7"/>
  <c r="M161" i="7"/>
  <c r="M162" i="7" s="1"/>
  <c r="F163" i="7" s="1"/>
  <c r="M131" i="7"/>
  <c r="M132" i="7" s="1"/>
  <c r="E133" i="7" s="1"/>
  <c r="M80" i="7"/>
  <c r="N60" i="7"/>
  <c r="L71" i="7"/>
  <c r="L72" i="7" s="1"/>
  <c r="G73" i="7" s="1"/>
  <c r="K100" i="7"/>
  <c r="G23" i="5"/>
  <c r="O111" i="7"/>
  <c r="O112" i="7" s="1"/>
  <c r="D113" i="7" s="1"/>
  <c r="K40" i="7"/>
  <c r="P51" i="7" l="1"/>
  <c r="P52" i="7" s="1"/>
  <c r="P50" i="7" s="1"/>
  <c r="G86" i="5"/>
  <c r="M160" i="7"/>
  <c r="O110" i="7"/>
  <c r="K31" i="7"/>
  <c r="K32" i="7" s="1"/>
  <c r="I33" i="7" s="1"/>
  <c r="L21" i="7"/>
  <c r="L22" i="7" s="1"/>
  <c r="K23" i="7" s="1"/>
  <c r="N81" i="7"/>
  <c r="N82" i="7" s="1"/>
  <c r="H83" i="7" s="1"/>
  <c r="G159" i="5"/>
  <c r="O151" i="7"/>
  <c r="O152" i="7" s="1"/>
  <c r="F153" i="7" s="1"/>
  <c r="G22" i="5"/>
  <c r="G53" i="5"/>
  <c r="L121" i="7"/>
  <c r="L122" i="7" s="1"/>
  <c r="I123" i="7" s="1"/>
  <c r="O91" i="7"/>
  <c r="O92" i="7" s="1"/>
  <c r="F93" i="7" s="1"/>
  <c r="L101" i="7"/>
  <c r="L102" i="7" s="1"/>
  <c r="H103" i="7" s="1"/>
  <c r="L70" i="7"/>
  <c r="N141" i="7"/>
  <c r="N142" i="7" s="1"/>
  <c r="I143" i="7" s="1"/>
  <c r="M130" i="7"/>
  <c r="L41" i="7"/>
  <c r="L42" i="7" s="1"/>
  <c r="I43" i="7" s="1"/>
  <c r="G127" i="5"/>
  <c r="G110" i="5"/>
  <c r="O61" i="7"/>
  <c r="O62" i="7" s="1"/>
  <c r="E63" i="7" s="1"/>
  <c r="Q51" i="7" l="1"/>
  <c r="Q52" i="7" s="1"/>
  <c r="Q50" i="7" s="1"/>
  <c r="G109" i="5"/>
  <c r="N80" i="7"/>
  <c r="G21" i="5"/>
  <c r="G126" i="5"/>
  <c r="H126" i="5" s="1"/>
  <c r="I126" i="5" s="1"/>
  <c r="N161" i="7"/>
  <c r="N162" i="7" s="1"/>
  <c r="G163" i="7" s="1"/>
  <c r="N140" i="7"/>
  <c r="G85" i="5"/>
  <c r="M71" i="7"/>
  <c r="M72" i="7" s="1"/>
  <c r="H73" i="7" s="1"/>
  <c r="O150" i="7"/>
  <c r="L120" i="7"/>
  <c r="L40" i="7"/>
  <c r="K30" i="7"/>
  <c r="N131" i="7"/>
  <c r="N132" i="7" s="1"/>
  <c r="F133" i="7" s="1"/>
  <c r="O90" i="7"/>
  <c r="L20" i="7"/>
  <c r="G52" i="5"/>
  <c r="P111" i="7"/>
  <c r="P112" i="7" s="1"/>
  <c r="E113" i="7" s="1"/>
  <c r="O60" i="7"/>
  <c r="L100" i="7"/>
  <c r="G158" i="5"/>
  <c r="R51" i="7" l="1"/>
  <c r="R52" i="7" s="1"/>
  <c r="R50" i="7" s="1"/>
  <c r="M126" i="5"/>
  <c r="J126" i="5"/>
  <c r="F127" i="5" s="1"/>
  <c r="K126" i="5"/>
  <c r="L126" i="5"/>
  <c r="G20" i="5"/>
  <c r="N160" i="7"/>
  <c r="O141" i="7"/>
  <c r="O142" i="7" s="1"/>
  <c r="J143" i="7" s="1"/>
  <c r="G157" i="5"/>
  <c r="M41" i="7"/>
  <c r="M42" i="7" s="1"/>
  <c r="J43" i="7" s="1"/>
  <c r="M101" i="7"/>
  <c r="M102" i="7" s="1"/>
  <c r="I103" i="7" s="1"/>
  <c r="M121" i="7"/>
  <c r="M122" i="7" s="1"/>
  <c r="J123" i="7" s="1"/>
  <c r="P151" i="7"/>
  <c r="P152" i="7" s="1"/>
  <c r="G153" i="7" s="1"/>
  <c r="O81" i="7"/>
  <c r="O82" i="7" s="1"/>
  <c r="I83" i="7" s="1"/>
  <c r="G108" i="5"/>
  <c r="N130" i="7"/>
  <c r="P61" i="7"/>
  <c r="P62" i="7" s="1"/>
  <c r="F63" i="7" s="1"/>
  <c r="M20" i="7"/>
  <c r="M21" i="7"/>
  <c r="M22" i="7" s="1"/>
  <c r="L23" i="7" s="1"/>
  <c r="P91" i="7"/>
  <c r="P92" i="7" s="1"/>
  <c r="G93" i="7" s="1"/>
  <c r="P110" i="7"/>
  <c r="L31" i="7"/>
  <c r="L32" i="7" s="1"/>
  <c r="J33" i="7" s="1"/>
  <c r="M70" i="7"/>
  <c r="G51" i="5"/>
  <c r="G84" i="5"/>
  <c r="M100" i="7" l="1"/>
  <c r="N101" i="7" s="1"/>
  <c r="N102" i="7" s="1"/>
  <c r="J103" i="7" s="1"/>
  <c r="M120" i="7"/>
  <c r="N121" i="7" s="1"/>
  <c r="N122" i="7" s="1"/>
  <c r="K123" i="7" s="1"/>
  <c r="S51" i="7"/>
  <c r="S52" i="7" s="1"/>
  <c r="S50" i="7" s="1"/>
  <c r="P150" i="7"/>
  <c r="G19" i="5"/>
  <c r="N71" i="7"/>
  <c r="N72" i="7" s="1"/>
  <c r="I73" i="7" s="1"/>
  <c r="G107" i="5"/>
  <c r="O140" i="7"/>
  <c r="Q111" i="7"/>
  <c r="Q112" i="7" s="1"/>
  <c r="F113" i="7" s="1"/>
  <c r="L30" i="7"/>
  <c r="O80" i="7"/>
  <c r="O161" i="7"/>
  <c r="O162" i="7" s="1"/>
  <c r="H163" i="7" s="1"/>
  <c r="P90" i="7"/>
  <c r="N21" i="7"/>
  <c r="N22" i="7" s="1"/>
  <c r="M23" i="7" s="1"/>
  <c r="J127" i="5"/>
  <c r="F128" i="5" s="1"/>
  <c r="L127" i="5"/>
  <c r="K127" i="5"/>
  <c r="H127" i="5"/>
  <c r="I127" i="5" s="1"/>
  <c r="M127" i="5" s="1"/>
  <c r="G83" i="5"/>
  <c r="P60" i="7"/>
  <c r="O131" i="7"/>
  <c r="O132" i="7" s="1"/>
  <c r="G133" i="7" s="1"/>
  <c r="M40" i="7"/>
  <c r="G50" i="5"/>
  <c r="G156" i="5"/>
  <c r="T51" i="7" l="1"/>
  <c r="T52" i="7" s="1"/>
  <c r="T50" i="7" s="1"/>
  <c r="G106" i="5"/>
  <c r="G155" i="5"/>
  <c r="O130" i="7"/>
  <c r="N100" i="7"/>
  <c r="P141" i="7"/>
  <c r="P142" i="7" s="1"/>
  <c r="K143" i="7" s="1"/>
  <c r="G49" i="5"/>
  <c r="N70" i="7"/>
  <c r="O160" i="7"/>
  <c r="Q61" i="7"/>
  <c r="Q62" i="7" s="1"/>
  <c r="G63" i="7" s="1"/>
  <c r="P81" i="7"/>
  <c r="P82" i="7" s="1"/>
  <c r="J83" i="7" s="1"/>
  <c r="G82" i="5"/>
  <c r="M31" i="7"/>
  <c r="M32" i="7" s="1"/>
  <c r="K33" i="7" s="1"/>
  <c r="Q151" i="7"/>
  <c r="Q152" i="7" s="1"/>
  <c r="H153" i="7" s="1"/>
  <c r="H128" i="5"/>
  <c r="I128" i="5" s="1"/>
  <c r="M128" i="5" s="1"/>
  <c r="N120" i="7"/>
  <c r="N20" i="7"/>
  <c r="N41" i="7"/>
  <c r="N42" i="7" s="1"/>
  <c r="K43" i="7" s="1"/>
  <c r="Q91" i="7"/>
  <c r="Q92" i="7" s="1"/>
  <c r="H93" i="7" s="1"/>
  <c r="G18" i="5"/>
  <c r="Q110" i="7"/>
  <c r="U51" i="7" l="1"/>
  <c r="U52" i="7" s="1"/>
  <c r="U50" i="7" s="1"/>
  <c r="G48" i="5"/>
  <c r="M30" i="7"/>
  <c r="Q90" i="7"/>
  <c r="O101" i="7"/>
  <c r="O102" i="7" s="1"/>
  <c r="K103" i="7" s="1"/>
  <c r="G81" i="5"/>
  <c r="P80" i="7"/>
  <c r="P140" i="7"/>
  <c r="O21" i="7"/>
  <c r="O22" i="7" s="1"/>
  <c r="N23" i="7" s="1"/>
  <c r="G105" i="5"/>
  <c r="J128" i="5"/>
  <c r="F129" i="5" s="1"/>
  <c r="Q60" i="7"/>
  <c r="N40" i="7"/>
  <c r="P131" i="7"/>
  <c r="P132" i="7" s="1"/>
  <c r="H133" i="7" s="1"/>
  <c r="G154" i="5"/>
  <c r="P161" i="7"/>
  <c r="P162" i="7" s="1"/>
  <c r="I163" i="7" s="1"/>
  <c r="G17" i="5"/>
  <c r="Q150" i="7"/>
  <c r="O121" i="7"/>
  <c r="O122" i="7" s="1"/>
  <c r="L123" i="7" s="1"/>
  <c r="L128" i="5"/>
  <c r="R111" i="7"/>
  <c r="R112" i="7" s="1"/>
  <c r="G113" i="7" s="1"/>
  <c r="K128" i="5"/>
  <c r="O71" i="7"/>
  <c r="O72" i="7" s="1"/>
  <c r="J73" i="7" s="1"/>
  <c r="P160" i="7" l="1"/>
  <c r="Q160" i="7" s="1"/>
  <c r="O120" i="7"/>
  <c r="V51" i="7"/>
  <c r="V52" i="7" s="1"/>
  <c r="V50" i="7" s="1"/>
  <c r="O41" i="7"/>
  <c r="O42" i="7" s="1"/>
  <c r="L43" i="7" s="1"/>
  <c r="O100" i="7"/>
  <c r="Q141" i="7"/>
  <c r="Q142" i="7" s="1"/>
  <c r="L143" i="7" s="1"/>
  <c r="R61" i="7"/>
  <c r="R62" i="7" s="1"/>
  <c r="H63" i="7" s="1"/>
  <c r="R91" i="7"/>
  <c r="R92" i="7" s="1"/>
  <c r="I93" i="7" s="1"/>
  <c r="Q161" i="7"/>
  <c r="Q162" i="7" s="1"/>
  <c r="J163" i="7" s="1"/>
  <c r="O70" i="7"/>
  <c r="G80" i="5"/>
  <c r="H129" i="5"/>
  <c r="I129" i="5" s="1"/>
  <c r="M129" i="5" s="1"/>
  <c r="N31" i="7"/>
  <c r="N32" i="7" s="1"/>
  <c r="L33" i="7" s="1"/>
  <c r="Q81" i="7"/>
  <c r="Q82" i="7" s="1"/>
  <c r="K83" i="7" s="1"/>
  <c r="G47" i="5"/>
  <c r="R110" i="7"/>
  <c r="P121" i="7"/>
  <c r="P122" i="7" s="1"/>
  <c r="M123" i="7" s="1"/>
  <c r="R151" i="7"/>
  <c r="R152" i="7" s="1"/>
  <c r="I153" i="7" s="1"/>
  <c r="G16" i="5"/>
  <c r="G153" i="5"/>
  <c r="P130" i="7"/>
  <c r="G104" i="5"/>
  <c r="O20" i="7"/>
  <c r="O40" i="7" l="1"/>
  <c r="W51" i="7"/>
  <c r="W52" i="7" s="1"/>
  <c r="C53" i="7" s="1"/>
  <c r="Q80" i="7"/>
  <c r="R60" i="7"/>
  <c r="R90" i="7"/>
  <c r="R150" i="7"/>
  <c r="L129" i="5"/>
  <c r="Q140" i="7"/>
  <c r="Q131" i="7"/>
  <c r="Q132" i="7" s="1"/>
  <c r="I133" i="7" s="1"/>
  <c r="J129" i="5"/>
  <c r="F130" i="5" s="1"/>
  <c r="P101" i="7"/>
  <c r="P102" i="7" s="1"/>
  <c r="L103" i="7" s="1"/>
  <c r="P41" i="7"/>
  <c r="P42" i="7" s="1"/>
  <c r="M43" i="7" s="1"/>
  <c r="R161" i="7"/>
  <c r="R162" i="7" s="1"/>
  <c r="K163" i="7" s="1"/>
  <c r="G152" i="5"/>
  <c r="N30" i="7"/>
  <c r="G79" i="5"/>
  <c r="P21" i="7"/>
  <c r="P22" i="7" s="1"/>
  <c r="O23" i="7" s="1"/>
  <c r="S111" i="7"/>
  <c r="S112" i="7" s="1"/>
  <c r="H113" i="7" s="1"/>
  <c r="G103" i="5"/>
  <c r="P71" i="7"/>
  <c r="P72" i="7" s="1"/>
  <c r="K73" i="7" s="1"/>
  <c r="G15" i="5"/>
  <c r="K129" i="5"/>
  <c r="P120" i="7"/>
  <c r="G46" i="5"/>
  <c r="P100" i="7" l="1"/>
  <c r="Q101" i="7" s="1"/>
  <c r="Q102" i="7" s="1"/>
  <c r="M103" i="7" s="1"/>
  <c r="P70" i="7"/>
  <c r="R160" i="7"/>
  <c r="S161" i="7" s="1"/>
  <c r="S162" i="7" s="1"/>
  <c r="L163" i="7" s="1"/>
  <c r="R141" i="7"/>
  <c r="R142" i="7" s="1"/>
  <c r="M143" i="7" s="1"/>
  <c r="H130" i="5"/>
  <c r="I130" i="5" s="1"/>
  <c r="M130" i="5" s="1"/>
  <c r="G78" i="5"/>
  <c r="G151" i="5"/>
  <c r="S151" i="7"/>
  <c r="S152" i="7" s="1"/>
  <c r="J153" i="7" s="1"/>
  <c r="Q121" i="7"/>
  <c r="Q122" i="7" s="1"/>
  <c r="N123" i="7" s="1"/>
  <c r="S91" i="7"/>
  <c r="S92" i="7" s="1"/>
  <c r="J93" i="7" s="1"/>
  <c r="G102" i="5"/>
  <c r="S61" i="7"/>
  <c r="S62" i="7" s="1"/>
  <c r="I63" i="7" s="1"/>
  <c r="G45" i="5"/>
  <c r="R81" i="7"/>
  <c r="R82" i="7" s="1"/>
  <c r="L83" i="7" s="1"/>
  <c r="G14" i="5"/>
  <c r="P40" i="7"/>
  <c r="P20" i="7"/>
  <c r="Q130" i="7"/>
  <c r="O31" i="7"/>
  <c r="O32" i="7" s="1"/>
  <c r="M33" i="7" s="1"/>
  <c r="Q71" i="7"/>
  <c r="Q72" i="7" s="1"/>
  <c r="L73" i="7" s="1"/>
  <c r="S110" i="7"/>
  <c r="W50" i="7"/>
  <c r="Q70" i="7" l="1"/>
  <c r="G150" i="5"/>
  <c r="G77" i="5"/>
  <c r="R71" i="7"/>
  <c r="R72" i="7" s="1"/>
  <c r="M73" i="7" s="1"/>
  <c r="Q100" i="7"/>
  <c r="S160" i="7"/>
  <c r="R131" i="7"/>
  <c r="R132" i="7" s="1"/>
  <c r="J133" i="7" s="1"/>
  <c r="Q21" i="7"/>
  <c r="Q22" i="7" s="1"/>
  <c r="P23" i="7" s="1"/>
  <c r="S90" i="7"/>
  <c r="J130" i="5"/>
  <c r="F131" i="5" s="1"/>
  <c r="L130" i="5"/>
  <c r="S60" i="7"/>
  <c r="X51" i="7"/>
  <c r="X52" i="7" s="1"/>
  <c r="D53" i="7" s="1"/>
  <c r="R80" i="7"/>
  <c r="Q120" i="7"/>
  <c r="K130" i="5"/>
  <c r="O30" i="7"/>
  <c r="Q41" i="7"/>
  <c r="Q42" i="7" s="1"/>
  <c r="N43" i="7" s="1"/>
  <c r="G101" i="5"/>
  <c r="G13" i="5"/>
  <c r="T111" i="7"/>
  <c r="T112" i="7" s="1"/>
  <c r="I113" i="7" s="1"/>
  <c r="G44" i="5"/>
  <c r="S150" i="7"/>
  <c r="R140" i="7"/>
  <c r="Q40" i="7" l="1"/>
  <c r="G43" i="5"/>
  <c r="R121" i="7"/>
  <c r="R122" i="7" s="1"/>
  <c r="O123" i="7" s="1"/>
  <c r="R101" i="7"/>
  <c r="R102" i="7" s="1"/>
  <c r="N103" i="7" s="1"/>
  <c r="T110" i="7"/>
  <c r="P31" i="7"/>
  <c r="P32" i="7" s="1"/>
  <c r="N33" i="7" s="1"/>
  <c r="R130" i="7"/>
  <c r="T161" i="7"/>
  <c r="T162" i="7" s="1"/>
  <c r="M163" i="7" s="1"/>
  <c r="S81" i="7"/>
  <c r="S82" i="7" s="1"/>
  <c r="M83" i="7" s="1"/>
  <c r="G76" i="5"/>
  <c r="S141" i="7"/>
  <c r="S142" i="7" s="1"/>
  <c r="N143" i="7" s="1"/>
  <c r="T151" i="7"/>
  <c r="T152" i="7" s="1"/>
  <c r="K153" i="7" s="1"/>
  <c r="X50" i="7"/>
  <c r="T61" i="7"/>
  <c r="T62" i="7" s="1"/>
  <c r="J63" i="7" s="1"/>
  <c r="Q20" i="7"/>
  <c r="R70" i="7"/>
  <c r="H131" i="5"/>
  <c r="I131" i="5" s="1"/>
  <c r="M131" i="5" s="1"/>
  <c r="G12" i="5"/>
  <c r="G100" i="5"/>
  <c r="T91" i="7"/>
  <c r="T92" i="7" s="1"/>
  <c r="K93" i="7" s="1"/>
  <c r="G149" i="5"/>
  <c r="T160" i="7" l="1"/>
  <c r="Y51" i="7"/>
  <c r="Y52" i="7" s="1"/>
  <c r="E53" i="7" s="1"/>
  <c r="G11" i="5"/>
  <c r="S131" i="7"/>
  <c r="S132" i="7" s="1"/>
  <c r="K133" i="7" s="1"/>
  <c r="G99" i="5"/>
  <c r="H99" i="5" s="1"/>
  <c r="I99" i="5" s="1"/>
  <c r="S140" i="7"/>
  <c r="R100" i="7"/>
  <c r="T60" i="7"/>
  <c r="J131" i="5"/>
  <c r="F132" i="5" s="1"/>
  <c r="G75" i="5"/>
  <c r="R120" i="7"/>
  <c r="P30" i="7"/>
  <c r="T150" i="7"/>
  <c r="U111" i="7"/>
  <c r="U112" i="7" s="1"/>
  <c r="J113" i="7" s="1"/>
  <c r="T90" i="7"/>
  <c r="L131" i="5"/>
  <c r="G148" i="5"/>
  <c r="S71" i="7"/>
  <c r="S72" i="7" s="1"/>
  <c r="N73" i="7" s="1"/>
  <c r="S80" i="7"/>
  <c r="G42" i="5"/>
  <c r="U161" i="7"/>
  <c r="U162" i="7" s="1"/>
  <c r="N163" i="7" s="1"/>
  <c r="K131" i="5"/>
  <c r="R21" i="7"/>
  <c r="R22" i="7" s="1"/>
  <c r="Q23" i="7" s="1"/>
  <c r="R41" i="7"/>
  <c r="R42" i="7" s="1"/>
  <c r="O43" i="7" s="1"/>
  <c r="S70" i="7" l="1"/>
  <c r="H132" i="5"/>
  <c r="I132" i="5" s="1"/>
  <c r="M132" i="5" s="1"/>
  <c r="S101" i="7"/>
  <c r="S102" i="7" s="1"/>
  <c r="O103" i="7" s="1"/>
  <c r="U160" i="7"/>
  <c r="U151" i="7"/>
  <c r="U152" i="7" s="1"/>
  <c r="L153" i="7" s="1"/>
  <c r="S130" i="7"/>
  <c r="R20" i="7"/>
  <c r="U91" i="7"/>
  <c r="U92" i="7" s="1"/>
  <c r="L93" i="7" s="1"/>
  <c r="U110" i="7"/>
  <c r="Q31" i="7"/>
  <c r="Q32" i="7" s="1"/>
  <c r="O33" i="7" s="1"/>
  <c r="T71" i="7"/>
  <c r="T72" i="7" s="1"/>
  <c r="O73" i="7" s="1"/>
  <c r="G147" i="5"/>
  <c r="M99" i="5"/>
  <c r="K99" i="5"/>
  <c r="L99" i="5"/>
  <c r="J99" i="5"/>
  <c r="F100" i="5" s="1"/>
  <c r="G41" i="5"/>
  <c r="S121" i="7"/>
  <c r="S122" i="7" s="1"/>
  <c r="P123" i="7" s="1"/>
  <c r="G10" i="5"/>
  <c r="T81" i="7"/>
  <c r="T82" i="7" s="1"/>
  <c r="N83" i="7" s="1"/>
  <c r="U61" i="7"/>
  <c r="U62" i="7" s="1"/>
  <c r="K63" i="7" s="1"/>
  <c r="R40" i="7"/>
  <c r="T140" i="7"/>
  <c r="T141" i="7"/>
  <c r="T142" i="7" s="1"/>
  <c r="O143" i="7" s="1"/>
  <c r="G74" i="5"/>
  <c r="Y50" i="7"/>
  <c r="U90" i="7" l="1"/>
  <c r="U150" i="7"/>
  <c r="H100" i="5"/>
  <c r="I100" i="5" s="1"/>
  <c r="M100" i="5" s="1"/>
  <c r="S41" i="7"/>
  <c r="S42" i="7" s="1"/>
  <c r="P43" i="7" s="1"/>
  <c r="S21" i="7"/>
  <c r="S22" i="7" s="1"/>
  <c r="R23" i="7" s="1"/>
  <c r="U60" i="7"/>
  <c r="T80" i="7"/>
  <c r="G146" i="5"/>
  <c r="V161" i="7"/>
  <c r="V162" i="7" s="1"/>
  <c r="O163" i="7" s="1"/>
  <c r="G9" i="5"/>
  <c r="T70" i="7"/>
  <c r="S100" i="7"/>
  <c r="V91" i="7"/>
  <c r="V92" i="7" s="1"/>
  <c r="M93" i="7" s="1"/>
  <c r="T131" i="7"/>
  <c r="T132" i="7" s="1"/>
  <c r="L133" i="7" s="1"/>
  <c r="Z50" i="7"/>
  <c r="Z51" i="7"/>
  <c r="Z52" i="7" s="1"/>
  <c r="F53" i="7" s="1"/>
  <c r="S120" i="7"/>
  <c r="Q30" i="7"/>
  <c r="J132" i="5"/>
  <c r="F133" i="5" s="1"/>
  <c r="G73" i="5"/>
  <c r="G40" i="5"/>
  <c r="V111" i="7"/>
  <c r="V112" i="7" s="1"/>
  <c r="K113" i="7" s="1"/>
  <c r="K132" i="5"/>
  <c r="U141" i="7"/>
  <c r="U142" i="7" s="1"/>
  <c r="P143" i="7" s="1"/>
  <c r="L132" i="5"/>
  <c r="U140" i="7" l="1"/>
  <c r="V141" i="7"/>
  <c r="V142" i="7" s="1"/>
  <c r="Q143" i="7" s="1"/>
  <c r="V61" i="7"/>
  <c r="V62" i="7" s="1"/>
  <c r="L63" i="7" s="1"/>
  <c r="U71" i="7"/>
  <c r="U72" i="7" s="1"/>
  <c r="P73" i="7" s="1"/>
  <c r="S40" i="7"/>
  <c r="T130" i="7"/>
  <c r="V110" i="7"/>
  <c r="T101" i="7"/>
  <c r="T102" i="7" s="1"/>
  <c r="P103" i="7" s="1"/>
  <c r="G72" i="5"/>
  <c r="G8" i="5"/>
  <c r="L100" i="5"/>
  <c r="G145" i="5"/>
  <c r="U81" i="7"/>
  <c r="U82" i="7" s="1"/>
  <c r="O83" i="7" s="1"/>
  <c r="K100" i="5"/>
  <c r="S20" i="7"/>
  <c r="L133" i="5"/>
  <c r="K133" i="5"/>
  <c r="H133" i="5"/>
  <c r="I133" i="5" s="1"/>
  <c r="M133" i="5" s="1"/>
  <c r="R31" i="7"/>
  <c r="R32" i="7" s="1"/>
  <c r="P33" i="7" s="1"/>
  <c r="T121" i="7"/>
  <c r="T122" i="7" s="1"/>
  <c r="Q123" i="7" s="1"/>
  <c r="V160" i="7"/>
  <c r="J100" i="5"/>
  <c r="F101" i="5" s="1"/>
  <c r="AA51" i="7"/>
  <c r="AA52" i="7" s="1"/>
  <c r="G53" i="7" s="1"/>
  <c r="G39" i="5"/>
  <c r="V90" i="7"/>
  <c r="V151" i="7"/>
  <c r="V152" i="7" s="1"/>
  <c r="M153" i="7" s="1"/>
  <c r="V150" i="7" l="1"/>
  <c r="W151" i="7" s="1"/>
  <c r="W152" i="7" s="1"/>
  <c r="N153" i="7" s="1"/>
  <c r="U80" i="7"/>
  <c r="G38" i="5"/>
  <c r="U70" i="7"/>
  <c r="H101" i="5"/>
  <c r="I101" i="5" s="1"/>
  <c r="M101" i="5" s="1"/>
  <c r="T41" i="7"/>
  <c r="T42" i="7" s="1"/>
  <c r="Q43" i="7" s="1"/>
  <c r="R30" i="7"/>
  <c r="G7" i="5"/>
  <c r="V60" i="7"/>
  <c r="T21" i="7"/>
  <c r="T22" i="7" s="1"/>
  <c r="S23" i="7" s="1"/>
  <c r="AA50" i="7"/>
  <c r="U131" i="7"/>
  <c r="U132" i="7" s="1"/>
  <c r="M133" i="7" s="1"/>
  <c r="T100" i="7"/>
  <c r="W111" i="7"/>
  <c r="W112" i="7" s="1"/>
  <c r="L113" i="7" s="1"/>
  <c r="W161" i="7"/>
  <c r="W162" i="7" s="1"/>
  <c r="P163" i="7" s="1"/>
  <c r="G144" i="5"/>
  <c r="T120" i="7"/>
  <c r="W91" i="7"/>
  <c r="W92" i="7" s="1"/>
  <c r="N93" i="7" s="1"/>
  <c r="J133" i="5"/>
  <c r="F134" i="5" s="1"/>
  <c r="G71" i="5"/>
  <c r="V140" i="7"/>
  <c r="G6" i="5" l="1"/>
  <c r="U101" i="7"/>
  <c r="U102" i="7" s="1"/>
  <c r="Q103" i="7" s="1"/>
  <c r="K101" i="5"/>
  <c r="U130" i="7"/>
  <c r="J101" i="5"/>
  <c r="F102" i="5" s="1"/>
  <c r="S31" i="7"/>
  <c r="S32" i="7" s="1"/>
  <c r="Q33" i="7" s="1"/>
  <c r="J134" i="5"/>
  <c r="F135" i="5" s="1"/>
  <c r="K134" i="5"/>
  <c r="L134" i="5"/>
  <c r="H134" i="5"/>
  <c r="I134" i="5" s="1"/>
  <c r="M134" i="5" s="1"/>
  <c r="W150" i="7"/>
  <c r="U121" i="7"/>
  <c r="U122" i="7" s="1"/>
  <c r="R123" i="7" s="1"/>
  <c r="L101" i="5"/>
  <c r="W141" i="7"/>
  <c r="W142" i="7" s="1"/>
  <c r="R143" i="7" s="1"/>
  <c r="G70" i="5"/>
  <c r="V71" i="7"/>
  <c r="V72" i="7" s="1"/>
  <c r="Q73" i="7" s="1"/>
  <c r="AB51" i="7"/>
  <c r="AB52" i="7" s="1"/>
  <c r="H53" i="7" s="1"/>
  <c r="G37" i="5"/>
  <c r="T40" i="7"/>
  <c r="W61" i="7"/>
  <c r="W62" i="7" s="1"/>
  <c r="M63" i="7" s="1"/>
  <c r="W110" i="7"/>
  <c r="W90" i="7"/>
  <c r="G143" i="5"/>
  <c r="T20" i="7"/>
  <c r="W160" i="7"/>
  <c r="V81" i="7"/>
  <c r="V82" i="7" s="1"/>
  <c r="P83" i="7" s="1"/>
  <c r="AB50" i="7" l="1"/>
  <c r="AC51" i="7" s="1"/>
  <c r="AC52" i="7" s="1"/>
  <c r="I53" i="7" s="1"/>
  <c r="V80" i="7"/>
  <c r="W81" i="7" s="1"/>
  <c r="W82" i="7" s="1"/>
  <c r="Q83" i="7" s="1"/>
  <c r="X161" i="7"/>
  <c r="X162" i="7" s="1"/>
  <c r="Q163" i="7" s="1"/>
  <c r="W140" i="7"/>
  <c r="V131" i="7"/>
  <c r="V132" i="7" s="1"/>
  <c r="N133" i="7" s="1"/>
  <c r="G142" i="5"/>
  <c r="S30" i="7"/>
  <c r="W60" i="7"/>
  <c r="X91" i="7"/>
  <c r="X92" i="7" s="1"/>
  <c r="O93" i="7" s="1"/>
  <c r="V70" i="7"/>
  <c r="G69" i="5"/>
  <c r="X111" i="7"/>
  <c r="X112" i="7" s="1"/>
  <c r="M113" i="7" s="1"/>
  <c r="U120" i="7"/>
  <c r="U100" i="7"/>
  <c r="G36" i="5"/>
  <c r="X151" i="7"/>
  <c r="X152" i="7" s="1"/>
  <c r="O153" i="7" s="1"/>
  <c r="G5" i="5"/>
  <c r="U21" i="7"/>
  <c r="U22" i="7" s="1"/>
  <c r="T23" i="7" s="1"/>
  <c r="H135" i="5"/>
  <c r="I135" i="5" s="1"/>
  <c r="M135" i="5" s="1"/>
  <c r="H102" i="5"/>
  <c r="I102" i="5" s="1"/>
  <c r="M102" i="5" s="1"/>
  <c r="U41" i="7"/>
  <c r="U42" i="7" s="1"/>
  <c r="R43" i="7" s="1"/>
  <c r="T31" i="7" l="1"/>
  <c r="T32" i="7" s="1"/>
  <c r="R33" i="7" s="1"/>
  <c r="K102" i="5"/>
  <c r="J102" i="5"/>
  <c r="F103" i="5" s="1"/>
  <c r="J135" i="5"/>
  <c r="F136" i="5" s="1"/>
  <c r="AC50" i="7"/>
  <c r="G141" i="5"/>
  <c r="L102" i="5"/>
  <c r="K135" i="5"/>
  <c r="V101" i="7"/>
  <c r="V102" i="7" s="1"/>
  <c r="R103" i="7" s="1"/>
  <c r="G35" i="5"/>
  <c r="L135" i="5"/>
  <c r="V130" i="7"/>
  <c r="W71" i="7"/>
  <c r="W72" i="7" s="1"/>
  <c r="R73" i="7" s="1"/>
  <c r="X61" i="7"/>
  <c r="X62" i="7" s="1"/>
  <c r="N63" i="7" s="1"/>
  <c r="V121" i="7"/>
  <c r="V122" i="7" s="1"/>
  <c r="S123" i="7" s="1"/>
  <c r="W80" i="7"/>
  <c r="U20" i="7"/>
  <c r="X110" i="7"/>
  <c r="X141" i="7"/>
  <c r="X142" i="7" s="1"/>
  <c r="S143" i="7" s="1"/>
  <c r="X150" i="7"/>
  <c r="X90" i="7"/>
  <c r="G68" i="5"/>
  <c r="U40" i="7"/>
  <c r="G4" i="5"/>
  <c r="X160" i="7"/>
  <c r="X81" i="7" l="1"/>
  <c r="X82" i="7" s="1"/>
  <c r="R83" i="7" s="1"/>
  <c r="G67" i="5"/>
  <c r="G140" i="5"/>
  <c r="H140" i="5" s="1"/>
  <c r="I140" i="5" s="1"/>
  <c r="AD51" i="7"/>
  <c r="AD52" i="7" s="1"/>
  <c r="J53" i="7" s="1"/>
  <c r="H136" i="5"/>
  <c r="I136" i="5" s="1"/>
  <c r="M136" i="5" s="1"/>
  <c r="V21" i="7"/>
  <c r="V22" i="7" s="1"/>
  <c r="U23" i="7" s="1"/>
  <c r="W131" i="7"/>
  <c r="W132" i="7" s="1"/>
  <c r="O133" i="7" s="1"/>
  <c r="H103" i="5"/>
  <c r="I103" i="5" s="1"/>
  <c r="M103" i="5" s="1"/>
  <c r="Y161" i="7"/>
  <c r="Y162" i="7" s="1"/>
  <c r="R163" i="7" s="1"/>
  <c r="V100" i="7"/>
  <c r="W70" i="7"/>
  <c r="X140" i="7"/>
  <c r="G3" i="5"/>
  <c r="V120" i="7"/>
  <c r="V41" i="7"/>
  <c r="V42" i="7" s="1"/>
  <c r="S43" i="7" s="1"/>
  <c r="X60" i="7"/>
  <c r="Y91" i="7"/>
  <c r="Y92" i="7" s="1"/>
  <c r="P93" i="7" s="1"/>
  <c r="Y151" i="7"/>
  <c r="Y152" i="7" s="1"/>
  <c r="P153" i="7" s="1"/>
  <c r="G34" i="5"/>
  <c r="H34" i="5" s="1"/>
  <c r="I34" i="5" s="1"/>
  <c r="Y111" i="7"/>
  <c r="Y112" i="7" s="1"/>
  <c r="N113" i="7" s="1"/>
  <c r="T30" i="7"/>
  <c r="Y110" i="7" l="1"/>
  <c r="Z111" i="7" s="1"/>
  <c r="Z112" i="7" s="1"/>
  <c r="O113" i="7" s="1"/>
  <c r="K136" i="5"/>
  <c r="Y90" i="7"/>
  <c r="AD50" i="7"/>
  <c r="K103" i="5"/>
  <c r="M34" i="5"/>
  <c r="J34" i="5"/>
  <c r="F35" i="5" s="1"/>
  <c r="L34" i="5"/>
  <c r="K34" i="5"/>
  <c r="Y150" i="7"/>
  <c r="M140" i="5"/>
  <c r="L140" i="5"/>
  <c r="K140" i="5"/>
  <c r="J140" i="5"/>
  <c r="F141" i="5" s="1"/>
  <c r="W101" i="7"/>
  <c r="W102" i="7" s="1"/>
  <c r="S103" i="7" s="1"/>
  <c r="G66" i="5"/>
  <c r="H66" i="5" s="1"/>
  <c r="I66" i="5" s="1"/>
  <c r="X71" i="7"/>
  <c r="X72" i="7" s="1"/>
  <c r="S73" i="7" s="1"/>
  <c r="W130" i="7"/>
  <c r="J136" i="5"/>
  <c r="F137" i="5" s="1"/>
  <c r="J103" i="5"/>
  <c r="F104" i="5" s="1"/>
  <c r="V40" i="7"/>
  <c r="U31" i="7"/>
  <c r="U32" i="7" s="1"/>
  <c r="S33" i="7" s="1"/>
  <c r="W121" i="7"/>
  <c r="W122" i="7" s="1"/>
  <c r="T123" i="7" s="1"/>
  <c r="G2" i="5"/>
  <c r="H2" i="5" s="1"/>
  <c r="I2" i="5" s="1"/>
  <c r="L136" i="5"/>
  <c r="Y160" i="7"/>
  <c r="Y61" i="7"/>
  <c r="Y62" i="7" s="1"/>
  <c r="O63" i="7" s="1"/>
  <c r="L103" i="5"/>
  <c r="Y141" i="7"/>
  <c r="Y142" i="7" s="1"/>
  <c r="T143" i="7" s="1"/>
  <c r="V20" i="7"/>
  <c r="X80" i="7"/>
  <c r="U30" i="7" l="1"/>
  <c r="Y140" i="7"/>
  <c r="H104" i="5"/>
  <c r="I104" i="5" s="1"/>
  <c r="M104" i="5" s="1"/>
  <c r="W41" i="7"/>
  <c r="W42" i="7" s="1"/>
  <c r="T43" i="7" s="1"/>
  <c r="H35" i="5"/>
  <c r="I35" i="5" s="1"/>
  <c r="M35" i="5" s="1"/>
  <c r="V31" i="7"/>
  <c r="V32" i="7" s="1"/>
  <c r="T33" i="7" s="1"/>
  <c r="H137" i="5"/>
  <c r="I137" i="5" s="1"/>
  <c r="M137" i="5" s="1"/>
  <c r="X131" i="7"/>
  <c r="X132" i="7" s="1"/>
  <c r="P133" i="7" s="1"/>
  <c r="Y81" i="7"/>
  <c r="Y82" i="7" s="1"/>
  <c r="S83" i="7" s="1"/>
  <c r="Z110" i="7"/>
  <c r="M66" i="5"/>
  <c r="L66" i="5"/>
  <c r="K66" i="5"/>
  <c r="J66" i="5"/>
  <c r="F67" i="5" s="1"/>
  <c r="Z151" i="7"/>
  <c r="Z152" i="7" s="1"/>
  <c r="Q153" i="7" s="1"/>
  <c r="AE51" i="7"/>
  <c r="AE52" i="7" s="1"/>
  <c r="K53" i="7" s="1"/>
  <c r="M2" i="5"/>
  <c r="K2" i="5"/>
  <c r="J2" i="5"/>
  <c r="F3" i="5" s="1"/>
  <c r="L2" i="5"/>
  <c r="X70" i="7"/>
  <c r="W21" i="7"/>
  <c r="W22" i="7" s="1"/>
  <c r="V23" i="7" s="1"/>
  <c r="W120" i="7"/>
  <c r="W100" i="7"/>
  <c r="Z91" i="7"/>
  <c r="Z92" i="7" s="1"/>
  <c r="Q93" i="7" s="1"/>
  <c r="Y60" i="7"/>
  <c r="Z161" i="7"/>
  <c r="Z162" i="7" s="1"/>
  <c r="S163" i="7" s="1"/>
  <c r="Z141" i="7"/>
  <c r="Z142" i="7" s="1"/>
  <c r="U143" i="7" s="1"/>
  <c r="L141" i="5"/>
  <c r="K141" i="5"/>
  <c r="J141" i="5"/>
  <c r="F142" i="5" s="1"/>
  <c r="H141" i="5"/>
  <c r="I141" i="5" s="1"/>
  <c r="M141" i="5" s="1"/>
  <c r="H3" i="5" l="1"/>
  <c r="I3" i="5" s="1"/>
  <c r="M3" i="5" s="1"/>
  <c r="L35" i="5"/>
  <c r="J35" i="5"/>
  <c r="F36" i="5" s="1"/>
  <c r="Z61" i="7"/>
  <c r="Z62" i="7" s="1"/>
  <c r="P63" i="7" s="1"/>
  <c r="X130" i="7"/>
  <c r="W40" i="7"/>
  <c r="K142" i="5"/>
  <c r="L142" i="5"/>
  <c r="H142" i="5"/>
  <c r="I142" i="5" s="1"/>
  <c r="M142" i="5" s="1"/>
  <c r="W20" i="7"/>
  <c r="AA111" i="7"/>
  <c r="AA112" i="7" s="1"/>
  <c r="P113" i="7" s="1"/>
  <c r="Z140" i="7"/>
  <c r="K35" i="5"/>
  <c r="Y80" i="7"/>
  <c r="Z160" i="7"/>
  <c r="K137" i="5"/>
  <c r="J104" i="5"/>
  <c r="F105" i="5" s="1"/>
  <c r="V30" i="7"/>
  <c r="Y71" i="7"/>
  <c r="Y72" i="7" s="1"/>
  <c r="T73" i="7" s="1"/>
  <c r="Z90" i="7"/>
  <c r="X101" i="7"/>
  <c r="X102" i="7" s="1"/>
  <c r="T103" i="7" s="1"/>
  <c r="Z150" i="7"/>
  <c r="J137" i="5"/>
  <c r="F138" i="5" s="1"/>
  <c r="L104" i="5"/>
  <c r="AE50" i="7"/>
  <c r="X121" i="7"/>
  <c r="X122" i="7" s="1"/>
  <c r="U123" i="7" s="1"/>
  <c r="L67" i="5"/>
  <c r="H67" i="5"/>
  <c r="I67" i="5" s="1"/>
  <c r="M67" i="5" s="1"/>
  <c r="L137" i="5"/>
  <c r="K104" i="5"/>
  <c r="H138" i="5" l="1"/>
  <c r="I138" i="5" s="1"/>
  <c r="M138" i="5" s="1"/>
  <c r="Z60" i="7"/>
  <c r="AF51" i="7"/>
  <c r="AF52" i="7" s="1"/>
  <c r="L53" i="7" s="1"/>
  <c r="H36" i="5"/>
  <c r="I36" i="5" s="1"/>
  <c r="M36" i="5" s="1"/>
  <c r="AA140" i="7"/>
  <c r="AA141" i="7"/>
  <c r="AA142" i="7" s="1"/>
  <c r="V143" i="7" s="1"/>
  <c r="X41" i="7"/>
  <c r="X42" i="7" s="1"/>
  <c r="U43" i="7" s="1"/>
  <c r="Y130" i="7"/>
  <c r="Y131" i="7"/>
  <c r="Y132" i="7" s="1"/>
  <c r="Q133" i="7" s="1"/>
  <c r="Z81" i="7"/>
  <c r="Z82" i="7" s="1"/>
  <c r="T83" i="7" s="1"/>
  <c r="AA151" i="7"/>
  <c r="AA152" i="7" s="1"/>
  <c r="R153" i="7" s="1"/>
  <c r="AA110" i="7"/>
  <c r="L105" i="5"/>
  <c r="K105" i="5"/>
  <c r="J105" i="5"/>
  <c r="F106" i="5" s="1"/>
  <c r="H105" i="5"/>
  <c r="I105" i="5" s="1"/>
  <c r="M105" i="5" s="1"/>
  <c r="X120" i="7"/>
  <c r="AA91" i="7"/>
  <c r="AA92" i="7" s="1"/>
  <c r="R93" i="7" s="1"/>
  <c r="X21" i="7"/>
  <c r="X22" i="7" s="1"/>
  <c r="W23" i="7" s="1"/>
  <c r="L3" i="5"/>
  <c r="AA161" i="7"/>
  <c r="AA162" i="7" s="1"/>
  <c r="T163" i="7" s="1"/>
  <c r="J3" i="5"/>
  <c r="F4" i="5" s="1"/>
  <c r="W31" i="7"/>
  <c r="W32" i="7" s="1"/>
  <c r="U33" i="7" s="1"/>
  <c r="X100" i="7"/>
  <c r="J67" i="5"/>
  <c r="F68" i="5" s="1"/>
  <c r="K67" i="5"/>
  <c r="Y70" i="7"/>
  <c r="J142" i="5"/>
  <c r="F143" i="5" s="1"/>
  <c r="K3" i="5"/>
  <c r="W30" i="7" l="1"/>
  <c r="L36" i="5"/>
  <c r="X31" i="7"/>
  <c r="X32" i="7" s="1"/>
  <c r="V33" i="7" s="1"/>
  <c r="H4" i="5"/>
  <c r="I4" i="5" s="1"/>
  <c r="M4" i="5" s="1"/>
  <c r="X20" i="7"/>
  <c r="AF50" i="7"/>
  <c r="AA61" i="7"/>
  <c r="AA62" i="7" s="1"/>
  <c r="Q63" i="7" s="1"/>
  <c r="K36" i="5"/>
  <c r="H143" i="5"/>
  <c r="I143" i="5" s="1"/>
  <c r="M143" i="5" s="1"/>
  <c r="Z71" i="7"/>
  <c r="Z72" i="7" s="1"/>
  <c r="U73" i="7" s="1"/>
  <c r="Z131" i="7"/>
  <c r="Z132" i="7" s="1"/>
  <c r="R133" i="7" s="1"/>
  <c r="AB141" i="7"/>
  <c r="AB142" i="7" s="1"/>
  <c r="W143" i="7" s="1"/>
  <c r="J36" i="5"/>
  <c r="F37" i="5" s="1"/>
  <c r="AA160" i="7"/>
  <c r="AA150" i="7"/>
  <c r="AA90" i="7"/>
  <c r="Y121" i="7"/>
  <c r="Y122" i="7" s="1"/>
  <c r="V123" i="7" s="1"/>
  <c r="K138" i="5"/>
  <c r="Z80" i="7"/>
  <c r="H68" i="5"/>
  <c r="I68" i="5" s="1"/>
  <c r="M68" i="5" s="1"/>
  <c r="Y101" i="7"/>
  <c r="Y102" i="7" s="1"/>
  <c r="U103" i="7" s="1"/>
  <c r="X40" i="7"/>
  <c r="J138" i="5"/>
  <c r="F139" i="5" s="1"/>
  <c r="AB111" i="7"/>
  <c r="AB112" i="7" s="1"/>
  <c r="Q113" i="7" s="1"/>
  <c r="H106" i="5"/>
  <c r="I106" i="5" s="1"/>
  <c r="M106" i="5" s="1"/>
  <c r="L138" i="5"/>
  <c r="H37" i="5" l="1"/>
  <c r="I37" i="5" s="1"/>
  <c r="M37" i="5" s="1"/>
  <c r="AB140" i="7"/>
  <c r="K68" i="5"/>
  <c r="L68" i="5"/>
  <c r="Z130" i="7"/>
  <c r="L4" i="5"/>
  <c r="AG51" i="7"/>
  <c r="AG52" i="7" s="1"/>
  <c r="M53" i="7" s="1"/>
  <c r="Y20" i="7"/>
  <c r="Y21" i="7"/>
  <c r="Y22" i="7" s="1"/>
  <c r="X23" i="7" s="1"/>
  <c r="K106" i="5"/>
  <c r="J68" i="5"/>
  <c r="F69" i="5" s="1"/>
  <c r="J4" i="5"/>
  <c r="F5" i="5" s="1"/>
  <c r="K4" i="5"/>
  <c r="AB161" i="7"/>
  <c r="AB162" i="7" s="1"/>
  <c r="U163" i="7" s="1"/>
  <c r="Y100" i="7"/>
  <c r="AA60" i="7"/>
  <c r="AA81" i="7"/>
  <c r="AA82" i="7" s="1"/>
  <c r="U83" i="7" s="1"/>
  <c r="Z70" i="7"/>
  <c r="L143" i="5"/>
  <c r="L106" i="5"/>
  <c r="J106" i="5"/>
  <c r="F107" i="5" s="1"/>
  <c r="H139" i="5"/>
  <c r="I139" i="5" s="1"/>
  <c r="M139" i="5" s="1"/>
  <c r="K139" i="5"/>
  <c r="AB90" i="7"/>
  <c r="AB91" i="7"/>
  <c r="AB92" i="7" s="1"/>
  <c r="S93" i="7" s="1"/>
  <c r="J143" i="5"/>
  <c r="F144" i="5" s="1"/>
  <c r="X30" i="7"/>
  <c r="AB110" i="7"/>
  <c r="Y120" i="7"/>
  <c r="Y41" i="7"/>
  <c r="Y42" i="7" s="1"/>
  <c r="V43" i="7" s="1"/>
  <c r="AB151" i="7"/>
  <c r="AB152" i="7" s="1"/>
  <c r="S153" i="7" s="1"/>
  <c r="K143" i="5"/>
  <c r="AB150" i="7" l="1"/>
  <c r="AC111" i="7"/>
  <c r="AC112" i="7" s="1"/>
  <c r="R113" i="7" s="1"/>
  <c r="H144" i="5"/>
  <c r="I144" i="5" s="1"/>
  <c r="M144" i="5" s="1"/>
  <c r="AG50" i="7"/>
  <c r="AA131" i="7"/>
  <c r="AA132" i="7" s="1"/>
  <c r="S133" i="7" s="1"/>
  <c r="AB61" i="7"/>
  <c r="AB62" i="7" s="1"/>
  <c r="R63" i="7" s="1"/>
  <c r="AA70" i="7"/>
  <c r="AA71" i="7"/>
  <c r="AA72" i="7" s="1"/>
  <c r="V73" i="7" s="1"/>
  <c r="AC141" i="7"/>
  <c r="AC142" i="7" s="1"/>
  <c r="X143" i="7" s="1"/>
  <c r="Z21" i="7"/>
  <c r="Z22" i="7" s="1"/>
  <c r="Y23" i="7" s="1"/>
  <c r="Y31" i="7"/>
  <c r="Y32" i="7" s="1"/>
  <c r="W33" i="7" s="1"/>
  <c r="AC91" i="7"/>
  <c r="AC92" i="7" s="1"/>
  <c r="T93" i="7" s="1"/>
  <c r="AC151" i="7"/>
  <c r="AC152" i="7" s="1"/>
  <c r="T153" i="7" s="1"/>
  <c r="L5" i="5"/>
  <c r="J5" i="5"/>
  <c r="F6" i="5" s="1"/>
  <c r="H5" i="5"/>
  <c r="I5" i="5" s="1"/>
  <c r="M5" i="5" s="1"/>
  <c r="H69" i="5"/>
  <c r="I69" i="5" s="1"/>
  <c r="M69" i="5" s="1"/>
  <c r="K37" i="5"/>
  <c r="Z101" i="7"/>
  <c r="Z102" i="7" s="1"/>
  <c r="V103" i="7" s="1"/>
  <c r="AB160" i="7"/>
  <c r="J139" i="5"/>
  <c r="L139" i="5"/>
  <c r="H107" i="5"/>
  <c r="I107" i="5" s="1"/>
  <c r="M107" i="5" s="1"/>
  <c r="Y40" i="7"/>
  <c r="L37" i="5"/>
  <c r="AA80" i="7"/>
  <c r="Z121" i="7"/>
  <c r="Z122" i="7" s="1"/>
  <c r="W123" i="7" s="1"/>
  <c r="J37" i="5"/>
  <c r="F38" i="5" s="1"/>
  <c r="AC110" i="7" l="1"/>
  <c r="AB71" i="7"/>
  <c r="AB72" i="7" s="1"/>
  <c r="W73" i="7" s="1"/>
  <c r="AC161" i="7"/>
  <c r="AC162" i="7" s="1"/>
  <c r="V163" i="7" s="1"/>
  <c r="AA130" i="7"/>
  <c r="AH51" i="7"/>
  <c r="AH52" i="7" s="1"/>
  <c r="N53" i="7" s="1"/>
  <c r="Y30" i="7"/>
  <c r="L107" i="5"/>
  <c r="Z100" i="7"/>
  <c r="AC150" i="7"/>
  <c r="AB60" i="7"/>
  <c r="Z120" i="7"/>
  <c r="AB80" i="7"/>
  <c r="AB81" i="7"/>
  <c r="AB82" i="7" s="1"/>
  <c r="V83" i="7" s="1"/>
  <c r="AC90" i="7"/>
  <c r="Z41" i="7"/>
  <c r="Z42" i="7" s="1"/>
  <c r="W43" i="7" s="1"/>
  <c r="L69" i="5"/>
  <c r="K69" i="5"/>
  <c r="J144" i="5"/>
  <c r="F145" i="5" s="1"/>
  <c r="J69" i="5"/>
  <c r="F70" i="5" s="1"/>
  <c r="Z20" i="7"/>
  <c r="K144" i="5"/>
  <c r="J107" i="5"/>
  <c r="F108" i="5" s="1"/>
  <c r="L144" i="5"/>
  <c r="K107" i="5"/>
  <c r="K5" i="5"/>
  <c r="AC140" i="7"/>
  <c r="J38" i="5"/>
  <c r="F39" i="5" s="1"/>
  <c r="H38" i="5"/>
  <c r="I38" i="5" s="1"/>
  <c r="M38" i="5" s="1"/>
  <c r="L6" i="5"/>
  <c r="K6" i="5"/>
  <c r="J6" i="5"/>
  <c r="F7" i="5" s="1"/>
  <c r="H6" i="5"/>
  <c r="I6" i="5" s="1"/>
  <c r="M6" i="5" s="1"/>
  <c r="AD111" i="7"/>
  <c r="AD112" i="7" s="1"/>
  <c r="S113" i="7" s="1"/>
  <c r="H39" i="5" l="1"/>
  <c r="I39" i="5" s="1"/>
  <c r="M39" i="5" s="1"/>
  <c r="Z31" i="7"/>
  <c r="Z32" i="7" s="1"/>
  <c r="X33" i="7" s="1"/>
  <c r="AD151" i="7"/>
  <c r="AD152" i="7" s="1"/>
  <c r="U153" i="7" s="1"/>
  <c r="AA101" i="7"/>
  <c r="AA102" i="7" s="1"/>
  <c r="W103" i="7" s="1"/>
  <c r="AH50" i="7"/>
  <c r="J145" i="5"/>
  <c r="F146" i="5" s="1"/>
  <c r="H145" i="5"/>
  <c r="I145" i="5" s="1"/>
  <c r="M145" i="5" s="1"/>
  <c r="K38" i="5"/>
  <c r="AD141" i="7"/>
  <c r="AD142" i="7" s="1"/>
  <c r="Y143" i="7" s="1"/>
  <c r="Z40" i="7"/>
  <c r="AB131" i="7"/>
  <c r="AB132" i="7" s="1"/>
  <c r="T133" i="7" s="1"/>
  <c r="AA21" i="7"/>
  <c r="AA22" i="7" s="1"/>
  <c r="Z23" i="7" s="1"/>
  <c r="L70" i="5"/>
  <c r="H70" i="5"/>
  <c r="I70" i="5" s="1"/>
  <c r="M70" i="5" s="1"/>
  <c r="L38" i="5"/>
  <c r="AC160" i="7"/>
  <c r="AC61" i="7"/>
  <c r="AC62" i="7" s="1"/>
  <c r="S63" i="7" s="1"/>
  <c r="AD91" i="7"/>
  <c r="AD92" i="7" s="1"/>
  <c r="U93" i="7" s="1"/>
  <c r="AC81" i="7"/>
  <c r="AC82" i="7" s="1"/>
  <c r="W83" i="7" s="1"/>
  <c r="K7" i="5"/>
  <c r="H7" i="5"/>
  <c r="I7" i="5" s="1"/>
  <c r="M7" i="5" s="1"/>
  <c r="AD110" i="7"/>
  <c r="H108" i="5"/>
  <c r="I108" i="5" s="1"/>
  <c r="M108" i="5" s="1"/>
  <c r="AA121" i="7"/>
  <c r="AA122" i="7" s="1"/>
  <c r="X123" i="7" s="1"/>
  <c r="AB70" i="7"/>
  <c r="AC80" i="7" l="1"/>
  <c r="AA20" i="7"/>
  <c r="AA120" i="7"/>
  <c r="K108" i="5"/>
  <c r="AC71" i="7"/>
  <c r="AC72" i="7" s="1"/>
  <c r="X73" i="7" s="1"/>
  <c r="AI51" i="7"/>
  <c r="AI52" i="7" s="1"/>
  <c r="O53" i="7" s="1"/>
  <c r="AA100" i="7"/>
  <c r="AD90" i="7"/>
  <c r="AB130" i="7"/>
  <c r="AD140" i="7"/>
  <c r="AD150" i="7"/>
  <c r="AC60" i="7"/>
  <c r="AD161" i="7"/>
  <c r="AD162" i="7" s="1"/>
  <c r="W163" i="7" s="1"/>
  <c r="J39" i="5"/>
  <c r="F40" i="5" s="1"/>
  <c r="H146" i="5"/>
  <c r="I146" i="5" s="1"/>
  <c r="M146" i="5" s="1"/>
  <c r="AA41" i="7"/>
  <c r="AA42" i="7" s="1"/>
  <c r="X43" i="7" s="1"/>
  <c r="L108" i="5"/>
  <c r="J108" i="5"/>
  <c r="F109" i="5" s="1"/>
  <c r="AE111" i="7"/>
  <c r="AE112" i="7" s="1"/>
  <c r="T113" i="7" s="1"/>
  <c r="J70" i="5"/>
  <c r="F71" i="5" s="1"/>
  <c r="K145" i="5"/>
  <c r="K39" i="5"/>
  <c r="Z30" i="7"/>
  <c r="J7" i="5"/>
  <c r="F8" i="5" s="1"/>
  <c r="L7" i="5"/>
  <c r="K70" i="5"/>
  <c r="L145" i="5"/>
  <c r="L39" i="5"/>
  <c r="AE141" i="7" l="1"/>
  <c r="AE142" i="7" s="1"/>
  <c r="Z143" i="7" s="1"/>
  <c r="AA40" i="7"/>
  <c r="AA31" i="7"/>
  <c r="AA32" i="7" s="1"/>
  <c r="Y33" i="7" s="1"/>
  <c r="J146" i="5"/>
  <c r="F147" i="5" s="1"/>
  <c r="L146" i="5"/>
  <c r="K146" i="5"/>
  <c r="AB101" i="7"/>
  <c r="AB102" i="7" s="1"/>
  <c r="X103" i="7" s="1"/>
  <c r="J40" i="5"/>
  <c r="F41" i="5" s="1"/>
  <c r="K40" i="5"/>
  <c r="H40" i="5"/>
  <c r="I40" i="5" s="1"/>
  <c r="M40" i="5" s="1"/>
  <c r="H8" i="5"/>
  <c r="I8" i="5" s="1"/>
  <c r="M8" i="5" s="1"/>
  <c r="AI50" i="7"/>
  <c r="AD160" i="7"/>
  <c r="AB121" i="7"/>
  <c r="AB122" i="7" s="1"/>
  <c r="Y123" i="7" s="1"/>
  <c r="AE110" i="7"/>
  <c r="AD61" i="7"/>
  <c r="AD62" i="7" s="1"/>
  <c r="T63" i="7" s="1"/>
  <c r="AB21" i="7"/>
  <c r="AB22" i="7" s="1"/>
  <c r="AA23" i="7" s="1"/>
  <c r="AC131" i="7"/>
  <c r="AC132" i="7" s="1"/>
  <c r="U133" i="7" s="1"/>
  <c r="AE91" i="7"/>
  <c r="AE92" i="7" s="1"/>
  <c r="V93" i="7" s="1"/>
  <c r="AC70" i="7"/>
  <c r="H71" i="5"/>
  <c r="I71" i="5" s="1"/>
  <c r="M71" i="5" s="1"/>
  <c r="L109" i="5"/>
  <c r="K109" i="5"/>
  <c r="H109" i="5"/>
  <c r="I109" i="5" s="1"/>
  <c r="M109" i="5" s="1"/>
  <c r="AE151" i="7"/>
  <c r="AE152" i="7" s="1"/>
  <c r="V153" i="7" s="1"/>
  <c r="AD81" i="7"/>
  <c r="AD82" i="7" s="1"/>
  <c r="X83" i="7" s="1"/>
  <c r="AD60" i="7" l="1"/>
  <c r="AB20" i="7"/>
  <c r="AE161" i="7"/>
  <c r="AE162" i="7" s="1"/>
  <c r="X163" i="7" s="1"/>
  <c r="J147" i="5"/>
  <c r="F148" i="5" s="1"/>
  <c r="H147" i="5"/>
  <c r="I147" i="5" s="1"/>
  <c r="M147" i="5" s="1"/>
  <c r="AE61" i="7"/>
  <c r="AE62" i="7" s="1"/>
  <c r="U63" i="7" s="1"/>
  <c r="L71" i="5"/>
  <c r="K41" i="5"/>
  <c r="J41" i="5"/>
  <c r="F42" i="5" s="1"/>
  <c r="L41" i="5"/>
  <c r="H41" i="5"/>
  <c r="I41" i="5" s="1"/>
  <c r="M41" i="5" s="1"/>
  <c r="AB120" i="7"/>
  <c r="AB100" i="7"/>
  <c r="AD71" i="7"/>
  <c r="AD72" i="7" s="1"/>
  <c r="Y73" i="7" s="1"/>
  <c r="AD80" i="7"/>
  <c r="AJ51" i="7"/>
  <c r="AJ52" i="7" s="1"/>
  <c r="P53" i="7" s="1"/>
  <c r="AE90" i="7"/>
  <c r="AE150" i="7"/>
  <c r="AC130" i="7"/>
  <c r="J8" i="5"/>
  <c r="F9" i="5" s="1"/>
  <c r="AA30" i="7"/>
  <c r="AF111" i="7"/>
  <c r="AF112" i="7" s="1"/>
  <c r="U113" i="7" s="1"/>
  <c r="K71" i="5"/>
  <c r="L8" i="5"/>
  <c r="J109" i="5"/>
  <c r="F110" i="5" s="1"/>
  <c r="K8" i="5"/>
  <c r="AB41" i="7"/>
  <c r="AB42" i="7" s="1"/>
  <c r="Y43" i="7" s="1"/>
  <c r="J71" i="5"/>
  <c r="F72" i="5" s="1"/>
  <c r="AC21" i="7"/>
  <c r="AC22" i="7" s="1"/>
  <c r="AB23" i="7" s="1"/>
  <c r="L40" i="5"/>
  <c r="AE140" i="7"/>
  <c r="AE60" i="7" l="1"/>
  <c r="AJ50" i="7"/>
  <c r="AF110" i="7"/>
  <c r="H42" i="5"/>
  <c r="I42" i="5" s="1"/>
  <c r="M42" i="5" s="1"/>
  <c r="H72" i="5"/>
  <c r="I72" i="5" s="1"/>
  <c r="M72" i="5" s="1"/>
  <c r="AF151" i="7"/>
  <c r="AF152" i="7" s="1"/>
  <c r="W153" i="7" s="1"/>
  <c r="AF91" i="7"/>
  <c r="AF92" i="7" s="1"/>
  <c r="W93" i="7" s="1"/>
  <c r="AB40" i="7"/>
  <c r="AK51" i="7"/>
  <c r="AK52" i="7" s="1"/>
  <c r="Q53" i="7" s="1"/>
  <c r="AF61" i="7"/>
  <c r="AF62" i="7" s="1"/>
  <c r="V63" i="7" s="1"/>
  <c r="AC20" i="7"/>
  <c r="H148" i="5"/>
  <c r="I148" i="5" s="1"/>
  <c r="M148" i="5" s="1"/>
  <c r="AD70" i="7"/>
  <c r="K147" i="5"/>
  <c r="H9" i="5"/>
  <c r="I9" i="5" s="1"/>
  <c r="M9" i="5" s="1"/>
  <c r="AC101" i="7"/>
  <c r="AC102" i="7" s="1"/>
  <c r="Y103" i="7" s="1"/>
  <c r="L147" i="5"/>
  <c r="H110" i="5"/>
  <c r="I110" i="5" s="1"/>
  <c r="M110" i="5" s="1"/>
  <c r="AE81" i="7"/>
  <c r="AE82" i="7" s="1"/>
  <c r="Y83" i="7" s="1"/>
  <c r="AF141" i="7"/>
  <c r="AF142" i="7" s="1"/>
  <c r="AA143" i="7" s="1"/>
  <c r="AG111" i="7"/>
  <c r="AG112" i="7" s="1"/>
  <c r="V113" i="7" s="1"/>
  <c r="AC121" i="7"/>
  <c r="AC122" i="7" s="1"/>
  <c r="Z123" i="7" s="1"/>
  <c r="AD131" i="7"/>
  <c r="AD132" i="7" s="1"/>
  <c r="V133" i="7" s="1"/>
  <c r="AB31" i="7"/>
  <c r="AB32" i="7" s="1"/>
  <c r="Z33" i="7" s="1"/>
  <c r="AE160" i="7"/>
  <c r="AE80" i="7" l="1"/>
  <c r="AF81" i="7" s="1"/>
  <c r="AF82" i="7" s="1"/>
  <c r="Z83" i="7" s="1"/>
  <c r="K148" i="5"/>
  <c r="AD21" i="7"/>
  <c r="AD22" i="7" s="1"/>
  <c r="AC23" i="7" s="1"/>
  <c r="K72" i="5"/>
  <c r="L72" i="5"/>
  <c r="AF161" i="7"/>
  <c r="AF162" i="7" s="1"/>
  <c r="Y163" i="7" s="1"/>
  <c r="AE71" i="7"/>
  <c r="AE72" i="7" s="1"/>
  <c r="Z73" i="7" s="1"/>
  <c r="J110" i="5"/>
  <c r="F111" i="5" s="1"/>
  <c r="L148" i="5"/>
  <c r="AD130" i="7"/>
  <c r="J148" i="5"/>
  <c r="F149" i="5" s="1"/>
  <c r="J72" i="5"/>
  <c r="F73" i="5" s="1"/>
  <c r="AC120" i="7"/>
  <c r="AF60" i="7"/>
  <c r="AF90" i="7"/>
  <c r="AB30" i="7"/>
  <c r="AF150" i="7"/>
  <c r="K42" i="5"/>
  <c r="AC100" i="7"/>
  <c r="AG110" i="7"/>
  <c r="J9" i="5"/>
  <c r="F10" i="5" s="1"/>
  <c r="AF140" i="7"/>
  <c r="K9" i="5"/>
  <c r="AK50" i="7"/>
  <c r="J42" i="5"/>
  <c r="F43" i="5" s="1"/>
  <c r="L110" i="5"/>
  <c r="K110" i="5"/>
  <c r="L9" i="5"/>
  <c r="AC41" i="7"/>
  <c r="AC42" i="7" s="1"/>
  <c r="Z43" i="7" s="1"/>
  <c r="L42" i="5"/>
  <c r="AF160" i="7" l="1"/>
  <c r="AG151" i="7"/>
  <c r="AG152" i="7" s="1"/>
  <c r="X153" i="7" s="1"/>
  <c r="AC31" i="7"/>
  <c r="AC32" i="7" s="1"/>
  <c r="AA33" i="7" s="1"/>
  <c r="AD101" i="7"/>
  <c r="AD102" i="7" s="1"/>
  <c r="Z103" i="7" s="1"/>
  <c r="AF80" i="7"/>
  <c r="AG61" i="7"/>
  <c r="AG62" i="7" s="1"/>
  <c r="W63" i="7" s="1"/>
  <c r="AC40" i="7"/>
  <c r="AH111" i="7"/>
  <c r="AH112" i="7" s="1"/>
  <c r="W113" i="7" s="1"/>
  <c r="AG141" i="7"/>
  <c r="AG142" i="7" s="1"/>
  <c r="AB143" i="7" s="1"/>
  <c r="H73" i="5"/>
  <c r="I73" i="5" s="1"/>
  <c r="M73" i="5" s="1"/>
  <c r="AD20" i="7"/>
  <c r="AE131" i="7"/>
  <c r="AE132" i="7" s="1"/>
  <c r="W133" i="7" s="1"/>
  <c r="K111" i="5"/>
  <c r="J111" i="5"/>
  <c r="F112" i="5" s="1"/>
  <c r="L111" i="5"/>
  <c r="H111" i="5"/>
  <c r="I111" i="5" s="1"/>
  <c r="M111" i="5" s="1"/>
  <c r="AE70" i="7"/>
  <c r="AG91" i="7"/>
  <c r="AG92" i="7" s="1"/>
  <c r="X93" i="7" s="1"/>
  <c r="H43" i="5"/>
  <c r="I43" i="5" s="1"/>
  <c r="M43" i="5" s="1"/>
  <c r="AD121" i="7"/>
  <c r="AD122" i="7" s="1"/>
  <c r="AA123" i="7" s="1"/>
  <c r="J10" i="5"/>
  <c r="F11" i="5" s="1"/>
  <c r="H10" i="5"/>
  <c r="I10" i="5" s="1"/>
  <c r="M10" i="5" s="1"/>
  <c r="H149" i="5"/>
  <c r="I149" i="5" s="1"/>
  <c r="M149" i="5" s="1"/>
  <c r="AH110" i="7" l="1"/>
  <c r="H11" i="5"/>
  <c r="I11" i="5" s="1"/>
  <c r="M11" i="5" s="1"/>
  <c r="AE21" i="7"/>
  <c r="AE22" i="7" s="1"/>
  <c r="AD23" i="7" s="1"/>
  <c r="K43" i="5"/>
  <c r="AI111" i="7"/>
  <c r="AI112" i="7" s="1"/>
  <c r="X113" i="7" s="1"/>
  <c r="AD41" i="7"/>
  <c r="AD42" i="7" s="1"/>
  <c r="AA43" i="7" s="1"/>
  <c r="AG60" i="7"/>
  <c r="AG81" i="7"/>
  <c r="AG82" i="7" s="1"/>
  <c r="AA83" i="7" s="1"/>
  <c r="J43" i="5"/>
  <c r="F44" i="5" s="1"/>
  <c r="L149" i="5"/>
  <c r="L43" i="5"/>
  <c r="K73" i="5"/>
  <c r="J149" i="5"/>
  <c r="F150" i="5" s="1"/>
  <c r="AG90" i="7"/>
  <c r="L73" i="5"/>
  <c r="AC30" i="7"/>
  <c r="AD120" i="7"/>
  <c r="J73" i="5"/>
  <c r="F74" i="5" s="1"/>
  <c r="L10" i="5"/>
  <c r="AG140" i="7"/>
  <c r="AG150" i="7"/>
  <c r="H112" i="5"/>
  <c r="I112" i="5" s="1"/>
  <c r="M112" i="5" s="1"/>
  <c r="AE130" i="7"/>
  <c r="K149" i="5"/>
  <c r="AD100" i="7"/>
  <c r="AF71" i="7"/>
  <c r="AF72" i="7" s="1"/>
  <c r="AA73" i="7" s="1"/>
  <c r="K10" i="5"/>
  <c r="AG161" i="7"/>
  <c r="AG162" i="7" s="1"/>
  <c r="Z163" i="7" s="1"/>
  <c r="AE101" i="7" l="1"/>
  <c r="AE102" i="7" s="1"/>
  <c r="AA103" i="7" s="1"/>
  <c r="AI110" i="7"/>
  <c r="AE20" i="7"/>
  <c r="K112" i="5"/>
  <c r="H44" i="5"/>
  <c r="I44" i="5" s="1"/>
  <c r="M44" i="5" s="1"/>
  <c r="L11" i="5"/>
  <c r="AH61" i="7"/>
  <c r="AH62" i="7" s="1"/>
  <c r="X63" i="7" s="1"/>
  <c r="AF70" i="7"/>
  <c r="AD31" i="7"/>
  <c r="AD32" i="7" s="1"/>
  <c r="AB33" i="7" s="1"/>
  <c r="AF131" i="7"/>
  <c r="AF132" i="7" s="1"/>
  <c r="X133" i="7" s="1"/>
  <c r="AH151" i="7"/>
  <c r="AH152" i="7" s="1"/>
  <c r="Y153" i="7" s="1"/>
  <c r="AG160" i="7"/>
  <c r="AH141" i="7"/>
  <c r="AH142" i="7" s="1"/>
  <c r="AC143" i="7" s="1"/>
  <c r="K11" i="5"/>
  <c r="L74" i="5"/>
  <c r="H74" i="5"/>
  <c r="I74" i="5" s="1"/>
  <c r="M74" i="5" s="1"/>
  <c r="AE121" i="7"/>
  <c r="AE122" i="7" s="1"/>
  <c r="AB123" i="7" s="1"/>
  <c r="AD40" i="7"/>
  <c r="AH91" i="7"/>
  <c r="AH92" i="7" s="1"/>
  <c r="Y93" i="7" s="1"/>
  <c r="H150" i="5"/>
  <c r="I150" i="5" s="1"/>
  <c r="M150" i="5" s="1"/>
  <c r="L112" i="5"/>
  <c r="J112" i="5"/>
  <c r="F113" i="5" s="1"/>
  <c r="AG80" i="7"/>
  <c r="J11" i="5"/>
  <c r="F12" i="5" s="1"/>
  <c r="AH161" i="7" l="1"/>
  <c r="AH162" i="7" s="1"/>
  <c r="AA163" i="7" s="1"/>
  <c r="J44" i="5"/>
  <c r="F45" i="5" s="1"/>
  <c r="K150" i="5"/>
  <c r="AE120" i="7"/>
  <c r="AF21" i="7"/>
  <c r="AF22" i="7" s="1"/>
  <c r="AE23" i="7" s="1"/>
  <c r="AH60" i="7"/>
  <c r="J150" i="5"/>
  <c r="F151" i="5" s="1"/>
  <c r="L150" i="5"/>
  <c r="AH140" i="7"/>
  <c r="K44" i="5"/>
  <c r="AE41" i="7"/>
  <c r="AE42" i="7" s="1"/>
  <c r="AB43" i="7" s="1"/>
  <c r="AJ111" i="7"/>
  <c r="AJ112" i="7" s="1"/>
  <c r="Y113" i="7" s="1"/>
  <c r="L44" i="5"/>
  <c r="AH90" i="7"/>
  <c r="AH150" i="7"/>
  <c r="H12" i="5"/>
  <c r="I12" i="5" s="1"/>
  <c r="M12" i="5" s="1"/>
  <c r="AF130" i="7"/>
  <c r="AH81" i="7"/>
  <c r="AH82" i="7" s="1"/>
  <c r="AB83" i="7" s="1"/>
  <c r="H113" i="5"/>
  <c r="I113" i="5" s="1"/>
  <c r="M113" i="5" s="1"/>
  <c r="K74" i="5"/>
  <c r="AD30" i="7"/>
  <c r="J74" i="5"/>
  <c r="F75" i="5" s="1"/>
  <c r="AG71" i="7"/>
  <c r="AG72" i="7" s="1"/>
  <c r="AB73" i="7" s="1"/>
  <c r="AE100" i="7"/>
  <c r="AI141" i="7" l="1"/>
  <c r="AI142" i="7" s="1"/>
  <c r="AD143" i="7" s="1"/>
  <c r="J12" i="5"/>
  <c r="F13" i="5" s="1"/>
  <c r="AI91" i="7"/>
  <c r="AI92" i="7" s="1"/>
  <c r="Z93" i="7" s="1"/>
  <c r="AF20" i="7"/>
  <c r="AF101" i="7"/>
  <c r="AF102" i="7" s="1"/>
  <c r="AB103" i="7" s="1"/>
  <c r="H151" i="5"/>
  <c r="I151" i="5" s="1"/>
  <c r="M151" i="5" s="1"/>
  <c r="L12" i="5"/>
  <c r="AF121" i="7"/>
  <c r="AF122" i="7" s="1"/>
  <c r="AC123" i="7" s="1"/>
  <c r="AG131" i="7"/>
  <c r="AG132" i="7" s="1"/>
  <c r="Y133" i="7" s="1"/>
  <c r="H75" i="5"/>
  <c r="I75" i="5" s="1"/>
  <c r="M75" i="5" s="1"/>
  <c r="AI61" i="7"/>
  <c r="AI62" i="7" s="1"/>
  <c r="Y63" i="7" s="1"/>
  <c r="K113" i="5"/>
  <c r="J113" i="5"/>
  <c r="F114" i="5" s="1"/>
  <c r="L113" i="5"/>
  <c r="AJ110" i="7"/>
  <c r="H45" i="5"/>
  <c r="I45" i="5" s="1"/>
  <c r="M45" i="5" s="1"/>
  <c r="K12" i="5"/>
  <c r="AE31" i="7"/>
  <c r="AE32" i="7" s="1"/>
  <c r="AC33" i="7" s="1"/>
  <c r="AI151" i="7"/>
  <c r="AI152" i="7" s="1"/>
  <c r="Z153" i="7" s="1"/>
  <c r="AG70" i="7"/>
  <c r="AH80" i="7"/>
  <c r="AE40" i="7"/>
  <c r="AH160" i="7"/>
  <c r="AF100" i="7" l="1"/>
  <c r="AG101" i="7" s="1"/>
  <c r="AG102" i="7" s="1"/>
  <c r="AC103" i="7" s="1"/>
  <c r="AF120" i="7"/>
  <c r="AG121" i="7" s="1"/>
  <c r="AG122" i="7" s="1"/>
  <c r="AD123" i="7" s="1"/>
  <c r="AE30" i="7"/>
  <c r="K151" i="5"/>
  <c r="J75" i="5"/>
  <c r="F76" i="5" s="1"/>
  <c r="K75" i="5"/>
  <c r="AG21" i="7"/>
  <c r="AG22" i="7" s="1"/>
  <c r="AF23" i="7" s="1"/>
  <c r="AI150" i="7"/>
  <c r="AI60" i="7"/>
  <c r="L151" i="5"/>
  <c r="J151" i="5"/>
  <c r="F152" i="5" s="1"/>
  <c r="L75" i="5"/>
  <c r="AI161" i="7"/>
  <c r="AI162" i="7" s="1"/>
  <c r="AB163" i="7" s="1"/>
  <c r="L45" i="5"/>
  <c r="AG130" i="7"/>
  <c r="AI90" i="7"/>
  <c r="H13" i="5"/>
  <c r="I13" i="5" s="1"/>
  <c r="M13" i="5" s="1"/>
  <c r="K45" i="5"/>
  <c r="J45" i="5"/>
  <c r="F46" i="5" s="1"/>
  <c r="AF41" i="7"/>
  <c r="AF42" i="7" s="1"/>
  <c r="AC43" i="7" s="1"/>
  <c r="AK111" i="7"/>
  <c r="AK112" i="7" s="1"/>
  <c r="Z113" i="7" s="1"/>
  <c r="AI81" i="7"/>
  <c r="AI82" i="7" s="1"/>
  <c r="AC83" i="7" s="1"/>
  <c r="AH71" i="7"/>
  <c r="AH72" i="7" s="1"/>
  <c r="AC73" i="7" s="1"/>
  <c r="L114" i="5"/>
  <c r="K114" i="5"/>
  <c r="H114" i="5"/>
  <c r="I114" i="5" s="1"/>
  <c r="M114" i="5" s="1"/>
  <c r="AI140" i="7"/>
  <c r="H152" i="5" l="1"/>
  <c r="I152" i="5" s="1"/>
  <c r="M152" i="5" s="1"/>
  <c r="AH70" i="7"/>
  <c r="AG120" i="7"/>
  <c r="H76" i="5"/>
  <c r="I76" i="5" s="1"/>
  <c r="M76" i="5" s="1"/>
  <c r="AJ61" i="7"/>
  <c r="AJ62" i="7" s="1"/>
  <c r="Z63" i="7" s="1"/>
  <c r="AJ151" i="7"/>
  <c r="AJ152" i="7" s="1"/>
  <c r="AA153" i="7" s="1"/>
  <c r="AH131" i="7"/>
  <c r="AH132" i="7" s="1"/>
  <c r="Z133" i="7" s="1"/>
  <c r="AI160" i="7"/>
  <c r="AG100" i="7"/>
  <c r="H46" i="5"/>
  <c r="I46" i="5" s="1"/>
  <c r="M46" i="5" s="1"/>
  <c r="L13" i="5"/>
  <c r="J13" i="5"/>
  <c r="F14" i="5" s="1"/>
  <c r="K13" i="5"/>
  <c r="AG20" i="7"/>
  <c r="AJ91" i="7"/>
  <c r="AJ92" i="7" s="1"/>
  <c r="AA93" i="7" s="1"/>
  <c r="AI80" i="7"/>
  <c r="AJ141" i="7"/>
  <c r="AJ142" i="7" s="1"/>
  <c r="AE143" i="7" s="1"/>
  <c r="AK110" i="7"/>
  <c r="J114" i="5"/>
  <c r="F115" i="5" s="1"/>
  <c r="AF40" i="7"/>
  <c r="AF31" i="7"/>
  <c r="AF32" i="7" s="1"/>
  <c r="AD33" i="7" s="1"/>
  <c r="AJ60" i="7" l="1"/>
  <c r="J46" i="5"/>
  <c r="F47" i="5" s="1"/>
  <c r="AJ140" i="7"/>
  <c r="AH121" i="7"/>
  <c r="AH122" i="7" s="1"/>
  <c r="AE123" i="7" s="1"/>
  <c r="K76" i="5"/>
  <c r="AJ161" i="7"/>
  <c r="AJ162" i="7" s="1"/>
  <c r="AC163" i="7" s="1"/>
  <c r="AI71" i="7"/>
  <c r="AI72" i="7" s="1"/>
  <c r="AD73" i="7" s="1"/>
  <c r="AG41" i="7"/>
  <c r="AG42" i="7" s="1"/>
  <c r="AD43" i="7" s="1"/>
  <c r="K46" i="5"/>
  <c r="AH101" i="7"/>
  <c r="AH102" i="7" s="1"/>
  <c r="AD103" i="7" s="1"/>
  <c r="H14" i="5"/>
  <c r="I14" i="5" s="1"/>
  <c r="M14" i="5" s="1"/>
  <c r="L46" i="5"/>
  <c r="AJ90" i="7"/>
  <c r="AH130" i="7"/>
  <c r="J152" i="5"/>
  <c r="F153" i="5" s="1"/>
  <c r="J76" i="5"/>
  <c r="F77" i="5" s="1"/>
  <c r="L76" i="5"/>
  <c r="AJ81" i="7"/>
  <c r="AJ82" i="7" s="1"/>
  <c r="AD83" i="7" s="1"/>
  <c r="L152" i="5"/>
  <c r="AF30" i="7"/>
  <c r="H115" i="5"/>
  <c r="I115" i="5" s="1"/>
  <c r="M115" i="5" s="1"/>
  <c r="AH21" i="7"/>
  <c r="AH22" i="7" s="1"/>
  <c r="AG23" i="7" s="1"/>
  <c r="AJ150" i="7"/>
  <c r="K152" i="5"/>
  <c r="H77" i="5" l="1"/>
  <c r="I77" i="5" s="1"/>
  <c r="M77" i="5" s="1"/>
  <c r="J115" i="5"/>
  <c r="F116" i="5" s="1"/>
  <c r="K115" i="5"/>
  <c r="AJ160" i="7"/>
  <c r="AG40" i="7"/>
  <c r="AK91" i="7"/>
  <c r="AK92" i="7" s="1"/>
  <c r="AB93" i="7" s="1"/>
  <c r="L153" i="5"/>
  <c r="J153" i="5"/>
  <c r="F154" i="5" s="1"/>
  <c r="H153" i="5"/>
  <c r="I153" i="5" s="1"/>
  <c r="M153" i="5" s="1"/>
  <c r="AH20" i="7"/>
  <c r="AI70" i="7"/>
  <c r="L14" i="5"/>
  <c r="K14" i="5"/>
  <c r="AH120" i="7"/>
  <c r="AI131" i="7"/>
  <c r="AI132" i="7" s="1"/>
  <c r="AA133" i="7" s="1"/>
  <c r="AK141" i="7"/>
  <c r="AK142" i="7" s="1"/>
  <c r="AF143" i="7" s="1"/>
  <c r="L115" i="5"/>
  <c r="AG31" i="7"/>
  <c r="AG32" i="7" s="1"/>
  <c r="AE33" i="7" s="1"/>
  <c r="J14" i="5"/>
  <c r="F15" i="5" s="1"/>
  <c r="AH100" i="7"/>
  <c r="J47" i="5"/>
  <c r="F48" i="5" s="1"/>
  <c r="H47" i="5"/>
  <c r="I47" i="5" s="1"/>
  <c r="M47" i="5" s="1"/>
  <c r="AK151" i="7"/>
  <c r="AK152" i="7" s="1"/>
  <c r="AB153" i="7" s="1"/>
  <c r="AJ80" i="7"/>
  <c r="AK61" i="7"/>
  <c r="AK62" i="7" s="1"/>
  <c r="AA63" i="7" s="1"/>
  <c r="AK60" i="7" l="1"/>
  <c r="H48" i="5"/>
  <c r="I48" i="5" s="1"/>
  <c r="M48" i="5" s="1"/>
  <c r="AI121" i="7"/>
  <c r="AI122" i="7" s="1"/>
  <c r="AF123" i="7" s="1"/>
  <c r="AK161" i="7"/>
  <c r="AK162" i="7" s="1"/>
  <c r="AD163" i="7" s="1"/>
  <c r="H154" i="5"/>
  <c r="I154" i="5" s="1"/>
  <c r="M154" i="5" s="1"/>
  <c r="AK140" i="7"/>
  <c r="K47" i="5"/>
  <c r="AK90" i="7"/>
  <c r="H116" i="5"/>
  <c r="I116" i="5" s="1"/>
  <c r="M116" i="5" s="1"/>
  <c r="AI130" i="7"/>
  <c r="L47" i="5"/>
  <c r="AI101" i="7"/>
  <c r="AI102" i="7" s="1"/>
  <c r="AE103" i="7" s="1"/>
  <c r="AJ71" i="7"/>
  <c r="AJ72" i="7" s="1"/>
  <c r="AE73" i="7" s="1"/>
  <c r="H15" i="5"/>
  <c r="I15" i="5" s="1"/>
  <c r="M15" i="5" s="1"/>
  <c r="AI21" i="7"/>
  <c r="AI22" i="7" s="1"/>
  <c r="AH23" i="7" s="1"/>
  <c r="K77" i="5"/>
  <c r="AK150" i="7"/>
  <c r="AH41" i="7"/>
  <c r="AH42" i="7" s="1"/>
  <c r="AE43" i="7" s="1"/>
  <c r="J77" i="5"/>
  <c r="F78" i="5" s="1"/>
  <c r="AK80" i="7"/>
  <c r="AK81" i="7"/>
  <c r="AK82" i="7" s="1"/>
  <c r="AE83" i="7" s="1"/>
  <c r="AG30" i="7"/>
  <c r="K153" i="5"/>
  <c r="L77" i="5"/>
  <c r="AJ70" i="7" l="1"/>
  <c r="AK71" i="7" s="1"/>
  <c r="AK72" i="7" s="1"/>
  <c r="AF73" i="7" s="1"/>
  <c r="AH40" i="7"/>
  <c r="H78" i="5"/>
  <c r="I78" i="5" s="1"/>
  <c r="M78" i="5" s="1"/>
  <c r="K154" i="5"/>
  <c r="AI100" i="7"/>
  <c r="J154" i="5"/>
  <c r="F155" i="5" s="1"/>
  <c r="J116" i="5"/>
  <c r="F117" i="5" s="1"/>
  <c r="AI120" i="7"/>
  <c r="K116" i="5"/>
  <c r="L15" i="5"/>
  <c r="AK160" i="7"/>
  <c r="L116" i="5"/>
  <c r="AH31" i="7"/>
  <c r="AH32" i="7" s="1"/>
  <c r="AF33" i="7" s="1"/>
  <c r="J15" i="5"/>
  <c r="F16" i="5" s="1"/>
  <c r="L48" i="5"/>
  <c r="AJ131" i="7"/>
  <c r="AJ132" i="7" s="1"/>
  <c r="AB133" i="7" s="1"/>
  <c r="K15" i="5"/>
  <c r="K48" i="5"/>
  <c r="L154" i="5"/>
  <c r="AI20" i="7"/>
  <c r="J48" i="5"/>
  <c r="F49" i="5" s="1"/>
  <c r="AH30" i="7" l="1"/>
  <c r="H117" i="5"/>
  <c r="I117" i="5" s="1"/>
  <c r="M117" i="5" s="1"/>
  <c r="H16" i="5"/>
  <c r="I16" i="5" s="1"/>
  <c r="M16" i="5" s="1"/>
  <c r="AK70" i="7"/>
  <c r="AJ121" i="7"/>
  <c r="AJ122" i="7" s="1"/>
  <c r="AG123" i="7" s="1"/>
  <c r="AI31" i="7"/>
  <c r="AI32" i="7" s="1"/>
  <c r="AG33" i="7" s="1"/>
  <c r="K78" i="5"/>
  <c r="AJ130" i="7"/>
  <c r="J78" i="5"/>
  <c r="F79" i="5" s="1"/>
  <c r="L78" i="5"/>
  <c r="H155" i="5"/>
  <c r="I155" i="5" s="1"/>
  <c r="M155" i="5" s="1"/>
  <c r="AJ101" i="7"/>
  <c r="AJ102" i="7" s="1"/>
  <c r="AF103" i="7" s="1"/>
  <c r="J49" i="5"/>
  <c r="F50" i="5" s="1"/>
  <c r="H49" i="5"/>
  <c r="I49" i="5" s="1"/>
  <c r="M49" i="5" s="1"/>
  <c r="AJ21" i="7"/>
  <c r="AJ22" i="7" s="1"/>
  <c r="AI23" i="7" s="1"/>
  <c r="AI41" i="7"/>
  <c r="AI42" i="7" s="1"/>
  <c r="AF43" i="7" s="1"/>
  <c r="AI30" i="7" l="1"/>
  <c r="AJ31" i="7" s="1"/>
  <c r="AJ32" i="7" s="1"/>
  <c r="AH33" i="7" s="1"/>
  <c r="H50" i="5"/>
  <c r="I50" i="5" s="1"/>
  <c r="M50" i="5" s="1"/>
  <c r="J155" i="5"/>
  <c r="F156" i="5" s="1"/>
  <c r="J16" i="5"/>
  <c r="F17" i="5" s="1"/>
  <c r="AI40" i="7"/>
  <c r="AJ20" i="7"/>
  <c r="L16" i="5"/>
  <c r="AK131" i="7"/>
  <c r="AK132" i="7" s="1"/>
  <c r="AC133" i="7" s="1"/>
  <c r="K117" i="5"/>
  <c r="AJ100" i="7"/>
  <c r="L155" i="5"/>
  <c r="K155" i="5"/>
  <c r="K49" i="5"/>
  <c r="L117" i="5"/>
  <c r="AJ120" i="7"/>
  <c r="K16" i="5"/>
  <c r="H79" i="5"/>
  <c r="I79" i="5" s="1"/>
  <c r="M79" i="5" s="1"/>
  <c r="L49" i="5"/>
  <c r="J117" i="5"/>
  <c r="F118" i="5" s="1"/>
  <c r="AK130" i="7" l="1"/>
  <c r="AJ41" i="7"/>
  <c r="AJ42" i="7" s="1"/>
  <c r="AG43" i="7" s="1"/>
  <c r="AK121" i="7"/>
  <c r="AK122" i="7" s="1"/>
  <c r="AH123" i="7" s="1"/>
  <c r="J79" i="5"/>
  <c r="F80" i="5" s="1"/>
  <c r="K79" i="5"/>
  <c r="AK21" i="7"/>
  <c r="AK22" i="7" s="1"/>
  <c r="AJ23" i="7" s="1"/>
  <c r="AK101" i="7"/>
  <c r="AK102" i="7" s="1"/>
  <c r="AG103" i="7" s="1"/>
  <c r="J50" i="5"/>
  <c r="F51" i="5" s="1"/>
  <c r="L79" i="5"/>
  <c r="K17" i="5"/>
  <c r="H17" i="5"/>
  <c r="I17" i="5" s="1"/>
  <c r="M17" i="5" s="1"/>
  <c r="H156" i="5"/>
  <c r="I156" i="5" s="1"/>
  <c r="M156" i="5" s="1"/>
  <c r="AJ30" i="7"/>
  <c r="K118" i="5"/>
  <c r="L118" i="5"/>
  <c r="J118" i="5"/>
  <c r="F119" i="5" s="1"/>
  <c r="H118" i="5"/>
  <c r="I118" i="5" s="1"/>
  <c r="M118" i="5" s="1"/>
  <c r="L50" i="5"/>
  <c r="K50" i="5"/>
  <c r="AK31" i="7" l="1"/>
  <c r="AK32" i="7" s="1"/>
  <c r="AI33" i="7" s="1"/>
  <c r="AK100" i="7"/>
  <c r="AK20" i="7"/>
  <c r="K156" i="5"/>
  <c r="H119" i="5"/>
  <c r="I119" i="5" s="1"/>
  <c r="M119" i="5" s="1"/>
  <c r="K51" i="5"/>
  <c r="L51" i="5"/>
  <c r="J51" i="5"/>
  <c r="F52" i="5" s="1"/>
  <c r="H51" i="5"/>
  <c r="I51" i="5" s="1"/>
  <c r="M51" i="5" s="1"/>
  <c r="J17" i="5"/>
  <c r="F18" i="5" s="1"/>
  <c r="AK120" i="7"/>
  <c r="L156" i="5"/>
  <c r="J156" i="5"/>
  <c r="F157" i="5" s="1"/>
  <c r="H80" i="5"/>
  <c r="I80" i="5" s="1"/>
  <c r="M80" i="5" s="1"/>
  <c r="L17" i="5"/>
  <c r="AJ40" i="7"/>
  <c r="J119" i="5" l="1"/>
  <c r="F120" i="5" s="1"/>
  <c r="K119" i="5"/>
  <c r="AK41" i="7"/>
  <c r="AK42" i="7" s="1"/>
  <c r="AH43" i="7" s="1"/>
  <c r="H157" i="5"/>
  <c r="I157" i="5" s="1"/>
  <c r="M157" i="5" s="1"/>
  <c r="H52" i="5"/>
  <c r="I52" i="5" s="1"/>
  <c r="M52" i="5" s="1"/>
  <c r="J80" i="5"/>
  <c r="F81" i="5" s="1"/>
  <c r="L80" i="5"/>
  <c r="L119" i="5"/>
  <c r="K80" i="5"/>
  <c r="H18" i="5"/>
  <c r="I18" i="5" s="1"/>
  <c r="M18" i="5" s="1"/>
  <c r="AK30" i="7"/>
  <c r="L52" i="5" l="1"/>
  <c r="K52" i="5"/>
  <c r="L157" i="5"/>
  <c r="L18" i="5"/>
  <c r="J18" i="5"/>
  <c r="F19" i="5" s="1"/>
  <c r="AK40" i="7"/>
  <c r="J52" i="5"/>
  <c r="F53" i="5" s="1"/>
  <c r="K18" i="5"/>
  <c r="J157" i="5"/>
  <c r="F158" i="5" s="1"/>
  <c r="K157" i="5"/>
  <c r="J81" i="5"/>
  <c r="F82" i="5" s="1"/>
  <c r="L81" i="5"/>
  <c r="H81" i="5"/>
  <c r="I81" i="5" s="1"/>
  <c r="M81" i="5" s="1"/>
  <c r="H120" i="5"/>
  <c r="I120" i="5" s="1"/>
  <c r="M120" i="5" s="1"/>
  <c r="H158" i="5" l="1"/>
  <c r="I158" i="5" s="1"/>
  <c r="M158" i="5" s="1"/>
  <c r="H19" i="5"/>
  <c r="I19" i="5" s="1"/>
  <c r="M19" i="5" s="1"/>
  <c r="H82" i="5"/>
  <c r="I82" i="5" s="1"/>
  <c r="M82" i="5" s="1"/>
  <c r="H53" i="5"/>
  <c r="I53" i="5" s="1"/>
  <c r="M53" i="5" s="1"/>
  <c r="J120" i="5"/>
  <c r="F121" i="5" s="1"/>
  <c r="L120" i="5"/>
  <c r="K120" i="5"/>
  <c r="K81" i="5"/>
  <c r="J82" i="5" l="1"/>
  <c r="F83" i="5" s="1"/>
  <c r="K19" i="5"/>
  <c r="K82" i="5"/>
  <c r="K158" i="5"/>
  <c r="J19" i="5"/>
  <c r="F20" i="5" s="1"/>
  <c r="L19" i="5"/>
  <c r="L82" i="5"/>
  <c r="H121" i="5"/>
  <c r="I121" i="5" s="1"/>
  <c r="M121" i="5" s="1"/>
  <c r="K53" i="5"/>
  <c r="L53" i="5"/>
  <c r="J158" i="5"/>
  <c r="F159" i="5" s="1"/>
  <c r="J53" i="5"/>
  <c r="F54" i="5" s="1"/>
  <c r="L158" i="5"/>
  <c r="H20" i="5" l="1"/>
  <c r="I20" i="5" s="1"/>
  <c r="M20" i="5" s="1"/>
  <c r="J121" i="5"/>
  <c r="F122" i="5" s="1"/>
  <c r="K121" i="5"/>
  <c r="H159" i="5"/>
  <c r="I159" i="5" s="1"/>
  <c r="M159" i="5" s="1"/>
  <c r="L121" i="5"/>
  <c r="J54" i="5"/>
  <c r="F55" i="5" s="1"/>
  <c r="H54" i="5"/>
  <c r="I54" i="5" s="1"/>
  <c r="M54" i="5" s="1"/>
  <c r="H83" i="5"/>
  <c r="I83" i="5" s="1"/>
  <c r="M83" i="5" s="1"/>
  <c r="L159" i="5" l="1"/>
  <c r="J159" i="5"/>
  <c r="F160" i="5" s="1"/>
  <c r="L83" i="5"/>
  <c r="J83" i="5"/>
  <c r="F84" i="5" s="1"/>
  <c r="K83" i="5"/>
  <c r="H55" i="5"/>
  <c r="I55" i="5" s="1"/>
  <c r="M55" i="5" s="1"/>
  <c r="K159" i="5"/>
  <c r="J122" i="5"/>
  <c r="F123" i="5" s="1"/>
  <c r="K122" i="5"/>
  <c r="H122" i="5"/>
  <c r="I122" i="5" s="1"/>
  <c r="M122" i="5" s="1"/>
  <c r="K54" i="5"/>
  <c r="J20" i="5"/>
  <c r="F21" i="5" s="1"/>
  <c r="L20" i="5"/>
  <c r="L54" i="5"/>
  <c r="K20" i="5"/>
  <c r="L55" i="5" l="1"/>
  <c r="K21" i="5"/>
  <c r="H21" i="5"/>
  <c r="I21" i="5" s="1"/>
  <c r="M21" i="5" s="1"/>
  <c r="H84" i="5"/>
  <c r="I84" i="5" s="1"/>
  <c r="M84" i="5" s="1"/>
  <c r="J123" i="5"/>
  <c r="F124" i="5" s="1"/>
  <c r="L123" i="5"/>
  <c r="K123" i="5"/>
  <c r="H123" i="5"/>
  <c r="I123" i="5" s="1"/>
  <c r="M123" i="5" s="1"/>
  <c r="H160" i="5"/>
  <c r="I160" i="5" s="1"/>
  <c r="M160" i="5" s="1"/>
  <c r="J55" i="5"/>
  <c r="F56" i="5" s="1"/>
  <c r="K55" i="5"/>
  <c r="L122" i="5"/>
  <c r="L84" i="5" l="1"/>
  <c r="J84" i="5"/>
  <c r="F85" i="5" s="1"/>
  <c r="K84" i="5"/>
  <c r="K160" i="5"/>
  <c r="J21" i="5"/>
  <c r="F22" i="5" s="1"/>
  <c r="L160" i="5"/>
  <c r="L21" i="5"/>
  <c r="H124" i="5"/>
  <c r="I124" i="5" s="1"/>
  <c r="M124" i="5" s="1"/>
  <c r="L56" i="5"/>
  <c r="H56" i="5"/>
  <c r="I56" i="5" s="1"/>
  <c r="M56" i="5" s="1"/>
  <c r="J160" i="5"/>
  <c r="F161" i="5" s="1"/>
  <c r="K124" i="5" l="1"/>
  <c r="H161" i="5"/>
  <c r="I161" i="5" s="1"/>
  <c r="M161" i="5" s="1"/>
  <c r="J124" i="5"/>
  <c r="F125" i="5" s="1"/>
  <c r="H85" i="5"/>
  <c r="I85" i="5" s="1"/>
  <c r="M85" i="5" s="1"/>
  <c r="L124" i="5"/>
  <c r="L22" i="5"/>
  <c r="H22" i="5"/>
  <c r="I22" i="5" s="1"/>
  <c r="M22" i="5" s="1"/>
  <c r="K56" i="5"/>
  <c r="J56" i="5"/>
  <c r="F57" i="5" s="1"/>
  <c r="K85" i="5" l="1"/>
  <c r="J85" i="5"/>
  <c r="F86" i="5" s="1"/>
  <c r="L57" i="5"/>
  <c r="H57" i="5"/>
  <c r="I57" i="5" s="1"/>
  <c r="M57" i="5" s="1"/>
  <c r="L161" i="5"/>
  <c r="J161" i="5"/>
  <c r="F162" i="5" s="1"/>
  <c r="H125" i="5"/>
  <c r="I125" i="5" s="1"/>
  <c r="M125" i="5" s="1"/>
  <c r="J22" i="5"/>
  <c r="F23" i="5" s="1"/>
  <c r="K161" i="5"/>
  <c r="L85" i="5"/>
  <c r="K22" i="5"/>
  <c r="K57" i="5" l="1"/>
  <c r="K125" i="5"/>
  <c r="J125" i="5"/>
  <c r="J57" i="5"/>
  <c r="F58" i="5" s="1"/>
  <c r="H162" i="5"/>
  <c r="I162" i="5" s="1"/>
  <c r="M162" i="5" s="1"/>
  <c r="H86" i="5"/>
  <c r="I86" i="5" s="1"/>
  <c r="M86" i="5" s="1"/>
  <c r="L125" i="5"/>
  <c r="H23" i="5"/>
  <c r="I23" i="5" s="1"/>
  <c r="M23" i="5" s="1"/>
  <c r="L162" i="5" l="1"/>
  <c r="K23" i="5"/>
  <c r="J23" i="5"/>
  <c r="F24" i="5" s="1"/>
  <c r="K86" i="5"/>
  <c r="L86" i="5"/>
  <c r="K162" i="5"/>
  <c r="J162" i="5"/>
  <c r="F163" i="5" s="1"/>
  <c r="L23" i="5"/>
  <c r="J86" i="5"/>
  <c r="F87" i="5" s="1"/>
  <c r="K58" i="5"/>
  <c r="J58" i="5"/>
  <c r="F59" i="5" s="1"/>
  <c r="L58" i="5"/>
  <c r="H58" i="5"/>
  <c r="I58" i="5" s="1"/>
  <c r="M58" i="5" s="1"/>
  <c r="H163" i="5" l="1"/>
  <c r="I163" i="5" s="1"/>
  <c r="M163" i="5" s="1"/>
  <c r="H87" i="5"/>
  <c r="I87" i="5" s="1"/>
  <c r="M87" i="5" s="1"/>
  <c r="H24" i="5"/>
  <c r="I24" i="5" s="1"/>
  <c r="M24" i="5" s="1"/>
  <c r="H59" i="5"/>
  <c r="I59" i="5" s="1"/>
  <c r="M59" i="5" s="1"/>
  <c r="J87" i="5" l="1"/>
  <c r="F88" i="5" s="1"/>
  <c r="K87" i="5"/>
  <c r="L87" i="5"/>
  <c r="J59" i="5"/>
  <c r="F60" i="5" s="1"/>
  <c r="J163" i="5"/>
  <c r="F164" i="5" s="1"/>
  <c r="J24" i="5"/>
  <c r="F25" i="5" s="1"/>
  <c r="K163" i="5"/>
  <c r="K24" i="5"/>
  <c r="L24" i="5"/>
  <c r="L59" i="5"/>
  <c r="K59" i="5"/>
  <c r="L163" i="5"/>
  <c r="H25" i="5" l="1"/>
  <c r="I25" i="5" s="1"/>
  <c r="M25" i="5" s="1"/>
  <c r="H164" i="5"/>
  <c r="I164" i="5" s="1"/>
  <c r="M164" i="5" s="1"/>
  <c r="H60" i="5"/>
  <c r="I60" i="5" s="1"/>
  <c r="M60" i="5" s="1"/>
  <c r="H88" i="5"/>
  <c r="I88" i="5" s="1"/>
  <c r="M88" i="5" s="1"/>
  <c r="J60" i="5" l="1"/>
  <c r="F61" i="5" s="1"/>
  <c r="L60" i="5"/>
  <c r="J164" i="5"/>
  <c r="F165" i="5" s="1"/>
  <c r="K164" i="5"/>
  <c r="K60" i="5"/>
  <c r="L164" i="5"/>
  <c r="K88" i="5"/>
  <c r="K25" i="5"/>
  <c r="L88" i="5"/>
  <c r="L25" i="5"/>
  <c r="J88" i="5"/>
  <c r="F89" i="5" s="1"/>
  <c r="J25" i="5"/>
  <c r="F26" i="5" s="1"/>
  <c r="H26" i="5" l="1"/>
  <c r="I26" i="5" s="1"/>
  <c r="M26" i="5" s="1"/>
  <c r="H89" i="5"/>
  <c r="I89" i="5" s="1"/>
  <c r="M89" i="5" s="1"/>
  <c r="H165" i="5"/>
  <c r="I165" i="5" s="1"/>
  <c r="M165" i="5" s="1"/>
  <c r="H61" i="5"/>
  <c r="I61" i="5" s="1"/>
  <c r="M61" i="5" s="1"/>
  <c r="J165" i="5" l="1"/>
  <c r="F166" i="5" s="1"/>
  <c r="L165" i="5"/>
  <c r="L89" i="5"/>
  <c r="K89" i="5"/>
  <c r="K165" i="5"/>
  <c r="J89" i="5"/>
  <c r="F90" i="5" s="1"/>
  <c r="J61" i="5"/>
  <c r="F62" i="5" s="1"/>
  <c r="L26" i="5"/>
  <c r="L61" i="5"/>
  <c r="K26" i="5"/>
  <c r="K61" i="5"/>
  <c r="J26" i="5"/>
  <c r="F27" i="5" s="1"/>
  <c r="H27" i="5" l="1"/>
  <c r="I27" i="5" s="1"/>
  <c r="M27" i="5" s="1"/>
  <c r="H62" i="5"/>
  <c r="I62" i="5" s="1"/>
  <c r="M62" i="5" s="1"/>
  <c r="H90" i="5"/>
  <c r="I90" i="5" s="1"/>
  <c r="M90" i="5" s="1"/>
  <c r="H166" i="5"/>
  <c r="I166" i="5" s="1"/>
  <c r="M166" i="5" s="1"/>
  <c r="J90" i="5" l="1"/>
  <c r="F91" i="5" s="1"/>
  <c r="K90" i="5"/>
  <c r="L90" i="5"/>
  <c r="L62" i="5"/>
  <c r="J62" i="5"/>
  <c r="F63" i="5" s="1"/>
  <c r="J27" i="5"/>
  <c r="F28" i="5" s="1"/>
  <c r="K62" i="5"/>
  <c r="J166" i="5"/>
  <c r="F167" i="5" s="1"/>
  <c r="K166" i="5"/>
  <c r="L27" i="5"/>
  <c r="L166" i="5"/>
  <c r="K27" i="5"/>
  <c r="H167" i="5" l="1"/>
  <c r="I167" i="5" s="1"/>
  <c r="M167" i="5" s="1"/>
  <c r="H63" i="5"/>
  <c r="I63" i="5" s="1"/>
  <c r="M63" i="5" s="1"/>
  <c r="H28" i="5"/>
  <c r="I28" i="5" s="1"/>
  <c r="M28" i="5" s="1"/>
  <c r="H91" i="5"/>
  <c r="I91" i="5" s="1"/>
  <c r="M91" i="5" s="1"/>
  <c r="L63" i="5" l="1"/>
  <c r="L28" i="5"/>
  <c r="J28" i="5"/>
  <c r="F29" i="5" s="1"/>
  <c r="K28" i="5"/>
  <c r="K63" i="5"/>
  <c r="K91" i="5"/>
  <c r="J63" i="5"/>
  <c r="F64" i="5" s="1"/>
  <c r="L91" i="5"/>
  <c r="K167" i="5"/>
  <c r="J167" i="5"/>
  <c r="F168" i="5" s="1"/>
  <c r="J91" i="5"/>
  <c r="F92" i="5" s="1"/>
  <c r="L167" i="5"/>
  <c r="H64" i="5" l="1"/>
  <c r="I64" i="5" s="1"/>
  <c r="M64" i="5" s="1"/>
  <c r="H168" i="5"/>
  <c r="I168" i="5" s="1"/>
  <c r="M168" i="5" s="1"/>
  <c r="H92" i="5"/>
  <c r="I92" i="5" s="1"/>
  <c r="M92" i="5" s="1"/>
  <c r="H29" i="5"/>
  <c r="I29" i="5" s="1"/>
  <c r="M29" i="5" s="1"/>
  <c r="K92" i="5" l="1"/>
  <c r="K29" i="5"/>
  <c r="K168" i="5"/>
  <c r="L168" i="5"/>
  <c r="K64" i="5"/>
  <c r="J92" i="5"/>
  <c r="F93" i="5" s="1"/>
  <c r="L92" i="5"/>
  <c r="J168" i="5"/>
  <c r="F169" i="5" s="1"/>
  <c r="L64" i="5"/>
  <c r="J29" i="5"/>
  <c r="F30" i="5" s="1"/>
  <c r="L29" i="5"/>
  <c r="J64" i="5"/>
  <c r="F65" i="5" s="1"/>
  <c r="H65" i="5" l="1"/>
  <c r="I65" i="5" s="1"/>
  <c r="M65" i="5" s="1"/>
  <c r="H30" i="5"/>
  <c r="I30" i="5" s="1"/>
  <c r="M30" i="5" s="1"/>
  <c r="H93" i="5"/>
  <c r="I93" i="5" s="1"/>
  <c r="M93" i="5" s="1"/>
  <c r="H169" i="5"/>
  <c r="I169" i="5" s="1"/>
  <c r="M169" i="5" s="1"/>
  <c r="L93" i="5" l="1"/>
  <c r="K93" i="5"/>
  <c r="K30" i="5"/>
  <c r="L30" i="5"/>
  <c r="J30" i="5"/>
  <c r="F31" i="5" s="1"/>
  <c r="J65" i="5"/>
  <c r="J93" i="5"/>
  <c r="F94" i="5" s="1"/>
  <c r="K65" i="5"/>
  <c r="J169" i="5"/>
  <c r="F170" i="5" s="1"/>
  <c r="K169" i="5"/>
  <c r="L169" i="5"/>
  <c r="L65" i="5"/>
  <c r="H94" i="5" l="1"/>
  <c r="I94" i="5" s="1"/>
  <c r="M94" i="5" s="1"/>
  <c r="H170" i="5"/>
  <c r="I170" i="5" s="1"/>
  <c r="M170" i="5" s="1"/>
  <c r="H31" i="5"/>
  <c r="I31" i="5" s="1"/>
  <c r="M31" i="5" s="1"/>
  <c r="K170" i="5" l="1"/>
  <c r="K31" i="5"/>
  <c r="L31" i="5"/>
  <c r="L170" i="5"/>
  <c r="J170" i="5"/>
  <c r="F171" i="5" s="1"/>
  <c r="K94" i="5"/>
  <c r="J31" i="5"/>
  <c r="F32" i="5" s="1"/>
  <c r="J94" i="5"/>
  <c r="F95" i="5" s="1"/>
  <c r="L94" i="5"/>
  <c r="H95" i="5" l="1"/>
  <c r="I95" i="5" s="1"/>
  <c r="M95" i="5" s="1"/>
  <c r="H32" i="5"/>
  <c r="I32" i="5" s="1"/>
  <c r="M32" i="5" s="1"/>
  <c r="H171" i="5"/>
  <c r="I171" i="5" s="1"/>
  <c r="M171" i="5" s="1"/>
  <c r="K171" i="5" l="1"/>
  <c r="L171" i="5"/>
  <c r="K32" i="5"/>
  <c r="L32" i="5"/>
  <c r="J171" i="5"/>
  <c r="F172" i="5" s="1"/>
  <c r="J32" i="5"/>
  <c r="F33" i="5" s="1"/>
  <c r="J95" i="5"/>
  <c r="F96" i="5" s="1"/>
  <c r="K95" i="5"/>
  <c r="L95" i="5"/>
  <c r="H172" i="5" l="1"/>
  <c r="I172" i="5" s="1"/>
  <c r="M172" i="5" s="1"/>
  <c r="H96" i="5"/>
  <c r="I96" i="5" s="1"/>
  <c r="M96" i="5" s="1"/>
  <c r="H33" i="5"/>
  <c r="I33" i="5" s="1"/>
  <c r="M33" i="5" s="1"/>
  <c r="J33" i="5" l="1"/>
  <c r="L33" i="5"/>
  <c r="L96" i="5"/>
  <c r="K33" i="5"/>
  <c r="K96" i="5"/>
  <c r="J96" i="5"/>
  <c r="F97" i="5" s="1"/>
  <c r="J172" i="5"/>
  <c r="K172" i="5"/>
  <c r="L172" i="5"/>
  <c r="H97" i="5" l="1"/>
  <c r="I97" i="5" s="1"/>
  <c r="M97" i="5" s="1"/>
  <c r="K97" i="5" l="1"/>
  <c r="J97" i="5"/>
  <c r="F98" i="5" s="1"/>
  <c r="L97" i="5"/>
  <c r="H98" i="5" l="1"/>
  <c r="I98" i="5" s="1"/>
  <c r="M98" i="5" s="1"/>
  <c r="J98" i="5" l="1"/>
  <c r="K98" i="5"/>
  <c r="L98" i="5"/>
</calcChain>
</file>

<file path=xl/sharedStrings.xml><?xml version="1.0" encoding="utf-8"?>
<sst xmlns="http://schemas.openxmlformats.org/spreadsheetml/2006/main" count="7821" uniqueCount="221">
  <si>
    <t>Item name</t>
  </si>
  <si>
    <t>Des</t>
  </si>
  <si>
    <t xml:space="preserve">Market </t>
  </si>
  <si>
    <t>Price ($)</t>
  </si>
  <si>
    <t>Product group</t>
  </si>
  <si>
    <t>Fixture</t>
  </si>
  <si>
    <t>Weekly Capcity</t>
  </si>
  <si>
    <t>Shipment Request</t>
  </si>
  <si>
    <t>Demand Quantity</t>
  </si>
  <si>
    <t>F</t>
  </si>
  <si>
    <t>2025 Fantasy Spaceship Model DIY kits</t>
  </si>
  <si>
    <t>US</t>
  </si>
  <si>
    <t>Arts &amp; Crafts Toy</t>
  </si>
  <si>
    <t>789EF</t>
  </si>
  <si>
    <t>A</t>
  </si>
  <si>
    <t>2026 Automatic Robot ver</t>
  </si>
  <si>
    <t>Electronic Toy</t>
  </si>
  <si>
    <t>123AB</t>
  </si>
  <si>
    <t>E</t>
  </si>
  <si>
    <t>2026 Scooter ver</t>
  </si>
  <si>
    <t>Australia</t>
  </si>
  <si>
    <t>Outdoor &amp; Sports Toy</t>
  </si>
  <si>
    <t>B</t>
  </si>
  <si>
    <t>2025 Barbie ver colorful</t>
  </si>
  <si>
    <t>Doll</t>
  </si>
  <si>
    <t>C</t>
  </si>
  <si>
    <t>2026 Castle &amp; Farm Blocks</t>
  </si>
  <si>
    <t>UK</t>
  </si>
  <si>
    <t>Building &amp; Construction Toy</t>
  </si>
  <si>
    <t>456CD</t>
  </si>
  <si>
    <t>D</t>
  </si>
  <si>
    <t>2026 Animal Animation Book</t>
  </si>
  <si>
    <t>Educational Toy</t>
  </si>
  <si>
    <t>Context</t>
  </si>
  <si>
    <t>A toy company is facing troubles with planning and data visualization</t>
  </si>
  <si>
    <t>Problems:</t>
  </si>
  <si>
    <t>1. Need to visualize master data</t>
  </si>
  <si>
    <t>2. Need to balance demand &amp; create master production scheduling (MPS) with inhouse capacity constraints</t>
  </si>
  <si>
    <t>3. Need to create material requirement planning (MRP) then determine reorder point based on leadtime (LT)</t>
  </si>
  <si>
    <t>No</t>
  </si>
  <si>
    <t>Question</t>
  </si>
  <si>
    <t>Requirement</t>
  </si>
  <si>
    <t>Visualize demand of 6 SKUs</t>
  </si>
  <si>
    <t>By Regions, Category, Total Value</t>
  </si>
  <si>
    <t>Create master production scheduling (MPS)</t>
  </si>
  <si>
    <t>Generate a master production planning for whole year</t>
  </si>
  <si>
    <t>Balance demand</t>
  </si>
  <si>
    <t>Based on current fixture set and weekly capacity to balance and suggest solution if over
1. Leverage demand
2. Buy more fixture</t>
  </si>
  <si>
    <t>Create Material requirment Planning (MRP)</t>
  </si>
  <si>
    <t>Generate a material requirement planning following 6 SKUs' demand and BOM usage</t>
  </si>
  <si>
    <t>Determine supply plan</t>
  </si>
  <si>
    <t>Based on leadtime, current stock on hand and pending PO to find out reorder point and fill out/ layout supply plan</t>
  </si>
  <si>
    <t>Figure out safety stock strategy</t>
  </si>
  <si>
    <t>Based on vendor location to define stock on hand level by week or day or hour (local and oversea)</t>
  </si>
  <si>
    <t>week first day</t>
  </si>
  <si>
    <t>production day</t>
  </si>
  <si>
    <t>Total Demand by SKU-Week</t>
  </si>
  <si>
    <t>market</t>
  </si>
  <si>
    <t>carton</t>
  </si>
  <si>
    <t>volume</t>
  </si>
  <si>
    <t>Packing size (pcs/ carton)</t>
  </si>
  <si>
    <t xml:space="preserve"> CBM (100 cartons) </t>
  </si>
  <si>
    <t>SKU</t>
  </si>
  <si>
    <t>Week</t>
  </si>
  <si>
    <t>Weekly Capacity</t>
  </si>
  <si>
    <t>Total Demand</t>
  </si>
  <si>
    <t>Beginning FG Inv</t>
  </si>
  <si>
    <t>Carryover Needed</t>
  </si>
  <si>
    <t>Net Required</t>
  </si>
  <si>
    <t>Planned Production</t>
  </si>
  <si>
    <t>Ending FG Inv</t>
  </si>
  <si>
    <t>Shortage</t>
  </si>
  <si>
    <t>ATP</t>
  </si>
  <si>
    <t>Capacity Load %</t>
  </si>
  <si>
    <t>Planner Note</t>
  </si>
  <si>
    <t>Logic</t>
  </si>
  <si>
    <t>Carryover Needed = lượng tồn phải build trước để cover tuần sau bị quá tải.</t>
  </si>
  <si>
    <t>Nếu Fixture_Capacity_Input có dữ liệu cho fixture-week, MPS sẽ dùng capacity đó.</t>
  </si>
  <si>
    <t>Nếu Fixture_Capacity_Input trống, MPS dùng Weekly Capacity từ weekly_demand.</t>
  </si>
  <si>
    <t>RM01</t>
  </si>
  <si>
    <t>RM02</t>
  </si>
  <si>
    <t>RM03</t>
  </si>
  <si>
    <t>RM04</t>
  </si>
  <si>
    <t>RM05</t>
  </si>
  <si>
    <t>RM06</t>
  </si>
  <si>
    <t>RM07</t>
  </si>
  <si>
    <t>RM08</t>
  </si>
  <si>
    <t>RM09</t>
  </si>
  <si>
    <t>RM10</t>
  </si>
  <si>
    <t>RM11</t>
  </si>
  <si>
    <t>RM12</t>
  </si>
  <si>
    <t>RM13</t>
  </si>
  <si>
    <t>RM14</t>
  </si>
  <si>
    <t>RM15</t>
  </si>
  <si>
    <t>BOM usage helper</t>
  </si>
  <si>
    <t>Items</t>
  </si>
  <si>
    <t>Lot size</t>
  </si>
  <si>
    <t>Lead time</t>
  </si>
  <si>
    <t>1-2 weeks</t>
  </si>
  <si>
    <t>Beginning inventory</t>
  </si>
  <si>
    <t>Scheduled receipts</t>
  </si>
  <si>
    <t>Safety stock</t>
  </si>
  <si>
    <t>Local=1 wk avg demand; Oversea=2 wks avg demand</t>
  </si>
  <si>
    <t>Item RM01</t>
  </si>
  <si>
    <t>LLC: 1</t>
  </si>
  <si>
    <t>Lot size: L4L</t>
  </si>
  <si>
    <t>Gross requirement</t>
  </si>
  <si>
    <t>Projected on hand</t>
  </si>
  <si>
    <t>Net requirements</t>
  </si>
  <si>
    <t>Planned order receipts</t>
  </si>
  <si>
    <t>Planned order releases</t>
  </si>
  <si>
    <t>Item RM02</t>
  </si>
  <si>
    <t>Item RM03</t>
  </si>
  <si>
    <t>Item RM04</t>
  </si>
  <si>
    <t>Item RM05</t>
  </si>
  <si>
    <t>Item RM06</t>
  </si>
  <si>
    <t>Item RM07</t>
  </si>
  <si>
    <t>Item RM08</t>
  </si>
  <si>
    <t>Item RM09</t>
  </si>
  <si>
    <t>Item RM10</t>
  </si>
  <si>
    <t>Item RM11</t>
  </si>
  <si>
    <t>Item RM12</t>
  </si>
  <si>
    <t>Item RM13</t>
  </si>
  <si>
    <t>Item RM14</t>
  </si>
  <si>
    <t>Item RM15</t>
  </si>
  <si>
    <t>No.</t>
  </si>
  <si>
    <t>Model number</t>
  </si>
  <si>
    <t>Component number</t>
  </si>
  <si>
    <t>Description</t>
  </si>
  <si>
    <t>Vendor location</t>
  </si>
  <si>
    <t>BOM usage</t>
  </si>
  <si>
    <t>Leadtime</t>
  </si>
  <si>
    <t>Stock</t>
  </si>
  <si>
    <t>Pending PO</t>
  </si>
  <si>
    <t>U/P (USD/ uom)</t>
  </si>
  <si>
    <t>UOM</t>
  </si>
  <si>
    <t>Packaging label</t>
  </si>
  <si>
    <t>Local</t>
  </si>
  <si>
    <t>pc</t>
  </si>
  <si>
    <t>Packaging carton</t>
  </si>
  <si>
    <t>Pc</t>
  </si>
  <si>
    <t>Common plastic</t>
  </si>
  <si>
    <t>Kg</t>
  </si>
  <si>
    <t>PCBA</t>
  </si>
  <si>
    <t>Oversea</t>
  </si>
  <si>
    <t>Charger</t>
  </si>
  <si>
    <t>Fabric</t>
  </si>
  <si>
    <t>m</t>
  </si>
  <si>
    <t>Industrial color</t>
  </si>
  <si>
    <t>gr</t>
  </si>
  <si>
    <t>Special Resin</t>
  </si>
  <si>
    <t>kg</t>
  </si>
  <si>
    <t>Wooden</t>
  </si>
  <si>
    <t>Cbm</t>
  </si>
  <si>
    <t>Battery</t>
  </si>
  <si>
    <t>Glue</t>
  </si>
  <si>
    <t>Steel metal</t>
  </si>
  <si>
    <t>Wheel</t>
  </si>
  <si>
    <t>Solar pannel</t>
  </si>
  <si>
    <t>Cell</t>
  </si>
  <si>
    <t>Ex. Work price (Usd/ pc)</t>
  </si>
  <si>
    <t xml:space="preserve">Australia </t>
  </si>
  <si>
    <t>Coporate Ocean frieght charge</t>
  </si>
  <si>
    <t xml:space="preserve">FCL </t>
  </si>
  <si>
    <t>AU</t>
  </si>
  <si>
    <t xml:space="preserve">Max load CBM / container </t>
  </si>
  <si>
    <t xml:space="preserve">40" </t>
  </si>
  <si>
    <t xml:space="preserve">20" </t>
  </si>
  <si>
    <t>LT (day)</t>
  </si>
  <si>
    <t xml:space="preserve">LCL </t>
  </si>
  <si>
    <t>per CBM</t>
  </si>
  <si>
    <t xml:space="preserve">Airfreigh , follow forwarder website at demand date </t>
  </si>
  <si>
    <t xml:space="preserve">Production Planning </t>
  </si>
  <si>
    <t>Calendar Buckets &amp; Available Capacity (6 workdays/week, Sunday off)</t>
  </si>
  <si>
    <t>Bucket</t>
  </si>
  <si>
    <t>Start</t>
  </si>
  <si>
    <t>End</t>
  </si>
  <si>
    <t>Workdays</t>
  </si>
  <si>
    <t>Workdays/6</t>
  </si>
  <si>
    <t>Notes</t>
  </si>
  <si>
    <t>Start date</t>
  </si>
  <si>
    <t xml:space="preserve">B1 </t>
  </si>
  <si>
    <t>Mon–Sat; Sunday off</t>
  </si>
  <si>
    <t>End date</t>
  </si>
  <si>
    <t xml:space="preserve">B2 </t>
  </si>
  <si>
    <t>Workdays / week</t>
  </si>
  <si>
    <t>B3</t>
  </si>
  <si>
    <t>Shifts / day</t>
  </si>
  <si>
    <t>B4</t>
  </si>
  <si>
    <t>Lead time min (days)</t>
  </si>
  <si>
    <t>B5</t>
  </si>
  <si>
    <t>Lead time max (days)</t>
  </si>
  <si>
    <t>Note</t>
  </si>
  <si>
    <t>Factory runs 2 shifts/day, 6 days/week (Sunday off). Plan buckets follow Mon–Sat weeks.</t>
  </si>
  <si>
    <t>Overall</t>
  </si>
  <si>
    <t>Total workdays in horizon</t>
  </si>
  <si>
    <t>Theoretical shipment request estimated by lead time</t>
  </si>
  <si>
    <t>Demand Aggregated for Production Horizon (15.4-15.5)</t>
  </si>
  <si>
    <t>Weekly capacity</t>
  </si>
  <si>
    <t>B1</t>
  </si>
  <si>
    <t>B2</t>
  </si>
  <si>
    <t>Total capacity (horizon)</t>
  </si>
  <si>
    <t>Market</t>
  </si>
  <si>
    <t>Ship request</t>
  </si>
  <si>
    <t>Demand quantity</t>
  </si>
  <si>
    <t>Earliest production date (Ship-LeadMax)</t>
  </si>
  <si>
    <t>Latest production date (Ship-LeadMin)</t>
  </si>
  <si>
    <t>Production Plan (Daily workday view)</t>
  </si>
  <si>
    <t>Weekly cap</t>
  </si>
  <si>
    <t>Earliest production date</t>
  </si>
  <si>
    <t>Latest production date</t>
  </si>
  <si>
    <t>Week 1</t>
  </si>
  <si>
    <t>Week 2</t>
  </si>
  <si>
    <t>Week 3</t>
  </si>
  <si>
    <t>Week 4</t>
  </si>
  <si>
    <t>Week 5</t>
  </si>
  <si>
    <t>Planned total</t>
  </si>
  <si>
    <t>Risk</t>
  </si>
  <si>
    <t>Late qty</t>
  </si>
  <si>
    <t>Horizon status</t>
  </si>
  <si>
    <t>Fixture capacity by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</si>
</sst>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_);_(* \(#,##0\);_(* &quot;-&quot;??_);_(@_)"/>
    <numFmt numFmtId="165" formatCode="_(&quot;$&quot;* #,##0_);_(&quot;$&quot;* \(#,##0\);_(&quot;$&quot;* &quot;-&quot;??_);_(@_)"/>
    <numFmt numFmtId="166" formatCode="0.##"/>
    <numFmt numFmtId="167" formatCode="0.###"/>
    <numFmt numFmtId="168" formatCode="0.0%"/>
    <numFmt numFmtId="169" formatCode="_(* #,##0_);_(* \(#,##0\);_(* \-??_);_(@_)"/>
    <numFmt numFmtId="170" formatCode="m/d/yyyy"/>
    <numFmt numFmtId="171" formatCode="dd/mm"/>
    <numFmt numFmtId="172" formatCode="_(&quot;$&quot;* #,##0.00_);_(&quot;$&quot;* \(#,##0.00\);_(&quot;$&quot;* &quot;-&quot;??_);_(@_)"/>
  </numFmts>
  <fonts count="27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11"/>
      <color theme="4" tint="-0.249977111117893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242424"/>
      <name val="Aptos Narrow"/>
      <family val="2"/>
      <charset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charset val="1"/>
    </font>
    <font>
      <b/>
      <sz val="16"/>
      <color theme="0"/>
      <name val="Times New Roman"/>
      <family val="1"/>
      <charset val="1"/>
    </font>
    <font>
      <b/>
      <sz val="13"/>
      <color theme="0"/>
      <name val="Times New Roman"/>
      <family val="1"/>
      <charset val="1"/>
    </font>
    <font>
      <b/>
      <sz val="13"/>
      <color rgb="FF2E75B5"/>
      <name val="Times New Roman"/>
      <family val="1"/>
      <charset val="1"/>
    </font>
    <font>
      <sz val="13"/>
      <color rgb="FF000000"/>
      <name val="Times New Roman"/>
      <family val="1"/>
      <charset val="1"/>
    </font>
    <font>
      <b/>
      <sz val="13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b/>
      <sz val="15"/>
      <color theme="0"/>
      <name val="Times New Roman"/>
      <family val="1"/>
      <charset val="1"/>
    </font>
    <font>
      <b/>
      <sz val="13"/>
      <color rgb="FF000000"/>
      <name val="Times New Roman"/>
      <family val="1"/>
      <charset val="1"/>
    </font>
    <font>
      <sz val="12"/>
      <color theme="1"/>
      <name val="Aptos Narrow"/>
      <family val="2"/>
    </font>
    <font>
      <sz val="13"/>
      <color rgb="FF0000FF"/>
      <name val="Times New Roman"/>
      <family val="1"/>
      <charset val="1"/>
    </font>
  </fonts>
  <fills count="2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808080"/>
      </patternFill>
    </fill>
    <fill>
      <patternFill patternType="solid">
        <fgColor rgb="FFD9EAD3"/>
      </patternFill>
    </fill>
    <fill>
      <patternFill patternType="solid">
        <fgColor theme="4" tint="0.79989013336588644"/>
        <bgColor rgb="FFCAEEFB"/>
      </patternFill>
    </fill>
    <fill>
      <patternFill patternType="solid">
        <fgColor rgb="FFB3E5A1"/>
        <bgColor rgb="FFC1F0C8"/>
      </patternFill>
    </fill>
    <fill>
      <patternFill patternType="solid">
        <fgColor rgb="FFC1F0C8"/>
        <bgColor rgb="FFD9EAD3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theme="7" tint="0.79989013336588644"/>
        <bgColor rgb="FFDEEAF6"/>
      </patternFill>
    </fill>
    <fill>
      <patternFill patternType="solid">
        <fgColor theme="3" tint="9.9887081514938816E-2"/>
        <bgColor rgb="FF084F6B"/>
      </patternFill>
    </fill>
    <fill>
      <patternFill patternType="solid">
        <fgColor theme="3" tint="0.49989318521683401"/>
        <bgColor rgb="FF46B1E1"/>
      </patternFill>
    </fill>
    <fill>
      <patternFill patternType="solid">
        <fgColor theme="4" tint="0.39988402966399123"/>
        <bgColor rgb="FF4E95D9"/>
      </patternFill>
    </fill>
    <fill>
      <patternFill patternType="solid">
        <fgColor rgb="FFDEEAF6"/>
        <bgColor rgb="FFEAEEF3"/>
      </patternFill>
    </fill>
    <fill>
      <patternFill patternType="solid">
        <fgColor rgb="FFEAEEF3"/>
        <bgColor rgb="FFE8E8E8"/>
      </patternFill>
    </fill>
    <fill>
      <patternFill patternType="solid">
        <fgColor theme="2"/>
        <bgColor rgb="FFEAEEF3"/>
      </patternFill>
    </fill>
    <fill>
      <patternFill patternType="solid">
        <fgColor theme="3" tint="0.24988555558946501"/>
        <bgColor rgb="FF2E75B5"/>
      </patternFill>
    </fill>
    <fill>
      <patternFill patternType="solid">
        <fgColor theme="7" tint="-0.499984740745262"/>
        <bgColor rgb="FF163E64"/>
      </patternFill>
    </fill>
    <fill>
      <patternFill patternType="solid">
        <fgColor rgb="FF0070C0"/>
        <bgColor rgb="FF00808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0D7DE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5">
    <xf numFmtId="0" fontId="0" fillId="0" borderId="0"/>
    <xf numFmtId="43" fontId="3" fillId="0" borderId="0"/>
    <xf numFmtId="172" fontId="3" fillId="0" borderId="0"/>
    <xf numFmtId="0" fontId="16" fillId="0" borderId="0"/>
    <xf numFmtId="0" fontId="25" fillId="0" borderId="0"/>
  </cellStyleXfs>
  <cellXfs count="12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/>
    <xf numFmtId="0" fontId="0" fillId="3" borderId="2" xfId="0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4" fontId="0" fillId="0" borderId="3" xfId="0" applyNumberFormat="1" applyBorder="1"/>
    <xf numFmtId="164" fontId="0" fillId="0" borderId="3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164" fontId="0" fillId="0" borderId="0" xfId="0" applyNumberFormat="1"/>
    <xf numFmtId="43" fontId="0" fillId="0" borderId="0" xfId="1" applyFont="1"/>
    <xf numFmtId="0" fontId="0" fillId="0" borderId="0" xfId="0" applyAlignment="1">
      <alignment horizontal="left"/>
    </xf>
    <xf numFmtId="0" fontId="0" fillId="4" borderId="0" xfId="0" applyFill="1"/>
    <xf numFmtId="43" fontId="0" fillId="4" borderId="0" xfId="1" applyFont="1" applyFill="1" applyAlignment="1">
      <alignment wrapText="1"/>
    </xf>
    <xf numFmtId="43" fontId="0" fillId="0" borderId="0" xfId="0" applyNumberFormat="1"/>
    <xf numFmtId="0" fontId="4" fillId="0" borderId="0" xfId="0" applyFont="1"/>
    <xf numFmtId="0" fontId="0" fillId="0" borderId="5" xfId="0" applyBorder="1"/>
    <xf numFmtId="0" fontId="0" fillId="0" borderId="6" xfId="0" applyBorder="1"/>
    <xf numFmtId="165" fontId="0" fillId="0" borderId="6" xfId="2" applyNumberFormat="1" applyFont="1" applyBorder="1"/>
    <xf numFmtId="0" fontId="0" fillId="0" borderId="7" xfId="0" applyBorder="1"/>
    <xf numFmtId="0" fontId="4" fillId="0" borderId="6" xfId="0" applyFont="1" applyBorder="1"/>
    <xf numFmtId="0" fontId="0" fillId="0" borderId="5" xfId="0" applyBorder="1" applyAlignment="1">
      <alignment wrapText="1"/>
    </xf>
    <xf numFmtId="164" fontId="0" fillId="0" borderId="6" xfId="1" applyNumberFormat="1" applyFont="1" applyBorder="1"/>
    <xf numFmtId="0" fontId="0" fillId="5" borderId="0" xfId="0" applyFill="1"/>
    <xf numFmtId="14" fontId="0" fillId="0" borderId="0" xfId="0" applyNumberFormat="1"/>
    <xf numFmtId="14" fontId="0" fillId="3" borderId="2" xfId="0" applyNumberFormat="1" applyFill="1" applyBorder="1"/>
    <xf numFmtId="0" fontId="4" fillId="6" borderId="1" xfId="0" applyFont="1" applyFill="1" applyBorder="1"/>
    <xf numFmtId="14" fontId="0" fillId="6" borderId="0" xfId="0" applyNumberFormat="1" applyFill="1"/>
    <xf numFmtId="14" fontId="4" fillId="6" borderId="8" xfId="0" applyNumberFormat="1" applyFont="1" applyFill="1" applyBorder="1"/>
    <xf numFmtId="0" fontId="0" fillId="6" borderId="0" xfId="0" applyFill="1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7" borderId="12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14" fontId="0" fillId="0" borderId="12" xfId="0" applyNumberFormat="1" applyBorder="1"/>
    <xf numFmtId="166" fontId="0" fillId="0" borderId="12" xfId="0" applyNumberFormat="1" applyBorder="1"/>
    <xf numFmtId="0" fontId="7" fillId="9" borderId="0" xfId="0" applyFont="1" applyFill="1" applyAlignment="1">
      <alignment horizontal="center"/>
    </xf>
    <xf numFmtId="167" fontId="0" fillId="0" borderId="0" xfId="0" applyNumberFormat="1"/>
    <xf numFmtId="0" fontId="8" fillId="10" borderId="0" xfId="0" applyFont="1" applyFill="1"/>
    <xf numFmtId="0" fontId="8" fillId="0" borderId="0" xfId="0" applyFont="1"/>
    <xf numFmtId="0" fontId="9" fillId="11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11" xfId="0" applyBorder="1"/>
    <xf numFmtId="0" fontId="9" fillId="12" borderId="1" xfId="0" applyFont="1" applyFill="1" applyBorder="1" applyAlignment="1">
      <alignment wrapText="1"/>
    </xf>
    <xf numFmtId="14" fontId="9" fillId="12" borderId="1" xfId="0" applyNumberFormat="1" applyFont="1" applyFill="1" applyBorder="1" applyAlignment="1">
      <alignment horizontal="right" wrapText="1"/>
    </xf>
    <xf numFmtId="14" fontId="9" fillId="12" borderId="9" xfId="0" applyNumberFormat="1" applyFont="1" applyFill="1" applyBorder="1" applyAlignment="1">
      <alignment horizontal="right" wrapText="1"/>
    </xf>
    <xf numFmtId="14" fontId="9" fillId="0" borderId="0" xfId="0" applyNumberFormat="1" applyFont="1" applyAlignment="1">
      <alignment horizontal="right" wrapText="1"/>
    </xf>
    <xf numFmtId="0" fontId="10" fillId="0" borderId="1" xfId="0" applyFont="1" applyBorder="1" applyAlignment="1">
      <alignment wrapText="1"/>
    </xf>
    <xf numFmtId="0" fontId="11" fillId="7" borderId="13" xfId="0" applyFont="1" applyFill="1" applyBorder="1" applyAlignment="1">
      <alignment horizontal="center" vertical="center" wrapText="1"/>
    </xf>
    <xf numFmtId="0" fontId="12" fillId="13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vertical="top" wrapText="1"/>
    </xf>
    <xf numFmtId="0" fontId="13" fillId="0" borderId="13" xfId="0" applyFont="1" applyBorder="1"/>
    <xf numFmtId="14" fontId="13" fillId="0" borderId="13" xfId="0" applyNumberFormat="1" applyFont="1" applyBorder="1"/>
    <xf numFmtId="3" fontId="13" fillId="0" borderId="13" xfId="0" applyNumberFormat="1" applyFont="1" applyBorder="1" applyAlignment="1">
      <alignment vertical="top" wrapText="1"/>
    </xf>
    <xf numFmtId="3" fontId="13" fillId="0" borderId="13" xfId="0" applyNumberFormat="1" applyFont="1" applyBorder="1"/>
    <xf numFmtId="168" fontId="13" fillId="0" borderId="13" xfId="0" applyNumberFormat="1" applyFont="1" applyBorder="1"/>
    <xf numFmtId="0" fontId="14" fillId="14" borderId="0" xfId="0" applyFont="1" applyFill="1"/>
    <xf numFmtId="0" fontId="0" fillId="0" borderId="13" xfId="0" applyBorder="1" applyAlignment="1">
      <alignment vertical="top"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66" fontId="15" fillId="0" borderId="12" xfId="0" applyNumberFormat="1" applyFont="1" applyBorder="1"/>
    <xf numFmtId="0" fontId="16" fillId="15" borderId="1" xfId="3" applyFill="1" applyBorder="1"/>
    <xf numFmtId="0" fontId="16" fillId="15" borderId="2" xfId="3" applyFill="1" applyBorder="1"/>
    <xf numFmtId="0" fontId="16" fillId="0" borderId="0" xfId="3"/>
    <xf numFmtId="0" fontId="16" fillId="0" borderId="1" xfId="3" applyBorder="1"/>
    <xf numFmtId="169" fontId="16" fillId="0" borderId="1" xfId="3" applyNumberFormat="1" applyBorder="1"/>
    <xf numFmtId="170" fontId="16" fillId="0" borderId="3" xfId="3" applyNumberFormat="1" applyBorder="1"/>
    <xf numFmtId="169" fontId="16" fillId="0" borderId="3" xfId="3" applyNumberFormat="1" applyBorder="1"/>
    <xf numFmtId="170" fontId="16" fillId="0" borderId="1" xfId="3" applyNumberFormat="1" applyBorder="1"/>
    <xf numFmtId="170" fontId="16" fillId="0" borderId="4" xfId="3" applyNumberFormat="1" applyBorder="1"/>
    <xf numFmtId="169" fontId="16" fillId="0" borderId="4" xfId="3" applyNumberFormat="1" applyBorder="1"/>
    <xf numFmtId="0" fontId="18" fillId="18" borderId="1" xfId="3" applyFont="1" applyFill="1" applyBorder="1" applyAlignment="1">
      <alignment horizontal="center" vertical="center" wrapText="1"/>
    </xf>
    <xf numFmtId="0" fontId="19" fillId="19" borderId="14" xfId="3" applyFont="1" applyFill="1" applyBorder="1" applyAlignment="1">
      <alignment horizontal="left" vertical="center"/>
    </xf>
    <xf numFmtId="0" fontId="21" fillId="21" borderId="1" xfId="3" applyFont="1" applyFill="1" applyBorder="1" applyAlignment="1">
      <alignment vertical="center" wrapText="1"/>
    </xf>
    <xf numFmtId="0" fontId="22" fillId="21" borderId="1" xfId="3" applyFont="1" applyFill="1" applyBorder="1" applyAlignment="1">
      <alignment horizontal="center" vertical="center" wrapText="1"/>
    </xf>
    <xf numFmtId="0" fontId="22" fillId="21" borderId="1" xfId="3" applyFont="1" applyFill="1" applyBorder="1" applyAlignment="1">
      <alignment vertical="center" wrapText="1"/>
    </xf>
    <xf numFmtId="0" fontId="19" fillId="19" borderId="14" xfId="3" applyFont="1" applyFill="1" applyBorder="1" applyAlignment="1">
      <alignment horizontal="left"/>
    </xf>
    <xf numFmtId="0" fontId="19" fillId="19" borderId="14" xfId="3" applyFont="1" applyFill="1" applyBorder="1" applyAlignment="1">
      <alignment horizontal="left" vertical="center" wrapText="1"/>
    </xf>
    <xf numFmtId="0" fontId="19" fillId="19" borderId="1" xfId="3" applyFont="1" applyFill="1" applyBorder="1" applyAlignment="1">
      <alignment horizontal="center" vertical="center" wrapText="1"/>
    </xf>
    <xf numFmtId="0" fontId="24" fillId="20" borderId="1" xfId="3" applyFont="1" applyFill="1" applyBorder="1" applyAlignment="1">
      <alignment horizontal="left" vertical="center" wrapText="1"/>
    </xf>
    <xf numFmtId="3" fontId="24" fillId="20" borderId="1" xfId="3" applyNumberFormat="1" applyFont="1" applyFill="1" applyBorder="1" applyAlignment="1">
      <alignment horizontal="center" vertical="center"/>
    </xf>
    <xf numFmtId="3" fontId="20" fillId="20" borderId="1" xfId="3" applyNumberFormat="1" applyFont="1" applyFill="1" applyBorder="1" applyAlignment="1">
      <alignment horizontal="right" vertical="center"/>
    </xf>
    <xf numFmtId="3" fontId="24" fillId="20" borderId="1" xfId="3" applyNumberFormat="1" applyFont="1" applyFill="1" applyBorder="1" applyAlignment="1">
      <alignment horizontal="right" vertical="center" wrapText="1"/>
    </xf>
    <xf numFmtId="0" fontId="20" fillId="20" borderId="1" xfId="3" applyFont="1" applyFill="1" applyBorder="1" applyAlignment="1">
      <alignment horizontal="center" vertical="center" wrapText="1"/>
    </xf>
    <xf numFmtId="0" fontId="20" fillId="20" borderId="1" xfId="3" applyFont="1" applyFill="1" applyBorder="1" applyAlignment="1">
      <alignment horizontal="left" vertical="center" wrapText="1"/>
    </xf>
    <xf numFmtId="0" fontId="19" fillId="19" borderId="15" xfId="4" applyFont="1" applyFill="1" applyBorder="1" applyAlignment="1">
      <alignment horizontal="center" vertical="center" wrapText="1"/>
    </xf>
    <xf numFmtId="171" fontId="19" fillId="19" borderId="15" xfId="4" applyNumberFormat="1" applyFont="1" applyFill="1" applyBorder="1" applyAlignment="1">
      <alignment horizontal="center" vertical="center"/>
    </xf>
    <xf numFmtId="0" fontId="16" fillId="0" borderId="16" xfId="3" applyBorder="1"/>
    <xf numFmtId="0" fontId="20" fillId="20" borderId="15" xfId="4" applyFont="1" applyFill="1" applyBorder="1" applyAlignment="1">
      <alignment horizontal="center" vertical="center" wrapText="1"/>
    </xf>
    <xf numFmtId="0" fontId="20" fillId="20" borderId="15" xfId="4" applyFont="1" applyFill="1" applyBorder="1" applyAlignment="1">
      <alignment horizontal="left" vertical="center" wrapText="1"/>
    </xf>
    <xf numFmtId="3" fontId="20" fillId="20" borderId="15" xfId="4" applyNumberFormat="1" applyFont="1" applyFill="1" applyBorder="1" applyAlignment="1">
      <alignment horizontal="right"/>
    </xf>
    <xf numFmtId="3" fontId="26" fillId="20" borderId="15" xfId="4" applyNumberFormat="1" applyFont="1" applyFill="1" applyBorder="1" applyAlignment="1">
      <alignment horizontal="right"/>
    </xf>
    <xf numFmtId="3" fontId="20" fillId="20" borderId="15" xfId="4" applyNumberFormat="1" applyFont="1" applyFill="1" applyBorder="1" applyAlignment="1">
      <alignment horizontal="center" vertical="center" wrapText="1"/>
    </xf>
    <xf numFmtId="3" fontId="20" fillId="20" borderId="15" xfId="4" applyNumberFormat="1" applyFont="1" applyFill="1" applyBorder="1" applyAlignment="1">
      <alignment horizontal="center"/>
    </xf>
    <xf numFmtId="49" fontId="20" fillId="20" borderId="15" xfId="4" applyNumberFormat="1" applyFont="1" applyFill="1" applyBorder="1" applyAlignment="1">
      <alignment horizontal="center" vertical="center"/>
    </xf>
    <xf numFmtId="3" fontId="20" fillId="20" borderId="15" xfId="4" applyNumberFormat="1" applyFont="1" applyFill="1" applyBorder="1" applyAlignment="1">
      <alignment horizontal="center" vertical="center"/>
    </xf>
    <xf numFmtId="14" fontId="22" fillId="21" borderId="1" xfId="3" applyNumberFormat="1" applyFont="1" applyFill="1" applyBorder="1" applyAlignment="1">
      <alignment horizontal="right" vertical="center" wrapText="1"/>
    </xf>
    <xf numFmtId="14" fontId="20" fillId="20" borderId="1" xfId="3" applyNumberFormat="1" applyFont="1" applyFill="1" applyBorder="1" applyAlignment="1">
      <alignment horizontal="right" vertical="center"/>
    </xf>
    <xf numFmtId="14" fontId="20" fillId="20" borderId="15" xfId="4" applyNumberFormat="1" applyFont="1" applyFill="1" applyBorder="1" applyAlignment="1">
      <alignment horizontal="center"/>
    </xf>
    <xf numFmtId="0" fontId="19" fillId="19" borderId="15" xfId="4" applyFont="1" applyFill="1" applyBorder="1" applyAlignment="1">
      <alignment horizontal="center" vertical="center"/>
    </xf>
    <xf numFmtId="0" fontId="19" fillId="19" borderId="15" xfId="4" applyFont="1" applyFill="1" applyBorder="1" applyAlignment="1">
      <alignment horizontal="center" vertical="center" wrapText="1"/>
    </xf>
    <xf numFmtId="0" fontId="23" fillId="23" borderId="1" xfId="3" applyFont="1" applyFill="1" applyBorder="1" applyAlignment="1">
      <alignment horizontal="center" vertical="center"/>
    </xf>
    <xf numFmtId="0" fontId="17" fillId="24" borderId="1" xfId="3" applyFont="1" applyFill="1" applyBorder="1" applyAlignment="1">
      <alignment horizontal="center" vertical="center"/>
    </xf>
    <xf numFmtId="170" fontId="20" fillId="20" borderId="14" xfId="3" applyNumberFormat="1" applyFont="1" applyFill="1" applyBorder="1" applyAlignment="1">
      <alignment horizontal="left" vertical="center"/>
    </xf>
    <xf numFmtId="0" fontId="17" fillId="16" borderId="14" xfId="3" applyFont="1" applyFill="1" applyBorder="1" applyAlignment="1">
      <alignment horizontal="center" vertical="center"/>
    </xf>
    <xf numFmtId="0" fontId="17" fillId="17" borderId="1" xfId="3" applyFont="1" applyFill="1" applyBorder="1" applyAlignment="1">
      <alignment horizontal="center" vertical="center" wrapText="1"/>
    </xf>
    <xf numFmtId="170" fontId="20" fillId="20" borderId="14" xfId="3" applyNumberFormat="1" applyFont="1" applyFill="1" applyBorder="1" applyAlignment="1">
      <alignment horizontal="left" vertical="center" wrapText="1"/>
    </xf>
    <xf numFmtId="0" fontId="20" fillId="20" borderId="14" xfId="3" applyFont="1" applyFill="1" applyBorder="1" applyAlignment="1">
      <alignment horizontal="left" vertical="center" wrapText="1"/>
    </xf>
    <xf numFmtId="0" fontId="17" fillId="22" borderId="14" xfId="3" applyFont="1" applyFill="1" applyBorder="1" applyAlignment="1">
      <alignment horizontal="center" vertical="center"/>
    </xf>
    <xf numFmtId="1" fontId="20" fillId="20" borderId="14" xfId="3" applyNumberFormat="1" applyFont="1" applyFill="1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9" fillId="1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17" fillId="17" borderId="9" xfId="3" applyFont="1" applyFill="1" applyBorder="1" applyAlignment="1">
      <alignment horizontal="center" vertical="center" wrapText="1"/>
    </xf>
    <xf numFmtId="0" fontId="17" fillId="17" borderId="10" xfId="3" applyFont="1" applyFill="1" applyBorder="1" applyAlignment="1">
      <alignment horizontal="center" vertical="center" wrapText="1"/>
    </xf>
    <xf numFmtId="0" fontId="17" fillId="17" borderId="11" xfId="3" applyFont="1" applyFill="1" applyBorder="1" applyAlignment="1">
      <alignment horizontal="center" vertical="center" wrapText="1"/>
    </xf>
  </cellXfs>
  <cellStyles count="5">
    <cellStyle name="Comma" xfId="1" builtinId="3"/>
    <cellStyle name="Currency" xfId="2" builtinId="4"/>
    <cellStyle name="Normal" xfId="0" builtinId="0"/>
    <cellStyle name="Normal 2" xfId="3" xr:uid="{00000000-0005-0000-0000-000003000000}"/>
    <cellStyle name="Normal 2 2" xfId="4" xr:uid="{00000000-0005-0000-0000-000004000000}"/>
  </cellStyles>
  <dxfs count="34">
    <dxf>
      <font>
        <color rgb="FF404040"/>
      </font>
      <fill>
        <patternFill>
          <bgColor rgb="FFD9E1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04040"/>
      </font>
      <fill>
        <patternFill>
          <bgColor rgb="FFD9E1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65911"/>
      </font>
      <fill>
        <patternFill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Arial"/>
        <family val="2"/>
      </font>
      <fill>
        <patternFill patternType="solid">
          <fgColor indexed="64"/>
          <bgColor rgb="FF0070C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(* #,##0_);_(* \(#,##0\);_(* &quot;-&quot;??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3" formatCode="mm/dd/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numFmt numFmtId="170" formatCode="m/d/yyyy"/>
    </dxf>
    <dxf>
      <numFmt numFmtId="170" formatCode="m/d/yyyy"/>
    </dxf>
    <dxf>
      <numFmt numFmtId="164" formatCode="_(* #,##0_);_(* \(#,##0\);_(* &quot;-&quot;??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3" formatCode="mm/dd/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roduction Schedule"/>
      <sheetName val="README"/>
      <sheetName val="weekly_demand"/>
      <sheetName val="FG_Begin_Inventory"/>
      <sheetName val="Fixture_Capacity_Input"/>
      <sheetName val="BOM &amp; Inventory"/>
      <sheetName val="Pending_PO_ETA"/>
      <sheetName val="Fixture_Check"/>
      <sheetName val="Overall Case Study"/>
      <sheetName val="Demand"/>
      <sheetName val="Sheet1"/>
      <sheetName val="BOM_demand"/>
      <sheetName val="MRP"/>
      <sheetName val="FGs &amp; Log information "/>
    </sheetNames>
    <sheetDataSet>
      <sheetData sheetId="0"/>
      <sheetData sheetId="1"/>
      <sheetData sheetId="2">
        <row r="1">
          <cell r="A1" t="str">
            <v>Item name</v>
          </cell>
        </row>
      </sheetData>
      <sheetData sheetId="3">
        <row r="1">
          <cell r="A1" t="str">
            <v>SKU</v>
          </cell>
          <cell r="B1" t="str">
            <v>Beginning FG Inventory</v>
          </cell>
        </row>
        <row r="2">
          <cell r="A2" t="str">
            <v>A</v>
          </cell>
          <cell r="B2">
            <v>0</v>
          </cell>
        </row>
        <row r="3">
          <cell r="A3" t="str">
            <v>B</v>
          </cell>
          <cell r="B3">
            <v>0</v>
          </cell>
        </row>
        <row r="4">
          <cell r="A4" t="str">
            <v>C</v>
          </cell>
          <cell r="B4">
            <v>0</v>
          </cell>
        </row>
        <row r="5">
          <cell r="A5" t="str">
            <v>D</v>
          </cell>
          <cell r="B5">
            <v>0</v>
          </cell>
        </row>
        <row r="6">
          <cell r="A6" t="str">
            <v>E</v>
          </cell>
          <cell r="B6">
            <v>0</v>
          </cell>
        </row>
        <row r="7">
          <cell r="A7" t="str">
            <v>F</v>
          </cell>
          <cell r="B7">
            <v>0</v>
          </cell>
        </row>
      </sheetData>
      <sheetData sheetId="4">
        <row r="1">
          <cell r="A1" t="str">
            <v>Fixture</v>
          </cell>
          <cell r="B1" t="str">
            <v>Week</v>
          </cell>
          <cell r="C1" t="str">
            <v>Fixture Capacity</v>
          </cell>
        </row>
        <row r="2">
          <cell r="A2" t="str">
            <v>123AB</v>
          </cell>
          <cell r="B2">
            <v>46150</v>
          </cell>
          <cell r="C2">
            <v>15000</v>
          </cell>
        </row>
        <row r="3">
          <cell r="A3" t="str">
            <v>123AB</v>
          </cell>
          <cell r="B3">
            <v>46157</v>
          </cell>
          <cell r="C3">
            <v>15000</v>
          </cell>
        </row>
        <row r="4">
          <cell r="A4" t="str">
            <v>123AB</v>
          </cell>
          <cell r="B4">
            <v>46164</v>
          </cell>
          <cell r="C4">
            <v>15000</v>
          </cell>
        </row>
        <row r="5">
          <cell r="A5" t="str">
            <v>123AB</v>
          </cell>
          <cell r="B5">
            <v>46171</v>
          </cell>
          <cell r="C5">
            <v>15000</v>
          </cell>
        </row>
        <row r="6">
          <cell r="A6" t="str">
            <v>123AB</v>
          </cell>
          <cell r="B6">
            <v>46178</v>
          </cell>
          <cell r="C6">
            <v>15000</v>
          </cell>
        </row>
        <row r="7">
          <cell r="A7" t="str">
            <v>123AB</v>
          </cell>
          <cell r="B7">
            <v>46185</v>
          </cell>
          <cell r="C7">
            <v>15000</v>
          </cell>
        </row>
        <row r="8">
          <cell r="A8" t="str">
            <v>123AB</v>
          </cell>
          <cell r="B8">
            <v>46192</v>
          </cell>
          <cell r="C8">
            <v>15000</v>
          </cell>
        </row>
        <row r="9">
          <cell r="A9" t="str">
            <v>123AB</v>
          </cell>
          <cell r="B9">
            <v>46199</v>
          </cell>
          <cell r="C9">
            <v>15000</v>
          </cell>
        </row>
        <row r="10">
          <cell r="A10" t="str">
            <v>123AB</v>
          </cell>
          <cell r="B10">
            <v>46206</v>
          </cell>
          <cell r="C10">
            <v>15000</v>
          </cell>
        </row>
        <row r="11">
          <cell r="A11" t="str">
            <v>123AB</v>
          </cell>
          <cell r="B11">
            <v>46213</v>
          </cell>
          <cell r="C11">
            <v>15000</v>
          </cell>
        </row>
        <row r="12">
          <cell r="A12" t="str">
            <v>123AB</v>
          </cell>
          <cell r="B12">
            <v>46220</v>
          </cell>
          <cell r="C12">
            <v>15000</v>
          </cell>
        </row>
        <row r="13">
          <cell r="A13" t="str">
            <v>123AB</v>
          </cell>
          <cell r="B13">
            <v>46227</v>
          </cell>
          <cell r="C13">
            <v>15000</v>
          </cell>
        </row>
        <row r="14">
          <cell r="A14" t="str">
            <v>123AB</v>
          </cell>
          <cell r="B14">
            <v>46234</v>
          </cell>
          <cell r="C14">
            <v>15000</v>
          </cell>
        </row>
        <row r="15">
          <cell r="A15" t="str">
            <v>123AB</v>
          </cell>
          <cell r="B15">
            <v>46241</v>
          </cell>
          <cell r="C15">
            <v>15000</v>
          </cell>
        </row>
        <row r="16">
          <cell r="A16" t="str">
            <v>123AB</v>
          </cell>
          <cell r="B16">
            <v>46248</v>
          </cell>
          <cell r="C16">
            <v>15000</v>
          </cell>
        </row>
        <row r="17">
          <cell r="A17" t="str">
            <v>123AB</v>
          </cell>
          <cell r="B17">
            <v>46255</v>
          </cell>
          <cell r="C17">
            <v>15000</v>
          </cell>
        </row>
        <row r="18">
          <cell r="A18" t="str">
            <v>123AB</v>
          </cell>
          <cell r="B18">
            <v>46262</v>
          </cell>
          <cell r="C18">
            <v>15000</v>
          </cell>
        </row>
        <row r="19">
          <cell r="A19" t="str">
            <v>123AB</v>
          </cell>
          <cell r="B19">
            <v>46269</v>
          </cell>
          <cell r="C19">
            <v>15000</v>
          </cell>
        </row>
        <row r="20">
          <cell r="A20" t="str">
            <v>123AB</v>
          </cell>
          <cell r="B20">
            <v>46276</v>
          </cell>
          <cell r="C20">
            <v>15000</v>
          </cell>
        </row>
        <row r="21">
          <cell r="A21" t="str">
            <v>123AB</v>
          </cell>
          <cell r="B21">
            <v>46283</v>
          </cell>
          <cell r="C21">
            <v>15000</v>
          </cell>
        </row>
        <row r="22">
          <cell r="A22" t="str">
            <v>123AB</v>
          </cell>
          <cell r="B22">
            <v>46290</v>
          </cell>
          <cell r="C22">
            <v>15000</v>
          </cell>
        </row>
        <row r="23">
          <cell r="A23" t="str">
            <v>123AB</v>
          </cell>
          <cell r="B23">
            <v>46297</v>
          </cell>
          <cell r="C23">
            <v>15000</v>
          </cell>
        </row>
        <row r="24">
          <cell r="A24" t="str">
            <v>123AB</v>
          </cell>
          <cell r="B24">
            <v>46304</v>
          </cell>
          <cell r="C24">
            <v>15000</v>
          </cell>
        </row>
        <row r="25">
          <cell r="A25" t="str">
            <v>123AB</v>
          </cell>
          <cell r="B25">
            <v>46311</v>
          </cell>
          <cell r="C25">
            <v>15000</v>
          </cell>
        </row>
        <row r="26">
          <cell r="A26" t="str">
            <v>123AB</v>
          </cell>
          <cell r="B26">
            <v>46318</v>
          </cell>
          <cell r="C26">
            <v>15000</v>
          </cell>
        </row>
        <row r="27">
          <cell r="A27" t="str">
            <v>123AB</v>
          </cell>
          <cell r="B27">
            <v>46325</v>
          </cell>
          <cell r="C27">
            <v>15000</v>
          </cell>
        </row>
        <row r="28">
          <cell r="A28" t="str">
            <v>123AB</v>
          </cell>
          <cell r="B28">
            <v>46332</v>
          </cell>
          <cell r="C28">
            <v>15000</v>
          </cell>
        </row>
        <row r="29">
          <cell r="A29" t="str">
            <v>123AB</v>
          </cell>
          <cell r="B29">
            <v>46339</v>
          </cell>
          <cell r="C29">
            <v>15000</v>
          </cell>
        </row>
        <row r="30">
          <cell r="A30" t="str">
            <v>123AB</v>
          </cell>
          <cell r="B30">
            <v>46346</v>
          </cell>
          <cell r="C30">
            <v>15000</v>
          </cell>
        </row>
        <row r="31">
          <cell r="A31" t="str">
            <v>123AB</v>
          </cell>
          <cell r="B31">
            <v>46353</v>
          </cell>
          <cell r="C31">
            <v>15000</v>
          </cell>
        </row>
        <row r="32">
          <cell r="A32" t="str">
            <v>123AB</v>
          </cell>
          <cell r="B32">
            <v>46360</v>
          </cell>
          <cell r="C32">
            <v>15000</v>
          </cell>
        </row>
        <row r="33">
          <cell r="A33" t="str">
            <v>123AB</v>
          </cell>
          <cell r="B33">
            <v>46367</v>
          </cell>
          <cell r="C33">
            <v>15000</v>
          </cell>
        </row>
        <row r="34">
          <cell r="A34" t="str">
            <v>123AB</v>
          </cell>
          <cell r="B34">
            <v>46374</v>
          </cell>
          <cell r="C34">
            <v>15000</v>
          </cell>
        </row>
        <row r="35">
          <cell r="A35" t="str">
            <v>123AB</v>
          </cell>
          <cell r="B35">
            <v>46381</v>
          </cell>
          <cell r="C35">
            <v>15000</v>
          </cell>
        </row>
        <row r="36">
          <cell r="A36" t="str">
            <v>456CD</v>
          </cell>
          <cell r="B36">
            <v>46157</v>
          </cell>
          <cell r="C36">
            <v>5000</v>
          </cell>
        </row>
        <row r="37">
          <cell r="A37" t="str">
            <v>456CD</v>
          </cell>
          <cell r="B37">
            <v>46164</v>
          </cell>
          <cell r="C37">
            <v>5000</v>
          </cell>
        </row>
        <row r="38">
          <cell r="A38" t="str">
            <v>456CD</v>
          </cell>
          <cell r="B38">
            <v>46171</v>
          </cell>
          <cell r="C38">
            <v>5000</v>
          </cell>
        </row>
        <row r="39">
          <cell r="A39" t="str">
            <v>456CD</v>
          </cell>
          <cell r="B39">
            <v>46175</v>
          </cell>
          <cell r="C39">
            <v>5000</v>
          </cell>
        </row>
        <row r="40">
          <cell r="A40" t="str">
            <v>456CD</v>
          </cell>
          <cell r="B40">
            <v>46176</v>
          </cell>
          <cell r="C40">
            <v>5000</v>
          </cell>
        </row>
        <row r="41">
          <cell r="A41" t="str">
            <v>456CD</v>
          </cell>
          <cell r="B41">
            <v>46178</v>
          </cell>
          <cell r="C41">
            <v>5000</v>
          </cell>
        </row>
        <row r="42">
          <cell r="A42" t="str">
            <v>456CD</v>
          </cell>
          <cell r="B42">
            <v>46183</v>
          </cell>
          <cell r="C42">
            <v>5000</v>
          </cell>
        </row>
        <row r="43">
          <cell r="A43" t="str">
            <v>456CD</v>
          </cell>
          <cell r="B43">
            <v>46186</v>
          </cell>
          <cell r="C43">
            <v>5000</v>
          </cell>
        </row>
        <row r="44">
          <cell r="A44" t="str">
            <v>456CD</v>
          </cell>
          <cell r="B44">
            <v>46190</v>
          </cell>
          <cell r="C44">
            <v>5000</v>
          </cell>
        </row>
        <row r="45">
          <cell r="A45" t="str">
            <v>456CD</v>
          </cell>
          <cell r="B45">
            <v>46192</v>
          </cell>
          <cell r="C45">
            <v>5000</v>
          </cell>
        </row>
        <row r="46">
          <cell r="A46" t="str">
            <v>456CD</v>
          </cell>
          <cell r="B46">
            <v>46197</v>
          </cell>
          <cell r="C46">
            <v>5000</v>
          </cell>
        </row>
        <row r="47">
          <cell r="A47" t="str">
            <v>456CD</v>
          </cell>
          <cell r="B47">
            <v>46199</v>
          </cell>
          <cell r="C47">
            <v>5000</v>
          </cell>
        </row>
        <row r="48">
          <cell r="A48" t="str">
            <v>456CD</v>
          </cell>
          <cell r="B48">
            <v>46206</v>
          </cell>
          <cell r="C48">
            <v>5000</v>
          </cell>
        </row>
        <row r="49">
          <cell r="A49" t="str">
            <v>456CD</v>
          </cell>
          <cell r="B49">
            <v>46213</v>
          </cell>
          <cell r="C49">
            <v>5000</v>
          </cell>
        </row>
        <row r="50">
          <cell r="A50" t="str">
            <v>456CD</v>
          </cell>
          <cell r="B50">
            <v>46220</v>
          </cell>
          <cell r="C50">
            <v>5000</v>
          </cell>
        </row>
        <row r="51">
          <cell r="A51" t="str">
            <v>456CD</v>
          </cell>
          <cell r="B51">
            <v>46227</v>
          </cell>
          <cell r="C51">
            <v>5000</v>
          </cell>
        </row>
        <row r="52">
          <cell r="A52" t="str">
            <v>456CD</v>
          </cell>
          <cell r="B52">
            <v>46234</v>
          </cell>
          <cell r="C52">
            <v>5000</v>
          </cell>
        </row>
        <row r="53">
          <cell r="A53" t="str">
            <v>456CD</v>
          </cell>
          <cell r="B53">
            <v>46241</v>
          </cell>
          <cell r="C53">
            <v>5000</v>
          </cell>
        </row>
        <row r="54">
          <cell r="A54" t="str">
            <v>456CD</v>
          </cell>
          <cell r="B54">
            <v>46248</v>
          </cell>
          <cell r="C54">
            <v>5000</v>
          </cell>
        </row>
        <row r="55">
          <cell r="A55" t="str">
            <v>456CD</v>
          </cell>
          <cell r="B55">
            <v>46255</v>
          </cell>
          <cell r="C55">
            <v>5000</v>
          </cell>
        </row>
        <row r="56">
          <cell r="A56" t="str">
            <v>456CD</v>
          </cell>
          <cell r="B56">
            <v>46262</v>
          </cell>
          <cell r="C56">
            <v>5000</v>
          </cell>
        </row>
        <row r="57">
          <cell r="A57" t="str">
            <v>456CD</v>
          </cell>
          <cell r="B57">
            <v>46269</v>
          </cell>
          <cell r="C57">
            <v>5000</v>
          </cell>
        </row>
        <row r="58">
          <cell r="A58" t="str">
            <v>456CD</v>
          </cell>
          <cell r="B58">
            <v>46276</v>
          </cell>
          <cell r="C58">
            <v>5000</v>
          </cell>
        </row>
        <row r="59">
          <cell r="A59" t="str">
            <v>456CD</v>
          </cell>
          <cell r="B59">
            <v>46283</v>
          </cell>
          <cell r="C59">
            <v>5000</v>
          </cell>
        </row>
        <row r="60">
          <cell r="A60" t="str">
            <v>456CD</v>
          </cell>
          <cell r="B60">
            <v>46290</v>
          </cell>
          <cell r="C60">
            <v>5000</v>
          </cell>
        </row>
        <row r="61">
          <cell r="A61" t="str">
            <v>456CD</v>
          </cell>
          <cell r="B61">
            <v>46297</v>
          </cell>
          <cell r="C61">
            <v>5000</v>
          </cell>
        </row>
        <row r="62">
          <cell r="A62" t="str">
            <v>456CD</v>
          </cell>
          <cell r="B62">
            <v>46304</v>
          </cell>
          <cell r="C62">
            <v>5000</v>
          </cell>
        </row>
        <row r="63">
          <cell r="A63" t="str">
            <v>456CD</v>
          </cell>
          <cell r="B63">
            <v>46311</v>
          </cell>
          <cell r="C63">
            <v>5000</v>
          </cell>
        </row>
        <row r="64">
          <cell r="A64" t="str">
            <v>456CD</v>
          </cell>
          <cell r="B64">
            <v>46318</v>
          </cell>
          <cell r="C64">
            <v>5000</v>
          </cell>
        </row>
        <row r="65">
          <cell r="A65" t="str">
            <v>456CD</v>
          </cell>
          <cell r="B65">
            <v>46325</v>
          </cell>
          <cell r="C65">
            <v>5000</v>
          </cell>
        </row>
        <row r="66">
          <cell r="A66" t="str">
            <v>456CD</v>
          </cell>
          <cell r="B66">
            <v>46332</v>
          </cell>
          <cell r="C66">
            <v>5000</v>
          </cell>
        </row>
        <row r="67">
          <cell r="A67" t="str">
            <v>456CD</v>
          </cell>
          <cell r="B67">
            <v>46339</v>
          </cell>
          <cell r="C67">
            <v>5000</v>
          </cell>
        </row>
        <row r="68">
          <cell r="A68" t="str">
            <v>456CD</v>
          </cell>
          <cell r="B68">
            <v>46346</v>
          </cell>
          <cell r="C68">
            <v>5000</v>
          </cell>
        </row>
        <row r="69">
          <cell r="A69" t="str">
            <v>456CD</v>
          </cell>
          <cell r="B69">
            <v>46353</v>
          </cell>
          <cell r="C69">
            <v>5000</v>
          </cell>
        </row>
        <row r="70">
          <cell r="A70" t="str">
            <v>456CD</v>
          </cell>
          <cell r="B70">
            <v>46360</v>
          </cell>
          <cell r="C70">
            <v>5000</v>
          </cell>
        </row>
        <row r="71">
          <cell r="A71" t="str">
            <v>456CD</v>
          </cell>
          <cell r="B71">
            <v>46367</v>
          </cell>
          <cell r="C71">
            <v>5000</v>
          </cell>
        </row>
        <row r="72">
          <cell r="A72" t="str">
            <v>456CD</v>
          </cell>
          <cell r="B72">
            <v>46374</v>
          </cell>
          <cell r="C72">
            <v>5000</v>
          </cell>
        </row>
        <row r="73">
          <cell r="A73" t="str">
            <v>456CD</v>
          </cell>
          <cell r="B73">
            <v>46381</v>
          </cell>
          <cell r="C73">
            <v>5000</v>
          </cell>
        </row>
        <row r="74">
          <cell r="A74" t="str">
            <v>789EF</v>
          </cell>
          <cell r="B74">
            <v>46143</v>
          </cell>
          <cell r="C74">
            <v>3000</v>
          </cell>
        </row>
        <row r="75">
          <cell r="A75" t="str">
            <v>789EF</v>
          </cell>
          <cell r="B75">
            <v>46150</v>
          </cell>
          <cell r="C75">
            <v>3000</v>
          </cell>
        </row>
        <row r="76">
          <cell r="A76" t="str">
            <v>789EF</v>
          </cell>
          <cell r="B76">
            <v>46157</v>
          </cell>
          <cell r="C76">
            <v>3000</v>
          </cell>
        </row>
        <row r="77">
          <cell r="A77" t="str">
            <v>789EF</v>
          </cell>
          <cell r="B77">
            <v>46164</v>
          </cell>
          <cell r="C77">
            <v>3000</v>
          </cell>
        </row>
        <row r="78">
          <cell r="A78" t="str">
            <v>789EF</v>
          </cell>
          <cell r="B78">
            <v>46171</v>
          </cell>
          <cell r="C78">
            <v>3000</v>
          </cell>
        </row>
        <row r="79">
          <cell r="A79" t="str">
            <v>789EF</v>
          </cell>
          <cell r="B79">
            <v>46178</v>
          </cell>
          <cell r="C79">
            <v>3000</v>
          </cell>
        </row>
        <row r="80">
          <cell r="A80" t="str">
            <v>789EF</v>
          </cell>
          <cell r="B80">
            <v>46185</v>
          </cell>
          <cell r="C80">
            <v>3000</v>
          </cell>
        </row>
        <row r="81">
          <cell r="A81" t="str">
            <v>789EF</v>
          </cell>
          <cell r="B81">
            <v>46192</v>
          </cell>
          <cell r="C81">
            <v>3000</v>
          </cell>
        </row>
        <row r="82">
          <cell r="A82" t="str">
            <v>789EF</v>
          </cell>
          <cell r="B82">
            <v>46199</v>
          </cell>
          <cell r="C82">
            <v>3000</v>
          </cell>
        </row>
        <row r="83">
          <cell r="A83" t="str">
            <v>789EF</v>
          </cell>
          <cell r="B83">
            <v>46206</v>
          </cell>
          <cell r="C83">
            <v>3000</v>
          </cell>
        </row>
        <row r="84">
          <cell r="A84" t="str">
            <v>789EF</v>
          </cell>
          <cell r="B84">
            <v>46213</v>
          </cell>
          <cell r="C84">
            <v>3000</v>
          </cell>
        </row>
        <row r="85">
          <cell r="A85" t="str">
            <v>789EF</v>
          </cell>
          <cell r="B85">
            <v>46220</v>
          </cell>
          <cell r="C85">
            <v>3000</v>
          </cell>
        </row>
        <row r="86">
          <cell r="A86" t="str">
            <v>789EF</v>
          </cell>
          <cell r="B86">
            <v>46227</v>
          </cell>
          <cell r="C86">
            <v>3000</v>
          </cell>
        </row>
        <row r="87">
          <cell r="A87" t="str">
            <v>789EF</v>
          </cell>
          <cell r="B87">
            <v>46234</v>
          </cell>
          <cell r="C87">
            <v>3000</v>
          </cell>
        </row>
        <row r="88">
          <cell r="A88" t="str">
            <v>789EF</v>
          </cell>
          <cell r="B88">
            <v>46241</v>
          </cell>
          <cell r="C88">
            <v>3000</v>
          </cell>
        </row>
        <row r="89">
          <cell r="A89" t="str">
            <v>789EF</v>
          </cell>
          <cell r="B89">
            <v>46248</v>
          </cell>
          <cell r="C89">
            <v>3000</v>
          </cell>
        </row>
        <row r="90">
          <cell r="A90" t="str">
            <v>789EF</v>
          </cell>
          <cell r="B90">
            <v>46255</v>
          </cell>
          <cell r="C90">
            <v>3000</v>
          </cell>
        </row>
        <row r="91">
          <cell r="A91" t="str">
            <v>789EF</v>
          </cell>
          <cell r="B91">
            <v>46262</v>
          </cell>
          <cell r="C91">
            <v>3000</v>
          </cell>
        </row>
        <row r="92">
          <cell r="A92" t="str">
            <v>789EF</v>
          </cell>
          <cell r="B92">
            <v>46269</v>
          </cell>
          <cell r="C92">
            <v>3000</v>
          </cell>
        </row>
        <row r="93">
          <cell r="A93" t="str">
            <v>789EF</v>
          </cell>
          <cell r="B93">
            <v>46276</v>
          </cell>
          <cell r="C93">
            <v>3000</v>
          </cell>
        </row>
        <row r="94">
          <cell r="A94" t="str">
            <v>789EF</v>
          </cell>
          <cell r="B94">
            <v>46283</v>
          </cell>
          <cell r="C94">
            <v>3000</v>
          </cell>
        </row>
        <row r="95">
          <cell r="A95" t="str">
            <v>789EF</v>
          </cell>
          <cell r="B95">
            <v>46290</v>
          </cell>
          <cell r="C95">
            <v>3000</v>
          </cell>
        </row>
        <row r="96">
          <cell r="A96" t="str">
            <v>789EF</v>
          </cell>
          <cell r="B96">
            <v>46297</v>
          </cell>
          <cell r="C96">
            <v>3000</v>
          </cell>
        </row>
        <row r="97">
          <cell r="A97" t="str">
            <v>789EF</v>
          </cell>
          <cell r="B97">
            <v>46304</v>
          </cell>
          <cell r="C97">
            <v>3000</v>
          </cell>
        </row>
        <row r="98">
          <cell r="A98" t="str">
            <v>789EF</v>
          </cell>
          <cell r="B98">
            <v>46318</v>
          </cell>
          <cell r="C98">
            <v>3000</v>
          </cell>
        </row>
        <row r="99">
          <cell r="A99" t="str">
            <v>789EF</v>
          </cell>
          <cell r="B99">
            <v>46325</v>
          </cell>
          <cell r="C99">
            <v>3000</v>
          </cell>
        </row>
        <row r="100">
          <cell r="A100" t="str">
            <v>789EF</v>
          </cell>
          <cell r="B100">
            <v>46332</v>
          </cell>
          <cell r="C100">
            <v>3000</v>
          </cell>
        </row>
        <row r="101">
          <cell r="A101" t="str">
            <v>789EF</v>
          </cell>
          <cell r="B101">
            <v>46339</v>
          </cell>
          <cell r="C101">
            <v>3000</v>
          </cell>
        </row>
        <row r="102">
          <cell r="A102" t="str">
            <v>789EF</v>
          </cell>
          <cell r="B102">
            <v>46346</v>
          </cell>
          <cell r="C102">
            <v>3000</v>
          </cell>
        </row>
        <row r="103">
          <cell r="A103" t="str">
            <v>789EF</v>
          </cell>
          <cell r="B103">
            <v>46353</v>
          </cell>
          <cell r="C103">
            <v>3000</v>
          </cell>
        </row>
        <row r="104">
          <cell r="A104" t="str">
            <v>789EF</v>
          </cell>
          <cell r="B104">
            <v>46360</v>
          </cell>
          <cell r="C104">
            <v>3000</v>
          </cell>
        </row>
        <row r="105">
          <cell r="A105" t="str">
            <v>789EF</v>
          </cell>
          <cell r="B105">
            <v>46367</v>
          </cell>
          <cell r="C105">
            <v>3000</v>
          </cell>
        </row>
        <row r="106">
          <cell r="A106" t="str">
            <v>789EF</v>
          </cell>
          <cell r="B106">
            <v>46374</v>
          </cell>
          <cell r="C106">
            <v>3000</v>
          </cell>
        </row>
        <row r="107">
          <cell r="A107" t="str">
            <v>789EF</v>
          </cell>
          <cell r="B107">
            <v>46381</v>
          </cell>
          <cell r="C107">
            <v>3000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 Case Study"/>
      <sheetName val="Demand"/>
      <sheetName val="Sheet1"/>
      <sheetName val="weekly_demand"/>
      <sheetName val="BOM_demand"/>
      <sheetName val="MRP"/>
      <sheetName val="BOM &amp; Inventory"/>
      <sheetName val="FGs &amp; Log information "/>
      <sheetName val="Master Production Schedule"/>
      <sheetName val="README"/>
      <sheetName val="FG_Begin_Inventory"/>
      <sheetName val="Fixture_Capacity_Input"/>
      <sheetName val="Pending_PO_ETA"/>
      <sheetName val="Fixture_Check"/>
    </sheetNames>
    <sheetDataSet>
      <sheetData sheetId="0"/>
      <sheetData sheetId="1"/>
      <sheetData sheetId="2"/>
      <sheetData sheetId="3">
        <row r="1">
          <cell r="A1" t="str">
            <v>Item name</v>
          </cell>
          <cell r="C1" t="str">
            <v>week first day</v>
          </cell>
          <cell r="D1" t="str">
            <v>Total Demand by SKU-Week</v>
          </cell>
        </row>
        <row r="2">
          <cell r="A2" t="str">
            <v>A</v>
          </cell>
          <cell r="C2">
            <v>46139</v>
          </cell>
          <cell r="D2">
            <v>684</v>
          </cell>
        </row>
        <row r="3">
          <cell r="A3" t="str">
            <v>A</v>
          </cell>
          <cell r="C3">
            <v>46146</v>
          </cell>
          <cell r="D3">
            <v>20000</v>
          </cell>
        </row>
        <row r="4">
          <cell r="A4" t="str">
            <v>A</v>
          </cell>
          <cell r="C4">
            <v>46153</v>
          </cell>
          <cell r="D4">
            <v>20000</v>
          </cell>
        </row>
        <row r="5">
          <cell r="A5" t="str">
            <v>A</v>
          </cell>
          <cell r="C5">
            <v>46160</v>
          </cell>
          <cell r="D5">
            <v>11000</v>
          </cell>
        </row>
        <row r="6">
          <cell r="A6" t="str">
            <v>A</v>
          </cell>
          <cell r="C6">
            <v>46167</v>
          </cell>
          <cell r="D6">
            <v>13000</v>
          </cell>
        </row>
        <row r="7">
          <cell r="A7" t="str">
            <v>A</v>
          </cell>
          <cell r="C7">
            <v>46174</v>
          </cell>
          <cell r="D7">
            <v>13773</v>
          </cell>
        </row>
        <row r="8">
          <cell r="A8" t="str">
            <v>A</v>
          </cell>
          <cell r="C8">
            <v>46181</v>
          </cell>
          <cell r="D8">
            <v>7058</v>
          </cell>
        </row>
        <row r="9">
          <cell r="A9" t="str">
            <v>A</v>
          </cell>
          <cell r="C9">
            <v>46188</v>
          </cell>
          <cell r="D9">
            <v>2040</v>
          </cell>
        </row>
        <row r="10">
          <cell r="A10" t="str">
            <v>A</v>
          </cell>
          <cell r="C10">
            <v>46195</v>
          </cell>
          <cell r="D10">
            <v>3541</v>
          </cell>
        </row>
        <row r="11">
          <cell r="A11" t="str">
            <v>A</v>
          </cell>
          <cell r="C11">
            <v>46202</v>
          </cell>
          <cell r="D11">
            <v>12041</v>
          </cell>
        </row>
        <row r="12">
          <cell r="A12" t="str">
            <v>A</v>
          </cell>
          <cell r="C12">
            <v>46209</v>
          </cell>
          <cell r="D12">
            <v>12040</v>
          </cell>
        </row>
        <row r="13">
          <cell r="A13" t="str">
            <v>A</v>
          </cell>
          <cell r="C13">
            <v>46230</v>
          </cell>
          <cell r="D13">
            <v>27760</v>
          </cell>
        </row>
        <row r="14">
          <cell r="A14" t="str">
            <v>A</v>
          </cell>
          <cell r="C14">
            <v>46237</v>
          </cell>
          <cell r="D14">
            <v>26486</v>
          </cell>
        </row>
        <row r="15">
          <cell r="A15" t="str">
            <v>A</v>
          </cell>
          <cell r="C15">
            <v>46244</v>
          </cell>
          <cell r="D15">
            <v>4248</v>
          </cell>
        </row>
        <row r="16">
          <cell r="A16" t="str">
            <v>A</v>
          </cell>
          <cell r="C16">
            <v>46251</v>
          </cell>
          <cell r="D16">
            <v>4248</v>
          </cell>
        </row>
        <row r="17">
          <cell r="A17" t="str">
            <v>A</v>
          </cell>
          <cell r="C17">
            <v>46258</v>
          </cell>
          <cell r="D17">
            <v>4249</v>
          </cell>
        </row>
        <row r="18">
          <cell r="A18" t="str">
            <v>A</v>
          </cell>
          <cell r="C18">
            <v>46265</v>
          </cell>
          <cell r="D18">
            <v>4248</v>
          </cell>
        </row>
        <row r="19">
          <cell r="A19" t="str">
            <v>A</v>
          </cell>
          <cell r="C19">
            <v>46272</v>
          </cell>
          <cell r="D19">
            <v>2391</v>
          </cell>
        </row>
        <row r="20">
          <cell r="A20" t="str">
            <v>A</v>
          </cell>
          <cell r="C20">
            <v>46279</v>
          </cell>
          <cell r="D20">
            <v>2392</v>
          </cell>
        </row>
        <row r="21">
          <cell r="A21" t="str">
            <v>A</v>
          </cell>
          <cell r="C21">
            <v>46286</v>
          </cell>
          <cell r="D21">
            <v>2391</v>
          </cell>
        </row>
        <row r="22">
          <cell r="A22" t="str">
            <v>A</v>
          </cell>
          <cell r="C22">
            <v>46293</v>
          </cell>
          <cell r="D22">
            <v>2392</v>
          </cell>
        </row>
        <row r="23">
          <cell r="A23" t="str">
            <v>A</v>
          </cell>
          <cell r="C23">
            <v>46300</v>
          </cell>
          <cell r="D23">
            <v>16017</v>
          </cell>
        </row>
        <row r="24">
          <cell r="A24" t="str">
            <v>A</v>
          </cell>
          <cell r="C24">
            <v>46307</v>
          </cell>
          <cell r="D24">
            <v>16017</v>
          </cell>
        </row>
        <row r="25">
          <cell r="A25" t="str">
            <v>A</v>
          </cell>
          <cell r="C25">
            <v>46314</v>
          </cell>
          <cell r="D25">
            <v>16016</v>
          </cell>
        </row>
        <row r="26">
          <cell r="A26" t="str">
            <v>A</v>
          </cell>
          <cell r="C26">
            <v>46321</v>
          </cell>
          <cell r="D26">
            <v>16017</v>
          </cell>
        </row>
        <row r="27">
          <cell r="A27" t="str">
            <v>A</v>
          </cell>
          <cell r="C27">
            <v>46328</v>
          </cell>
          <cell r="D27">
            <v>4281</v>
          </cell>
        </row>
        <row r="28">
          <cell r="A28" t="str">
            <v>A</v>
          </cell>
          <cell r="C28">
            <v>46335</v>
          </cell>
          <cell r="D28">
            <v>4282</v>
          </cell>
        </row>
        <row r="29">
          <cell r="A29" t="str">
            <v>A</v>
          </cell>
          <cell r="C29">
            <v>46342</v>
          </cell>
          <cell r="D29">
            <v>4281</v>
          </cell>
        </row>
        <row r="30">
          <cell r="A30" t="str">
            <v>A</v>
          </cell>
          <cell r="C30">
            <v>46349</v>
          </cell>
          <cell r="D30">
            <v>4282</v>
          </cell>
        </row>
        <row r="31">
          <cell r="A31" t="str">
            <v>A</v>
          </cell>
          <cell r="C31">
            <v>46356</v>
          </cell>
          <cell r="D31">
            <v>4281</v>
          </cell>
        </row>
        <row r="32">
          <cell r="A32" t="str">
            <v>A</v>
          </cell>
          <cell r="C32">
            <v>46363</v>
          </cell>
          <cell r="D32">
            <v>8326</v>
          </cell>
        </row>
        <row r="33">
          <cell r="A33" t="str">
            <v>A</v>
          </cell>
          <cell r="C33">
            <v>46370</v>
          </cell>
          <cell r="D33">
            <v>8325</v>
          </cell>
        </row>
        <row r="34">
          <cell r="A34" t="str">
            <v>B</v>
          </cell>
          <cell r="C34">
            <v>46146</v>
          </cell>
          <cell r="D34">
            <v>5502</v>
          </cell>
        </row>
        <row r="35">
          <cell r="A35" t="str">
            <v>B</v>
          </cell>
          <cell r="C35">
            <v>46153</v>
          </cell>
          <cell r="D35">
            <v>15658</v>
          </cell>
        </row>
        <row r="36">
          <cell r="A36" t="str">
            <v>B</v>
          </cell>
          <cell r="C36">
            <v>46160</v>
          </cell>
          <cell r="D36">
            <v>8865</v>
          </cell>
        </row>
        <row r="37">
          <cell r="A37" t="str">
            <v>B</v>
          </cell>
          <cell r="C37">
            <v>46167</v>
          </cell>
          <cell r="D37">
            <v>2146</v>
          </cell>
        </row>
        <row r="38">
          <cell r="A38" t="str">
            <v>B</v>
          </cell>
          <cell r="C38">
            <v>46174</v>
          </cell>
          <cell r="D38">
            <v>7123</v>
          </cell>
        </row>
        <row r="39">
          <cell r="A39" t="str">
            <v>B</v>
          </cell>
          <cell r="C39">
            <v>46181</v>
          </cell>
          <cell r="D39">
            <v>5309</v>
          </cell>
        </row>
        <row r="40">
          <cell r="A40" t="str">
            <v>B</v>
          </cell>
          <cell r="C40">
            <v>46188</v>
          </cell>
          <cell r="D40">
            <v>5309</v>
          </cell>
        </row>
        <row r="41">
          <cell r="A41" t="str">
            <v>B</v>
          </cell>
          <cell r="C41">
            <v>46195</v>
          </cell>
          <cell r="D41">
            <v>3000</v>
          </cell>
        </row>
        <row r="42">
          <cell r="A42" t="str">
            <v>B</v>
          </cell>
          <cell r="C42">
            <v>46202</v>
          </cell>
          <cell r="D42">
            <v>3000</v>
          </cell>
        </row>
        <row r="43">
          <cell r="A43" t="str">
            <v>B</v>
          </cell>
          <cell r="C43">
            <v>46209</v>
          </cell>
          <cell r="D43">
            <v>3000</v>
          </cell>
        </row>
        <row r="44">
          <cell r="A44" t="str">
            <v>B</v>
          </cell>
          <cell r="C44">
            <v>46216</v>
          </cell>
          <cell r="D44">
            <v>3000</v>
          </cell>
        </row>
        <row r="45">
          <cell r="A45" t="str">
            <v>B</v>
          </cell>
          <cell r="C45">
            <v>46223</v>
          </cell>
          <cell r="D45">
            <v>2400</v>
          </cell>
        </row>
        <row r="46">
          <cell r="A46" t="str">
            <v>B</v>
          </cell>
          <cell r="C46">
            <v>46230</v>
          </cell>
          <cell r="D46">
            <v>2400</v>
          </cell>
        </row>
        <row r="47">
          <cell r="A47" t="str">
            <v>B</v>
          </cell>
          <cell r="C47">
            <v>46244</v>
          </cell>
          <cell r="D47">
            <v>2400</v>
          </cell>
        </row>
        <row r="48">
          <cell r="A48" t="str">
            <v>B</v>
          </cell>
          <cell r="C48">
            <v>46251</v>
          </cell>
          <cell r="D48">
            <v>2400</v>
          </cell>
        </row>
        <row r="49">
          <cell r="A49" t="str">
            <v>B</v>
          </cell>
          <cell r="C49">
            <v>46258</v>
          </cell>
          <cell r="D49">
            <v>3750</v>
          </cell>
        </row>
        <row r="50">
          <cell r="A50" t="str">
            <v>B</v>
          </cell>
          <cell r="C50">
            <v>46265</v>
          </cell>
          <cell r="D50">
            <v>3750</v>
          </cell>
        </row>
        <row r="51">
          <cell r="A51" t="str">
            <v>B</v>
          </cell>
          <cell r="C51">
            <v>46272</v>
          </cell>
          <cell r="D51">
            <v>3750</v>
          </cell>
        </row>
        <row r="52">
          <cell r="A52" t="str">
            <v>B</v>
          </cell>
          <cell r="C52">
            <v>46279</v>
          </cell>
          <cell r="D52">
            <v>3750</v>
          </cell>
        </row>
        <row r="53">
          <cell r="A53" t="str">
            <v>B</v>
          </cell>
          <cell r="C53">
            <v>46286</v>
          </cell>
          <cell r="D53">
            <v>3000</v>
          </cell>
        </row>
        <row r="54">
          <cell r="A54" t="str">
            <v>B</v>
          </cell>
          <cell r="C54">
            <v>46293</v>
          </cell>
          <cell r="D54">
            <v>3000</v>
          </cell>
        </row>
        <row r="55">
          <cell r="A55" t="str">
            <v>B</v>
          </cell>
          <cell r="C55">
            <v>46300</v>
          </cell>
          <cell r="D55">
            <v>3000</v>
          </cell>
        </row>
        <row r="56">
          <cell r="A56" t="str">
            <v>B</v>
          </cell>
          <cell r="C56">
            <v>46307</v>
          </cell>
          <cell r="D56">
            <v>3000</v>
          </cell>
        </row>
        <row r="57">
          <cell r="A57" t="str">
            <v>B</v>
          </cell>
          <cell r="C57">
            <v>46314</v>
          </cell>
          <cell r="D57">
            <v>3000</v>
          </cell>
        </row>
        <row r="58">
          <cell r="A58" t="str">
            <v>B</v>
          </cell>
          <cell r="C58">
            <v>46321</v>
          </cell>
          <cell r="D58">
            <v>6250</v>
          </cell>
        </row>
        <row r="59">
          <cell r="A59" t="str">
            <v>B</v>
          </cell>
          <cell r="C59">
            <v>46328</v>
          </cell>
          <cell r="D59">
            <v>6250</v>
          </cell>
        </row>
        <row r="60">
          <cell r="A60" t="str">
            <v>B</v>
          </cell>
          <cell r="C60">
            <v>46335</v>
          </cell>
          <cell r="D60">
            <v>6250</v>
          </cell>
        </row>
        <row r="61">
          <cell r="A61" t="str">
            <v>B</v>
          </cell>
          <cell r="C61">
            <v>46342</v>
          </cell>
          <cell r="D61">
            <v>6250</v>
          </cell>
        </row>
        <row r="62">
          <cell r="A62" t="str">
            <v>B</v>
          </cell>
          <cell r="C62">
            <v>46349</v>
          </cell>
          <cell r="D62">
            <v>6250</v>
          </cell>
        </row>
        <row r="63">
          <cell r="A63" t="str">
            <v>B</v>
          </cell>
          <cell r="C63">
            <v>46356</v>
          </cell>
          <cell r="D63">
            <v>6250</v>
          </cell>
        </row>
        <row r="64">
          <cell r="A64" t="str">
            <v>B</v>
          </cell>
          <cell r="C64">
            <v>46363</v>
          </cell>
          <cell r="D64">
            <v>6250</v>
          </cell>
        </row>
        <row r="65">
          <cell r="A65" t="str">
            <v>B</v>
          </cell>
          <cell r="C65">
            <v>46370</v>
          </cell>
          <cell r="D65">
            <v>6250</v>
          </cell>
        </row>
        <row r="66">
          <cell r="A66" t="str">
            <v>C</v>
          </cell>
          <cell r="C66">
            <v>46146</v>
          </cell>
          <cell r="D66">
            <v>4320</v>
          </cell>
        </row>
        <row r="67">
          <cell r="A67" t="str">
            <v>C</v>
          </cell>
          <cell r="C67">
            <v>46153</v>
          </cell>
          <cell r="D67">
            <v>8370</v>
          </cell>
        </row>
        <row r="68">
          <cell r="A68" t="str">
            <v>C</v>
          </cell>
          <cell r="C68">
            <v>46160</v>
          </cell>
          <cell r="D68">
            <v>11782</v>
          </cell>
        </row>
        <row r="69">
          <cell r="A69" t="str">
            <v>C</v>
          </cell>
          <cell r="C69">
            <v>46167</v>
          </cell>
          <cell r="D69">
            <v>10524</v>
          </cell>
        </row>
        <row r="70">
          <cell r="A70" t="str">
            <v>C</v>
          </cell>
          <cell r="C70">
            <v>46174</v>
          </cell>
          <cell r="D70">
            <v>3240</v>
          </cell>
        </row>
        <row r="71">
          <cell r="A71" t="str">
            <v>C</v>
          </cell>
          <cell r="C71">
            <v>46181</v>
          </cell>
          <cell r="D71">
            <v>6442</v>
          </cell>
        </row>
        <row r="72">
          <cell r="A72" t="str">
            <v>C</v>
          </cell>
          <cell r="C72">
            <v>46188</v>
          </cell>
          <cell r="D72">
            <v>8802</v>
          </cell>
        </row>
        <row r="73">
          <cell r="A73" t="str">
            <v>C</v>
          </cell>
          <cell r="C73">
            <v>46195</v>
          </cell>
          <cell r="D73">
            <v>7695</v>
          </cell>
        </row>
        <row r="74">
          <cell r="A74" t="str">
            <v>C</v>
          </cell>
          <cell r="C74">
            <v>46202</v>
          </cell>
          <cell r="D74">
            <v>2500</v>
          </cell>
        </row>
        <row r="75">
          <cell r="A75" t="str">
            <v>C</v>
          </cell>
          <cell r="C75">
            <v>46209</v>
          </cell>
          <cell r="D75">
            <v>2500</v>
          </cell>
        </row>
        <row r="76">
          <cell r="A76" t="str">
            <v>C</v>
          </cell>
          <cell r="C76">
            <v>46216</v>
          </cell>
          <cell r="D76">
            <v>2500</v>
          </cell>
        </row>
        <row r="77">
          <cell r="A77" t="str">
            <v>C</v>
          </cell>
          <cell r="C77">
            <v>46223</v>
          </cell>
          <cell r="D77">
            <v>1000</v>
          </cell>
        </row>
        <row r="78">
          <cell r="A78" t="str">
            <v>C</v>
          </cell>
          <cell r="C78">
            <v>46230</v>
          </cell>
          <cell r="D78">
            <v>1000</v>
          </cell>
        </row>
        <row r="79">
          <cell r="A79" t="str">
            <v>C</v>
          </cell>
          <cell r="C79">
            <v>46237</v>
          </cell>
          <cell r="D79">
            <v>1000</v>
          </cell>
        </row>
        <row r="80">
          <cell r="A80" t="str">
            <v>C</v>
          </cell>
          <cell r="C80">
            <v>46244</v>
          </cell>
          <cell r="D80">
            <v>1000</v>
          </cell>
        </row>
        <row r="81">
          <cell r="A81" t="str">
            <v>C</v>
          </cell>
          <cell r="C81">
            <v>46251</v>
          </cell>
          <cell r="D81">
            <v>1000</v>
          </cell>
        </row>
        <row r="82">
          <cell r="A82" t="str">
            <v>C</v>
          </cell>
          <cell r="C82">
            <v>46258</v>
          </cell>
          <cell r="D82">
            <v>750</v>
          </cell>
        </row>
        <row r="83">
          <cell r="A83" t="str">
            <v>C</v>
          </cell>
          <cell r="C83">
            <v>46265</v>
          </cell>
          <cell r="D83">
            <v>750</v>
          </cell>
        </row>
        <row r="84">
          <cell r="A84" t="str">
            <v>C</v>
          </cell>
          <cell r="C84">
            <v>46272</v>
          </cell>
          <cell r="D84">
            <v>750</v>
          </cell>
        </row>
        <row r="85">
          <cell r="A85" t="str">
            <v>C</v>
          </cell>
          <cell r="C85">
            <v>46279</v>
          </cell>
          <cell r="D85">
            <v>750</v>
          </cell>
        </row>
        <row r="86">
          <cell r="A86" t="str">
            <v>C</v>
          </cell>
          <cell r="C86">
            <v>46286</v>
          </cell>
          <cell r="D86">
            <v>600</v>
          </cell>
        </row>
        <row r="87">
          <cell r="A87" t="str">
            <v>C</v>
          </cell>
          <cell r="C87">
            <v>46293</v>
          </cell>
          <cell r="D87">
            <v>600</v>
          </cell>
        </row>
        <row r="88">
          <cell r="A88" t="str">
            <v>C</v>
          </cell>
          <cell r="C88">
            <v>46300</v>
          </cell>
          <cell r="D88">
            <v>600</v>
          </cell>
        </row>
        <row r="89">
          <cell r="A89" t="str">
            <v>C</v>
          </cell>
          <cell r="C89">
            <v>46307</v>
          </cell>
          <cell r="D89">
            <v>600</v>
          </cell>
        </row>
        <row r="90">
          <cell r="A90" t="str">
            <v>C</v>
          </cell>
          <cell r="C90">
            <v>46314</v>
          </cell>
          <cell r="D90">
            <v>600</v>
          </cell>
        </row>
        <row r="91">
          <cell r="A91" t="str">
            <v>C</v>
          </cell>
          <cell r="C91">
            <v>46321</v>
          </cell>
          <cell r="D91">
            <v>500</v>
          </cell>
        </row>
        <row r="92">
          <cell r="A92" t="str">
            <v>C</v>
          </cell>
          <cell r="C92">
            <v>46328</v>
          </cell>
          <cell r="D92">
            <v>500</v>
          </cell>
        </row>
        <row r="93">
          <cell r="A93" t="str">
            <v>C</v>
          </cell>
          <cell r="C93">
            <v>46335</v>
          </cell>
          <cell r="D93">
            <v>500</v>
          </cell>
        </row>
        <row r="94">
          <cell r="A94" t="str">
            <v>C</v>
          </cell>
          <cell r="C94">
            <v>46342</v>
          </cell>
          <cell r="D94">
            <v>500</v>
          </cell>
        </row>
        <row r="95">
          <cell r="A95" t="str">
            <v>C</v>
          </cell>
          <cell r="C95">
            <v>46349</v>
          </cell>
          <cell r="D95">
            <v>3000</v>
          </cell>
        </row>
        <row r="96">
          <cell r="A96" t="str">
            <v>C</v>
          </cell>
          <cell r="C96">
            <v>46356</v>
          </cell>
          <cell r="D96">
            <v>3000</v>
          </cell>
        </row>
        <row r="97">
          <cell r="A97" t="str">
            <v>C</v>
          </cell>
          <cell r="C97">
            <v>46363</v>
          </cell>
          <cell r="D97">
            <v>3000</v>
          </cell>
        </row>
        <row r="98">
          <cell r="A98" t="str">
            <v>C</v>
          </cell>
          <cell r="C98">
            <v>46370</v>
          </cell>
          <cell r="D98">
            <v>3000</v>
          </cell>
        </row>
        <row r="99">
          <cell r="A99" t="str">
            <v>D</v>
          </cell>
          <cell r="C99">
            <v>46146</v>
          </cell>
          <cell r="D99">
            <v>2430</v>
          </cell>
        </row>
        <row r="100">
          <cell r="A100" t="str">
            <v>D</v>
          </cell>
          <cell r="C100">
            <v>46153</v>
          </cell>
          <cell r="D100">
            <v>9990</v>
          </cell>
        </row>
        <row r="101">
          <cell r="A101" t="str">
            <v>D</v>
          </cell>
          <cell r="C101">
            <v>46160</v>
          </cell>
          <cell r="D101">
            <v>5840</v>
          </cell>
        </row>
        <row r="102">
          <cell r="A102" t="str">
            <v>D</v>
          </cell>
          <cell r="C102">
            <v>46167</v>
          </cell>
          <cell r="D102">
            <v>8100</v>
          </cell>
        </row>
        <row r="103">
          <cell r="A103" t="str">
            <v>D</v>
          </cell>
          <cell r="C103">
            <v>46174</v>
          </cell>
          <cell r="D103">
            <v>1001</v>
          </cell>
        </row>
        <row r="104">
          <cell r="A104" t="str">
            <v>D</v>
          </cell>
          <cell r="C104">
            <v>46181</v>
          </cell>
          <cell r="D104">
            <v>2471</v>
          </cell>
        </row>
        <row r="105">
          <cell r="A105" t="str">
            <v>D</v>
          </cell>
          <cell r="C105">
            <v>46188</v>
          </cell>
          <cell r="D105">
            <v>3458</v>
          </cell>
        </row>
        <row r="106">
          <cell r="A106" t="str">
            <v>D</v>
          </cell>
          <cell r="C106">
            <v>46195</v>
          </cell>
          <cell r="D106">
            <v>500</v>
          </cell>
        </row>
        <row r="107">
          <cell r="A107" t="str">
            <v>D</v>
          </cell>
          <cell r="C107">
            <v>46202</v>
          </cell>
          <cell r="D107">
            <v>500</v>
          </cell>
        </row>
        <row r="108">
          <cell r="A108" t="str">
            <v>D</v>
          </cell>
          <cell r="C108">
            <v>46209</v>
          </cell>
          <cell r="D108">
            <v>500</v>
          </cell>
        </row>
        <row r="109">
          <cell r="A109" t="str">
            <v>D</v>
          </cell>
          <cell r="C109">
            <v>46216</v>
          </cell>
          <cell r="D109">
            <v>500</v>
          </cell>
        </row>
        <row r="110">
          <cell r="A110" t="str">
            <v>D</v>
          </cell>
          <cell r="C110">
            <v>46237</v>
          </cell>
          <cell r="D110">
            <v>400</v>
          </cell>
        </row>
        <row r="111">
          <cell r="A111" t="str">
            <v>D</v>
          </cell>
          <cell r="C111">
            <v>46258</v>
          </cell>
          <cell r="D111">
            <v>400</v>
          </cell>
        </row>
        <row r="112">
          <cell r="A112" t="str">
            <v>D</v>
          </cell>
          <cell r="C112">
            <v>46272</v>
          </cell>
          <cell r="D112">
            <v>400</v>
          </cell>
        </row>
        <row r="113">
          <cell r="A113" t="str">
            <v>D</v>
          </cell>
          <cell r="C113">
            <v>46286</v>
          </cell>
          <cell r="D113">
            <v>360</v>
          </cell>
        </row>
        <row r="114">
          <cell r="A114" t="str">
            <v>D</v>
          </cell>
          <cell r="C114">
            <v>46293</v>
          </cell>
          <cell r="D114">
            <v>360</v>
          </cell>
        </row>
        <row r="115">
          <cell r="A115" t="str">
            <v>D</v>
          </cell>
          <cell r="C115">
            <v>46300</v>
          </cell>
          <cell r="D115">
            <v>360</v>
          </cell>
        </row>
        <row r="116">
          <cell r="A116" t="str">
            <v>D</v>
          </cell>
          <cell r="C116">
            <v>46307</v>
          </cell>
          <cell r="D116">
            <v>360</v>
          </cell>
        </row>
        <row r="117">
          <cell r="A117" t="str">
            <v>D</v>
          </cell>
          <cell r="C117">
            <v>46314</v>
          </cell>
          <cell r="D117">
            <v>360</v>
          </cell>
        </row>
        <row r="118">
          <cell r="A118" t="str">
            <v>D</v>
          </cell>
          <cell r="C118">
            <v>46321</v>
          </cell>
          <cell r="D118">
            <v>1000</v>
          </cell>
        </row>
        <row r="119">
          <cell r="A119" t="str">
            <v>D</v>
          </cell>
          <cell r="C119">
            <v>46328</v>
          </cell>
          <cell r="D119">
            <v>1000</v>
          </cell>
        </row>
        <row r="120">
          <cell r="A120" t="str">
            <v>D</v>
          </cell>
          <cell r="C120">
            <v>46335</v>
          </cell>
          <cell r="D120">
            <v>1000</v>
          </cell>
        </row>
        <row r="121">
          <cell r="A121" t="str">
            <v>D</v>
          </cell>
          <cell r="C121">
            <v>46342</v>
          </cell>
          <cell r="D121">
            <v>1000</v>
          </cell>
        </row>
        <row r="122">
          <cell r="A122" t="str">
            <v>D</v>
          </cell>
          <cell r="C122">
            <v>46349</v>
          </cell>
          <cell r="D122">
            <v>1250</v>
          </cell>
        </row>
        <row r="123">
          <cell r="A123" t="str">
            <v>D</v>
          </cell>
          <cell r="C123">
            <v>46356</v>
          </cell>
          <cell r="D123">
            <v>1250</v>
          </cell>
        </row>
        <row r="124">
          <cell r="A124" t="str">
            <v>D</v>
          </cell>
          <cell r="C124">
            <v>46363</v>
          </cell>
          <cell r="D124">
            <v>1250</v>
          </cell>
        </row>
        <row r="125">
          <cell r="A125" t="str">
            <v>D</v>
          </cell>
          <cell r="C125">
            <v>46370</v>
          </cell>
          <cell r="D125">
            <v>1250</v>
          </cell>
        </row>
        <row r="126">
          <cell r="A126" t="str">
            <v>E</v>
          </cell>
          <cell r="C126">
            <v>46139</v>
          </cell>
          <cell r="D126">
            <v>472</v>
          </cell>
        </row>
        <row r="127">
          <cell r="A127" t="str">
            <v>E</v>
          </cell>
          <cell r="C127">
            <v>46146</v>
          </cell>
          <cell r="D127">
            <v>300</v>
          </cell>
        </row>
        <row r="128">
          <cell r="A128" t="str">
            <v>E</v>
          </cell>
          <cell r="C128">
            <v>46153</v>
          </cell>
          <cell r="D128">
            <v>698</v>
          </cell>
        </row>
        <row r="129">
          <cell r="A129" t="str">
            <v>E</v>
          </cell>
          <cell r="C129">
            <v>46167</v>
          </cell>
          <cell r="D129">
            <v>300</v>
          </cell>
        </row>
        <row r="130">
          <cell r="A130" t="str">
            <v>E</v>
          </cell>
          <cell r="C130">
            <v>46188</v>
          </cell>
          <cell r="D130">
            <v>300</v>
          </cell>
        </row>
        <row r="131">
          <cell r="A131" t="str">
            <v>E</v>
          </cell>
          <cell r="C131">
            <v>46202</v>
          </cell>
          <cell r="D131">
            <v>700</v>
          </cell>
        </row>
        <row r="132">
          <cell r="A132" t="str">
            <v>E</v>
          </cell>
          <cell r="C132">
            <v>46209</v>
          </cell>
          <cell r="D132">
            <v>300</v>
          </cell>
        </row>
        <row r="133">
          <cell r="A133" t="str">
            <v>E</v>
          </cell>
          <cell r="C133">
            <v>46216</v>
          </cell>
          <cell r="D133">
            <v>300</v>
          </cell>
        </row>
        <row r="134">
          <cell r="A134" t="str">
            <v>E</v>
          </cell>
          <cell r="C134">
            <v>46223</v>
          </cell>
          <cell r="D134">
            <v>300</v>
          </cell>
        </row>
        <row r="135">
          <cell r="A135" t="str">
            <v>E</v>
          </cell>
          <cell r="C135">
            <v>46244</v>
          </cell>
          <cell r="D135">
            <v>300</v>
          </cell>
        </row>
        <row r="136">
          <cell r="A136" t="str">
            <v>E</v>
          </cell>
          <cell r="C136">
            <v>46265</v>
          </cell>
          <cell r="D136">
            <v>300</v>
          </cell>
        </row>
        <row r="137">
          <cell r="A137" t="str">
            <v>E</v>
          </cell>
          <cell r="C137">
            <v>46293</v>
          </cell>
          <cell r="D137">
            <v>300</v>
          </cell>
        </row>
        <row r="138">
          <cell r="A138" t="str">
            <v>E</v>
          </cell>
          <cell r="C138">
            <v>46328</v>
          </cell>
          <cell r="D138">
            <v>300</v>
          </cell>
        </row>
        <row r="139">
          <cell r="A139" t="str">
            <v>E</v>
          </cell>
          <cell r="C139">
            <v>46356</v>
          </cell>
          <cell r="D139">
            <v>300</v>
          </cell>
        </row>
        <row r="140">
          <cell r="A140" t="str">
            <v>F</v>
          </cell>
          <cell r="C140">
            <v>46132</v>
          </cell>
          <cell r="D140">
            <v>588</v>
          </cell>
        </row>
        <row r="141">
          <cell r="A141" t="str">
            <v>F</v>
          </cell>
          <cell r="C141">
            <v>46139</v>
          </cell>
          <cell r="D141">
            <v>4028</v>
          </cell>
        </row>
        <row r="142">
          <cell r="A142" t="str">
            <v>F</v>
          </cell>
          <cell r="C142">
            <v>46146</v>
          </cell>
          <cell r="D142">
            <v>4200</v>
          </cell>
        </row>
        <row r="143">
          <cell r="A143" t="str">
            <v>F</v>
          </cell>
          <cell r="C143">
            <v>46153</v>
          </cell>
          <cell r="D143">
            <v>3802</v>
          </cell>
        </row>
        <row r="144">
          <cell r="A144" t="str">
            <v>F</v>
          </cell>
          <cell r="C144">
            <v>46160</v>
          </cell>
          <cell r="D144">
            <v>4500</v>
          </cell>
        </row>
        <row r="145">
          <cell r="A145" t="str">
            <v>F</v>
          </cell>
          <cell r="C145">
            <v>46167</v>
          </cell>
          <cell r="D145">
            <v>4200</v>
          </cell>
        </row>
        <row r="146">
          <cell r="A146" t="str">
            <v>F</v>
          </cell>
          <cell r="C146">
            <v>46174</v>
          </cell>
          <cell r="D146">
            <v>4500</v>
          </cell>
        </row>
        <row r="147">
          <cell r="A147" t="str">
            <v>F</v>
          </cell>
          <cell r="C147">
            <v>46181</v>
          </cell>
          <cell r="D147">
            <v>4500</v>
          </cell>
        </row>
        <row r="148">
          <cell r="A148" t="str">
            <v>F</v>
          </cell>
          <cell r="C148">
            <v>46188</v>
          </cell>
          <cell r="D148">
            <v>2200</v>
          </cell>
        </row>
        <row r="149">
          <cell r="A149" t="str">
            <v>F</v>
          </cell>
          <cell r="C149">
            <v>46195</v>
          </cell>
          <cell r="D149">
            <v>5000</v>
          </cell>
        </row>
        <row r="150">
          <cell r="A150" t="str">
            <v>F</v>
          </cell>
          <cell r="C150">
            <v>46202</v>
          </cell>
          <cell r="D150">
            <v>4300</v>
          </cell>
        </row>
        <row r="151">
          <cell r="A151" t="str">
            <v>F</v>
          </cell>
          <cell r="C151">
            <v>46209</v>
          </cell>
          <cell r="D151">
            <v>4700</v>
          </cell>
        </row>
        <row r="152">
          <cell r="A152" t="str">
            <v>F</v>
          </cell>
          <cell r="C152">
            <v>46216</v>
          </cell>
          <cell r="D152">
            <v>4746</v>
          </cell>
        </row>
        <row r="153">
          <cell r="A153" t="str">
            <v>F</v>
          </cell>
          <cell r="C153">
            <v>46223</v>
          </cell>
          <cell r="D153">
            <v>4300</v>
          </cell>
        </row>
        <row r="154">
          <cell r="A154" t="str">
            <v>F</v>
          </cell>
          <cell r="C154">
            <v>46230</v>
          </cell>
          <cell r="D154">
            <v>476</v>
          </cell>
        </row>
        <row r="155">
          <cell r="A155" t="str">
            <v>F</v>
          </cell>
          <cell r="C155">
            <v>46237</v>
          </cell>
          <cell r="D155">
            <v>1298</v>
          </cell>
        </row>
        <row r="156">
          <cell r="A156" t="str">
            <v>F</v>
          </cell>
          <cell r="C156">
            <v>46244</v>
          </cell>
          <cell r="D156">
            <v>1300</v>
          </cell>
        </row>
        <row r="157">
          <cell r="A157" t="str">
            <v>F</v>
          </cell>
          <cell r="C157">
            <v>46251</v>
          </cell>
          <cell r="D157">
            <v>1298</v>
          </cell>
        </row>
        <row r="158">
          <cell r="A158" t="str">
            <v>F</v>
          </cell>
          <cell r="C158">
            <v>46258</v>
          </cell>
          <cell r="D158">
            <v>1506</v>
          </cell>
        </row>
        <row r="159">
          <cell r="A159" t="str">
            <v>F</v>
          </cell>
          <cell r="C159">
            <v>46265</v>
          </cell>
          <cell r="D159">
            <v>1506</v>
          </cell>
        </row>
        <row r="160">
          <cell r="A160" t="str">
            <v>F</v>
          </cell>
          <cell r="C160">
            <v>46272</v>
          </cell>
          <cell r="D160">
            <v>1506</v>
          </cell>
        </row>
        <row r="161">
          <cell r="A161" t="str">
            <v>F</v>
          </cell>
          <cell r="C161">
            <v>46279</v>
          </cell>
          <cell r="D161">
            <v>1506</v>
          </cell>
        </row>
        <row r="162">
          <cell r="A162" t="str">
            <v>F</v>
          </cell>
          <cell r="C162">
            <v>46286</v>
          </cell>
          <cell r="D162">
            <v>1446</v>
          </cell>
        </row>
        <row r="163">
          <cell r="A163" t="str">
            <v>F</v>
          </cell>
          <cell r="C163">
            <v>46307</v>
          </cell>
          <cell r="D163">
            <v>1448</v>
          </cell>
        </row>
        <row r="164">
          <cell r="A164" t="str">
            <v>F</v>
          </cell>
          <cell r="C164">
            <v>46314</v>
          </cell>
          <cell r="D164">
            <v>1448</v>
          </cell>
        </row>
        <row r="165">
          <cell r="A165" t="str">
            <v>F</v>
          </cell>
          <cell r="C165">
            <v>46321</v>
          </cell>
          <cell r="D165">
            <v>1448</v>
          </cell>
        </row>
        <row r="166">
          <cell r="A166" t="str">
            <v>F</v>
          </cell>
          <cell r="C166">
            <v>46328</v>
          </cell>
          <cell r="D166">
            <v>1754</v>
          </cell>
        </row>
        <row r="167">
          <cell r="A167" t="str">
            <v>F</v>
          </cell>
          <cell r="C167">
            <v>46335</v>
          </cell>
          <cell r="D167">
            <v>1756</v>
          </cell>
        </row>
        <row r="168">
          <cell r="A168" t="str">
            <v>F</v>
          </cell>
          <cell r="C168">
            <v>46342</v>
          </cell>
          <cell r="D168">
            <v>1756</v>
          </cell>
        </row>
        <row r="169">
          <cell r="A169" t="str">
            <v>F</v>
          </cell>
          <cell r="C169">
            <v>46349</v>
          </cell>
          <cell r="D169">
            <v>1756</v>
          </cell>
        </row>
        <row r="170">
          <cell r="A170" t="str">
            <v>F</v>
          </cell>
          <cell r="C170">
            <v>46356</v>
          </cell>
          <cell r="D170">
            <v>1928</v>
          </cell>
        </row>
        <row r="171">
          <cell r="A171" t="str">
            <v>F</v>
          </cell>
          <cell r="C171">
            <v>46363</v>
          </cell>
          <cell r="D171">
            <v>1930</v>
          </cell>
        </row>
        <row r="172">
          <cell r="A172" t="str">
            <v>F</v>
          </cell>
          <cell r="C172">
            <v>46370</v>
          </cell>
          <cell r="D172">
            <v>1928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SKU</v>
          </cell>
        </row>
      </sheetData>
      <sheetData sheetId="11">
        <row r="1">
          <cell r="A1" t="str">
            <v>Fixture</v>
          </cell>
        </row>
      </sheetData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 Case Study"/>
      <sheetName val="Demand"/>
      <sheetName val="Sheet1"/>
      <sheetName val="weekly_demand"/>
      <sheetName val="BOM_demand"/>
      <sheetName val="MRP"/>
      <sheetName val="BOM &amp; Inventory"/>
      <sheetName val="FGs &amp; Log information "/>
      <sheetName val="MPS"/>
      <sheetName val="Production Plan"/>
      <sheetName val="Demand for Production Plan"/>
    </sheetNames>
    <sheetDataSet>
      <sheetData sheetId="0"/>
      <sheetData sheetId="1"/>
      <sheetData sheetId="2"/>
      <sheetData sheetId="3"/>
      <sheetData sheetId="4">
        <row r="2">
          <cell r="A2">
            <v>46132</v>
          </cell>
          <cell r="H2">
            <v>588</v>
          </cell>
          <cell r="I2">
            <v>73.5</v>
          </cell>
          <cell r="J2">
            <v>588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2940</v>
          </cell>
          <cell r="V2">
            <v>1176</v>
          </cell>
        </row>
        <row r="3">
          <cell r="A3">
            <v>46139</v>
          </cell>
          <cell r="H3">
            <v>5184</v>
          </cell>
          <cell r="I3">
            <v>910.5</v>
          </cell>
          <cell r="J3">
            <v>5184</v>
          </cell>
          <cell r="K3">
            <v>1368</v>
          </cell>
          <cell r="L3">
            <v>684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1416</v>
          </cell>
          <cell r="T3">
            <v>1888</v>
          </cell>
          <cell r="U3">
            <v>20140</v>
          </cell>
          <cell r="V3">
            <v>8056</v>
          </cell>
        </row>
        <row r="4">
          <cell r="A4">
            <v>46146</v>
          </cell>
          <cell r="H4">
            <v>36752</v>
          </cell>
          <cell r="I4">
            <v>9818</v>
          </cell>
          <cell r="J4">
            <v>36752</v>
          </cell>
          <cell r="K4">
            <v>40000</v>
          </cell>
          <cell r="L4">
            <v>20000</v>
          </cell>
          <cell r="M4">
            <v>13755</v>
          </cell>
          <cell r="N4">
            <v>8253</v>
          </cell>
          <cell r="O4">
            <v>12960</v>
          </cell>
          <cell r="P4">
            <v>2160</v>
          </cell>
          <cell r="Q4">
            <v>4860</v>
          </cell>
          <cell r="R4">
            <v>3645</v>
          </cell>
          <cell r="S4">
            <v>900</v>
          </cell>
          <cell r="T4">
            <v>1200</v>
          </cell>
          <cell r="U4">
            <v>21000</v>
          </cell>
          <cell r="V4">
            <v>8400</v>
          </cell>
        </row>
        <row r="5">
          <cell r="A5">
            <v>46153</v>
          </cell>
          <cell r="H5">
            <v>58518</v>
          </cell>
          <cell r="I5">
            <v>16421.25</v>
          </cell>
          <cell r="J5">
            <v>58518</v>
          </cell>
          <cell r="K5">
            <v>40000</v>
          </cell>
          <cell r="L5">
            <v>20000</v>
          </cell>
          <cell r="M5">
            <v>39145</v>
          </cell>
          <cell r="N5">
            <v>23487</v>
          </cell>
          <cell r="O5">
            <v>25110</v>
          </cell>
          <cell r="P5">
            <v>4185</v>
          </cell>
          <cell r="Q5">
            <v>19980</v>
          </cell>
          <cell r="R5">
            <v>14985</v>
          </cell>
          <cell r="S5">
            <v>2094</v>
          </cell>
          <cell r="T5">
            <v>2792</v>
          </cell>
          <cell r="U5">
            <v>19010</v>
          </cell>
          <cell r="V5">
            <v>7604</v>
          </cell>
        </row>
        <row r="6">
          <cell r="A6">
            <v>46160</v>
          </cell>
          <cell r="H6">
            <v>41987</v>
          </cell>
          <cell r="I6">
            <v>12879.75</v>
          </cell>
          <cell r="J6">
            <v>41987</v>
          </cell>
          <cell r="K6">
            <v>22000</v>
          </cell>
          <cell r="L6">
            <v>11000</v>
          </cell>
          <cell r="M6">
            <v>22162.5</v>
          </cell>
          <cell r="N6">
            <v>13297.5</v>
          </cell>
          <cell r="O6">
            <v>35346</v>
          </cell>
          <cell r="P6">
            <v>5891</v>
          </cell>
          <cell r="Q6">
            <v>11680</v>
          </cell>
          <cell r="R6">
            <v>8760</v>
          </cell>
          <cell r="S6">
            <v>0</v>
          </cell>
          <cell r="T6">
            <v>0</v>
          </cell>
          <cell r="U6">
            <v>22500</v>
          </cell>
          <cell r="V6">
            <v>9000</v>
          </cell>
        </row>
        <row r="7">
          <cell r="A7">
            <v>46167</v>
          </cell>
          <cell r="H7">
            <v>38270</v>
          </cell>
          <cell r="I7">
            <v>11748.5</v>
          </cell>
          <cell r="J7">
            <v>38270</v>
          </cell>
          <cell r="K7">
            <v>26000</v>
          </cell>
          <cell r="L7">
            <v>13000</v>
          </cell>
          <cell r="M7">
            <v>5365</v>
          </cell>
          <cell r="N7">
            <v>3219</v>
          </cell>
          <cell r="O7">
            <v>31572</v>
          </cell>
          <cell r="P7">
            <v>5262</v>
          </cell>
          <cell r="Q7">
            <v>16200</v>
          </cell>
          <cell r="R7">
            <v>12150</v>
          </cell>
          <cell r="S7">
            <v>900</v>
          </cell>
          <cell r="T7">
            <v>1200</v>
          </cell>
          <cell r="U7">
            <v>21000</v>
          </cell>
          <cell r="V7">
            <v>8400</v>
          </cell>
        </row>
        <row r="8">
          <cell r="A8">
            <v>46174</v>
          </cell>
          <cell r="H8">
            <v>29637</v>
          </cell>
          <cell r="I8">
            <v>7656.75</v>
          </cell>
          <cell r="J8">
            <v>29637</v>
          </cell>
          <cell r="K8">
            <v>27546</v>
          </cell>
          <cell r="L8">
            <v>13773</v>
          </cell>
          <cell r="M8">
            <v>17807.5</v>
          </cell>
          <cell r="N8">
            <v>10684.5</v>
          </cell>
          <cell r="O8">
            <v>9720</v>
          </cell>
          <cell r="P8">
            <v>1620</v>
          </cell>
          <cell r="Q8">
            <v>2002</v>
          </cell>
          <cell r="R8">
            <v>1501.5</v>
          </cell>
          <cell r="S8">
            <v>0</v>
          </cell>
          <cell r="T8">
            <v>0</v>
          </cell>
          <cell r="U8">
            <v>22500</v>
          </cell>
          <cell r="V8">
            <v>9000</v>
          </cell>
        </row>
        <row r="9">
          <cell r="A9">
            <v>46181</v>
          </cell>
          <cell r="H9">
            <v>25780</v>
          </cell>
          <cell r="I9">
            <v>7493</v>
          </cell>
          <cell r="J9">
            <v>25780</v>
          </cell>
          <cell r="K9">
            <v>14116</v>
          </cell>
          <cell r="L9">
            <v>7058</v>
          </cell>
          <cell r="M9">
            <v>13272.5</v>
          </cell>
          <cell r="N9">
            <v>7963.5</v>
          </cell>
          <cell r="O9">
            <v>19326</v>
          </cell>
          <cell r="P9">
            <v>3221</v>
          </cell>
          <cell r="Q9">
            <v>4942</v>
          </cell>
          <cell r="R9">
            <v>3706.5</v>
          </cell>
          <cell r="S9">
            <v>0</v>
          </cell>
          <cell r="T9">
            <v>0</v>
          </cell>
          <cell r="U9">
            <v>22500</v>
          </cell>
          <cell r="V9">
            <v>9000</v>
          </cell>
        </row>
        <row r="10">
          <cell r="A10">
            <v>46188</v>
          </cell>
          <cell r="H10">
            <v>22109</v>
          </cell>
          <cell r="I10">
            <v>7527.75</v>
          </cell>
          <cell r="J10">
            <v>22109</v>
          </cell>
          <cell r="K10">
            <v>4080</v>
          </cell>
          <cell r="L10">
            <v>2040</v>
          </cell>
          <cell r="M10">
            <v>13272.5</v>
          </cell>
          <cell r="N10">
            <v>7963.5</v>
          </cell>
          <cell r="O10">
            <v>26406</v>
          </cell>
          <cell r="P10">
            <v>4401</v>
          </cell>
          <cell r="Q10">
            <v>6916</v>
          </cell>
          <cell r="R10">
            <v>5187</v>
          </cell>
          <cell r="S10">
            <v>900</v>
          </cell>
          <cell r="T10">
            <v>1200</v>
          </cell>
          <cell r="U10">
            <v>11000</v>
          </cell>
          <cell r="V10">
            <v>4400</v>
          </cell>
        </row>
        <row r="11">
          <cell r="A11">
            <v>46195</v>
          </cell>
          <cell r="H11">
            <v>19736</v>
          </cell>
          <cell r="I11">
            <v>6232.75</v>
          </cell>
          <cell r="J11">
            <v>19736</v>
          </cell>
          <cell r="K11">
            <v>7082</v>
          </cell>
          <cell r="L11">
            <v>3541</v>
          </cell>
          <cell r="M11">
            <v>7500</v>
          </cell>
          <cell r="N11">
            <v>4500</v>
          </cell>
          <cell r="O11">
            <v>23085</v>
          </cell>
          <cell r="P11">
            <v>3847.5</v>
          </cell>
          <cell r="Q11">
            <v>1000</v>
          </cell>
          <cell r="R11">
            <v>750</v>
          </cell>
          <cell r="S11">
            <v>0</v>
          </cell>
          <cell r="T11">
            <v>0</v>
          </cell>
          <cell r="U11">
            <v>25000</v>
          </cell>
          <cell r="V11">
            <v>10000</v>
          </cell>
        </row>
        <row r="12">
          <cell r="A12">
            <v>46202</v>
          </cell>
          <cell r="H12">
            <v>23041</v>
          </cell>
          <cell r="I12">
            <v>6022.75</v>
          </cell>
          <cell r="J12">
            <v>23041</v>
          </cell>
          <cell r="K12">
            <v>24082</v>
          </cell>
          <cell r="L12">
            <v>12041</v>
          </cell>
          <cell r="M12">
            <v>7500</v>
          </cell>
          <cell r="N12">
            <v>4500</v>
          </cell>
          <cell r="O12">
            <v>7500</v>
          </cell>
          <cell r="P12">
            <v>1250</v>
          </cell>
          <cell r="Q12">
            <v>1000</v>
          </cell>
          <cell r="R12">
            <v>750</v>
          </cell>
          <cell r="S12">
            <v>2100</v>
          </cell>
          <cell r="T12">
            <v>2800</v>
          </cell>
          <cell r="U12">
            <v>21500</v>
          </cell>
          <cell r="V12">
            <v>8600</v>
          </cell>
        </row>
        <row r="13">
          <cell r="A13">
            <v>46209</v>
          </cell>
          <cell r="H13">
            <v>23040</v>
          </cell>
          <cell r="I13">
            <v>5872.5</v>
          </cell>
          <cell r="J13">
            <v>23040</v>
          </cell>
          <cell r="K13">
            <v>24080</v>
          </cell>
          <cell r="L13">
            <v>12040</v>
          </cell>
          <cell r="M13">
            <v>7500</v>
          </cell>
          <cell r="N13">
            <v>4500</v>
          </cell>
          <cell r="O13">
            <v>7500</v>
          </cell>
          <cell r="P13">
            <v>1250</v>
          </cell>
          <cell r="Q13">
            <v>1000</v>
          </cell>
          <cell r="R13">
            <v>750</v>
          </cell>
          <cell r="S13">
            <v>900</v>
          </cell>
          <cell r="T13">
            <v>1200</v>
          </cell>
          <cell r="U13">
            <v>23500</v>
          </cell>
          <cell r="V13">
            <v>9400</v>
          </cell>
        </row>
        <row r="14">
          <cell r="A14">
            <v>46216</v>
          </cell>
          <cell r="H14">
            <v>11046</v>
          </cell>
          <cell r="I14">
            <v>2868.25</v>
          </cell>
          <cell r="J14">
            <v>11046</v>
          </cell>
          <cell r="K14">
            <v>0</v>
          </cell>
          <cell r="L14">
            <v>0</v>
          </cell>
          <cell r="M14">
            <v>7500</v>
          </cell>
          <cell r="N14">
            <v>4500</v>
          </cell>
          <cell r="O14">
            <v>7500</v>
          </cell>
          <cell r="P14">
            <v>1250</v>
          </cell>
          <cell r="Q14">
            <v>1000</v>
          </cell>
          <cell r="R14">
            <v>750</v>
          </cell>
          <cell r="S14">
            <v>900</v>
          </cell>
          <cell r="T14">
            <v>1200</v>
          </cell>
          <cell r="U14">
            <v>23730</v>
          </cell>
          <cell r="V14">
            <v>9492</v>
          </cell>
        </row>
        <row r="15">
          <cell r="A15">
            <v>46223</v>
          </cell>
          <cell r="H15">
            <v>8000</v>
          </cell>
          <cell r="I15">
            <v>1787.5</v>
          </cell>
          <cell r="J15">
            <v>8000</v>
          </cell>
          <cell r="K15">
            <v>0</v>
          </cell>
          <cell r="L15">
            <v>0</v>
          </cell>
          <cell r="M15">
            <v>6000</v>
          </cell>
          <cell r="N15">
            <v>3600</v>
          </cell>
          <cell r="O15">
            <v>3000</v>
          </cell>
          <cell r="P15">
            <v>500</v>
          </cell>
          <cell r="Q15">
            <v>0</v>
          </cell>
          <cell r="R15">
            <v>0</v>
          </cell>
          <cell r="S15">
            <v>900</v>
          </cell>
          <cell r="T15">
            <v>1200</v>
          </cell>
          <cell r="U15">
            <v>21500</v>
          </cell>
          <cell r="V15">
            <v>8600</v>
          </cell>
        </row>
        <row r="16">
          <cell r="A16">
            <v>46230</v>
          </cell>
          <cell r="H16">
            <v>31636</v>
          </cell>
          <cell r="I16">
            <v>8099.5</v>
          </cell>
          <cell r="J16">
            <v>31636</v>
          </cell>
          <cell r="K16">
            <v>55520</v>
          </cell>
          <cell r="L16">
            <v>27760</v>
          </cell>
          <cell r="M16">
            <v>6000</v>
          </cell>
          <cell r="N16">
            <v>3600</v>
          </cell>
          <cell r="O16">
            <v>3000</v>
          </cell>
          <cell r="P16">
            <v>500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2380</v>
          </cell>
          <cell r="V16">
            <v>952</v>
          </cell>
        </row>
        <row r="17">
          <cell r="A17">
            <v>46237</v>
          </cell>
          <cell r="H17">
            <v>29184</v>
          </cell>
          <cell r="I17">
            <v>7383.75</v>
          </cell>
          <cell r="J17">
            <v>29184</v>
          </cell>
          <cell r="K17">
            <v>52972</v>
          </cell>
          <cell r="L17">
            <v>26486</v>
          </cell>
          <cell r="M17">
            <v>0</v>
          </cell>
          <cell r="N17">
            <v>0</v>
          </cell>
          <cell r="O17">
            <v>3000</v>
          </cell>
          <cell r="P17">
            <v>500</v>
          </cell>
          <cell r="Q17">
            <v>800</v>
          </cell>
          <cell r="R17">
            <v>600</v>
          </cell>
          <cell r="S17">
            <v>0</v>
          </cell>
          <cell r="T17">
            <v>0</v>
          </cell>
          <cell r="U17">
            <v>6490</v>
          </cell>
          <cell r="V17">
            <v>2596</v>
          </cell>
        </row>
        <row r="18">
          <cell r="A18">
            <v>46244</v>
          </cell>
          <cell r="H18">
            <v>9248</v>
          </cell>
          <cell r="I18">
            <v>2474.5</v>
          </cell>
          <cell r="J18">
            <v>9248</v>
          </cell>
          <cell r="K18">
            <v>8496</v>
          </cell>
          <cell r="L18">
            <v>4248</v>
          </cell>
          <cell r="M18">
            <v>6000</v>
          </cell>
          <cell r="N18">
            <v>3600</v>
          </cell>
          <cell r="O18">
            <v>3000</v>
          </cell>
          <cell r="P18">
            <v>500</v>
          </cell>
          <cell r="Q18">
            <v>0</v>
          </cell>
          <cell r="R18">
            <v>0</v>
          </cell>
          <cell r="S18">
            <v>900</v>
          </cell>
          <cell r="T18">
            <v>1200</v>
          </cell>
          <cell r="U18">
            <v>6500</v>
          </cell>
          <cell r="V18">
            <v>2600</v>
          </cell>
        </row>
        <row r="19">
          <cell r="A19">
            <v>46251</v>
          </cell>
          <cell r="H19">
            <v>8946</v>
          </cell>
          <cell r="I19">
            <v>2324.25</v>
          </cell>
          <cell r="J19">
            <v>8946</v>
          </cell>
          <cell r="K19">
            <v>8496</v>
          </cell>
          <cell r="L19">
            <v>4248</v>
          </cell>
          <cell r="M19">
            <v>6000</v>
          </cell>
          <cell r="N19">
            <v>3600</v>
          </cell>
          <cell r="O19">
            <v>3000</v>
          </cell>
          <cell r="P19">
            <v>500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6490</v>
          </cell>
          <cell r="V19">
            <v>2596</v>
          </cell>
        </row>
        <row r="20">
          <cell r="A20">
            <v>46258</v>
          </cell>
          <cell r="H20">
            <v>10655</v>
          </cell>
          <cell r="I20">
            <v>2663</v>
          </cell>
          <cell r="J20">
            <v>10655</v>
          </cell>
          <cell r="K20">
            <v>8498</v>
          </cell>
          <cell r="L20">
            <v>4249</v>
          </cell>
          <cell r="M20">
            <v>9375</v>
          </cell>
          <cell r="N20">
            <v>5625</v>
          </cell>
          <cell r="O20">
            <v>2250</v>
          </cell>
          <cell r="P20">
            <v>375</v>
          </cell>
          <cell r="Q20">
            <v>800</v>
          </cell>
          <cell r="R20">
            <v>600</v>
          </cell>
          <cell r="S20">
            <v>0</v>
          </cell>
          <cell r="T20">
            <v>0</v>
          </cell>
          <cell r="U20">
            <v>7530</v>
          </cell>
          <cell r="V20">
            <v>3012</v>
          </cell>
        </row>
        <row r="21">
          <cell r="A21">
            <v>46265</v>
          </cell>
          <cell r="H21">
            <v>10554</v>
          </cell>
          <cell r="I21">
            <v>2712.75</v>
          </cell>
          <cell r="J21">
            <v>10554</v>
          </cell>
          <cell r="K21">
            <v>8496</v>
          </cell>
          <cell r="L21">
            <v>4248</v>
          </cell>
          <cell r="M21">
            <v>9375</v>
          </cell>
          <cell r="N21">
            <v>5625</v>
          </cell>
          <cell r="O21">
            <v>2250</v>
          </cell>
          <cell r="P21">
            <v>375</v>
          </cell>
          <cell r="Q21">
            <v>0</v>
          </cell>
          <cell r="R21">
            <v>0</v>
          </cell>
          <cell r="S21">
            <v>900</v>
          </cell>
          <cell r="T21">
            <v>1200</v>
          </cell>
          <cell r="U21">
            <v>7530</v>
          </cell>
          <cell r="V21">
            <v>3012</v>
          </cell>
        </row>
        <row r="22">
          <cell r="A22">
            <v>46272</v>
          </cell>
          <cell r="H22">
            <v>8797</v>
          </cell>
          <cell r="I22">
            <v>2198.5</v>
          </cell>
          <cell r="J22">
            <v>8797</v>
          </cell>
          <cell r="K22">
            <v>4782</v>
          </cell>
          <cell r="L22">
            <v>2391</v>
          </cell>
          <cell r="M22">
            <v>9375</v>
          </cell>
          <cell r="N22">
            <v>5625</v>
          </cell>
          <cell r="O22">
            <v>2250</v>
          </cell>
          <cell r="P22">
            <v>375</v>
          </cell>
          <cell r="Q22">
            <v>800</v>
          </cell>
          <cell r="R22">
            <v>600</v>
          </cell>
          <cell r="S22">
            <v>0</v>
          </cell>
          <cell r="T22">
            <v>0</v>
          </cell>
          <cell r="U22">
            <v>7530</v>
          </cell>
          <cell r="V22">
            <v>3012</v>
          </cell>
        </row>
        <row r="23">
          <cell r="A23">
            <v>46279</v>
          </cell>
          <cell r="H23">
            <v>8398</v>
          </cell>
          <cell r="I23">
            <v>2098.75</v>
          </cell>
          <cell r="J23">
            <v>8398</v>
          </cell>
          <cell r="K23">
            <v>4784</v>
          </cell>
          <cell r="L23">
            <v>2392</v>
          </cell>
          <cell r="M23">
            <v>9375</v>
          </cell>
          <cell r="N23">
            <v>5625</v>
          </cell>
          <cell r="O23">
            <v>2250</v>
          </cell>
          <cell r="P23">
            <v>375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7530</v>
          </cell>
          <cell r="V23">
            <v>3012</v>
          </cell>
        </row>
        <row r="24">
          <cell r="A24">
            <v>46286</v>
          </cell>
          <cell r="H24">
            <v>7797</v>
          </cell>
          <cell r="I24">
            <v>1918.5</v>
          </cell>
          <cell r="J24">
            <v>7797</v>
          </cell>
          <cell r="K24">
            <v>4782</v>
          </cell>
          <cell r="L24">
            <v>2391</v>
          </cell>
          <cell r="M24">
            <v>7500</v>
          </cell>
          <cell r="N24">
            <v>4500</v>
          </cell>
          <cell r="O24">
            <v>1800</v>
          </cell>
          <cell r="P24">
            <v>300</v>
          </cell>
          <cell r="Q24">
            <v>720</v>
          </cell>
          <cell r="R24">
            <v>540</v>
          </cell>
          <cell r="S24">
            <v>0</v>
          </cell>
          <cell r="T24">
            <v>0</v>
          </cell>
          <cell r="U24">
            <v>7230</v>
          </cell>
          <cell r="V24">
            <v>2892</v>
          </cell>
        </row>
        <row r="25">
          <cell r="A25">
            <v>46293</v>
          </cell>
          <cell r="H25">
            <v>6652</v>
          </cell>
          <cell r="I25">
            <v>1888</v>
          </cell>
          <cell r="J25">
            <v>6652</v>
          </cell>
          <cell r="K25">
            <v>4784</v>
          </cell>
          <cell r="L25">
            <v>2392</v>
          </cell>
          <cell r="M25">
            <v>7500</v>
          </cell>
          <cell r="N25">
            <v>4500</v>
          </cell>
          <cell r="O25">
            <v>1800</v>
          </cell>
          <cell r="P25">
            <v>300</v>
          </cell>
          <cell r="Q25">
            <v>720</v>
          </cell>
          <cell r="R25">
            <v>540</v>
          </cell>
          <cell r="S25">
            <v>900</v>
          </cell>
          <cell r="T25">
            <v>1200</v>
          </cell>
          <cell r="U25">
            <v>0</v>
          </cell>
          <cell r="V25">
            <v>0</v>
          </cell>
        </row>
        <row r="26">
          <cell r="A26">
            <v>46300</v>
          </cell>
          <cell r="H26">
            <v>19977</v>
          </cell>
          <cell r="I26">
            <v>5144.25</v>
          </cell>
          <cell r="J26">
            <v>19977</v>
          </cell>
          <cell r="K26">
            <v>32034</v>
          </cell>
          <cell r="L26">
            <v>16017</v>
          </cell>
          <cell r="M26">
            <v>7500</v>
          </cell>
          <cell r="N26">
            <v>4500</v>
          </cell>
          <cell r="O26">
            <v>1800</v>
          </cell>
          <cell r="P26">
            <v>300</v>
          </cell>
          <cell r="Q26">
            <v>720</v>
          </cell>
          <cell r="R26">
            <v>540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>
            <v>46307</v>
          </cell>
          <cell r="H27">
            <v>21425</v>
          </cell>
          <cell r="I27">
            <v>5325.25</v>
          </cell>
          <cell r="J27">
            <v>21425</v>
          </cell>
          <cell r="K27">
            <v>32034</v>
          </cell>
          <cell r="L27">
            <v>16017</v>
          </cell>
          <cell r="M27">
            <v>7500</v>
          </cell>
          <cell r="N27">
            <v>4500</v>
          </cell>
          <cell r="O27">
            <v>1800</v>
          </cell>
          <cell r="P27">
            <v>300</v>
          </cell>
          <cell r="Q27">
            <v>720</v>
          </cell>
          <cell r="R27">
            <v>540</v>
          </cell>
          <cell r="S27">
            <v>0</v>
          </cell>
          <cell r="T27">
            <v>0</v>
          </cell>
          <cell r="U27">
            <v>7240</v>
          </cell>
          <cell r="V27">
            <v>2896</v>
          </cell>
        </row>
        <row r="28">
          <cell r="A28">
            <v>46314</v>
          </cell>
          <cell r="H28">
            <v>21424</v>
          </cell>
          <cell r="I28">
            <v>5325</v>
          </cell>
          <cell r="J28">
            <v>21424</v>
          </cell>
          <cell r="K28">
            <v>32032</v>
          </cell>
          <cell r="L28">
            <v>16016</v>
          </cell>
          <cell r="M28">
            <v>7500</v>
          </cell>
          <cell r="N28">
            <v>4500</v>
          </cell>
          <cell r="O28">
            <v>1800</v>
          </cell>
          <cell r="P28">
            <v>300</v>
          </cell>
          <cell r="Q28">
            <v>720</v>
          </cell>
          <cell r="R28">
            <v>540</v>
          </cell>
          <cell r="S28">
            <v>0</v>
          </cell>
          <cell r="T28">
            <v>0</v>
          </cell>
          <cell r="U28">
            <v>7240</v>
          </cell>
          <cell r="V28">
            <v>2896</v>
          </cell>
        </row>
        <row r="29">
          <cell r="A29">
            <v>46321</v>
          </cell>
          <cell r="H29">
            <v>25215</v>
          </cell>
          <cell r="I29">
            <v>6247.75</v>
          </cell>
          <cell r="J29">
            <v>25215</v>
          </cell>
          <cell r="K29">
            <v>32034</v>
          </cell>
          <cell r="L29">
            <v>16017</v>
          </cell>
          <cell r="M29">
            <v>15625</v>
          </cell>
          <cell r="N29">
            <v>9375</v>
          </cell>
          <cell r="O29">
            <v>1500</v>
          </cell>
          <cell r="P29">
            <v>250</v>
          </cell>
          <cell r="Q29">
            <v>2000</v>
          </cell>
          <cell r="R29">
            <v>1500</v>
          </cell>
          <cell r="S29">
            <v>0</v>
          </cell>
          <cell r="T29">
            <v>0</v>
          </cell>
          <cell r="U29">
            <v>7240</v>
          </cell>
          <cell r="V29">
            <v>2896</v>
          </cell>
        </row>
        <row r="30">
          <cell r="A30">
            <v>46328</v>
          </cell>
          <cell r="H30">
            <v>14085</v>
          </cell>
          <cell r="I30">
            <v>3502</v>
          </cell>
          <cell r="J30">
            <v>14085</v>
          </cell>
          <cell r="K30">
            <v>8562</v>
          </cell>
          <cell r="L30">
            <v>4281</v>
          </cell>
          <cell r="M30">
            <v>15625</v>
          </cell>
          <cell r="N30">
            <v>9375</v>
          </cell>
          <cell r="O30">
            <v>1500</v>
          </cell>
          <cell r="P30">
            <v>250</v>
          </cell>
          <cell r="Q30">
            <v>2000</v>
          </cell>
          <cell r="R30">
            <v>1500</v>
          </cell>
          <cell r="S30">
            <v>900</v>
          </cell>
          <cell r="T30">
            <v>1200</v>
          </cell>
          <cell r="U30">
            <v>8770</v>
          </cell>
          <cell r="V30">
            <v>3508</v>
          </cell>
        </row>
        <row r="31">
          <cell r="A31">
            <v>46335</v>
          </cell>
          <cell r="H31">
            <v>13788</v>
          </cell>
          <cell r="I31">
            <v>3352.5</v>
          </cell>
          <cell r="J31">
            <v>13788</v>
          </cell>
          <cell r="K31">
            <v>8564</v>
          </cell>
          <cell r="L31">
            <v>4282</v>
          </cell>
          <cell r="M31">
            <v>15625</v>
          </cell>
          <cell r="N31">
            <v>9375</v>
          </cell>
          <cell r="O31">
            <v>1500</v>
          </cell>
          <cell r="P31">
            <v>250</v>
          </cell>
          <cell r="Q31">
            <v>2000</v>
          </cell>
          <cell r="R31">
            <v>1500</v>
          </cell>
          <cell r="S31">
            <v>0</v>
          </cell>
          <cell r="T31">
            <v>0</v>
          </cell>
          <cell r="U31">
            <v>8780</v>
          </cell>
          <cell r="V31">
            <v>3512</v>
          </cell>
        </row>
        <row r="32">
          <cell r="A32">
            <v>46342</v>
          </cell>
          <cell r="H32">
            <v>13787</v>
          </cell>
          <cell r="I32">
            <v>3352.25</v>
          </cell>
          <cell r="J32">
            <v>13787</v>
          </cell>
          <cell r="K32">
            <v>8562</v>
          </cell>
          <cell r="L32">
            <v>4281</v>
          </cell>
          <cell r="M32">
            <v>15625</v>
          </cell>
          <cell r="N32">
            <v>9375</v>
          </cell>
          <cell r="O32">
            <v>1500</v>
          </cell>
          <cell r="P32">
            <v>250</v>
          </cell>
          <cell r="Q32">
            <v>2000</v>
          </cell>
          <cell r="R32">
            <v>1500</v>
          </cell>
          <cell r="S32">
            <v>0</v>
          </cell>
          <cell r="T32">
            <v>0</v>
          </cell>
          <cell r="U32">
            <v>8780</v>
          </cell>
          <cell r="V32">
            <v>3512</v>
          </cell>
        </row>
        <row r="33">
          <cell r="A33">
            <v>46349</v>
          </cell>
          <cell r="H33">
            <v>16538</v>
          </cell>
          <cell r="I33">
            <v>4665</v>
          </cell>
          <cell r="J33">
            <v>16538</v>
          </cell>
          <cell r="K33">
            <v>8564</v>
          </cell>
          <cell r="L33">
            <v>4282</v>
          </cell>
          <cell r="M33">
            <v>15625</v>
          </cell>
          <cell r="N33">
            <v>9375</v>
          </cell>
          <cell r="O33">
            <v>9000</v>
          </cell>
          <cell r="P33">
            <v>1500</v>
          </cell>
          <cell r="Q33">
            <v>2500</v>
          </cell>
          <cell r="R33">
            <v>1875</v>
          </cell>
          <cell r="S33">
            <v>0</v>
          </cell>
          <cell r="T33">
            <v>0</v>
          </cell>
          <cell r="U33">
            <v>8780</v>
          </cell>
          <cell r="V33">
            <v>3512</v>
          </cell>
        </row>
        <row r="34">
          <cell r="A34">
            <v>46356</v>
          </cell>
          <cell r="H34">
            <v>17009</v>
          </cell>
          <cell r="I34">
            <v>4836.25</v>
          </cell>
          <cell r="J34">
            <v>17009</v>
          </cell>
          <cell r="K34">
            <v>8562</v>
          </cell>
          <cell r="L34">
            <v>4281</v>
          </cell>
          <cell r="M34">
            <v>15625</v>
          </cell>
          <cell r="N34">
            <v>9375</v>
          </cell>
          <cell r="O34">
            <v>9000</v>
          </cell>
          <cell r="P34">
            <v>1500</v>
          </cell>
          <cell r="Q34">
            <v>2500</v>
          </cell>
          <cell r="R34">
            <v>1875</v>
          </cell>
          <cell r="S34">
            <v>900</v>
          </cell>
          <cell r="T34">
            <v>1200</v>
          </cell>
          <cell r="U34">
            <v>9640</v>
          </cell>
          <cell r="V34">
            <v>3856</v>
          </cell>
        </row>
        <row r="35">
          <cell r="A35">
            <v>46363</v>
          </cell>
          <cell r="H35">
            <v>20756</v>
          </cell>
          <cell r="I35">
            <v>5697.75</v>
          </cell>
          <cell r="J35">
            <v>20756</v>
          </cell>
          <cell r="K35">
            <v>16652</v>
          </cell>
          <cell r="L35">
            <v>8326</v>
          </cell>
          <cell r="M35">
            <v>15625</v>
          </cell>
          <cell r="N35">
            <v>9375</v>
          </cell>
          <cell r="O35">
            <v>9000</v>
          </cell>
          <cell r="P35">
            <v>1500</v>
          </cell>
          <cell r="Q35">
            <v>2500</v>
          </cell>
          <cell r="R35">
            <v>1875</v>
          </cell>
          <cell r="S35">
            <v>0</v>
          </cell>
          <cell r="T35">
            <v>0</v>
          </cell>
          <cell r="U35">
            <v>9650</v>
          </cell>
          <cell r="V35">
            <v>3860</v>
          </cell>
        </row>
        <row r="36">
          <cell r="A36">
            <v>46370</v>
          </cell>
          <cell r="H36">
            <v>20753</v>
          </cell>
          <cell r="I36">
            <v>5697.25</v>
          </cell>
          <cell r="J36">
            <v>20753</v>
          </cell>
          <cell r="K36">
            <v>16650</v>
          </cell>
          <cell r="L36">
            <v>8325</v>
          </cell>
          <cell r="M36">
            <v>15625</v>
          </cell>
          <cell r="N36">
            <v>9375</v>
          </cell>
          <cell r="O36">
            <v>9000</v>
          </cell>
          <cell r="P36">
            <v>1500</v>
          </cell>
          <cell r="Q36">
            <v>2500</v>
          </cell>
          <cell r="R36">
            <v>1875</v>
          </cell>
          <cell r="S36">
            <v>0</v>
          </cell>
          <cell r="T36">
            <v>0</v>
          </cell>
          <cell r="U36">
            <v>9640</v>
          </cell>
          <cell r="V36">
            <v>3856</v>
          </cell>
        </row>
      </sheetData>
      <sheetData sheetId="5"/>
      <sheetData sheetId="6">
        <row r="6">
          <cell r="E6" t="str">
            <v>RM01</v>
          </cell>
          <cell r="G6" t="str">
            <v>Local</v>
          </cell>
        </row>
        <row r="7">
          <cell r="E7" t="str">
            <v>RM02</v>
          </cell>
          <cell r="G7" t="str">
            <v>Local</v>
          </cell>
        </row>
        <row r="8">
          <cell r="E8" t="str">
            <v>RM03</v>
          </cell>
          <cell r="G8" t="str">
            <v>Local</v>
          </cell>
        </row>
        <row r="9">
          <cell r="E9" t="str">
            <v>RM04</v>
          </cell>
          <cell r="G9" t="str">
            <v>Oversea</v>
          </cell>
        </row>
        <row r="10">
          <cell r="E10" t="str">
            <v>RM05</v>
          </cell>
          <cell r="G10" t="str">
            <v>Oversea</v>
          </cell>
        </row>
        <row r="11">
          <cell r="E11" t="str">
            <v>RM01</v>
          </cell>
          <cell r="G11" t="str">
            <v>Local</v>
          </cell>
        </row>
        <row r="12">
          <cell r="E12" t="str">
            <v>RM02</v>
          </cell>
          <cell r="G12" t="str">
            <v>Local</v>
          </cell>
        </row>
        <row r="13">
          <cell r="E13" t="str">
            <v>RM03</v>
          </cell>
          <cell r="G13" t="str">
            <v>Local</v>
          </cell>
        </row>
        <row r="14">
          <cell r="E14" t="str">
            <v>RM06</v>
          </cell>
          <cell r="G14" t="str">
            <v>Oversea</v>
          </cell>
        </row>
        <row r="15">
          <cell r="E15" t="str">
            <v>RM07</v>
          </cell>
          <cell r="G15" t="str">
            <v>Oversea</v>
          </cell>
        </row>
        <row r="16">
          <cell r="E16" t="str">
            <v>RM01</v>
          </cell>
          <cell r="G16" t="str">
            <v>Local</v>
          </cell>
        </row>
        <row r="17">
          <cell r="E17" t="str">
            <v>RM02</v>
          </cell>
          <cell r="G17" t="str">
            <v>Local</v>
          </cell>
        </row>
        <row r="18">
          <cell r="E18" t="str">
            <v>RM03</v>
          </cell>
          <cell r="G18" t="str">
            <v>Local</v>
          </cell>
        </row>
        <row r="19">
          <cell r="E19" t="str">
            <v>RM08</v>
          </cell>
          <cell r="G19" t="str">
            <v>Oversea</v>
          </cell>
        </row>
        <row r="20">
          <cell r="E20" t="str">
            <v>RM09</v>
          </cell>
          <cell r="G20" t="str">
            <v>Oversea</v>
          </cell>
        </row>
        <row r="21">
          <cell r="E21" t="str">
            <v>RM01</v>
          </cell>
          <cell r="G21" t="str">
            <v>Local</v>
          </cell>
        </row>
        <row r="22">
          <cell r="E22" t="str">
            <v>RM02</v>
          </cell>
          <cell r="G22" t="str">
            <v>Local</v>
          </cell>
        </row>
        <row r="23">
          <cell r="E23" t="str">
            <v>RM03</v>
          </cell>
          <cell r="G23" t="str">
            <v>Local</v>
          </cell>
        </row>
        <row r="24">
          <cell r="E24" t="str">
            <v>RM10</v>
          </cell>
          <cell r="G24" t="str">
            <v>Oversea</v>
          </cell>
        </row>
        <row r="25">
          <cell r="E25" t="str">
            <v>RM11</v>
          </cell>
          <cell r="G25" t="str">
            <v>Oversea</v>
          </cell>
        </row>
        <row r="26">
          <cell r="E26" t="str">
            <v>RM01</v>
          </cell>
          <cell r="G26" t="str">
            <v>Local</v>
          </cell>
        </row>
        <row r="27">
          <cell r="E27" t="str">
            <v>RM02</v>
          </cell>
          <cell r="G27" t="str">
            <v>Local</v>
          </cell>
        </row>
        <row r="28">
          <cell r="E28" t="str">
            <v>RM03</v>
          </cell>
          <cell r="G28" t="str">
            <v>Local</v>
          </cell>
        </row>
        <row r="29">
          <cell r="E29" t="str">
            <v>RM12</v>
          </cell>
          <cell r="G29" t="str">
            <v>Oversea</v>
          </cell>
        </row>
        <row r="30">
          <cell r="E30" t="str">
            <v>RM13</v>
          </cell>
          <cell r="G30" t="str">
            <v>Oversea</v>
          </cell>
        </row>
        <row r="31">
          <cell r="E31" t="str">
            <v>RM01</v>
          </cell>
          <cell r="G31" t="str">
            <v>Local</v>
          </cell>
        </row>
        <row r="32">
          <cell r="E32" t="str">
            <v>RM02</v>
          </cell>
          <cell r="G32" t="str">
            <v>Local</v>
          </cell>
        </row>
        <row r="33">
          <cell r="E33" t="str">
            <v>RM03</v>
          </cell>
          <cell r="G33" t="str">
            <v>Local</v>
          </cell>
        </row>
        <row r="34">
          <cell r="E34" t="str">
            <v>RM14</v>
          </cell>
          <cell r="G34" t="str">
            <v>Oversea</v>
          </cell>
        </row>
        <row r="35">
          <cell r="E35" t="str">
            <v>RM15</v>
          </cell>
          <cell r="G35" t="str">
            <v>Oversea</v>
          </cell>
        </row>
      </sheetData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" displayName="Table14" ref="A1:K466" totalsRowShown="0" headerRowDxfId="33" tableBorderDxfId="32">
  <autoFilter ref="A1:K466" xr:uid="{00000000-0009-0000-0100-000001000000}"/>
  <sortState xmlns:xlrd2="http://schemas.microsoft.com/office/spreadsheetml/2017/richdata2" ref="A2:J466">
    <sortCondition ref="A1:A466"/>
  </sortState>
  <tableColumns count="11">
    <tableColumn id="4" xr3:uid="{00000000-0010-0000-0000-000004000000}" name="Item name" dataDxfId="31"/>
    <tableColumn id="5" xr3:uid="{00000000-0010-0000-0000-000005000000}" name="Des" dataDxfId="30"/>
    <tableColumn id="6" xr3:uid="{00000000-0010-0000-0000-000006000000}" name="Market " dataDxfId="29"/>
    <tableColumn id="7" xr3:uid="{00000000-0010-0000-0000-000007000000}" name="Price ($)" dataDxfId="28"/>
    <tableColumn id="8" xr3:uid="{00000000-0010-0000-0000-000008000000}" name="Product group" dataDxfId="27"/>
    <tableColumn id="9" xr3:uid="{00000000-0010-0000-0000-000009000000}" name="Fixture"/>
    <tableColumn id="10" xr3:uid="{00000000-0010-0000-0000-00000A000000}" name="Weekly Capcity" dataDxfId="26"/>
    <tableColumn id="11" xr3:uid="{00000000-0010-0000-0000-00000B000000}" name="Shipment Request" dataDxfId="25"/>
    <tableColumn id="12" xr3:uid="{00000000-0010-0000-0000-00000C000000}" name="Demand Quantity" dataDxfId="24"/>
    <tableColumn id="1" xr3:uid="{00000000-0010-0000-0000-000001000000}" name="week first day" dataDxfId="23">
      <calculatedColumnFormula>$M$1+7*INT((H2-$M$1)/7)</calculatedColumnFormula>
    </tableColumn>
    <tableColumn id="2" xr3:uid="{00000000-0010-0000-0000-000002000000}" name="production day" dataDxfId="22">
      <calculatedColumnFormula>Table14[[#This Row],[week first day]]-7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I466" totalsRowShown="0" headerRowDxfId="21" tableBorderDxfId="20">
  <autoFilter ref="A1:I466" xr:uid="{00000000-0009-0000-0100-000002000000}"/>
  <sortState xmlns:xlrd2="http://schemas.microsoft.com/office/spreadsheetml/2017/richdata2" ref="A2:I466">
    <sortCondition ref="H1:H466"/>
  </sortState>
  <tableColumns count="9">
    <tableColumn id="4" xr3:uid="{00000000-0010-0000-0100-000004000000}" name="Item name" dataDxfId="19"/>
    <tableColumn id="5" xr3:uid="{00000000-0010-0000-0100-000005000000}" name="Des" dataDxfId="18"/>
    <tableColumn id="6" xr3:uid="{00000000-0010-0000-0100-000006000000}" name="Market " dataDxfId="17"/>
    <tableColumn id="7" xr3:uid="{00000000-0010-0000-0100-000007000000}" name="Price ($)" dataDxfId="16"/>
    <tableColumn id="8" xr3:uid="{00000000-0010-0000-0100-000008000000}" name="Product group" dataDxfId="15"/>
    <tableColumn id="9" xr3:uid="{00000000-0010-0000-0100-000009000000}" name="Fixture"/>
    <tableColumn id="10" xr3:uid="{00000000-0010-0000-0100-00000A000000}" name="Weekly Capcity" dataDxfId="14"/>
    <tableColumn id="11" xr3:uid="{00000000-0010-0000-0100-00000B000000}" name="Shipment Request" dataDxfId="13"/>
    <tableColumn id="12" xr3:uid="{00000000-0010-0000-0100-00000C000000}" name="Demand Quantity" dataDxfId="1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C5:M36" totalsRowCount="1" headerRowDxfId="11">
  <autoFilter ref="C5:M35" xr:uid="{00000000-0009-0000-0100-000003000000}"/>
  <tableColumns count="11">
    <tableColumn id="1" xr3:uid="{00000000-0010-0000-0200-000001000000}" name="No."/>
    <tableColumn id="2" xr3:uid="{00000000-0010-0000-0200-000002000000}" name="Model number"/>
    <tableColumn id="3" xr3:uid="{00000000-0010-0000-0200-000003000000}" name="Component number"/>
    <tableColumn id="4" xr3:uid="{00000000-0010-0000-0200-000004000000}" name="Description"/>
    <tableColumn id="6" xr3:uid="{00000000-0010-0000-0200-000006000000}" name="Vendor location"/>
    <tableColumn id="5" xr3:uid="{00000000-0010-0000-0200-000005000000}" name="BOM usage"/>
    <tableColumn id="7" xr3:uid="{00000000-0010-0000-0200-000007000000}" name="Leadtime"/>
    <tableColumn id="8" xr3:uid="{00000000-0010-0000-0200-000008000000}" name="Stock"/>
    <tableColumn id="9" xr3:uid="{00000000-0010-0000-0200-000009000000}" name="Pending PO"/>
    <tableColumn id="10" xr3:uid="{00000000-0010-0000-0200-00000A000000}" name="U/P (USD/ uom)"/>
    <tableColumn id="12" xr3:uid="{00000000-0010-0000-0200-00000C000000}" name="UOM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45" displayName="Table145" ref="A2:I467" totalsRowShown="0">
  <autoFilter ref="A2:I467" xr:uid="{00000000-0009-0000-0100-000004000000}">
    <filterColumn colId="7">
      <filters>
        <dateGroupItem year="2026" month="5" day="1" dateTimeGrouping="day"/>
        <dateGroupItem year="2026" month="5" day="8" dateTimeGrouping="day"/>
        <dateGroupItem year="2026" month="5" day="15" dateTimeGrouping="day"/>
        <dateGroupItem year="2026" month="5" day="22" dateTimeGrouping="day"/>
        <dateGroupItem year="2026" month="5" day="29" dateTimeGrouping="day"/>
      </filters>
    </filterColumn>
  </autoFilter>
  <tableColumns count="9">
    <tableColumn id="1" xr3:uid="{00000000-0010-0000-0300-000001000000}" name="Item name"/>
    <tableColumn id="2" xr3:uid="{00000000-0010-0000-0300-000002000000}" name="Des"/>
    <tableColumn id="3" xr3:uid="{00000000-0010-0000-0300-000003000000}" name="Market "/>
    <tableColumn id="4" xr3:uid="{00000000-0010-0000-0300-000004000000}" name="Price ($)"/>
    <tableColumn id="5" xr3:uid="{00000000-0010-0000-0300-000005000000}" name="Product group"/>
    <tableColumn id="6" xr3:uid="{00000000-0010-0000-0300-000006000000}" name="Fixture"/>
    <tableColumn id="7" xr3:uid="{00000000-0010-0000-0300-000007000000}" name="Weekly Capcity"/>
    <tableColumn id="8" xr3:uid="{00000000-0010-0000-0300-000008000000}" name="Shipment Request"/>
    <tableColumn id="9" xr3:uid="{00000000-0010-0000-0300-000009000000}" name="Demand Quant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9"/>
  <sheetViews>
    <sheetView zoomScale="77" workbookViewId="0"/>
  </sheetViews>
  <sheetFormatPr defaultRowHeight="14.4" x14ac:dyDescent="0.3"/>
  <cols>
    <col min="2" max="2" width="3.44140625" bestFit="1" customWidth="1"/>
    <col min="3" max="3" width="53.21875" customWidth="1"/>
    <col min="4" max="4" width="100.21875" customWidth="1"/>
    <col min="6" max="6" width="22.77734375" customWidth="1"/>
    <col min="7" max="7" width="32.44140625" bestFit="1" customWidth="1"/>
    <col min="8" max="8" width="115.44140625" bestFit="1" customWidth="1"/>
    <col min="11" max="11" width="64.5546875" bestFit="1" customWidth="1"/>
    <col min="12" max="12" width="79.44140625" bestFit="1" customWidth="1"/>
  </cols>
  <sheetData>
    <row r="2" spans="2:4" x14ac:dyDescent="0.3">
      <c r="C2" s="1" t="s">
        <v>33</v>
      </c>
    </row>
    <row r="3" spans="2:4" x14ac:dyDescent="0.3">
      <c r="C3" t="s">
        <v>34</v>
      </c>
    </row>
    <row r="5" spans="2:4" x14ac:dyDescent="0.3">
      <c r="C5" s="1" t="s">
        <v>35</v>
      </c>
    </row>
    <row r="6" spans="2:4" x14ac:dyDescent="0.3">
      <c r="C6" t="s">
        <v>36</v>
      </c>
    </row>
    <row r="7" spans="2:4" x14ac:dyDescent="0.3">
      <c r="C7" t="s">
        <v>37</v>
      </c>
    </row>
    <row r="8" spans="2:4" x14ac:dyDescent="0.3">
      <c r="C8" t="s">
        <v>38</v>
      </c>
    </row>
    <row r="13" spans="2:4" x14ac:dyDescent="0.3">
      <c r="B13" s="2" t="s">
        <v>39</v>
      </c>
      <c r="C13" s="2" t="s">
        <v>40</v>
      </c>
      <c r="D13" s="2" t="s">
        <v>41</v>
      </c>
    </row>
    <row r="14" spans="2:4" x14ac:dyDescent="0.3">
      <c r="B14" s="3">
        <v>1</v>
      </c>
      <c r="C14" s="3" t="s">
        <v>42</v>
      </c>
      <c r="D14" s="3" t="s">
        <v>43</v>
      </c>
    </row>
    <row r="15" spans="2:4" x14ac:dyDescent="0.3">
      <c r="B15" s="3">
        <v>2</v>
      </c>
      <c r="C15" s="3" t="s">
        <v>44</v>
      </c>
      <c r="D15" s="3" t="s">
        <v>45</v>
      </c>
    </row>
    <row r="16" spans="2:4" ht="43.2" customHeight="1" x14ac:dyDescent="0.3">
      <c r="B16" s="3">
        <v>3</v>
      </c>
      <c r="C16" s="3" t="s">
        <v>46</v>
      </c>
      <c r="D16" s="4" t="s">
        <v>47</v>
      </c>
    </row>
    <row r="17" spans="2:4" x14ac:dyDescent="0.3">
      <c r="B17" s="3">
        <v>4</v>
      </c>
      <c r="C17" s="3" t="s">
        <v>48</v>
      </c>
      <c r="D17" s="3" t="s">
        <v>49</v>
      </c>
    </row>
    <row r="18" spans="2:4" x14ac:dyDescent="0.3">
      <c r="B18" s="3">
        <v>5</v>
      </c>
      <c r="C18" s="3" t="s">
        <v>50</v>
      </c>
      <c r="D18" s="3" t="s">
        <v>51</v>
      </c>
    </row>
    <row r="19" spans="2:4" x14ac:dyDescent="0.3">
      <c r="B19" s="3">
        <v>6</v>
      </c>
      <c r="C19" s="3" t="s">
        <v>52</v>
      </c>
      <c r="D19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6"/>
  <sheetViews>
    <sheetView zoomScale="53" workbookViewId="0">
      <selection activeCell="M1" sqref="M1"/>
    </sheetView>
  </sheetViews>
  <sheetFormatPr defaultRowHeight="14.4" x14ac:dyDescent="0.3"/>
  <cols>
    <col min="1" max="1" width="17.21875" bestFit="1" customWidth="1"/>
    <col min="2" max="2" width="28.77734375" hidden="1" customWidth="1"/>
    <col min="3" max="3" width="13.88671875" hidden="1" customWidth="1"/>
    <col min="4" max="4" width="15.33203125" hidden="1" customWidth="1"/>
    <col min="5" max="5" width="29.88671875" hidden="1" customWidth="1"/>
    <col min="6" max="6" width="13.44140625" customWidth="1"/>
    <col min="7" max="7" width="23.77734375" bestFit="1" customWidth="1"/>
    <col min="8" max="8" width="27" customWidth="1"/>
    <col min="9" max="9" width="25.77734375" customWidth="1"/>
    <col min="10" max="11" width="25.77734375" style="31" customWidth="1"/>
    <col min="12" max="12" width="30.33203125" bestFit="1" customWidth="1"/>
    <col min="13" max="13" width="10.33203125" bestFit="1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32" t="s">
        <v>54</v>
      </c>
      <c r="K1" s="32" t="s">
        <v>55</v>
      </c>
      <c r="L1" s="30" t="s">
        <v>56</v>
      </c>
      <c r="M1" s="31"/>
    </row>
    <row r="2" spans="1:13" x14ac:dyDescent="0.3">
      <c r="A2" s="8" t="s">
        <v>14</v>
      </c>
      <c r="B2" s="8" t="s">
        <v>15</v>
      </c>
      <c r="C2" s="8" t="s">
        <v>11</v>
      </c>
      <c r="D2" s="8">
        <v>105</v>
      </c>
      <c r="E2" s="8" t="s">
        <v>16</v>
      </c>
      <c r="F2" t="s">
        <v>17</v>
      </c>
      <c r="G2" s="9">
        <v>15000</v>
      </c>
      <c r="H2" s="10">
        <v>46150</v>
      </c>
      <c r="I2" s="11">
        <v>684</v>
      </c>
      <c r="J2" s="31">
        <f t="shared" ref="J2:J65" si="0">$M$1+7*INT((H2-$M$1)/7)</f>
        <v>46144</v>
      </c>
      <c r="K2" s="31">
        <f>Table14[[#This Row],[week first day]]-7</f>
        <v>46137</v>
      </c>
      <c r="L2">
        <f t="shared" ref="L2:L65" si="1">SUMIFS($I:$I,$A:$A,A2,J:J,J2)</f>
        <v>684</v>
      </c>
    </row>
    <row r="3" spans="1:13" x14ac:dyDescent="0.3">
      <c r="A3" s="8" t="s">
        <v>14</v>
      </c>
      <c r="B3" s="8" t="s">
        <v>15</v>
      </c>
      <c r="C3" s="8" t="s">
        <v>11</v>
      </c>
      <c r="D3" s="8">
        <v>105</v>
      </c>
      <c r="E3" s="8" t="s">
        <v>16</v>
      </c>
      <c r="F3" t="s">
        <v>17</v>
      </c>
      <c r="G3" s="9">
        <v>15000</v>
      </c>
      <c r="H3" s="7">
        <v>46157</v>
      </c>
      <c r="I3" s="9">
        <v>20000</v>
      </c>
      <c r="J3" s="31">
        <f t="shared" si="0"/>
        <v>46151</v>
      </c>
      <c r="K3" s="31">
        <f>Table14[[#This Row],[week first day]]-7</f>
        <v>46144</v>
      </c>
      <c r="L3">
        <f t="shared" si="1"/>
        <v>20000</v>
      </c>
    </row>
    <row r="4" spans="1:13" x14ac:dyDescent="0.3">
      <c r="A4" s="8" t="s">
        <v>14</v>
      </c>
      <c r="B4" s="8" t="s">
        <v>15</v>
      </c>
      <c r="C4" s="8" t="s">
        <v>11</v>
      </c>
      <c r="D4" s="8">
        <v>105</v>
      </c>
      <c r="E4" s="8" t="s">
        <v>16</v>
      </c>
      <c r="F4" t="s">
        <v>17</v>
      </c>
      <c r="G4" s="9">
        <v>15000</v>
      </c>
      <c r="H4" s="7">
        <v>46164</v>
      </c>
      <c r="I4" s="9">
        <v>15000</v>
      </c>
      <c r="J4" s="31">
        <f t="shared" si="0"/>
        <v>46158</v>
      </c>
      <c r="K4" s="31">
        <f>Table14[[#This Row],[week first day]]-7</f>
        <v>46151</v>
      </c>
      <c r="L4">
        <f t="shared" si="1"/>
        <v>20000</v>
      </c>
    </row>
    <row r="5" spans="1:13" x14ac:dyDescent="0.3">
      <c r="A5" s="8" t="s">
        <v>14</v>
      </c>
      <c r="B5" s="8" t="s">
        <v>15</v>
      </c>
      <c r="C5" s="8" t="s">
        <v>11</v>
      </c>
      <c r="D5" s="8">
        <v>105</v>
      </c>
      <c r="E5" s="8" t="s">
        <v>16</v>
      </c>
      <c r="F5" t="s">
        <v>17</v>
      </c>
      <c r="G5" s="9">
        <v>15000</v>
      </c>
      <c r="H5" s="7">
        <v>46164</v>
      </c>
      <c r="I5" s="9">
        <v>5000</v>
      </c>
      <c r="J5" s="31">
        <f t="shared" si="0"/>
        <v>46158</v>
      </c>
      <c r="K5" s="31">
        <f>Table14[[#This Row],[week first day]]-7</f>
        <v>46151</v>
      </c>
      <c r="L5">
        <f t="shared" si="1"/>
        <v>20000</v>
      </c>
    </row>
    <row r="6" spans="1:13" x14ac:dyDescent="0.3">
      <c r="A6" s="8" t="s">
        <v>14</v>
      </c>
      <c r="B6" s="8" t="s">
        <v>15</v>
      </c>
      <c r="C6" s="8" t="s">
        <v>11</v>
      </c>
      <c r="D6" s="8">
        <v>105</v>
      </c>
      <c r="E6" s="8" t="s">
        <v>16</v>
      </c>
      <c r="F6" t="s">
        <v>17</v>
      </c>
      <c r="G6" s="9">
        <v>15000</v>
      </c>
      <c r="H6" s="7">
        <v>46171</v>
      </c>
      <c r="I6" s="9">
        <v>11000</v>
      </c>
      <c r="J6" s="31">
        <f t="shared" si="0"/>
        <v>46165</v>
      </c>
      <c r="K6" s="31">
        <f>Table14[[#This Row],[week first day]]-7</f>
        <v>46158</v>
      </c>
      <c r="L6">
        <f t="shared" si="1"/>
        <v>11000</v>
      </c>
    </row>
    <row r="7" spans="1:13" x14ac:dyDescent="0.3">
      <c r="A7" s="8" t="s">
        <v>14</v>
      </c>
      <c r="B7" s="8" t="s">
        <v>15</v>
      </c>
      <c r="C7" s="8" t="s">
        <v>11</v>
      </c>
      <c r="D7" s="8">
        <v>105</v>
      </c>
      <c r="E7" s="8" t="s">
        <v>16</v>
      </c>
      <c r="F7" t="s">
        <v>17</v>
      </c>
      <c r="G7" s="9">
        <v>15000</v>
      </c>
      <c r="H7" s="7">
        <v>46178</v>
      </c>
      <c r="I7" s="9">
        <v>13000</v>
      </c>
      <c r="J7" s="31">
        <f t="shared" si="0"/>
        <v>46172</v>
      </c>
      <c r="K7" s="31">
        <f>Table14[[#This Row],[week first day]]-7</f>
        <v>46165</v>
      </c>
      <c r="L7">
        <f t="shared" si="1"/>
        <v>13000</v>
      </c>
    </row>
    <row r="8" spans="1:13" x14ac:dyDescent="0.3">
      <c r="A8" s="8" t="s">
        <v>14</v>
      </c>
      <c r="B8" s="8" t="s">
        <v>15</v>
      </c>
      <c r="C8" s="8" t="s">
        <v>11</v>
      </c>
      <c r="D8" s="8">
        <v>105</v>
      </c>
      <c r="E8" s="8" t="s">
        <v>16</v>
      </c>
      <c r="F8" t="s">
        <v>17</v>
      </c>
      <c r="G8" s="9">
        <v>15000</v>
      </c>
      <c r="H8" s="7">
        <v>46185</v>
      </c>
      <c r="I8" s="9">
        <v>13773</v>
      </c>
      <c r="J8" s="31">
        <f t="shared" si="0"/>
        <v>46179</v>
      </c>
      <c r="K8" s="31">
        <f>Table14[[#This Row],[week first day]]-7</f>
        <v>46172</v>
      </c>
      <c r="L8">
        <f t="shared" si="1"/>
        <v>13773</v>
      </c>
    </row>
    <row r="9" spans="1:13" x14ac:dyDescent="0.3">
      <c r="A9" s="8" t="s">
        <v>14</v>
      </c>
      <c r="B9" s="8" t="s">
        <v>15</v>
      </c>
      <c r="C9" s="8" t="s">
        <v>11</v>
      </c>
      <c r="D9" s="8">
        <v>105</v>
      </c>
      <c r="E9" s="8" t="s">
        <v>16</v>
      </c>
      <c r="F9" t="s">
        <v>17</v>
      </c>
      <c r="G9" s="9">
        <v>15000</v>
      </c>
      <c r="H9" s="7">
        <v>46192</v>
      </c>
      <c r="I9" s="9">
        <v>7058</v>
      </c>
      <c r="J9" s="31">
        <f t="shared" si="0"/>
        <v>46186</v>
      </c>
      <c r="K9" s="31">
        <f>Table14[[#This Row],[week first day]]-7</f>
        <v>46179</v>
      </c>
      <c r="L9">
        <f t="shared" si="1"/>
        <v>7058</v>
      </c>
    </row>
    <row r="10" spans="1:13" x14ac:dyDescent="0.3">
      <c r="A10" s="8" t="s">
        <v>14</v>
      </c>
      <c r="B10" s="8" t="s">
        <v>15</v>
      </c>
      <c r="C10" s="8" t="s">
        <v>11</v>
      </c>
      <c r="D10" s="8">
        <v>105</v>
      </c>
      <c r="E10" s="8" t="s">
        <v>16</v>
      </c>
      <c r="F10" t="s">
        <v>17</v>
      </c>
      <c r="G10" s="9">
        <v>15000</v>
      </c>
      <c r="H10" s="7">
        <v>46199</v>
      </c>
      <c r="I10" s="9">
        <v>2040</v>
      </c>
      <c r="J10" s="31">
        <f t="shared" si="0"/>
        <v>46193</v>
      </c>
      <c r="K10" s="31">
        <f>Table14[[#This Row],[week first day]]-7</f>
        <v>46186</v>
      </c>
      <c r="L10">
        <f t="shared" si="1"/>
        <v>2040</v>
      </c>
    </row>
    <row r="11" spans="1:13" x14ac:dyDescent="0.3">
      <c r="A11" s="8" t="s">
        <v>14</v>
      </c>
      <c r="B11" s="8" t="s">
        <v>15</v>
      </c>
      <c r="C11" s="8" t="s">
        <v>11</v>
      </c>
      <c r="D11" s="8">
        <v>105</v>
      </c>
      <c r="E11" s="8" t="s">
        <v>16</v>
      </c>
      <c r="F11" t="s">
        <v>17</v>
      </c>
      <c r="G11" s="9">
        <v>15000</v>
      </c>
      <c r="H11" s="7">
        <v>46206</v>
      </c>
      <c r="I11" s="9">
        <v>1500</v>
      </c>
      <c r="J11" s="31">
        <f t="shared" si="0"/>
        <v>46200</v>
      </c>
      <c r="K11" s="31">
        <f>Table14[[#This Row],[week first day]]-7</f>
        <v>46193</v>
      </c>
      <c r="L11">
        <f t="shared" si="1"/>
        <v>3541</v>
      </c>
    </row>
    <row r="12" spans="1:13" x14ac:dyDescent="0.3">
      <c r="A12" s="8" t="s">
        <v>14</v>
      </c>
      <c r="B12" s="8" t="s">
        <v>15</v>
      </c>
      <c r="C12" s="8" t="s">
        <v>11</v>
      </c>
      <c r="D12" s="8">
        <v>105</v>
      </c>
      <c r="E12" s="8" t="s">
        <v>16</v>
      </c>
      <c r="F12" t="s">
        <v>17</v>
      </c>
      <c r="G12" s="9">
        <v>15000</v>
      </c>
      <c r="H12" s="7">
        <v>46206</v>
      </c>
      <c r="I12" s="9">
        <v>2041</v>
      </c>
      <c r="J12" s="31">
        <f t="shared" si="0"/>
        <v>46200</v>
      </c>
      <c r="K12" s="31">
        <f>Table14[[#This Row],[week first day]]-7</f>
        <v>46193</v>
      </c>
      <c r="L12">
        <f t="shared" si="1"/>
        <v>3541</v>
      </c>
    </row>
    <row r="13" spans="1:13" x14ac:dyDescent="0.3">
      <c r="A13" s="8" t="s">
        <v>14</v>
      </c>
      <c r="B13" s="8" t="s">
        <v>15</v>
      </c>
      <c r="C13" s="8" t="s">
        <v>11</v>
      </c>
      <c r="D13" s="8">
        <v>105</v>
      </c>
      <c r="E13" s="8" t="s">
        <v>16</v>
      </c>
      <c r="F13" t="s">
        <v>17</v>
      </c>
      <c r="G13" s="9">
        <v>15000</v>
      </c>
      <c r="H13" s="7">
        <v>46213</v>
      </c>
      <c r="I13" s="9">
        <v>2041</v>
      </c>
      <c r="J13" s="31">
        <f t="shared" si="0"/>
        <v>46207</v>
      </c>
      <c r="K13" s="31">
        <f>Table14[[#This Row],[week first day]]-7</f>
        <v>46200</v>
      </c>
      <c r="L13">
        <f t="shared" si="1"/>
        <v>12041</v>
      </c>
    </row>
    <row r="14" spans="1:13" x14ac:dyDescent="0.3">
      <c r="A14" s="8" t="s">
        <v>14</v>
      </c>
      <c r="B14" s="8" t="s">
        <v>15</v>
      </c>
      <c r="C14" s="8" t="s">
        <v>11</v>
      </c>
      <c r="D14" s="8">
        <v>105</v>
      </c>
      <c r="E14" s="8" t="s">
        <v>16</v>
      </c>
      <c r="F14" t="s">
        <v>17</v>
      </c>
      <c r="G14" s="9">
        <v>15000</v>
      </c>
      <c r="H14" s="7">
        <v>46213</v>
      </c>
      <c r="I14" s="9">
        <v>10000</v>
      </c>
      <c r="J14" s="31">
        <f t="shared" si="0"/>
        <v>46207</v>
      </c>
      <c r="K14" s="31">
        <f>Table14[[#This Row],[week first day]]-7</f>
        <v>46200</v>
      </c>
      <c r="L14">
        <f t="shared" si="1"/>
        <v>12041</v>
      </c>
    </row>
    <row r="15" spans="1:13" x14ac:dyDescent="0.3">
      <c r="A15" s="8" t="s">
        <v>14</v>
      </c>
      <c r="B15" s="8" t="s">
        <v>15</v>
      </c>
      <c r="C15" s="8" t="s">
        <v>11</v>
      </c>
      <c r="D15" s="8">
        <v>105</v>
      </c>
      <c r="E15" s="8" t="s">
        <v>16</v>
      </c>
      <c r="F15" t="s">
        <v>17</v>
      </c>
      <c r="G15" s="9">
        <v>15000</v>
      </c>
      <c r="H15" s="7">
        <v>46220</v>
      </c>
      <c r="I15" s="9">
        <v>2040</v>
      </c>
      <c r="J15" s="31">
        <f t="shared" si="0"/>
        <v>46214</v>
      </c>
      <c r="K15" s="31">
        <f>Table14[[#This Row],[week first day]]-7</f>
        <v>46207</v>
      </c>
      <c r="L15">
        <f t="shared" si="1"/>
        <v>12040</v>
      </c>
    </row>
    <row r="16" spans="1:13" x14ac:dyDescent="0.3">
      <c r="A16" s="8" t="s">
        <v>14</v>
      </c>
      <c r="B16" s="8" t="s">
        <v>15</v>
      </c>
      <c r="C16" s="8" t="s">
        <v>11</v>
      </c>
      <c r="D16" s="8">
        <v>105</v>
      </c>
      <c r="E16" s="8" t="s">
        <v>16</v>
      </c>
      <c r="F16" t="s">
        <v>17</v>
      </c>
      <c r="G16" s="9">
        <v>15000</v>
      </c>
      <c r="H16" s="7">
        <v>46220</v>
      </c>
      <c r="I16" s="9">
        <v>10000</v>
      </c>
      <c r="J16" s="31">
        <f t="shared" si="0"/>
        <v>46214</v>
      </c>
      <c r="K16" s="31">
        <f>Table14[[#This Row],[week first day]]-7</f>
        <v>46207</v>
      </c>
      <c r="L16">
        <f t="shared" si="1"/>
        <v>12040</v>
      </c>
    </row>
    <row r="17" spans="1:12" x14ac:dyDescent="0.3">
      <c r="A17" s="8" t="s">
        <v>14</v>
      </c>
      <c r="B17" s="8" t="s">
        <v>15</v>
      </c>
      <c r="C17" s="8" t="s">
        <v>11</v>
      </c>
      <c r="D17" s="8">
        <v>105</v>
      </c>
      <c r="E17" s="8" t="s">
        <v>16</v>
      </c>
      <c r="F17" t="s">
        <v>17</v>
      </c>
      <c r="G17" s="9">
        <v>15000</v>
      </c>
      <c r="H17" s="7">
        <v>46241</v>
      </c>
      <c r="I17" s="9">
        <v>15023</v>
      </c>
      <c r="J17" s="31">
        <f t="shared" si="0"/>
        <v>46235</v>
      </c>
      <c r="K17" s="31">
        <f>Table14[[#This Row],[week first day]]-7</f>
        <v>46228</v>
      </c>
      <c r="L17">
        <f t="shared" si="1"/>
        <v>27760</v>
      </c>
    </row>
    <row r="18" spans="1:12" x14ac:dyDescent="0.3">
      <c r="A18" s="8" t="s">
        <v>14</v>
      </c>
      <c r="B18" s="8" t="s">
        <v>15</v>
      </c>
      <c r="C18" s="8" t="s">
        <v>11</v>
      </c>
      <c r="D18" s="8">
        <v>105</v>
      </c>
      <c r="E18" s="8" t="s">
        <v>16</v>
      </c>
      <c r="F18" t="s">
        <v>17</v>
      </c>
      <c r="G18" s="9">
        <v>15000</v>
      </c>
      <c r="H18" s="7">
        <v>46241</v>
      </c>
      <c r="I18" s="9">
        <v>1737</v>
      </c>
      <c r="J18" s="31">
        <f t="shared" si="0"/>
        <v>46235</v>
      </c>
      <c r="K18" s="31">
        <f>Table14[[#This Row],[week first day]]-7</f>
        <v>46228</v>
      </c>
      <c r="L18">
        <f t="shared" si="1"/>
        <v>27760</v>
      </c>
    </row>
    <row r="19" spans="1:12" x14ac:dyDescent="0.3">
      <c r="A19" s="8" t="s">
        <v>14</v>
      </c>
      <c r="B19" s="8" t="s">
        <v>15</v>
      </c>
      <c r="C19" s="8" t="s">
        <v>11</v>
      </c>
      <c r="D19" s="8">
        <v>105</v>
      </c>
      <c r="E19" s="8" t="s">
        <v>16</v>
      </c>
      <c r="F19" t="s">
        <v>17</v>
      </c>
      <c r="G19" s="9">
        <v>15000</v>
      </c>
      <c r="H19" s="7">
        <v>46241</v>
      </c>
      <c r="I19" s="9">
        <v>11000</v>
      </c>
      <c r="J19" s="31">
        <f t="shared" si="0"/>
        <v>46235</v>
      </c>
      <c r="K19" s="31">
        <f>Table14[[#This Row],[week first day]]-7</f>
        <v>46228</v>
      </c>
      <c r="L19">
        <f t="shared" si="1"/>
        <v>27760</v>
      </c>
    </row>
    <row r="20" spans="1:12" x14ac:dyDescent="0.3">
      <c r="A20" s="8" t="s">
        <v>14</v>
      </c>
      <c r="B20" s="8" t="s">
        <v>15</v>
      </c>
      <c r="C20" s="8" t="s">
        <v>11</v>
      </c>
      <c r="D20" s="8">
        <v>105</v>
      </c>
      <c r="E20" s="8" t="s">
        <v>16</v>
      </c>
      <c r="F20" t="s">
        <v>17</v>
      </c>
      <c r="G20" s="9">
        <v>15000</v>
      </c>
      <c r="H20" s="7">
        <v>46248</v>
      </c>
      <c r="I20" s="9">
        <v>5629</v>
      </c>
      <c r="J20" s="31">
        <f t="shared" si="0"/>
        <v>46242</v>
      </c>
      <c r="K20" s="31">
        <f>Table14[[#This Row],[week first day]]-7</f>
        <v>46235</v>
      </c>
      <c r="L20">
        <f t="shared" si="1"/>
        <v>26486</v>
      </c>
    </row>
    <row r="21" spans="1:12" x14ac:dyDescent="0.3">
      <c r="A21" s="8" t="s">
        <v>14</v>
      </c>
      <c r="B21" s="8" t="s">
        <v>15</v>
      </c>
      <c r="C21" s="8" t="s">
        <v>11</v>
      </c>
      <c r="D21" s="8">
        <v>105</v>
      </c>
      <c r="E21" s="8" t="s">
        <v>16</v>
      </c>
      <c r="F21" t="s">
        <v>17</v>
      </c>
      <c r="G21" s="9">
        <v>15000</v>
      </c>
      <c r="H21" s="7">
        <v>46248</v>
      </c>
      <c r="I21" s="9">
        <v>1857</v>
      </c>
      <c r="J21" s="31">
        <f t="shared" si="0"/>
        <v>46242</v>
      </c>
      <c r="K21" s="31">
        <f>Table14[[#This Row],[week first day]]-7</f>
        <v>46235</v>
      </c>
      <c r="L21">
        <f t="shared" si="1"/>
        <v>26486</v>
      </c>
    </row>
    <row r="22" spans="1:12" x14ac:dyDescent="0.3">
      <c r="A22" s="8" t="s">
        <v>14</v>
      </c>
      <c r="B22" s="8" t="s">
        <v>15</v>
      </c>
      <c r="C22" s="8" t="s">
        <v>11</v>
      </c>
      <c r="D22" s="8">
        <v>105</v>
      </c>
      <c r="E22" s="8" t="s">
        <v>16</v>
      </c>
      <c r="F22" t="s">
        <v>17</v>
      </c>
      <c r="G22" s="9">
        <v>15000</v>
      </c>
      <c r="H22" s="7">
        <v>46248</v>
      </c>
      <c r="I22" s="9">
        <v>19000</v>
      </c>
      <c r="J22" s="31">
        <f t="shared" si="0"/>
        <v>46242</v>
      </c>
      <c r="K22" s="31">
        <f>Table14[[#This Row],[week first day]]-7</f>
        <v>46235</v>
      </c>
      <c r="L22">
        <f t="shared" si="1"/>
        <v>26486</v>
      </c>
    </row>
    <row r="23" spans="1:12" x14ac:dyDescent="0.3">
      <c r="A23" s="8" t="s">
        <v>14</v>
      </c>
      <c r="B23" s="8" t="s">
        <v>15</v>
      </c>
      <c r="C23" s="8" t="s">
        <v>11</v>
      </c>
      <c r="D23" s="8">
        <v>105</v>
      </c>
      <c r="E23" s="8" t="s">
        <v>16</v>
      </c>
      <c r="F23" t="s">
        <v>17</v>
      </c>
      <c r="G23" s="9">
        <v>15000</v>
      </c>
      <c r="H23" s="7">
        <v>46255</v>
      </c>
      <c r="I23" s="9">
        <v>2072</v>
      </c>
      <c r="J23" s="31">
        <f t="shared" si="0"/>
        <v>46249</v>
      </c>
      <c r="K23" s="31">
        <f>Table14[[#This Row],[week first day]]-7</f>
        <v>46242</v>
      </c>
      <c r="L23">
        <f t="shared" si="1"/>
        <v>4248</v>
      </c>
    </row>
    <row r="24" spans="1:12" x14ac:dyDescent="0.3">
      <c r="A24" s="8" t="s">
        <v>14</v>
      </c>
      <c r="B24" s="8" t="s">
        <v>15</v>
      </c>
      <c r="C24" s="8" t="s">
        <v>11</v>
      </c>
      <c r="D24" s="8">
        <v>105</v>
      </c>
      <c r="E24" s="8" t="s">
        <v>16</v>
      </c>
      <c r="F24" t="s">
        <v>17</v>
      </c>
      <c r="G24" s="9">
        <v>15000</v>
      </c>
      <c r="H24" s="7">
        <v>46255</v>
      </c>
      <c r="I24" s="9">
        <v>2176</v>
      </c>
      <c r="J24" s="31">
        <f t="shared" si="0"/>
        <v>46249</v>
      </c>
      <c r="K24" s="31">
        <f>Table14[[#This Row],[week first day]]-7</f>
        <v>46242</v>
      </c>
      <c r="L24">
        <f t="shared" si="1"/>
        <v>4248</v>
      </c>
    </row>
    <row r="25" spans="1:12" x14ac:dyDescent="0.3">
      <c r="A25" s="8" t="s">
        <v>14</v>
      </c>
      <c r="B25" s="8" t="s">
        <v>15</v>
      </c>
      <c r="C25" s="8" t="s">
        <v>11</v>
      </c>
      <c r="D25" s="8">
        <v>105</v>
      </c>
      <c r="E25" s="8" t="s">
        <v>16</v>
      </c>
      <c r="F25" t="s">
        <v>17</v>
      </c>
      <c r="G25" s="9">
        <v>15000</v>
      </c>
      <c r="H25" s="7">
        <v>46262</v>
      </c>
      <c r="I25" s="9">
        <v>4248</v>
      </c>
      <c r="J25" s="31">
        <f t="shared" si="0"/>
        <v>46256</v>
      </c>
      <c r="K25" s="31">
        <f>Table14[[#This Row],[week first day]]-7</f>
        <v>46249</v>
      </c>
      <c r="L25">
        <f t="shared" si="1"/>
        <v>4248</v>
      </c>
    </row>
    <row r="26" spans="1:12" x14ac:dyDescent="0.3">
      <c r="A26" s="8" t="s">
        <v>14</v>
      </c>
      <c r="B26" s="8" t="s">
        <v>15</v>
      </c>
      <c r="C26" s="8" t="s">
        <v>11</v>
      </c>
      <c r="D26" s="8">
        <v>105</v>
      </c>
      <c r="E26" s="8" t="s">
        <v>16</v>
      </c>
      <c r="F26" t="s">
        <v>17</v>
      </c>
      <c r="G26" s="9">
        <v>15000</v>
      </c>
      <c r="H26" s="7">
        <v>46269</v>
      </c>
      <c r="I26" s="9">
        <v>4249</v>
      </c>
      <c r="J26" s="31">
        <f t="shared" si="0"/>
        <v>46263</v>
      </c>
      <c r="K26" s="31">
        <f>Table14[[#This Row],[week first day]]-7</f>
        <v>46256</v>
      </c>
      <c r="L26">
        <f t="shared" si="1"/>
        <v>4249</v>
      </c>
    </row>
    <row r="27" spans="1:12" x14ac:dyDescent="0.3">
      <c r="A27" s="8" t="s">
        <v>14</v>
      </c>
      <c r="B27" s="8" t="s">
        <v>15</v>
      </c>
      <c r="C27" s="8" t="s">
        <v>11</v>
      </c>
      <c r="D27" s="8">
        <v>105</v>
      </c>
      <c r="E27" s="8" t="s">
        <v>16</v>
      </c>
      <c r="F27" t="s">
        <v>17</v>
      </c>
      <c r="G27" s="9">
        <v>15000</v>
      </c>
      <c r="H27" s="7">
        <v>46276</v>
      </c>
      <c r="I27" s="9">
        <v>4248</v>
      </c>
      <c r="J27" s="31">
        <f t="shared" si="0"/>
        <v>46270</v>
      </c>
      <c r="K27" s="31">
        <f>Table14[[#This Row],[week first day]]-7</f>
        <v>46263</v>
      </c>
      <c r="L27">
        <f t="shared" si="1"/>
        <v>4248</v>
      </c>
    </row>
    <row r="28" spans="1:12" x14ac:dyDescent="0.3">
      <c r="A28" s="8" t="s">
        <v>14</v>
      </c>
      <c r="B28" s="8" t="s">
        <v>15</v>
      </c>
      <c r="C28" s="8" t="s">
        <v>11</v>
      </c>
      <c r="D28" s="8">
        <v>105</v>
      </c>
      <c r="E28" s="8" t="s">
        <v>16</v>
      </c>
      <c r="F28" t="s">
        <v>17</v>
      </c>
      <c r="G28" s="9">
        <v>15000</v>
      </c>
      <c r="H28" s="7">
        <v>46283</v>
      </c>
      <c r="I28" s="9">
        <v>2391</v>
      </c>
      <c r="J28" s="31">
        <f t="shared" si="0"/>
        <v>46277</v>
      </c>
      <c r="K28" s="31">
        <f>Table14[[#This Row],[week first day]]-7</f>
        <v>46270</v>
      </c>
      <c r="L28">
        <f t="shared" si="1"/>
        <v>2391</v>
      </c>
    </row>
    <row r="29" spans="1:12" x14ac:dyDescent="0.3">
      <c r="A29" s="8" t="s">
        <v>14</v>
      </c>
      <c r="B29" s="8" t="s">
        <v>15</v>
      </c>
      <c r="C29" s="8" t="s">
        <v>11</v>
      </c>
      <c r="D29" s="8">
        <v>105</v>
      </c>
      <c r="E29" s="8" t="s">
        <v>16</v>
      </c>
      <c r="F29" t="s">
        <v>17</v>
      </c>
      <c r="G29" s="9">
        <v>15000</v>
      </c>
      <c r="H29" s="7">
        <v>46290</v>
      </c>
      <c r="I29" s="9">
        <v>2392</v>
      </c>
      <c r="J29" s="31">
        <f t="shared" si="0"/>
        <v>46284</v>
      </c>
      <c r="K29" s="31">
        <f>Table14[[#This Row],[week first day]]-7</f>
        <v>46277</v>
      </c>
      <c r="L29">
        <f t="shared" si="1"/>
        <v>2392</v>
      </c>
    </row>
    <row r="30" spans="1:12" x14ac:dyDescent="0.3">
      <c r="A30" s="8" t="s">
        <v>14</v>
      </c>
      <c r="B30" s="8" t="s">
        <v>15</v>
      </c>
      <c r="C30" s="8" t="s">
        <v>11</v>
      </c>
      <c r="D30" s="8">
        <v>105</v>
      </c>
      <c r="E30" s="8" t="s">
        <v>16</v>
      </c>
      <c r="F30" t="s">
        <v>17</v>
      </c>
      <c r="G30" s="9">
        <v>15000</v>
      </c>
      <c r="H30" s="7">
        <v>46297</v>
      </c>
      <c r="I30" s="9">
        <v>2391</v>
      </c>
      <c r="J30" s="31">
        <f t="shared" si="0"/>
        <v>46291</v>
      </c>
      <c r="K30" s="31">
        <f>Table14[[#This Row],[week first day]]-7</f>
        <v>46284</v>
      </c>
      <c r="L30">
        <f t="shared" si="1"/>
        <v>2391</v>
      </c>
    </row>
    <row r="31" spans="1:12" x14ac:dyDescent="0.3">
      <c r="A31" s="8" t="s">
        <v>14</v>
      </c>
      <c r="B31" s="8" t="s">
        <v>15</v>
      </c>
      <c r="C31" s="8" t="s">
        <v>11</v>
      </c>
      <c r="D31" s="8">
        <v>105</v>
      </c>
      <c r="E31" s="8" t="s">
        <v>16</v>
      </c>
      <c r="F31" t="s">
        <v>17</v>
      </c>
      <c r="G31" s="9">
        <v>15000</v>
      </c>
      <c r="H31" s="7">
        <v>46304</v>
      </c>
      <c r="I31" s="9">
        <v>2392</v>
      </c>
      <c r="J31" s="31">
        <f t="shared" si="0"/>
        <v>46298</v>
      </c>
      <c r="K31" s="31">
        <f>Table14[[#This Row],[week first day]]-7</f>
        <v>46291</v>
      </c>
      <c r="L31">
        <f t="shared" si="1"/>
        <v>2392</v>
      </c>
    </row>
    <row r="32" spans="1:12" x14ac:dyDescent="0.3">
      <c r="A32" s="8" t="s">
        <v>14</v>
      </c>
      <c r="B32" s="8" t="s">
        <v>15</v>
      </c>
      <c r="C32" s="8" t="s">
        <v>11</v>
      </c>
      <c r="D32" s="8">
        <v>105</v>
      </c>
      <c r="E32" s="8" t="s">
        <v>16</v>
      </c>
      <c r="F32" t="s">
        <v>17</v>
      </c>
      <c r="G32" s="9">
        <v>15000</v>
      </c>
      <c r="H32" s="7">
        <v>46311</v>
      </c>
      <c r="I32" s="9">
        <v>16017</v>
      </c>
      <c r="J32" s="31">
        <f t="shared" si="0"/>
        <v>46305</v>
      </c>
      <c r="K32" s="31">
        <f>Table14[[#This Row],[week first day]]-7</f>
        <v>46298</v>
      </c>
      <c r="L32">
        <f t="shared" si="1"/>
        <v>16017</v>
      </c>
    </row>
    <row r="33" spans="1:12" x14ac:dyDescent="0.3">
      <c r="A33" s="8" t="s">
        <v>14</v>
      </c>
      <c r="B33" s="8" t="s">
        <v>15</v>
      </c>
      <c r="C33" s="8" t="s">
        <v>11</v>
      </c>
      <c r="D33" s="8">
        <v>105</v>
      </c>
      <c r="E33" s="8" t="s">
        <v>16</v>
      </c>
      <c r="F33" t="s">
        <v>17</v>
      </c>
      <c r="G33" s="9">
        <v>15000</v>
      </c>
      <c r="H33" s="7">
        <v>46318</v>
      </c>
      <c r="I33" s="9">
        <v>16017</v>
      </c>
      <c r="J33" s="31">
        <f t="shared" si="0"/>
        <v>46312</v>
      </c>
      <c r="K33" s="31">
        <f>Table14[[#This Row],[week first day]]-7</f>
        <v>46305</v>
      </c>
      <c r="L33">
        <f t="shared" si="1"/>
        <v>16017</v>
      </c>
    </row>
    <row r="34" spans="1:12" x14ac:dyDescent="0.3">
      <c r="A34" s="8" t="s">
        <v>14</v>
      </c>
      <c r="B34" s="8" t="s">
        <v>15</v>
      </c>
      <c r="C34" s="8" t="s">
        <v>11</v>
      </c>
      <c r="D34" s="8">
        <v>105</v>
      </c>
      <c r="E34" s="8" t="s">
        <v>16</v>
      </c>
      <c r="F34" t="s">
        <v>17</v>
      </c>
      <c r="G34" s="9">
        <v>15000</v>
      </c>
      <c r="H34" s="7">
        <v>46325</v>
      </c>
      <c r="I34" s="9">
        <v>16016</v>
      </c>
      <c r="J34" s="31">
        <f t="shared" si="0"/>
        <v>46319</v>
      </c>
      <c r="K34" s="31">
        <f>Table14[[#This Row],[week first day]]-7</f>
        <v>46312</v>
      </c>
      <c r="L34">
        <f t="shared" si="1"/>
        <v>16016</v>
      </c>
    </row>
    <row r="35" spans="1:12" x14ac:dyDescent="0.3">
      <c r="A35" s="8" t="s">
        <v>14</v>
      </c>
      <c r="B35" s="8" t="s">
        <v>15</v>
      </c>
      <c r="C35" s="8" t="s">
        <v>11</v>
      </c>
      <c r="D35" s="8">
        <v>105</v>
      </c>
      <c r="E35" s="8" t="s">
        <v>16</v>
      </c>
      <c r="F35" t="s">
        <v>17</v>
      </c>
      <c r="G35" s="9">
        <v>15000</v>
      </c>
      <c r="H35" s="7">
        <v>46332</v>
      </c>
      <c r="I35" s="9">
        <v>16017</v>
      </c>
      <c r="J35" s="31">
        <f t="shared" si="0"/>
        <v>46326</v>
      </c>
      <c r="K35" s="31">
        <f>Table14[[#This Row],[week first day]]-7</f>
        <v>46319</v>
      </c>
      <c r="L35">
        <f t="shared" si="1"/>
        <v>16017</v>
      </c>
    </row>
    <row r="36" spans="1:12" x14ac:dyDescent="0.3">
      <c r="A36" s="8" t="s">
        <v>14</v>
      </c>
      <c r="B36" s="8" t="s">
        <v>15</v>
      </c>
      <c r="C36" s="8" t="s">
        <v>11</v>
      </c>
      <c r="D36" s="8">
        <v>105</v>
      </c>
      <c r="E36" s="8" t="s">
        <v>16</v>
      </c>
      <c r="F36" t="s">
        <v>17</v>
      </c>
      <c r="G36" s="9">
        <v>15000</v>
      </c>
      <c r="H36" s="7">
        <v>46339</v>
      </c>
      <c r="I36" s="9">
        <v>4281</v>
      </c>
      <c r="J36" s="31">
        <f t="shared" si="0"/>
        <v>46333</v>
      </c>
      <c r="K36" s="31">
        <f>Table14[[#This Row],[week first day]]-7</f>
        <v>46326</v>
      </c>
      <c r="L36">
        <f t="shared" si="1"/>
        <v>4281</v>
      </c>
    </row>
    <row r="37" spans="1:12" x14ac:dyDescent="0.3">
      <c r="A37" s="8" t="s">
        <v>14</v>
      </c>
      <c r="B37" s="8" t="s">
        <v>15</v>
      </c>
      <c r="C37" s="8" t="s">
        <v>11</v>
      </c>
      <c r="D37" s="8">
        <v>105</v>
      </c>
      <c r="E37" s="8" t="s">
        <v>16</v>
      </c>
      <c r="F37" t="s">
        <v>17</v>
      </c>
      <c r="G37" s="9">
        <v>15000</v>
      </c>
      <c r="H37" s="7">
        <v>46346</v>
      </c>
      <c r="I37" s="9">
        <v>4282</v>
      </c>
      <c r="J37" s="31">
        <f t="shared" si="0"/>
        <v>46340</v>
      </c>
      <c r="K37" s="31">
        <f>Table14[[#This Row],[week first day]]-7</f>
        <v>46333</v>
      </c>
      <c r="L37">
        <f t="shared" si="1"/>
        <v>4282</v>
      </c>
    </row>
    <row r="38" spans="1:12" x14ac:dyDescent="0.3">
      <c r="A38" s="8" t="s">
        <v>14</v>
      </c>
      <c r="B38" s="8" t="s">
        <v>15</v>
      </c>
      <c r="C38" s="8" t="s">
        <v>11</v>
      </c>
      <c r="D38" s="8">
        <v>105</v>
      </c>
      <c r="E38" s="8" t="s">
        <v>16</v>
      </c>
      <c r="F38" t="s">
        <v>17</v>
      </c>
      <c r="G38" s="9">
        <v>15000</v>
      </c>
      <c r="H38" s="7">
        <v>46353</v>
      </c>
      <c r="I38" s="9">
        <v>4281</v>
      </c>
      <c r="J38" s="31">
        <f t="shared" si="0"/>
        <v>46347</v>
      </c>
      <c r="K38" s="31">
        <f>Table14[[#This Row],[week first day]]-7</f>
        <v>46340</v>
      </c>
      <c r="L38">
        <f t="shared" si="1"/>
        <v>4281</v>
      </c>
    </row>
    <row r="39" spans="1:12" x14ac:dyDescent="0.3">
      <c r="A39" s="8" t="s">
        <v>14</v>
      </c>
      <c r="B39" s="8" t="s">
        <v>15</v>
      </c>
      <c r="C39" s="8" t="s">
        <v>11</v>
      </c>
      <c r="D39" s="8">
        <v>105</v>
      </c>
      <c r="E39" s="8" t="s">
        <v>16</v>
      </c>
      <c r="F39" t="s">
        <v>17</v>
      </c>
      <c r="G39" s="9">
        <v>15000</v>
      </c>
      <c r="H39" s="7">
        <v>46360</v>
      </c>
      <c r="I39" s="9">
        <v>4282</v>
      </c>
      <c r="J39" s="31">
        <f t="shared" si="0"/>
        <v>46354</v>
      </c>
      <c r="K39" s="31">
        <f>Table14[[#This Row],[week first day]]-7</f>
        <v>46347</v>
      </c>
      <c r="L39">
        <f t="shared" si="1"/>
        <v>4282</v>
      </c>
    </row>
    <row r="40" spans="1:12" x14ac:dyDescent="0.3">
      <c r="A40" s="8" t="s">
        <v>14</v>
      </c>
      <c r="B40" s="8" t="s">
        <v>15</v>
      </c>
      <c r="C40" s="8" t="s">
        <v>11</v>
      </c>
      <c r="D40" s="8">
        <v>105</v>
      </c>
      <c r="E40" s="8" t="s">
        <v>16</v>
      </c>
      <c r="F40" t="s">
        <v>17</v>
      </c>
      <c r="G40" s="9">
        <v>15000</v>
      </c>
      <c r="H40" s="7">
        <v>46367</v>
      </c>
      <c r="I40" s="9">
        <v>4281</v>
      </c>
      <c r="J40" s="31">
        <f t="shared" si="0"/>
        <v>46361</v>
      </c>
      <c r="K40" s="31">
        <f>Table14[[#This Row],[week first day]]-7</f>
        <v>46354</v>
      </c>
      <c r="L40">
        <f t="shared" si="1"/>
        <v>4281</v>
      </c>
    </row>
    <row r="41" spans="1:12" x14ac:dyDescent="0.3">
      <c r="A41" s="8" t="s">
        <v>14</v>
      </c>
      <c r="B41" s="8" t="s">
        <v>15</v>
      </c>
      <c r="C41" s="8" t="s">
        <v>11</v>
      </c>
      <c r="D41" s="8">
        <v>105</v>
      </c>
      <c r="E41" s="8" t="s">
        <v>16</v>
      </c>
      <c r="F41" t="s">
        <v>17</v>
      </c>
      <c r="G41" s="9">
        <v>15000</v>
      </c>
      <c r="H41" s="7">
        <v>46374</v>
      </c>
      <c r="I41" s="9">
        <v>8326</v>
      </c>
      <c r="J41" s="31">
        <f t="shared" si="0"/>
        <v>46368</v>
      </c>
      <c r="K41" s="31">
        <f>Table14[[#This Row],[week first day]]-7</f>
        <v>46361</v>
      </c>
      <c r="L41">
        <f t="shared" si="1"/>
        <v>8326</v>
      </c>
    </row>
    <row r="42" spans="1:12" x14ac:dyDescent="0.3">
      <c r="A42" s="8" t="s">
        <v>14</v>
      </c>
      <c r="B42" s="8" t="s">
        <v>15</v>
      </c>
      <c r="C42" s="8" t="s">
        <v>11</v>
      </c>
      <c r="D42" s="8">
        <v>105</v>
      </c>
      <c r="E42" s="8" t="s">
        <v>16</v>
      </c>
      <c r="F42" t="s">
        <v>17</v>
      </c>
      <c r="G42" s="9">
        <v>15000</v>
      </c>
      <c r="H42" s="7">
        <v>46381</v>
      </c>
      <c r="I42" s="9">
        <v>8325</v>
      </c>
      <c r="J42" s="31">
        <f t="shared" si="0"/>
        <v>46375</v>
      </c>
      <c r="K42" s="31">
        <f>Table14[[#This Row],[week first day]]-7</f>
        <v>46368</v>
      </c>
      <c r="L42">
        <f t="shared" si="1"/>
        <v>8325</v>
      </c>
    </row>
    <row r="43" spans="1:12" x14ac:dyDescent="0.3">
      <c r="A43" s="8" t="s">
        <v>22</v>
      </c>
      <c r="B43" s="8" t="s">
        <v>23</v>
      </c>
      <c r="C43" s="8" t="s">
        <v>11</v>
      </c>
      <c r="D43" s="8">
        <v>55</v>
      </c>
      <c r="E43" s="8" t="s">
        <v>24</v>
      </c>
      <c r="F43" t="s">
        <v>17</v>
      </c>
      <c r="G43" s="9">
        <v>15000</v>
      </c>
      <c r="H43" s="7">
        <v>46157</v>
      </c>
      <c r="I43" s="9">
        <v>2731</v>
      </c>
      <c r="J43" s="31">
        <f t="shared" si="0"/>
        <v>46151</v>
      </c>
      <c r="K43" s="31">
        <f>Table14[[#This Row],[week first day]]-7</f>
        <v>46144</v>
      </c>
      <c r="L43">
        <f t="shared" si="1"/>
        <v>5502</v>
      </c>
    </row>
    <row r="44" spans="1:12" x14ac:dyDescent="0.3">
      <c r="A44" s="8" t="s">
        <v>22</v>
      </c>
      <c r="B44" s="8" t="s">
        <v>23</v>
      </c>
      <c r="C44" s="8" t="s">
        <v>11</v>
      </c>
      <c r="D44" s="8">
        <v>55</v>
      </c>
      <c r="E44" s="8" t="s">
        <v>24</v>
      </c>
      <c r="F44" t="s">
        <v>17</v>
      </c>
      <c r="G44" s="9">
        <v>15000</v>
      </c>
      <c r="H44" s="7">
        <v>46157</v>
      </c>
      <c r="I44" s="9">
        <v>2771</v>
      </c>
      <c r="J44" s="31">
        <f t="shared" si="0"/>
        <v>46151</v>
      </c>
      <c r="K44" s="31">
        <f>Table14[[#This Row],[week first day]]-7</f>
        <v>46144</v>
      </c>
      <c r="L44">
        <f t="shared" si="1"/>
        <v>5502</v>
      </c>
    </row>
    <row r="45" spans="1:12" x14ac:dyDescent="0.3">
      <c r="A45" s="8" t="s">
        <v>22</v>
      </c>
      <c r="B45" s="8" t="s">
        <v>23</v>
      </c>
      <c r="C45" s="8" t="s">
        <v>11</v>
      </c>
      <c r="D45" s="8">
        <v>55</v>
      </c>
      <c r="E45" s="8" t="s">
        <v>24</v>
      </c>
      <c r="F45" t="s">
        <v>17</v>
      </c>
      <c r="G45" s="9">
        <v>15000</v>
      </c>
      <c r="H45" s="7">
        <v>46164</v>
      </c>
      <c r="I45" s="9">
        <v>2270</v>
      </c>
      <c r="J45" s="31">
        <f t="shared" si="0"/>
        <v>46158</v>
      </c>
      <c r="K45" s="31">
        <f>Table14[[#This Row],[week first day]]-7</f>
        <v>46151</v>
      </c>
      <c r="L45">
        <f t="shared" si="1"/>
        <v>15658</v>
      </c>
    </row>
    <row r="46" spans="1:12" x14ac:dyDescent="0.3">
      <c r="A46" s="8" t="s">
        <v>22</v>
      </c>
      <c r="B46" s="8" t="s">
        <v>23</v>
      </c>
      <c r="C46" s="8" t="s">
        <v>11</v>
      </c>
      <c r="D46" s="8">
        <v>55</v>
      </c>
      <c r="E46" s="8" t="s">
        <v>24</v>
      </c>
      <c r="F46" t="s">
        <v>17</v>
      </c>
      <c r="G46" s="9">
        <v>15000</v>
      </c>
      <c r="H46" s="7">
        <v>46164</v>
      </c>
      <c r="I46" s="9">
        <v>1687</v>
      </c>
      <c r="J46" s="31">
        <f t="shared" si="0"/>
        <v>46158</v>
      </c>
      <c r="K46" s="31">
        <f>Table14[[#This Row],[week first day]]-7</f>
        <v>46151</v>
      </c>
      <c r="L46">
        <f t="shared" si="1"/>
        <v>15658</v>
      </c>
    </row>
    <row r="47" spans="1:12" x14ac:dyDescent="0.3">
      <c r="A47" s="8" t="s">
        <v>22</v>
      </c>
      <c r="B47" s="8" t="s">
        <v>23</v>
      </c>
      <c r="C47" s="8" t="s">
        <v>11</v>
      </c>
      <c r="D47" s="8">
        <v>55</v>
      </c>
      <c r="E47" s="8" t="s">
        <v>24</v>
      </c>
      <c r="F47" t="s">
        <v>17</v>
      </c>
      <c r="G47" s="9">
        <v>15000</v>
      </c>
      <c r="H47" s="7">
        <v>46164</v>
      </c>
      <c r="I47" s="9">
        <v>2058</v>
      </c>
      <c r="J47" s="31">
        <f t="shared" si="0"/>
        <v>46158</v>
      </c>
      <c r="K47" s="31">
        <f>Table14[[#This Row],[week first day]]-7</f>
        <v>46151</v>
      </c>
      <c r="L47">
        <f t="shared" si="1"/>
        <v>15658</v>
      </c>
    </row>
    <row r="48" spans="1:12" x14ac:dyDescent="0.3">
      <c r="A48" s="8" t="s">
        <v>22</v>
      </c>
      <c r="B48" s="8" t="s">
        <v>23</v>
      </c>
      <c r="C48" s="8" t="s">
        <v>11</v>
      </c>
      <c r="D48" s="8">
        <v>55</v>
      </c>
      <c r="E48" s="8" t="s">
        <v>24</v>
      </c>
      <c r="F48" t="s">
        <v>17</v>
      </c>
      <c r="G48" s="9">
        <v>15000</v>
      </c>
      <c r="H48" s="7">
        <v>46164</v>
      </c>
      <c r="I48" s="9">
        <v>2771</v>
      </c>
      <c r="J48" s="31">
        <f t="shared" si="0"/>
        <v>46158</v>
      </c>
      <c r="K48" s="31">
        <f>Table14[[#This Row],[week first day]]-7</f>
        <v>46151</v>
      </c>
      <c r="L48">
        <f t="shared" si="1"/>
        <v>15658</v>
      </c>
    </row>
    <row r="49" spans="1:12" x14ac:dyDescent="0.3">
      <c r="A49" s="8" t="s">
        <v>22</v>
      </c>
      <c r="B49" s="8" t="s">
        <v>23</v>
      </c>
      <c r="C49" s="8" t="s">
        <v>11</v>
      </c>
      <c r="D49" s="8">
        <v>55</v>
      </c>
      <c r="E49" s="8" t="s">
        <v>24</v>
      </c>
      <c r="F49" t="s">
        <v>17</v>
      </c>
      <c r="G49" s="9">
        <v>15000</v>
      </c>
      <c r="H49" s="7">
        <v>46164</v>
      </c>
      <c r="I49" s="9">
        <v>450</v>
      </c>
      <c r="J49" s="31">
        <f t="shared" si="0"/>
        <v>46158</v>
      </c>
      <c r="K49" s="31">
        <f>Table14[[#This Row],[week first day]]-7</f>
        <v>46151</v>
      </c>
      <c r="L49">
        <f t="shared" si="1"/>
        <v>15658</v>
      </c>
    </row>
    <row r="50" spans="1:12" x14ac:dyDescent="0.3">
      <c r="A50" s="8" t="s">
        <v>22</v>
      </c>
      <c r="B50" s="8" t="s">
        <v>23</v>
      </c>
      <c r="C50" s="8" t="s">
        <v>11</v>
      </c>
      <c r="D50" s="8">
        <v>55</v>
      </c>
      <c r="E50" s="8" t="s">
        <v>24</v>
      </c>
      <c r="F50" t="s">
        <v>17</v>
      </c>
      <c r="G50" s="9">
        <v>15000</v>
      </c>
      <c r="H50" s="7">
        <v>46164</v>
      </c>
      <c r="I50" s="9">
        <v>2771</v>
      </c>
      <c r="J50" s="31">
        <f t="shared" si="0"/>
        <v>46158</v>
      </c>
      <c r="K50" s="31">
        <f>Table14[[#This Row],[week first day]]-7</f>
        <v>46151</v>
      </c>
      <c r="L50">
        <f t="shared" si="1"/>
        <v>15658</v>
      </c>
    </row>
    <row r="51" spans="1:12" x14ac:dyDescent="0.3">
      <c r="A51" s="8" t="s">
        <v>22</v>
      </c>
      <c r="B51" s="8" t="s">
        <v>23</v>
      </c>
      <c r="C51" s="8" t="s">
        <v>11</v>
      </c>
      <c r="D51" s="8">
        <v>55</v>
      </c>
      <c r="E51" s="8" t="s">
        <v>24</v>
      </c>
      <c r="F51" t="s">
        <v>17</v>
      </c>
      <c r="G51" s="9">
        <v>15000</v>
      </c>
      <c r="H51" s="7">
        <v>46164</v>
      </c>
      <c r="I51" s="9">
        <v>2771</v>
      </c>
      <c r="J51" s="31">
        <f t="shared" si="0"/>
        <v>46158</v>
      </c>
      <c r="K51" s="31">
        <f>Table14[[#This Row],[week first day]]-7</f>
        <v>46151</v>
      </c>
      <c r="L51">
        <f t="shared" si="1"/>
        <v>15658</v>
      </c>
    </row>
    <row r="52" spans="1:12" x14ac:dyDescent="0.3">
      <c r="A52" s="8" t="s">
        <v>22</v>
      </c>
      <c r="B52" s="8" t="s">
        <v>23</v>
      </c>
      <c r="C52" s="8" t="s">
        <v>11</v>
      </c>
      <c r="D52" s="8">
        <v>55</v>
      </c>
      <c r="E52" s="8" t="s">
        <v>24</v>
      </c>
      <c r="F52" t="s">
        <v>17</v>
      </c>
      <c r="G52" s="9">
        <v>15000</v>
      </c>
      <c r="H52" s="7">
        <v>46164</v>
      </c>
      <c r="I52" s="9">
        <v>880</v>
      </c>
      <c r="J52" s="31">
        <f t="shared" si="0"/>
        <v>46158</v>
      </c>
      <c r="K52" s="31">
        <f>Table14[[#This Row],[week first day]]-7</f>
        <v>46151</v>
      </c>
      <c r="L52">
        <f t="shared" si="1"/>
        <v>15658</v>
      </c>
    </row>
    <row r="53" spans="1:12" x14ac:dyDescent="0.3">
      <c r="A53" s="8" t="s">
        <v>22</v>
      </c>
      <c r="B53" s="8" t="s">
        <v>23</v>
      </c>
      <c r="C53" s="8" t="s">
        <v>11</v>
      </c>
      <c r="D53" s="8">
        <v>55</v>
      </c>
      <c r="E53" s="8" t="s">
        <v>24</v>
      </c>
      <c r="F53" t="s">
        <v>17</v>
      </c>
      <c r="G53" s="9">
        <v>15000</v>
      </c>
      <c r="H53" s="7">
        <v>46171</v>
      </c>
      <c r="I53" s="9">
        <v>2771</v>
      </c>
      <c r="J53" s="31">
        <f t="shared" si="0"/>
        <v>46165</v>
      </c>
      <c r="K53" s="31">
        <f>Table14[[#This Row],[week first day]]-7</f>
        <v>46158</v>
      </c>
      <c r="L53">
        <f t="shared" si="1"/>
        <v>8865</v>
      </c>
    </row>
    <row r="54" spans="1:12" x14ac:dyDescent="0.3">
      <c r="A54" s="8" t="s">
        <v>22</v>
      </c>
      <c r="B54" s="8" t="s">
        <v>23</v>
      </c>
      <c r="C54" s="8" t="s">
        <v>11</v>
      </c>
      <c r="D54" s="8">
        <v>55</v>
      </c>
      <c r="E54" s="8" t="s">
        <v>24</v>
      </c>
      <c r="F54" t="s">
        <v>17</v>
      </c>
      <c r="G54" s="9">
        <v>15000</v>
      </c>
      <c r="H54" s="7">
        <v>46171</v>
      </c>
      <c r="I54" s="9">
        <v>552</v>
      </c>
      <c r="J54" s="31">
        <f t="shared" si="0"/>
        <v>46165</v>
      </c>
      <c r="K54" s="31">
        <f>Table14[[#This Row],[week first day]]-7</f>
        <v>46158</v>
      </c>
      <c r="L54">
        <f t="shared" si="1"/>
        <v>8865</v>
      </c>
    </row>
    <row r="55" spans="1:12" x14ac:dyDescent="0.3">
      <c r="A55" s="8" t="s">
        <v>22</v>
      </c>
      <c r="B55" s="8" t="s">
        <v>23</v>
      </c>
      <c r="C55" s="8" t="s">
        <v>11</v>
      </c>
      <c r="D55" s="8">
        <v>55</v>
      </c>
      <c r="E55" s="8" t="s">
        <v>24</v>
      </c>
      <c r="F55" t="s">
        <v>17</v>
      </c>
      <c r="G55" s="9">
        <v>15000</v>
      </c>
      <c r="H55" s="7">
        <v>46171</v>
      </c>
      <c r="I55" s="9">
        <v>2771</v>
      </c>
      <c r="J55" s="31">
        <f t="shared" si="0"/>
        <v>46165</v>
      </c>
      <c r="K55" s="31">
        <f>Table14[[#This Row],[week first day]]-7</f>
        <v>46158</v>
      </c>
      <c r="L55">
        <f t="shared" si="1"/>
        <v>8865</v>
      </c>
    </row>
    <row r="56" spans="1:12" x14ac:dyDescent="0.3">
      <c r="A56" s="8" t="s">
        <v>22</v>
      </c>
      <c r="B56" s="8" t="s">
        <v>23</v>
      </c>
      <c r="C56" s="8" t="s">
        <v>11</v>
      </c>
      <c r="D56" s="8">
        <v>55</v>
      </c>
      <c r="E56" s="8" t="s">
        <v>24</v>
      </c>
      <c r="F56" t="s">
        <v>17</v>
      </c>
      <c r="G56" s="9">
        <v>15000</v>
      </c>
      <c r="H56" s="7">
        <v>46171</v>
      </c>
      <c r="I56" s="9">
        <v>2771</v>
      </c>
      <c r="J56" s="31">
        <f t="shared" si="0"/>
        <v>46165</v>
      </c>
      <c r="K56" s="31">
        <f>Table14[[#This Row],[week first day]]-7</f>
        <v>46158</v>
      </c>
      <c r="L56">
        <f t="shared" si="1"/>
        <v>8865</v>
      </c>
    </row>
    <row r="57" spans="1:12" x14ac:dyDescent="0.3">
      <c r="A57" s="8" t="s">
        <v>22</v>
      </c>
      <c r="B57" s="8" t="s">
        <v>23</v>
      </c>
      <c r="C57" s="8" t="s">
        <v>11</v>
      </c>
      <c r="D57" s="8">
        <v>55</v>
      </c>
      <c r="E57" s="8" t="s">
        <v>24</v>
      </c>
      <c r="F57" t="s">
        <v>17</v>
      </c>
      <c r="G57" s="9">
        <v>15000</v>
      </c>
      <c r="H57" s="7">
        <v>46178</v>
      </c>
      <c r="I57" s="9">
        <v>2146</v>
      </c>
      <c r="J57" s="31">
        <f t="shared" si="0"/>
        <v>46172</v>
      </c>
      <c r="K57" s="31">
        <f>Table14[[#This Row],[week first day]]-7</f>
        <v>46165</v>
      </c>
      <c r="L57">
        <f t="shared" si="1"/>
        <v>2146</v>
      </c>
    </row>
    <row r="58" spans="1:12" x14ac:dyDescent="0.3">
      <c r="A58" s="8" t="s">
        <v>22</v>
      </c>
      <c r="B58" s="8" t="s">
        <v>23</v>
      </c>
      <c r="C58" s="8" t="s">
        <v>11</v>
      </c>
      <c r="D58" s="8">
        <v>55</v>
      </c>
      <c r="E58" s="8" t="s">
        <v>24</v>
      </c>
      <c r="F58" t="s">
        <v>17</v>
      </c>
      <c r="G58" s="9">
        <v>15000</v>
      </c>
      <c r="H58" s="7">
        <v>46185</v>
      </c>
      <c r="I58" s="9">
        <v>7123</v>
      </c>
      <c r="J58" s="31">
        <f t="shared" si="0"/>
        <v>46179</v>
      </c>
      <c r="K58" s="31">
        <f>Table14[[#This Row],[week first day]]-7</f>
        <v>46172</v>
      </c>
      <c r="L58">
        <f t="shared" si="1"/>
        <v>7123</v>
      </c>
    </row>
    <row r="59" spans="1:12" x14ac:dyDescent="0.3">
      <c r="A59" s="8" t="s">
        <v>22</v>
      </c>
      <c r="B59" s="8" t="s">
        <v>23</v>
      </c>
      <c r="C59" s="8" t="s">
        <v>11</v>
      </c>
      <c r="D59" s="8">
        <v>55</v>
      </c>
      <c r="E59" s="8" t="s">
        <v>24</v>
      </c>
      <c r="F59" t="s">
        <v>17</v>
      </c>
      <c r="G59" s="9">
        <v>15000</v>
      </c>
      <c r="H59" s="7">
        <v>46192</v>
      </c>
      <c r="I59" s="9">
        <v>5309</v>
      </c>
      <c r="J59" s="31">
        <f t="shared" si="0"/>
        <v>46186</v>
      </c>
      <c r="K59" s="31">
        <f>Table14[[#This Row],[week first day]]-7</f>
        <v>46179</v>
      </c>
      <c r="L59">
        <f t="shared" si="1"/>
        <v>5309</v>
      </c>
    </row>
    <row r="60" spans="1:12" x14ac:dyDescent="0.3">
      <c r="A60" s="8" t="s">
        <v>22</v>
      </c>
      <c r="B60" s="8" t="s">
        <v>23</v>
      </c>
      <c r="C60" s="8" t="s">
        <v>11</v>
      </c>
      <c r="D60" s="8">
        <v>55</v>
      </c>
      <c r="E60" s="8" t="s">
        <v>24</v>
      </c>
      <c r="F60" t="s">
        <v>17</v>
      </c>
      <c r="G60" s="9">
        <v>15000</v>
      </c>
      <c r="H60" s="7">
        <v>46199</v>
      </c>
      <c r="I60" s="9">
        <v>5309</v>
      </c>
      <c r="J60" s="31">
        <f t="shared" si="0"/>
        <v>46193</v>
      </c>
      <c r="K60" s="31">
        <f>Table14[[#This Row],[week first day]]-7</f>
        <v>46186</v>
      </c>
      <c r="L60">
        <f t="shared" si="1"/>
        <v>5309</v>
      </c>
    </row>
    <row r="61" spans="1:12" x14ac:dyDescent="0.3">
      <c r="A61" s="8" t="s">
        <v>22</v>
      </c>
      <c r="B61" s="8" t="s">
        <v>23</v>
      </c>
      <c r="C61" s="8" t="s">
        <v>11</v>
      </c>
      <c r="D61" s="8">
        <v>55</v>
      </c>
      <c r="E61" s="8" t="s">
        <v>24</v>
      </c>
      <c r="F61" t="s">
        <v>17</v>
      </c>
      <c r="G61" s="9">
        <v>15000</v>
      </c>
      <c r="H61" s="7">
        <v>46206</v>
      </c>
      <c r="I61" s="9">
        <v>3000</v>
      </c>
      <c r="J61" s="31">
        <f t="shared" si="0"/>
        <v>46200</v>
      </c>
      <c r="K61" s="31">
        <f>Table14[[#This Row],[week first day]]-7</f>
        <v>46193</v>
      </c>
      <c r="L61">
        <f t="shared" si="1"/>
        <v>3000</v>
      </c>
    </row>
    <row r="62" spans="1:12" x14ac:dyDescent="0.3">
      <c r="A62" s="8" t="s">
        <v>22</v>
      </c>
      <c r="B62" s="8" t="s">
        <v>23</v>
      </c>
      <c r="C62" s="8" t="s">
        <v>11</v>
      </c>
      <c r="D62" s="8">
        <v>55</v>
      </c>
      <c r="E62" s="8" t="s">
        <v>24</v>
      </c>
      <c r="F62" t="s">
        <v>17</v>
      </c>
      <c r="G62" s="9">
        <v>15000</v>
      </c>
      <c r="H62" s="7">
        <v>46213</v>
      </c>
      <c r="I62" s="9">
        <v>3000</v>
      </c>
      <c r="J62" s="31">
        <f t="shared" si="0"/>
        <v>46207</v>
      </c>
      <c r="K62" s="31">
        <f>Table14[[#This Row],[week first day]]-7</f>
        <v>46200</v>
      </c>
      <c r="L62">
        <f t="shared" si="1"/>
        <v>3000</v>
      </c>
    </row>
    <row r="63" spans="1:12" x14ac:dyDescent="0.3">
      <c r="A63" s="8" t="s">
        <v>22</v>
      </c>
      <c r="B63" s="8" t="s">
        <v>23</v>
      </c>
      <c r="C63" s="8" t="s">
        <v>11</v>
      </c>
      <c r="D63" s="8">
        <v>55</v>
      </c>
      <c r="E63" s="8" t="s">
        <v>24</v>
      </c>
      <c r="F63" t="s">
        <v>17</v>
      </c>
      <c r="G63" s="9">
        <v>15000</v>
      </c>
      <c r="H63" s="7">
        <v>46220</v>
      </c>
      <c r="I63" s="9">
        <v>3000</v>
      </c>
      <c r="J63" s="31">
        <f t="shared" si="0"/>
        <v>46214</v>
      </c>
      <c r="K63" s="31">
        <f>Table14[[#This Row],[week first day]]-7</f>
        <v>46207</v>
      </c>
      <c r="L63">
        <f t="shared" si="1"/>
        <v>3000</v>
      </c>
    </row>
    <row r="64" spans="1:12" x14ac:dyDescent="0.3">
      <c r="A64" s="8" t="s">
        <v>22</v>
      </c>
      <c r="B64" s="8" t="s">
        <v>23</v>
      </c>
      <c r="C64" s="8" t="s">
        <v>11</v>
      </c>
      <c r="D64" s="8">
        <v>55</v>
      </c>
      <c r="E64" s="8" t="s">
        <v>24</v>
      </c>
      <c r="F64" t="s">
        <v>17</v>
      </c>
      <c r="G64" s="9">
        <v>15000</v>
      </c>
      <c r="H64" s="7">
        <v>46227</v>
      </c>
      <c r="I64" s="9">
        <v>3000</v>
      </c>
      <c r="J64" s="31">
        <f t="shared" si="0"/>
        <v>46221</v>
      </c>
      <c r="K64" s="31">
        <f>Table14[[#This Row],[week first day]]-7</f>
        <v>46214</v>
      </c>
      <c r="L64">
        <f t="shared" si="1"/>
        <v>3000</v>
      </c>
    </row>
    <row r="65" spans="1:12" x14ac:dyDescent="0.3">
      <c r="A65" s="8" t="s">
        <v>22</v>
      </c>
      <c r="B65" s="8" t="s">
        <v>23</v>
      </c>
      <c r="C65" s="8" t="s">
        <v>11</v>
      </c>
      <c r="D65" s="8">
        <v>55</v>
      </c>
      <c r="E65" s="8" t="s">
        <v>24</v>
      </c>
      <c r="F65" t="s">
        <v>17</v>
      </c>
      <c r="G65" s="9">
        <v>15000</v>
      </c>
      <c r="H65" s="7">
        <v>46234</v>
      </c>
      <c r="I65" s="9">
        <v>2400</v>
      </c>
      <c r="J65" s="31">
        <f t="shared" si="0"/>
        <v>46228</v>
      </c>
      <c r="K65" s="31">
        <f>Table14[[#This Row],[week first day]]-7</f>
        <v>46221</v>
      </c>
      <c r="L65">
        <f t="shared" si="1"/>
        <v>2400</v>
      </c>
    </row>
    <row r="66" spans="1:12" x14ac:dyDescent="0.3">
      <c r="A66" s="8" t="s">
        <v>22</v>
      </c>
      <c r="B66" s="8" t="s">
        <v>23</v>
      </c>
      <c r="C66" s="8" t="s">
        <v>11</v>
      </c>
      <c r="D66" s="8">
        <v>55</v>
      </c>
      <c r="E66" s="8" t="s">
        <v>24</v>
      </c>
      <c r="F66" t="s">
        <v>17</v>
      </c>
      <c r="G66" s="9">
        <v>15000</v>
      </c>
      <c r="H66" s="7">
        <v>46241</v>
      </c>
      <c r="I66" s="9">
        <v>2400</v>
      </c>
      <c r="J66" s="31">
        <f t="shared" ref="J66:J129" si="2">$M$1+7*INT((H66-$M$1)/7)</f>
        <v>46235</v>
      </c>
      <c r="K66" s="31">
        <f>Table14[[#This Row],[week first day]]-7</f>
        <v>46228</v>
      </c>
      <c r="L66">
        <f t="shared" ref="L66:L129" si="3">SUMIFS($I:$I,$A:$A,A66,J:J,J66)</f>
        <v>2400</v>
      </c>
    </row>
    <row r="67" spans="1:12" x14ac:dyDescent="0.3">
      <c r="A67" s="8" t="s">
        <v>22</v>
      </c>
      <c r="B67" s="8" t="s">
        <v>23</v>
      </c>
      <c r="C67" s="8" t="s">
        <v>11</v>
      </c>
      <c r="D67" s="8">
        <v>55</v>
      </c>
      <c r="E67" s="8" t="s">
        <v>24</v>
      </c>
      <c r="F67" t="s">
        <v>17</v>
      </c>
      <c r="G67" s="9">
        <v>15000</v>
      </c>
      <c r="H67" s="7">
        <v>46255</v>
      </c>
      <c r="I67" s="9">
        <v>2400</v>
      </c>
      <c r="J67" s="31">
        <f t="shared" si="2"/>
        <v>46249</v>
      </c>
      <c r="K67" s="31">
        <f>Table14[[#This Row],[week first day]]-7</f>
        <v>46242</v>
      </c>
      <c r="L67">
        <f t="shared" si="3"/>
        <v>2400</v>
      </c>
    </row>
    <row r="68" spans="1:12" x14ac:dyDescent="0.3">
      <c r="A68" s="8" t="s">
        <v>22</v>
      </c>
      <c r="B68" s="8" t="s">
        <v>23</v>
      </c>
      <c r="C68" s="8" t="s">
        <v>11</v>
      </c>
      <c r="D68" s="8">
        <v>55</v>
      </c>
      <c r="E68" s="8" t="s">
        <v>24</v>
      </c>
      <c r="F68" t="s">
        <v>17</v>
      </c>
      <c r="G68" s="9">
        <v>15000</v>
      </c>
      <c r="H68" s="7">
        <v>46262</v>
      </c>
      <c r="I68" s="9">
        <v>2400</v>
      </c>
      <c r="J68" s="31">
        <f t="shared" si="2"/>
        <v>46256</v>
      </c>
      <c r="K68" s="31">
        <f>Table14[[#This Row],[week first day]]-7</f>
        <v>46249</v>
      </c>
      <c r="L68">
        <f t="shared" si="3"/>
        <v>2400</v>
      </c>
    </row>
    <row r="69" spans="1:12" x14ac:dyDescent="0.3">
      <c r="A69" s="8" t="s">
        <v>22</v>
      </c>
      <c r="B69" s="8" t="s">
        <v>23</v>
      </c>
      <c r="C69" s="8" t="s">
        <v>11</v>
      </c>
      <c r="D69" s="8">
        <v>55</v>
      </c>
      <c r="E69" s="8" t="s">
        <v>24</v>
      </c>
      <c r="F69" t="s">
        <v>17</v>
      </c>
      <c r="G69" s="9">
        <v>15000</v>
      </c>
      <c r="H69" s="7">
        <v>46269</v>
      </c>
      <c r="I69" s="9">
        <v>3750</v>
      </c>
      <c r="J69" s="31">
        <f t="shared" si="2"/>
        <v>46263</v>
      </c>
      <c r="K69" s="31">
        <f>Table14[[#This Row],[week first day]]-7</f>
        <v>46256</v>
      </c>
      <c r="L69">
        <f t="shared" si="3"/>
        <v>3750</v>
      </c>
    </row>
    <row r="70" spans="1:12" x14ac:dyDescent="0.3">
      <c r="A70" s="8" t="s">
        <v>22</v>
      </c>
      <c r="B70" s="8" t="s">
        <v>23</v>
      </c>
      <c r="C70" s="8" t="s">
        <v>11</v>
      </c>
      <c r="D70" s="8">
        <v>55</v>
      </c>
      <c r="E70" s="8" t="s">
        <v>24</v>
      </c>
      <c r="F70" t="s">
        <v>17</v>
      </c>
      <c r="G70" s="9">
        <v>15000</v>
      </c>
      <c r="H70" s="7">
        <v>46276</v>
      </c>
      <c r="I70" s="9">
        <v>3750</v>
      </c>
      <c r="J70" s="31">
        <f t="shared" si="2"/>
        <v>46270</v>
      </c>
      <c r="K70" s="31">
        <f>Table14[[#This Row],[week first day]]-7</f>
        <v>46263</v>
      </c>
      <c r="L70">
        <f t="shared" si="3"/>
        <v>3750</v>
      </c>
    </row>
    <row r="71" spans="1:12" x14ac:dyDescent="0.3">
      <c r="A71" s="8" t="s">
        <v>22</v>
      </c>
      <c r="B71" s="8" t="s">
        <v>23</v>
      </c>
      <c r="C71" s="8" t="s">
        <v>11</v>
      </c>
      <c r="D71" s="8">
        <v>55</v>
      </c>
      <c r="E71" s="8" t="s">
        <v>24</v>
      </c>
      <c r="F71" t="s">
        <v>17</v>
      </c>
      <c r="G71" s="9">
        <v>15000</v>
      </c>
      <c r="H71" s="7">
        <v>46283</v>
      </c>
      <c r="I71" s="9">
        <v>3750</v>
      </c>
      <c r="J71" s="31">
        <f t="shared" si="2"/>
        <v>46277</v>
      </c>
      <c r="K71" s="31">
        <f>Table14[[#This Row],[week first day]]-7</f>
        <v>46270</v>
      </c>
      <c r="L71">
        <f t="shared" si="3"/>
        <v>3750</v>
      </c>
    </row>
    <row r="72" spans="1:12" x14ac:dyDescent="0.3">
      <c r="A72" s="8" t="s">
        <v>22</v>
      </c>
      <c r="B72" s="8" t="s">
        <v>23</v>
      </c>
      <c r="C72" s="8" t="s">
        <v>11</v>
      </c>
      <c r="D72" s="8">
        <v>55</v>
      </c>
      <c r="E72" s="8" t="s">
        <v>24</v>
      </c>
      <c r="F72" t="s">
        <v>17</v>
      </c>
      <c r="G72" s="9">
        <v>15000</v>
      </c>
      <c r="H72" s="7">
        <v>46290</v>
      </c>
      <c r="I72" s="9">
        <v>3750</v>
      </c>
      <c r="J72" s="31">
        <f t="shared" si="2"/>
        <v>46284</v>
      </c>
      <c r="K72" s="31">
        <f>Table14[[#This Row],[week first day]]-7</f>
        <v>46277</v>
      </c>
      <c r="L72">
        <f t="shared" si="3"/>
        <v>3750</v>
      </c>
    </row>
    <row r="73" spans="1:12" x14ac:dyDescent="0.3">
      <c r="A73" s="8" t="s">
        <v>22</v>
      </c>
      <c r="B73" s="8" t="s">
        <v>23</v>
      </c>
      <c r="C73" s="8" t="s">
        <v>11</v>
      </c>
      <c r="D73" s="8">
        <v>55</v>
      </c>
      <c r="E73" s="8" t="s">
        <v>24</v>
      </c>
      <c r="F73" t="s">
        <v>17</v>
      </c>
      <c r="G73" s="9">
        <v>15000</v>
      </c>
      <c r="H73" s="7">
        <v>46297</v>
      </c>
      <c r="I73" s="9">
        <v>3000</v>
      </c>
      <c r="J73" s="31">
        <f t="shared" si="2"/>
        <v>46291</v>
      </c>
      <c r="K73" s="31">
        <f>Table14[[#This Row],[week first day]]-7</f>
        <v>46284</v>
      </c>
      <c r="L73">
        <f t="shared" si="3"/>
        <v>3000</v>
      </c>
    </row>
    <row r="74" spans="1:12" x14ac:dyDescent="0.3">
      <c r="A74" s="8" t="s">
        <v>22</v>
      </c>
      <c r="B74" s="8" t="s">
        <v>23</v>
      </c>
      <c r="C74" s="8" t="s">
        <v>11</v>
      </c>
      <c r="D74" s="8">
        <v>55</v>
      </c>
      <c r="E74" s="8" t="s">
        <v>24</v>
      </c>
      <c r="F74" t="s">
        <v>17</v>
      </c>
      <c r="G74" s="9">
        <v>15000</v>
      </c>
      <c r="H74" s="7">
        <v>46304</v>
      </c>
      <c r="I74" s="9">
        <v>3000</v>
      </c>
      <c r="J74" s="31">
        <f t="shared" si="2"/>
        <v>46298</v>
      </c>
      <c r="K74" s="31">
        <f>Table14[[#This Row],[week first day]]-7</f>
        <v>46291</v>
      </c>
      <c r="L74">
        <f t="shared" si="3"/>
        <v>3000</v>
      </c>
    </row>
    <row r="75" spans="1:12" x14ac:dyDescent="0.3">
      <c r="A75" s="8" t="s">
        <v>22</v>
      </c>
      <c r="B75" s="8" t="s">
        <v>23</v>
      </c>
      <c r="C75" s="8" t="s">
        <v>11</v>
      </c>
      <c r="D75" s="8">
        <v>55</v>
      </c>
      <c r="E75" s="8" t="s">
        <v>24</v>
      </c>
      <c r="F75" t="s">
        <v>17</v>
      </c>
      <c r="G75" s="9">
        <v>15000</v>
      </c>
      <c r="H75" s="7">
        <v>46311</v>
      </c>
      <c r="I75" s="9">
        <v>3000</v>
      </c>
      <c r="J75" s="31">
        <f t="shared" si="2"/>
        <v>46305</v>
      </c>
      <c r="K75" s="31">
        <f>Table14[[#This Row],[week first day]]-7</f>
        <v>46298</v>
      </c>
      <c r="L75">
        <f t="shared" si="3"/>
        <v>3000</v>
      </c>
    </row>
    <row r="76" spans="1:12" x14ac:dyDescent="0.3">
      <c r="A76" s="8" t="s">
        <v>22</v>
      </c>
      <c r="B76" s="8" t="s">
        <v>23</v>
      </c>
      <c r="C76" s="8" t="s">
        <v>11</v>
      </c>
      <c r="D76" s="8">
        <v>55</v>
      </c>
      <c r="E76" s="8" t="s">
        <v>24</v>
      </c>
      <c r="F76" t="s">
        <v>17</v>
      </c>
      <c r="G76" s="9">
        <v>15000</v>
      </c>
      <c r="H76" s="7">
        <v>46318</v>
      </c>
      <c r="I76" s="9">
        <v>3000</v>
      </c>
      <c r="J76" s="31">
        <f t="shared" si="2"/>
        <v>46312</v>
      </c>
      <c r="K76" s="31">
        <f>Table14[[#This Row],[week first day]]-7</f>
        <v>46305</v>
      </c>
      <c r="L76">
        <f t="shared" si="3"/>
        <v>3000</v>
      </c>
    </row>
    <row r="77" spans="1:12" x14ac:dyDescent="0.3">
      <c r="A77" s="8" t="s">
        <v>22</v>
      </c>
      <c r="B77" s="8" t="s">
        <v>23</v>
      </c>
      <c r="C77" s="8" t="s">
        <v>11</v>
      </c>
      <c r="D77" s="8">
        <v>55</v>
      </c>
      <c r="E77" s="8" t="s">
        <v>24</v>
      </c>
      <c r="F77" t="s">
        <v>17</v>
      </c>
      <c r="G77" s="9">
        <v>15000</v>
      </c>
      <c r="H77" s="7">
        <v>46325</v>
      </c>
      <c r="I77" s="9">
        <v>3000</v>
      </c>
      <c r="J77" s="31">
        <f t="shared" si="2"/>
        <v>46319</v>
      </c>
      <c r="K77" s="31">
        <f>Table14[[#This Row],[week first day]]-7</f>
        <v>46312</v>
      </c>
      <c r="L77">
        <f t="shared" si="3"/>
        <v>3000</v>
      </c>
    </row>
    <row r="78" spans="1:12" x14ac:dyDescent="0.3">
      <c r="A78" s="8" t="s">
        <v>22</v>
      </c>
      <c r="B78" s="8" t="s">
        <v>23</v>
      </c>
      <c r="C78" s="8" t="s">
        <v>11</v>
      </c>
      <c r="D78" s="8">
        <v>55</v>
      </c>
      <c r="E78" s="8" t="s">
        <v>24</v>
      </c>
      <c r="F78" t="s">
        <v>17</v>
      </c>
      <c r="G78" s="9">
        <v>15000</v>
      </c>
      <c r="H78" s="7">
        <v>46332</v>
      </c>
      <c r="I78" s="9">
        <v>6250</v>
      </c>
      <c r="J78" s="31">
        <f t="shared" si="2"/>
        <v>46326</v>
      </c>
      <c r="K78" s="31">
        <f>Table14[[#This Row],[week first day]]-7</f>
        <v>46319</v>
      </c>
      <c r="L78">
        <f t="shared" si="3"/>
        <v>6250</v>
      </c>
    </row>
    <row r="79" spans="1:12" x14ac:dyDescent="0.3">
      <c r="A79" s="8" t="s">
        <v>22</v>
      </c>
      <c r="B79" s="8" t="s">
        <v>23</v>
      </c>
      <c r="C79" s="8" t="s">
        <v>11</v>
      </c>
      <c r="D79" s="8">
        <v>55</v>
      </c>
      <c r="E79" s="8" t="s">
        <v>24</v>
      </c>
      <c r="F79" t="s">
        <v>17</v>
      </c>
      <c r="G79" s="9">
        <v>15000</v>
      </c>
      <c r="H79" s="7">
        <v>46339</v>
      </c>
      <c r="I79" s="9">
        <v>6250</v>
      </c>
      <c r="J79" s="31">
        <f t="shared" si="2"/>
        <v>46333</v>
      </c>
      <c r="K79" s="31">
        <f>Table14[[#This Row],[week first day]]-7</f>
        <v>46326</v>
      </c>
      <c r="L79">
        <f t="shared" si="3"/>
        <v>6250</v>
      </c>
    </row>
    <row r="80" spans="1:12" x14ac:dyDescent="0.3">
      <c r="A80" s="8" t="s">
        <v>22</v>
      </c>
      <c r="B80" s="8" t="s">
        <v>23</v>
      </c>
      <c r="C80" s="8" t="s">
        <v>11</v>
      </c>
      <c r="D80" s="8">
        <v>55</v>
      </c>
      <c r="E80" s="8" t="s">
        <v>24</v>
      </c>
      <c r="F80" t="s">
        <v>17</v>
      </c>
      <c r="G80" s="9">
        <v>15000</v>
      </c>
      <c r="H80" s="7">
        <v>46346</v>
      </c>
      <c r="I80" s="9">
        <v>6250</v>
      </c>
      <c r="J80" s="31">
        <f t="shared" si="2"/>
        <v>46340</v>
      </c>
      <c r="K80" s="31">
        <f>Table14[[#This Row],[week first day]]-7</f>
        <v>46333</v>
      </c>
      <c r="L80">
        <f t="shared" si="3"/>
        <v>6250</v>
      </c>
    </row>
    <row r="81" spans="1:12" x14ac:dyDescent="0.3">
      <c r="A81" s="8" t="s">
        <v>22</v>
      </c>
      <c r="B81" s="8" t="s">
        <v>23</v>
      </c>
      <c r="C81" s="8" t="s">
        <v>11</v>
      </c>
      <c r="D81" s="8">
        <v>55</v>
      </c>
      <c r="E81" s="8" t="s">
        <v>24</v>
      </c>
      <c r="F81" t="s">
        <v>17</v>
      </c>
      <c r="G81" s="9">
        <v>15000</v>
      </c>
      <c r="H81" s="7">
        <v>46353</v>
      </c>
      <c r="I81" s="9">
        <v>6250</v>
      </c>
      <c r="J81" s="31">
        <f t="shared" si="2"/>
        <v>46347</v>
      </c>
      <c r="K81" s="31">
        <f>Table14[[#This Row],[week first day]]-7</f>
        <v>46340</v>
      </c>
      <c r="L81">
        <f t="shared" si="3"/>
        <v>6250</v>
      </c>
    </row>
    <row r="82" spans="1:12" x14ac:dyDescent="0.3">
      <c r="A82" s="8" t="s">
        <v>22</v>
      </c>
      <c r="B82" s="8" t="s">
        <v>23</v>
      </c>
      <c r="C82" s="8" t="s">
        <v>11</v>
      </c>
      <c r="D82" s="8">
        <v>55</v>
      </c>
      <c r="E82" s="8" t="s">
        <v>24</v>
      </c>
      <c r="F82" t="s">
        <v>17</v>
      </c>
      <c r="G82" s="9">
        <v>15000</v>
      </c>
      <c r="H82" s="7">
        <v>46360</v>
      </c>
      <c r="I82" s="9">
        <v>6250</v>
      </c>
      <c r="J82" s="31">
        <f t="shared" si="2"/>
        <v>46354</v>
      </c>
      <c r="K82" s="31">
        <f>Table14[[#This Row],[week first day]]-7</f>
        <v>46347</v>
      </c>
      <c r="L82">
        <f t="shared" si="3"/>
        <v>6250</v>
      </c>
    </row>
    <row r="83" spans="1:12" x14ac:dyDescent="0.3">
      <c r="A83" s="8" t="s">
        <v>22</v>
      </c>
      <c r="B83" s="8" t="s">
        <v>23</v>
      </c>
      <c r="C83" s="8" t="s">
        <v>11</v>
      </c>
      <c r="D83" s="8">
        <v>55</v>
      </c>
      <c r="E83" s="8" t="s">
        <v>24</v>
      </c>
      <c r="F83" t="s">
        <v>17</v>
      </c>
      <c r="G83" s="9">
        <v>15000</v>
      </c>
      <c r="H83" s="7">
        <v>46367</v>
      </c>
      <c r="I83" s="9">
        <v>6250</v>
      </c>
      <c r="J83" s="31">
        <f t="shared" si="2"/>
        <v>46361</v>
      </c>
      <c r="K83" s="31">
        <f>Table14[[#This Row],[week first day]]-7</f>
        <v>46354</v>
      </c>
      <c r="L83">
        <f t="shared" si="3"/>
        <v>6250</v>
      </c>
    </row>
    <row r="84" spans="1:12" x14ac:dyDescent="0.3">
      <c r="A84" s="8" t="s">
        <v>22</v>
      </c>
      <c r="B84" s="8" t="s">
        <v>23</v>
      </c>
      <c r="C84" s="8" t="s">
        <v>11</v>
      </c>
      <c r="D84" s="8">
        <v>55</v>
      </c>
      <c r="E84" s="8" t="s">
        <v>24</v>
      </c>
      <c r="F84" t="s">
        <v>17</v>
      </c>
      <c r="G84" s="9">
        <v>15000</v>
      </c>
      <c r="H84" s="7">
        <v>46374</v>
      </c>
      <c r="I84" s="9">
        <v>6250</v>
      </c>
      <c r="J84" s="31">
        <f t="shared" si="2"/>
        <v>46368</v>
      </c>
      <c r="K84" s="31">
        <f>Table14[[#This Row],[week first day]]-7</f>
        <v>46361</v>
      </c>
      <c r="L84">
        <f t="shared" si="3"/>
        <v>6250</v>
      </c>
    </row>
    <row r="85" spans="1:12" x14ac:dyDescent="0.3">
      <c r="A85" s="8" t="s">
        <v>22</v>
      </c>
      <c r="B85" s="8" t="s">
        <v>23</v>
      </c>
      <c r="C85" s="8" t="s">
        <v>11</v>
      </c>
      <c r="D85" s="8">
        <v>55</v>
      </c>
      <c r="E85" s="8" t="s">
        <v>24</v>
      </c>
      <c r="F85" t="s">
        <v>17</v>
      </c>
      <c r="G85" s="9">
        <v>15000</v>
      </c>
      <c r="H85" s="7">
        <v>46381</v>
      </c>
      <c r="I85" s="9">
        <v>6250</v>
      </c>
      <c r="J85" s="31">
        <f t="shared" si="2"/>
        <v>46375</v>
      </c>
      <c r="K85" s="31">
        <f>Table14[[#This Row],[week first day]]-7</f>
        <v>46368</v>
      </c>
      <c r="L85">
        <f t="shared" si="3"/>
        <v>6250</v>
      </c>
    </row>
    <row r="86" spans="1:12" x14ac:dyDescent="0.3">
      <c r="A86" s="8" t="s">
        <v>25</v>
      </c>
      <c r="B86" s="8" t="s">
        <v>26</v>
      </c>
      <c r="C86" s="8" t="s">
        <v>27</v>
      </c>
      <c r="D86" s="8">
        <v>80</v>
      </c>
      <c r="E86" s="8" t="s">
        <v>28</v>
      </c>
      <c r="F86" t="s">
        <v>29</v>
      </c>
      <c r="G86" s="8">
        <v>5000</v>
      </c>
      <c r="H86" s="7">
        <v>46157</v>
      </c>
      <c r="I86" s="9">
        <v>270</v>
      </c>
      <c r="J86" s="31">
        <f t="shared" si="2"/>
        <v>46151</v>
      </c>
      <c r="K86" s="31">
        <f>Table14[[#This Row],[week first day]]-7</f>
        <v>46144</v>
      </c>
      <c r="L86">
        <f t="shared" si="3"/>
        <v>4320</v>
      </c>
    </row>
    <row r="87" spans="1:12" x14ac:dyDescent="0.3">
      <c r="A87" s="8" t="s">
        <v>25</v>
      </c>
      <c r="B87" s="8" t="s">
        <v>26</v>
      </c>
      <c r="C87" s="8" t="s">
        <v>27</v>
      </c>
      <c r="D87" s="8">
        <v>80</v>
      </c>
      <c r="E87" s="8" t="s">
        <v>28</v>
      </c>
      <c r="F87" t="s">
        <v>29</v>
      </c>
      <c r="G87" s="8">
        <v>5000</v>
      </c>
      <c r="H87" s="7">
        <v>46157</v>
      </c>
      <c r="I87" s="9">
        <v>270</v>
      </c>
      <c r="J87" s="31">
        <f t="shared" si="2"/>
        <v>46151</v>
      </c>
      <c r="K87" s="31">
        <f>Table14[[#This Row],[week first day]]-7</f>
        <v>46144</v>
      </c>
      <c r="L87">
        <f t="shared" si="3"/>
        <v>4320</v>
      </c>
    </row>
    <row r="88" spans="1:12" x14ac:dyDescent="0.3">
      <c r="A88" s="8" t="s">
        <v>25</v>
      </c>
      <c r="B88" s="8" t="s">
        <v>26</v>
      </c>
      <c r="C88" s="8" t="s">
        <v>27</v>
      </c>
      <c r="D88" s="8">
        <v>80</v>
      </c>
      <c r="E88" s="8" t="s">
        <v>28</v>
      </c>
      <c r="F88" t="s">
        <v>29</v>
      </c>
      <c r="G88" s="8">
        <v>5000</v>
      </c>
      <c r="H88" s="7">
        <v>46157</v>
      </c>
      <c r="I88" s="9">
        <v>270</v>
      </c>
      <c r="J88" s="31">
        <f t="shared" si="2"/>
        <v>46151</v>
      </c>
      <c r="K88" s="31">
        <f>Table14[[#This Row],[week first day]]-7</f>
        <v>46144</v>
      </c>
      <c r="L88">
        <f t="shared" si="3"/>
        <v>4320</v>
      </c>
    </row>
    <row r="89" spans="1:12" x14ac:dyDescent="0.3">
      <c r="A89" s="8" t="s">
        <v>25</v>
      </c>
      <c r="B89" s="8" t="s">
        <v>26</v>
      </c>
      <c r="C89" s="8" t="s">
        <v>27</v>
      </c>
      <c r="D89" s="8">
        <v>80</v>
      </c>
      <c r="E89" s="8" t="s">
        <v>28</v>
      </c>
      <c r="F89" t="s">
        <v>29</v>
      </c>
      <c r="G89" s="8">
        <v>5000</v>
      </c>
      <c r="H89" s="7">
        <v>46157</v>
      </c>
      <c r="I89" s="9">
        <v>270</v>
      </c>
      <c r="J89" s="31">
        <f t="shared" si="2"/>
        <v>46151</v>
      </c>
      <c r="K89" s="31">
        <f>Table14[[#This Row],[week first day]]-7</f>
        <v>46144</v>
      </c>
      <c r="L89">
        <f t="shared" si="3"/>
        <v>4320</v>
      </c>
    </row>
    <row r="90" spans="1:12" x14ac:dyDescent="0.3">
      <c r="A90" s="8" t="s">
        <v>25</v>
      </c>
      <c r="B90" s="8" t="s">
        <v>26</v>
      </c>
      <c r="C90" s="8" t="s">
        <v>27</v>
      </c>
      <c r="D90" s="8">
        <v>80</v>
      </c>
      <c r="E90" s="8" t="s">
        <v>28</v>
      </c>
      <c r="F90" t="s">
        <v>29</v>
      </c>
      <c r="G90" s="8">
        <v>5000</v>
      </c>
      <c r="H90" s="7">
        <v>46157</v>
      </c>
      <c r="I90" s="9">
        <v>270</v>
      </c>
      <c r="J90" s="31">
        <f t="shared" si="2"/>
        <v>46151</v>
      </c>
      <c r="K90" s="31">
        <f>Table14[[#This Row],[week first day]]-7</f>
        <v>46144</v>
      </c>
      <c r="L90">
        <f t="shared" si="3"/>
        <v>4320</v>
      </c>
    </row>
    <row r="91" spans="1:12" x14ac:dyDescent="0.3">
      <c r="A91" s="8" t="s">
        <v>25</v>
      </c>
      <c r="B91" s="8" t="s">
        <v>26</v>
      </c>
      <c r="C91" s="8" t="s">
        <v>27</v>
      </c>
      <c r="D91" s="8">
        <v>80</v>
      </c>
      <c r="E91" s="8" t="s">
        <v>28</v>
      </c>
      <c r="F91" t="s">
        <v>29</v>
      </c>
      <c r="G91" s="8">
        <v>5000</v>
      </c>
      <c r="H91" s="7">
        <v>46157</v>
      </c>
      <c r="I91" s="9">
        <v>270</v>
      </c>
      <c r="J91" s="31">
        <f t="shared" si="2"/>
        <v>46151</v>
      </c>
      <c r="K91" s="31">
        <f>Table14[[#This Row],[week first day]]-7</f>
        <v>46144</v>
      </c>
      <c r="L91">
        <f t="shared" si="3"/>
        <v>4320</v>
      </c>
    </row>
    <row r="92" spans="1:12" x14ac:dyDescent="0.3">
      <c r="A92" s="8" t="s">
        <v>25</v>
      </c>
      <c r="B92" s="8" t="s">
        <v>26</v>
      </c>
      <c r="C92" s="8" t="s">
        <v>27</v>
      </c>
      <c r="D92" s="8">
        <v>80</v>
      </c>
      <c r="E92" s="8" t="s">
        <v>28</v>
      </c>
      <c r="F92" t="s">
        <v>29</v>
      </c>
      <c r="G92" s="8">
        <v>5000</v>
      </c>
      <c r="H92" s="7">
        <v>46157</v>
      </c>
      <c r="I92" s="9">
        <v>270</v>
      </c>
      <c r="J92" s="31">
        <f t="shared" si="2"/>
        <v>46151</v>
      </c>
      <c r="K92" s="31">
        <f>Table14[[#This Row],[week first day]]-7</f>
        <v>46144</v>
      </c>
      <c r="L92">
        <f t="shared" si="3"/>
        <v>4320</v>
      </c>
    </row>
    <row r="93" spans="1:12" x14ac:dyDescent="0.3">
      <c r="A93" s="8" t="s">
        <v>25</v>
      </c>
      <c r="B93" s="8" t="s">
        <v>26</v>
      </c>
      <c r="C93" s="8" t="s">
        <v>27</v>
      </c>
      <c r="D93" s="8">
        <v>80</v>
      </c>
      <c r="E93" s="8" t="s">
        <v>28</v>
      </c>
      <c r="F93" t="s">
        <v>29</v>
      </c>
      <c r="G93" s="8">
        <v>5000</v>
      </c>
      <c r="H93" s="7">
        <v>46157</v>
      </c>
      <c r="I93" s="9">
        <v>270</v>
      </c>
      <c r="J93" s="31">
        <f t="shared" si="2"/>
        <v>46151</v>
      </c>
      <c r="K93" s="31">
        <f>Table14[[#This Row],[week first day]]-7</f>
        <v>46144</v>
      </c>
      <c r="L93">
        <f t="shared" si="3"/>
        <v>4320</v>
      </c>
    </row>
    <row r="94" spans="1:12" x14ac:dyDescent="0.3">
      <c r="A94" s="8" t="s">
        <v>25</v>
      </c>
      <c r="B94" s="8" t="s">
        <v>26</v>
      </c>
      <c r="C94" s="8" t="s">
        <v>27</v>
      </c>
      <c r="D94" s="8">
        <v>80</v>
      </c>
      <c r="E94" s="8" t="s">
        <v>28</v>
      </c>
      <c r="F94" t="s">
        <v>29</v>
      </c>
      <c r="G94" s="8">
        <v>5000</v>
      </c>
      <c r="H94" s="7">
        <v>46157</v>
      </c>
      <c r="I94" s="9">
        <v>270</v>
      </c>
      <c r="J94" s="31">
        <f t="shared" si="2"/>
        <v>46151</v>
      </c>
      <c r="K94" s="31">
        <f>Table14[[#This Row],[week first day]]-7</f>
        <v>46144</v>
      </c>
      <c r="L94">
        <f t="shared" si="3"/>
        <v>4320</v>
      </c>
    </row>
    <row r="95" spans="1:12" x14ac:dyDescent="0.3">
      <c r="A95" s="8" t="s">
        <v>25</v>
      </c>
      <c r="B95" s="8" t="s">
        <v>26</v>
      </c>
      <c r="C95" s="8" t="s">
        <v>27</v>
      </c>
      <c r="D95" s="8">
        <v>80</v>
      </c>
      <c r="E95" s="8" t="s">
        <v>28</v>
      </c>
      <c r="F95" t="s">
        <v>29</v>
      </c>
      <c r="G95" s="8">
        <v>5000</v>
      </c>
      <c r="H95" s="7">
        <v>46157</v>
      </c>
      <c r="I95" s="9">
        <v>270</v>
      </c>
      <c r="J95" s="31">
        <f t="shared" si="2"/>
        <v>46151</v>
      </c>
      <c r="K95" s="31">
        <f>Table14[[#This Row],[week first day]]-7</f>
        <v>46144</v>
      </c>
      <c r="L95">
        <f t="shared" si="3"/>
        <v>4320</v>
      </c>
    </row>
    <row r="96" spans="1:12" x14ac:dyDescent="0.3">
      <c r="A96" s="8" t="s">
        <v>25</v>
      </c>
      <c r="B96" s="8" t="s">
        <v>26</v>
      </c>
      <c r="C96" s="8" t="s">
        <v>27</v>
      </c>
      <c r="D96" s="8">
        <v>80</v>
      </c>
      <c r="E96" s="8" t="s">
        <v>28</v>
      </c>
      <c r="F96" t="s">
        <v>29</v>
      </c>
      <c r="G96" s="8">
        <v>5000</v>
      </c>
      <c r="H96" s="7">
        <v>46157</v>
      </c>
      <c r="I96" s="9">
        <v>270</v>
      </c>
      <c r="J96" s="31">
        <f t="shared" si="2"/>
        <v>46151</v>
      </c>
      <c r="K96" s="31">
        <f>Table14[[#This Row],[week first day]]-7</f>
        <v>46144</v>
      </c>
      <c r="L96">
        <f t="shared" si="3"/>
        <v>4320</v>
      </c>
    </row>
    <row r="97" spans="1:12" x14ac:dyDescent="0.3">
      <c r="A97" s="8" t="s">
        <v>25</v>
      </c>
      <c r="B97" s="8" t="s">
        <v>26</v>
      </c>
      <c r="C97" s="8" t="s">
        <v>27</v>
      </c>
      <c r="D97" s="8">
        <v>80</v>
      </c>
      <c r="E97" s="8" t="s">
        <v>28</v>
      </c>
      <c r="F97" t="s">
        <v>29</v>
      </c>
      <c r="G97" s="8">
        <v>5000</v>
      </c>
      <c r="H97" s="7">
        <v>46157</v>
      </c>
      <c r="I97" s="9">
        <v>270</v>
      </c>
      <c r="J97" s="31">
        <f t="shared" si="2"/>
        <v>46151</v>
      </c>
      <c r="K97" s="31">
        <f>Table14[[#This Row],[week first day]]-7</f>
        <v>46144</v>
      </c>
      <c r="L97">
        <f t="shared" si="3"/>
        <v>4320</v>
      </c>
    </row>
    <row r="98" spans="1:12" x14ac:dyDescent="0.3">
      <c r="A98" s="8" t="s">
        <v>25</v>
      </c>
      <c r="B98" s="8" t="s">
        <v>26</v>
      </c>
      <c r="C98" s="8" t="s">
        <v>27</v>
      </c>
      <c r="D98" s="8">
        <v>80</v>
      </c>
      <c r="E98" s="8" t="s">
        <v>28</v>
      </c>
      <c r="F98" t="s">
        <v>29</v>
      </c>
      <c r="G98" s="8">
        <v>5000</v>
      </c>
      <c r="H98" s="7">
        <v>46157</v>
      </c>
      <c r="I98" s="9">
        <v>270</v>
      </c>
      <c r="J98" s="31">
        <f t="shared" si="2"/>
        <v>46151</v>
      </c>
      <c r="K98" s="31">
        <f>Table14[[#This Row],[week first day]]-7</f>
        <v>46144</v>
      </c>
      <c r="L98">
        <f t="shared" si="3"/>
        <v>4320</v>
      </c>
    </row>
    <row r="99" spans="1:12" x14ac:dyDescent="0.3">
      <c r="A99" s="8" t="s">
        <v>25</v>
      </c>
      <c r="B99" s="8" t="s">
        <v>26</v>
      </c>
      <c r="C99" s="8" t="s">
        <v>27</v>
      </c>
      <c r="D99" s="8">
        <v>80</v>
      </c>
      <c r="E99" s="8" t="s">
        <v>28</v>
      </c>
      <c r="F99" t="s">
        <v>29</v>
      </c>
      <c r="G99" s="8">
        <v>5000</v>
      </c>
      <c r="H99" s="7">
        <v>46157</v>
      </c>
      <c r="I99" s="9">
        <v>270</v>
      </c>
      <c r="J99" s="31">
        <f t="shared" si="2"/>
        <v>46151</v>
      </c>
      <c r="K99" s="31">
        <f>Table14[[#This Row],[week first day]]-7</f>
        <v>46144</v>
      </c>
      <c r="L99">
        <f t="shared" si="3"/>
        <v>4320</v>
      </c>
    </row>
    <row r="100" spans="1:12" x14ac:dyDescent="0.3">
      <c r="A100" s="8" t="s">
        <v>25</v>
      </c>
      <c r="B100" s="8" t="s">
        <v>26</v>
      </c>
      <c r="C100" s="8" t="s">
        <v>27</v>
      </c>
      <c r="D100" s="8">
        <v>80</v>
      </c>
      <c r="E100" s="8" t="s">
        <v>28</v>
      </c>
      <c r="F100" t="s">
        <v>29</v>
      </c>
      <c r="G100" s="8">
        <v>5000</v>
      </c>
      <c r="H100" s="7">
        <v>46157</v>
      </c>
      <c r="I100" s="9">
        <v>270</v>
      </c>
      <c r="J100" s="31">
        <f t="shared" si="2"/>
        <v>46151</v>
      </c>
      <c r="K100" s="31">
        <f>Table14[[#This Row],[week first day]]-7</f>
        <v>46144</v>
      </c>
      <c r="L100">
        <f t="shared" si="3"/>
        <v>4320</v>
      </c>
    </row>
    <row r="101" spans="1:12" x14ac:dyDescent="0.3">
      <c r="A101" s="8" t="s">
        <v>25</v>
      </c>
      <c r="B101" s="8" t="s">
        <v>26</v>
      </c>
      <c r="C101" s="8" t="s">
        <v>27</v>
      </c>
      <c r="D101" s="8">
        <v>80</v>
      </c>
      <c r="E101" s="8" t="s">
        <v>28</v>
      </c>
      <c r="F101" t="s">
        <v>29</v>
      </c>
      <c r="G101" s="8">
        <v>5000</v>
      </c>
      <c r="H101" s="7">
        <v>46157</v>
      </c>
      <c r="I101" s="9">
        <v>270</v>
      </c>
      <c r="J101" s="31">
        <f t="shared" si="2"/>
        <v>46151</v>
      </c>
      <c r="K101" s="31">
        <f>Table14[[#This Row],[week first day]]-7</f>
        <v>46144</v>
      </c>
      <c r="L101">
        <f t="shared" si="3"/>
        <v>4320</v>
      </c>
    </row>
    <row r="102" spans="1:12" x14ac:dyDescent="0.3">
      <c r="A102" s="8" t="s">
        <v>25</v>
      </c>
      <c r="B102" s="8" t="s">
        <v>26</v>
      </c>
      <c r="C102" s="8" t="s">
        <v>27</v>
      </c>
      <c r="D102" s="8">
        <v>80</v>
      </c>
      <c r="E102" s="8" t="s">
        <v>28</v>
      </c>
      <c r="F102" t="s">
        <v>29</v>
      </c>
      <c r="G102" s="8">
        <v>5000</v>
      </c>
      <c r="H102" s="7">
        <v>46164</v>
      </c>
      <c r="I102" s="9">
        <v>270</v>
      </c>
      <c r="J102" s="31">
        <f t="shared" si="2"/>
        <v>46158</v>
      </c>
      <c r="K102" s="31">
        <f>Table14[[#This Row],[week first day]]-7</f>
        <v>46151</v>
      </c>
      <c r="L102">
        <f t="shared" si="3"/>
        <v>8370</v>
      </c>
    </row>
    <row r="103" spans="1:12" x14ac:dyDescent="0.3">
      <c r="A103" s="8" t="s">
        <v>25</v>
      </c>
      <c r="B103" s="8" t="s">
        <v>26</v>
      </c>
      <c r="C103" s="8" t="s">
        <v>27</v>
      </c>
      <c r="D103" s="8">
        <v>80</v>
      </c>
      <c r="E103" s="8" t="s">
        <v>28</v>
      </c>
      <c r="F103" t="s">
        <v>29</v>
      </c>
      <c r="G103" s="8">
        <v>5000</v>
      </c>
      <c r="H103" s="7">
        <v>46164</v>
      </c>
      <c r="I103" s="9">
        <v>270</v>
      </c>
      <c r="J103" s="31">
        <f t="shared" si="2"/>
        <v>46158</v>
      </c>
      <c r="K103" s="31">
        <f>Table14[[#This Row],[week first day]]-7</f>
        <v>46151</v>
      </c>
      <c r="L103">
        <f t="shared" si="3"/>
        <v>8370</v>
      </c>
    </row>
    <row r="104" spans="1:12" x14ac:dyDescent="0.3">
      <c r="A104" s="8" t="s">
        <v>25</v>
      </c>
      <c r="B104" s="8" t="s">
        <v>26</v>
      </c>
      <c r="C104" s="8" t="s">
        <v>27</v>
      </c>
      <c r="D104" s="8">
        <v>80</v>
      </c>
      <c r="E104" s="8" t="s">
        <v>28</v>
      </c>
      <c r="F104" t="s">
        <v>29</v>
      </c>
      <c r="G104" s="8">
        <v>5000</v>
      </c>
      <c r="H104" s="7">
        <v>46164</v>
      </c>
      <c r="I104" s="9">
        <v>270</v>
      </c>
      <c r="J104" s="31">
        <f t="shared" si="2"/>
        <v>46158</v>
      </c>
      <c r="K104" s="31">
        <f>Table14[[#This Row],[week first day]]-7</f>
        <v>46151</v>
      </c>
      <c r="L104">
        <f t="shared" si="3"/>
        <v>8370</v>
      </c>
    </row>
    <row r="105" spans="1:12" x14ac:dyDescent="0.3">
      <c r="A105" s="8" t="s">
        <v>25</v>
      </c>
      <c r="B105" s="8" t="s">
        <v>26</v>
      </c>
      <c r="C105" s="8" t="s">
        <v>27</v>
      </c>
      <c r="D105" s="8">
        <v>80</v>
      </c>
      <c r="E105" s="8" t="s">
        <v>28</v>
      </c>
      <c r="F105" t="s">
        <v>29</v>
      </c>
      <c r="G105" s="8">
        <v>5000</v>
      </c>
      <c r="H105" s="7">
        <v>46164</v>
      </c>
      <c r="I105" s="9">
        <v>270</v>
      </c>
      <c r="J105" s="31">
        <f t="shared" si="2"/>
        <v>46158</v>
      </c>
      <c r="K105" s="31">
        <f>Table14[[#This Row],[week first day]]-7</f>
        <v>46151</v>
      </c>
      <c r="L105">
        <f t="shared" si="3"/>
        <v>8370</v>
      </c>
    </row>
    <row r="106" spans="1:12" x14ac:dyDescent="0.3">
      <c r="A106" s="8" t="s">
        <v>25</v>
      </c>
      <c r="B106" s="8" t="s">
        <v>26</v>
      </c>
      <c r="C106" s="8" t="s">
        <v>27</v>
      </c>
      <c r="D106" s="8">
        <v>80</v>
      </c>
      <c r="E106" s="8" t="s">
        <v>28</v>
      </c>
      <c r="F106" t="s">
        <v>29</v>
      </c>
      <c r="G106" s="8">
        <v>5000</v>
      </c>
      <c r="H106" s="7">
        <v>46164</v>
      </c>
      <c r="I106" s="9">
        <v>270</v>
      </c>
      <c r="J106" s="31">
        <f t="shared" si="2"/>
        <v>46158</v>
      </c>
      <c r="K106" s="31">
        <f>Table14[[#This Row],[week first day]]-7</f>
        <v>46151</v>
      </c>
      <c r="L106">
        <f t="shared" si="3"/>
        <v>8370</v>
      </c>
    </row>
    <row r="107" spans="1:12" x14ac:dyDescent="0.3">
      <c r="A107" s="8" t="s">
        <v>25</v>
      </c>
      <c r="B107" s="8" t="s">
        <v>26</v>
      </c>
      <c r="C107" s="8" t="s">
        <v>27</v>
      </c>
      <c r="D107" s="8">
        <v>80</v>
      </c>
      <c r="E107" s="8" t="s">
        <v>28</v>
      </c>
      <c r="F107" t="s">
        <v>29</v>
      </c>
      <c r="G107" s="8">
        <v>5000</v>
      </c>
      <c r="H107" s="7">
        <v>46164</v>
      </c>
      <c r="I107" s="9">
        <v>270</v>
      </c>
      <c r="J107" s="31">
        <f t="shared" si="2"/>
        <v>46158</v>
      </c>
      <c r="K107" s="31">
        <f>Table14[[#This Row],[week first day]]-7</f>
        <v>46151</v>
      </c>
      <c r="L107">
        <f t="shared" si="3"/>
        <v>8370</v>
      </c>
    </row>
    <row r="108" spans="1:12" x14ac:dyDescent="0.3">
      <c r="A108" s="8" t="s">
        <v>25</v>
      </c>
      <c r="B108" s="8" t="s">
        <v>26</v>
      </c>
      <c r="C108" s="8" t="s">
        <v>27</v>
      </c>
      <c r="D108" s="8">
        <v>80</v>
      </c>
      <c r="E108" s="8" t="s">
        <v>28</v>
      </c>
      <c r="F108" t="s">
        <v>29</v>
      </c>
      <c r="G108" s="8">
        <v>5000</v>
      </c>
      <c r="H108" s="7">
        <v>46164</v>
      </c>
      <c r="I108" s="9">
        <v>270</v>
      </c>
      <c r="J108" s="31">
        <f t="shared" si="2"/>
        <v>46158</v>
      </c>
      <c r="K108" s="31">
        <f>Table14[[#This Row],[week first day]]-7</f>
        <v>46151</v>
      </c>
      <c r="L108">
        <f t="shared" si="3"/>
        <v>8370</v>
      </c>
    </row>
    <row r="109" spans="1:12" x14ac:dyDescent="0.3">
      <c r="A109" s="8" t="s">
        <v>25</v>
      </c>
      <c r="B109" s="8" t="s">
        <v>26</v>
      </c>
      <c r="C109" s="8" t="s">
        <v>27</v>
      </c>
      <c r="D109" s="8">
        <v>80</v>
      </c>
      <c r="E109" s="8" t="s">
        <v>28</v>
      </c>
      <c r="F109" t="s">
        <v>29</v>
      </c>
      <c r="G109" s="8">
        <v>5000</v>
      </c>
      <c r="H109" s="7">
        <v>46164</v>
      </c>
      <c r="I109" s="9">
        <v>270</v>
      </c>
      <c r="J109" s="31">
        <f t="shared" si="2"/>
        <v>46158</v>
      </c>
      <c r="K109" s="31">
        <f>Table14[[#This Row],[week first day]]-7</f>
        <v>46151</v>
      </c>
      <c r="L109">
        <f t="shared" si="3"/>
        <v>8370</v>
      </c>
    </row>
    <row r="110" spans="1:12" x14ac:dyDescent="0.3">
      <c r="A110" s="8" t="s">
        <v>25</v>
      </c>
      <c r="B110" s="8" t="s">
        <v>26</v>
      </c>
      <c r="C110" s="8" t="s">
        <v>27</v>
      </c>
      <c r="D110" s="8">
        <v>80</v>
      </c>
      <c r="E110" s="8" t="s">
        <v>28</v>
      </c>
      <c r="F110" t="s">
        <v>29</v>
      </c>
      <c r="G110" s="8">
        <v>5000</v>
      </c>
      <c r="H110" s="7">
        <v>46164</v>
      </c>
      <c r="I110" s="9">
        <v>270</v>
      </c>
      <c r="J110" s="31">
        <f t="shared" si="2"/>
        <v>46158</v>
      </c>
      <c r="K110" s="31">
        <f>Table14[[#This Row],[week first day]]-7</f>
        <v>46151</v>
      </c>
      <c r="L110">
        <f t="shared" si="3"/>
        <v>8370</v>
      </c>
    </row>
    <row r="111" spans="1:12" x14ac:dyDescent="0.3">
      <c r="A111" s="8" t="s">
        <v>25</v>
      </c>
      <c r="B111" s="8" t="s">
        <v>26</v>
      </c>
      <c r="C111" s="8" t="s">
        <v>27</v>
      </c>
      <c r="D111" s="8">
        <v>80</v>
      </c>
      <c r="E111" s="8" t="s">
        <v>28</v>
      </c>
      <c r="F111" t="s">
        <v>29</v>
      </c>
      <c r="G111" s="8">
        <v>5000</v>
      </c>
      <c r="H111" s="7">
        <v>46164</v>
      </c>
      <c r="I111" s="9">
        <v>270</v>
      </c>
      <c r="J111" s="31">
        <f t="shared" si="2"/>
        <v>46158</v>
      </c>
      <c r="K111" s="31">
        <f>Table14[[#This Row],[week first day]]-7</f>
        <v>46151</v>
      </c>
      <c r="L111">
        <f t="shared" si="3"/>
        <v>8370</v>
      </c>
    </row>
    <row r="112" spans="1:12" x14ac:dyDescent="0.3">
      <c r="A112" s="8" t="s">
        <v>25</v>
      </c>
      <c r="B112" s="8" t="s">
        <v>26</v>
      </c>
      <c r="C112" s="8" t="s">
        <v>27</v>
      </c>
      <c r="D112" s="8">
        <v>80</v>
      </c>
      <c r="E112" s="8" t="s">
        <v>28</v>
      </c>
      <c r="F112" t="s">
        <v>29</v>
      </c>
      <c r="G112" s="8">
        <v>5000</v>
      </c>
      <c r="H112" s="7">
        <v>46164</v>
      </c>
      <c r="I112" s="9">
        <v>270</v>
      </c>
      <c r="J112" s="31">
        <f t="shared" si="2"/>
        <v>46158</v>
      </c>
      <c r="K112" s="31">
        <f>Table14[[#This Row],[week first day]]-7</f>
        <v>46151</v>
      </c>
      <c r="L112">
        <f t="shared" si="3"/>
        <v>8370</v>
      </c>
    </row>
    <row r="113" spans="1:12" x14ac:dyDescent="0.3">
      <c r="A113" s="8" t="s">
        <v>25</v>
      </c>
      <c r="B113" s="8" t="s">
        <v>26</v>
      </c>
      <c r="C113" s="8" t="s">
        <v>27</v>
      </c>
      <c r="D113" s="8">
        <v>80</v>
      </c>
      <c r="E113" s="8" t="s">
        <v>28</v>
      </c>
      <c r="F113" t="s">
        <v>29</v>
      </c>
      <c r="G113" s="8">
        <v>5000</v>
      </c>
      <c r="H113" s="7">
        <v>46164</v>
      </c>
      <c r="I113" s="9">
        <v>270</v>
      </c>
      <c r="J113" s="31">
        <f t="shared" si="2"/>
        <v>46158</v>
      </c>
      <c r="K113" s="31">
        <f>Table14[[#This Row],[week first day]]-7</f>
        <v>46151</v>
      </c>
      <c r="L113">
        <f t="shared" si="3"/>
        <v>8370</v>
      </c>
    </row>
    <row r="114" spans="1:12" x14ac:dyDescent="0.3">
      <c r="A114" s="8" t="s">
        <v>25</v>
      </c>
      <c r="B114" s="8" t="s">
        <v>26</v>
      </c>
      <c r="C114" s="8" t="s">
        <v>27</v>
      </c>
      <c r="D114" s="8">
        <v>80</v>
      </c>
      <c r="E114" s="8" t="s">
        <v>28</v>
      </c>
      <c r="F114" t="s">
        <v>29</v>
      </c>
      <c r="G114" s="8">
        <v>5000</v>
      </c>
      <c r="H114" s="7">
        <v>46164</v>
      </c>
      <c r="I114" s="9">
        <v>270</v>
      </c>
      <c r="J114" s="31">
        <f t="shared" si="2"/>
        <v>46158</v>
      </c>
      <c r="K114" s="31">
        <f>Table14[[#This Row],[week first day]]-7</f>
        <v>46151</v>
      </c>
      <c r="L114">
        <f t="shared" si="3"/>
        <v>8370</v>
      </c>
    </row>
    <row r="115" spans="1:12" x14ac:dyDescent="0.3">
      <c r="A115" s="8" t="s">
        <v>25</v>
      </c>
      <c r="B115" s="8" t="s">
        <v>26</v>
      </c>
      <c r="C115" s="8" t="s">
        <v>27</v>
      </c>
      <c r="D115" s="8">
        <v>80</v>
      </c>
      <c r="E115" s="8" t="s">
        <v>28</v>
      </c>
      <c r="F115" t="s">
        <v>29</v>
      </c>
      <c r="G115" s="8">
        <v>5000</v>
      </c>
      <c r="H115" s="7">
        <v>46164</v>
      </c>
      <c r="I115" s="9">
        <v>270</v>
      </c>
      <c r="J115" s="31">
        <f t="shared" si="2"/>
        <v>46158</v>
      </c>
      <c r="K115" s="31">
        <f>Table14[[#This Row],[week first day]]-7</f>
        <v>46151</v>
      </c>
      <c r="L115">
        <f t="shared" si="3"/>
        <v>8370</v>
      </c>
    </row>
    <row r="116" spans="1:12" x14ac:dyDescent="0.3">
      <c r="A116" s="8" t="s">
        <v>25</v>
      </c>
      <c r="B116" s="8" t="s">
        <v>26</v>
      </c>
      <c r="C116" s="8" t="s">
        <v>27</v>
      </c>
      <c r="D116" s="8">
        <v>80</v>
      </c>
      <c r="E116" s="8" t="s">
        <v>28</v>
      </c>
      <c r="F116" t="s">
        <v>29</v>
      </c>
      <c r="G116" s="8">
        <v>5000</v>
      </c>
      <c r="H116" s="7">
        <v>46164</v>
      </c>
      <c r="I116" s="9">
        <v>270</v>
      </c>
      <c r="J116" s="31">
        <f t="shared" si="2"/>
        <v>46158</v>
      </c>
      <c r="K116" s="31">
        <f>Table14[[#This Row],[week first day]]-7</f>
        <v>46151</v>
      </c>
      <c r="L116">
        <f t="shared" si="3"/>
        <v>8370</v>
      </c>
    </row>
    <row r="117" spans="1:12" x14ac:dyDescent="0.3">
      <c r="A117" s="8" t="s">
        <v>25</v>
      </c>
      <c r="B117" s="8" t="s">
        <v>26</v>
      </c>
      <c r="C117" s="8" t="s">
        <v>27</v>
      </c>
      <c r="D117" s="8">
        <v>80</v>
      </c>
      <c r="E117" s="8" t="s">
        <v>28</v>
      </c>
      <c r="F117" t="s">
        <v>29</v>
      </c>
      <c r="G117" s="8">
        <v>5000</v>
      </c>
      <c r="H117" s="7">
        <v>46164</v>
      </c>
      <c r="I117" s="9">
        <v>270</v>
      </c>
      <c r="J117" s="31">
        <f t="shared" si="2"/>
        <v>46158</v>
      </c>
      <c r="K117" s="31">
        <f>Table14[[#This Row],[week first day]]-7</f>
        <v>46151</v>
      </c>
      <c r="L117">
        <f t="shared" si="3"/>
        <v>8370</v>
      </c>
    </row>
    <row r="118" spans="1:12" x14ac:dyDescent="0.3">
      <c r="A118" s="8" t="s">
        <v>25</v>
      </c>
      <c r="B118" s="8" t="s">
        <v>26</v>
      </c>
      <c r="C118" s="8" t="s">
        <v>27</v>
      </c>
      <c r="D118" s="8">
        <v>80</v>
      </c>
      <c r="E118" s="8" t="s">
        <v>28</v>
      </c>
      <c r="F118" t="s">
        <v>29</v>
      </c>
      <c r="G118" s="8">
        <v>5000</v>
      </c>
      <c r="H118" s="7">
        <v>46164</v>
      </c>
      <c r="I118" s="9">
        <v>270</v>
      </c>
      <c r="J118" s="31">
        <f t="shared" si="2"/>
        <v>46158</v>
      </c>
      <c r="K118" s="31">
        <f>Table14[[#This Row],[week first day]]-7</f>
        <v>46151</v>
      </c>
      <c r="L118">
        <f t="shared" si="3"/>
        <v>8370</v>
      </c>
    </row>
    <row r="119" spans="1:12" x14ac:dyDescent="0.3">
      <c r="A119" s="8" t="s">
        <v>25</v>
      </c>
      <c r="B119" s="8" t="s">
        <v>26</v>
      </c>
      <c r="C119" s="8" t="s">
        <v>27</v>
      </c>
      <c r="D119" s="8">
        <v>80</v>
      </c>
      <c r="E119" s="8" t="s">
        <v>28</v>
      </c>
      <c r="F119" t="s">
        <v>29</v>
      </c>
      <c r="G119" s="8">
        <v>5000</v>
      </c>
      <c r="H119" s="7">
        <v>46164</v>
      </c>
      <c r="I119" s="9">
        <v>270</v>
      </c>
      <c r="J119" s="31">
        <f t="shared" si="2"/>
        <v>46158</v>
      </c>
      <c r="K119" s="31">
        <f>Table14[[#This Row],[week first day]]-7</f>
        <v>46151</v>
      </c>
      <c r="L119">
        <f t="shared" si="3"/>
        <v>8370</v>
      </c>
    </row>
    <row r="120" spans="1:12" x14ac:dyDescent="0.3">
      <c r="A120" s="8" t="s">
        <v>25</v>
      </c>
      <c r="B120" s="8" t="s">
        <v>26</v>
      </c>
      <c r="C120" s="8" t="s">
        <v>27</v>
      </c>
      <c r="D120" s="8">
        <v>80</v>
      </c>
      <c r="E120" s="8" t="s">
        <v>28</v>
      </c>
      <c r="F120" t="s">
        <v>29</v>
      </c>
      <c r="G120" s="8">
        <v>5000</v>
      </c>
      <c r="H120" s="7">
        <v>46164</v>
      </c>
      <c r="I120" s="9">
        <v>270</v>
      </c>
      <c r="J120" s="31">
        <f t="shared" si="2"/>
        <v>46158</v>
      </c>
      <c r="K120" s="31">
        <f>Table14[[#This Row],[week first day]]-7</f>
        <v>46151</v>
      </c>
      <c r="L120">
        <f t="shared" si="3"/>
        <v>8370</v>
      </c>
    </row>
    <row r="121" spans="1:12" x14ac:dyDescent="0.3">
      <c r="A121" s="8" t="s">
        <v>25</v>
      </c>
      <c r="B121" s="8" t="s">
        <v>26</v>
      </c>
      <c r="C121" s="8" t="s">
        <v>27</v>
      </c>
      <c r="D121" s="8">
        <v>80</v>
      </c>
      <c r="E121" s="8" t="s">
        <v>28</v>
      </c>
      <c r="F121" t="s">
        <v>29</v>
      </c>
      <c r="G121" s="8">
        <v>5000</v>
      </c>
      <c r="H121" s="7">
        <v>46164</v>
      </c>
      <c r="I121" s="9">
        <v>270</v>
      </c>
      <c r="J121" s="31">
        <f t="shared" si="2"/>
        <v>46158</v>
      </c>
      <c r="K121" s="31">
        <f>Table14[[#This Row],[week first day]]-7</f>
        <v>46151</v>
      </c>
      <c r="L121">
        <f t="shared" si="3"/>
        <v>8370</v>
      </c>
    </row>
    <row r="122" spans="1:12" x14ac:dyDescent="0.3">
      <c r="A122" s="8" t="s">
        <v>25</v>
      </c>
      <c r="B122" s="8" t="s">
        <v>26</v>
      </c>
      <c r="C122" s="8" t="s">
        <v>27</v>
      </c>
      <c r="D122" s="8">
        <v>80</v>
      </c>
      <c r="E122" s="8" t="s">
        <v>28</v>
      </c>
      <c r="F122" t="s">
        <v>29</v>
      </c>
      <c r="G122" s="8">
        <v>5000</v>
      </c>
      <c r="H122" s="7">
        <v>46164</v>
      </c>
      <c r="I122" s="9">
        <v>270</v>
      </c>
      <c r="J122" s="31">
        <f t="shared" si="2"/>
        <v>46158</v>
      </c>
      <c r="K122" s="31">
        <f>Table14[[#This Row],[week first day]]-7</f>
        <v>46151</v>
      </c>
      <c r="L122">
        <f t="shared" si="3"/>
        <v>8370</v>
      </c>
    </row>
    <row r="123" spans="1:12" x14ac:dyDescent="0.3">
      <c r="A123" s="8" t="s">
        <v>25</v>
      </c>
      <c r="B123" s="8" t="s">
        <v>26</v>
      </c>
      <c r="C123" s="8" t="s">
        <v>27</v>
      </c>
      <c r="D123" s="8">
        <v>80</v>
      </c>
      <c r="E123" s="8" t="s">
        <v>28</v>
      </c>
      <c r="F123" t="s">
        <v>29</v>
      </c>
      <c r="G123" s="8">
        <v>5000</v>
      </c>
      <c r="H123" s="7">
        <v>46164</v>
      </c>
      <c r="I123" s="9">
        <v>270</v>
      </c>
      <c r="J123" s="31">
        <f t="shared" si="2"/>
        <v>46158</v>
      </c>
      <c r="K123" s="31">
        <f>Table14[[#This Row],[week first day]]-7</f>
        <v>46151</v>
      </c>
      <c r="L123">
        <f t="shared" si="3"/>
        <v>8370</v>
      </c>
    </row>
    <row r="124" spans="1:12" x14ac:dyDescent="0.3">
      <c r="A124" s="8" t="s">
        <v>25</v>
      </c>
      <c r="B124" s="8" t="s">
        <v>26</v>
      </c>
      <c r="C124" s="8" t="s">
        <v>27</v>
      </c>
      <c r="D124" s="8">
        <v>80</v>
      </c>
      <c r="E124" s="8" t="s">
        <v>28</v>
      </c>
      <c r="F124" t="s">
        <v>29</v>
      </c>
      <c r="G124" s="8">
        <v>5000</v>
      </c>
      <c r="H124" s="7">
        <v>46164</v>
      </c>
      <c r="I124" s="9">
        <v>270</v>
      </c>
      <c r="J124" s="31">
        <f t="shared" si="2"/>
        <v>46158</v>
      </c>
      <c r="K124" s="31">
        <f>Table14[[#This Row],[week first day]]-7</f>
        <v>46151</v>
      </c>
      <c r="L124">
        <f t="shared" si="3"/>
        <v>8370</v>
      </c>
    </row>
    <row r="125" spans="1:12" x14ac:dyDescent="0.3">
      <c r="A125" s="8" t="s">
        <v>25</v>
      </c>
      <c r="B125" s="8" t="s">
        <v>26</v>
      </c>
      <c r="C125" s="8" t="s">
        <v>27</v>
      </c>
      <c r="D125" s="8">
        <v>80</v>
      </c>
      <c r="E125" s="8" t="s">
        <v>28</v>
      </c>
      <c r="F125" t="s">
        <v>29</v>
      </c>
      <c r="G125" s="8">
        <v>5000</v>
      </c>
      <c r="H125" s="7">
        <v>46164</v>
      </c>
      <c r="I125" s="9">
        <v>270</v>
      </c>
      <c r="J125" s="31">
        <f t="shared" si="2"/>
        <v>46158</v>
      </c>
      <c r="K125" s="31">
        <f>Table14[[#This Row],[week first day]]-7</f>
        <v>46151</v>
      </c>
      <c r="L125">
        <f t="shared" si="3"/>
        <v>8370</v>
      </c>
    </row>
    <row r="126" spans="1:12" x14ac:dyDescent="0.3">
      <c r="A126" s="8" t="s">
        <v>25</v>
      </c>
      <c r="B126" s="8" t="s">
        <v>26</v>
      </c>
      <c r="C126" s="8" t="s">
        <v>27</v>
      </c>
      <c r="D126" s="8">
        <v>80</v>
      </c>
      <c r="E126" s="8" t="s">
        <v>28</v>
      </c>
      <c r="F126" t="s">
        <v>29</v>
      </c>
      <c r="G126" s="8">
        <v>5000</v>
      </c>
      <c r="H126" s="7">
        <v>46164</v>
      </c>
      <c r="I126" s="9">
        <v>270</v>
      </c>
      <c r="J126" s="31">
        <f t="shared" si="2"/>
        <v>46158</v>
      </c>
      <c r="K126" s="31">
        <f>Table14[[#This Row],[week first day]]-7</f>
        <v>46151</v>
      </c>
      <c r="L126">
        <f t="shared" si="3"/>
        <v>8370</v>
      </c>
    </row>
    <row r="127" spans="1:12" x14ac:dyDescent="0.3">
      <c r="A127" s="8" t="s">
        <v>25</v>
      </c>
      <c r="B127" s="8" t="s">
        <v>26</v>
      </c>
      <c r="C127" s="8" t="s">
        <v>27</v>
      </c>
      <c r="D127" s="8">
        <v>80</v>
      </c>
      <c r="E127" s="8" t="s">
        <v>28</v>
      </c>
      <c r="F127" t="s">
        <v>29</v>
      </c>
      <c r="G127" s="8">
        <v>5000</v>
      </c>
      <c r="H127" s="7">
        <v>46164</v>
      </c>
      <c r="I127" s="9">
        <v>270</v>
      </c>
      <c r="J127" s="31">
        <f t="shared" si="2"/>
        <v>46158</v>
      </c>
      <c r="K127" s="31">
        <f>Table14[[#This Row],[week first day]]-7</f>
        <v>46151</v>
      </c>
      <c r="L127">
        <f t="shared" si="3"/>
        <v>8370</v>
      </c>
    </row>
    <row r="128" spans="1:12" x14ac:dyDescent="0.3">
      <c r="A128" s="8" t="s">
        <v>25</v>
      </c>
      <c r="B128" s="8" t="s">
        <v>26</v>
      </c>
      <c r="C128" s="8" t="s">
        <v>27</v>
      </c>
      <c r="D128" s="8">
        <v>80</v>
      </c>
      <c r="E128" s="8" t="s">
        <v>28</v>
      </c>
      <c r="F128" t="s">
        <v>29</v>
      </c>
      <c r="G128" s="8">
        <v>5000</v>
      </c>
      <c r="H128" s="7">
        <v>46164</v>
      </c>
      <c r="I128" s="9">
        <v>270</v>
      </c>
      <c r="J128" s="31">
        <f t="shared" si="2"/>
        <v>46158</v>
      </c>
      <c r="K128" s="31">
        <f>Table14[[#This Row],[week first day]]-7</f>
        <v>46151</v>
      </c>
      <c r="L128">
        <f t="shared" si="3"/>
        <v>8370</v>
      </c>
    </row>
    <row r="129" spans="1:12" x14ac:dyDescent="0.3">
      <c r="A129" s="8" t="s">
        <v>25</v>
      </c>
      <c r="B129" s="8" t="s">
        <v>26</v>
      </c>
      <c r="C129" s="8" t="s">
        <v>27</v>
      </c>
      <c r="D129" s="8">
        <v>80</v>
      </c>
      <c r="E129" s="8" t="s">
        <v>28</v>
      </c>
      <c r="F129" t="s">
        <v>29</v>
      </c>
      <c r="G129" s="8">
        <v>5000</v>
      </c>
      <c r="H129" s="7">
        <v>46164</v>
      </c>
      <c r="I129" s="9">
        <v>270</v>
      </c>
      <c r="J129" s="31">
        <f t="shared" si="2"/>
        <v>46158</v>
      </c>
      <c r="K129" s="31">
        <f>Table14[[#This Row],[week first day]]-7</f>
        <v>46151</v>
      </c>
      <c r="L129">
        <f t="shared" si="3"/>
        <v>8370</v>
      </c>
    </row>
    <row r="130" spans="1:12" x14ac:dyDescent="0.3">
      <c r="A130" s="8" t="s">
        <v>25</v>
      </c>
      <c r="B130" s="8" t="s">
        <v>26</v>
      </c>
      <c r="C130" s="8" t="s">
        <v>27</v>
      </c>
      <c r="D130" s="8">
        <v>80</v>
      </c>
      <c r="E130" s="8" t="s">
        <v>28</v>
      </c>
      <c r="F130" t="s">
        <v>29</v>
      </c>
      <c r="G130" s="8">
        <v>5000</v>
      </c>
      <c r="H130" s="7">
        <v>46164</v>
      </c>
      <c r="I130" s="9">
        <v>270</v>
      </c>
      <c r="J130" s="31">
        <f t="shared" ref="J130:J193" si="4">$M$1+7*INT((H130-$M$1)/7)</f>
        <v>46158</v>
      </c>
      <c r="K130" s="31">
        <f>Table14[[#This Row],[week first day]]-7</f>
        <v>46151</v>
      </c>
      <c r="L130">
        <f t="shared" ref="L130:L193" si="5">SUMIFS($I:$I,$A:$A,A130,J:J,J130)</f>
        <v>8370</v>
      </c>
    </row>
    <row r="131" spans="1:12" x14ac:dyDescent="0.3">
      <c r="A131" s="8" t="s">
        <v>25</v>
      </c>
      <c r="B131" s="8" t="s">
        <v>26</v>
      </c>
      <c r="C131" s="8" t="s">
        <v>27</v>
      </c>
      <c r="D131" s="8">
        <v>80</v>
      </c>
      <c r="E131" s="8" t="s">
        <v>28</v>
      </c>
      <c r="F131" t="s">
        <v>29</v>
      </c>
      <c r="G131" s="8">
        <v>5000</v>
      </c>
      <c r="H131" s="7">
        <v>46164</v>
      </c>
      <c r="I131" s="9">
        <v>270</v>
      </c>
      <c r="J131" s="31">
        <f t="shared" si="4"/>
        <v>46158</v>
      </c>
      <c r="K131" s="31">
        <f>Table14[[#This Row],[week first day]]-7</f>
        <v>46151</v>
      </c>
      <c r="L131">
        <f t="shared" si="5"/>
        <v>8370</v>
      </c>
    </row>
    <row r="132" spans="1:12" x14ac:dyDescent="0.3">
      <c r="A132" s="8" t="s">
        <v>25</v>
      </c>
      <c r="B132" s="8" t="s">
        <v>26</v>
      </c>
      <c r="C132" s="8" t="s">
        <v>27</v>
      </c>
      <c r="D132" s="8">
        <v>80</v>
      </c>
      <c r="E132" s="8" t="s">
        <v>28</v>
      </c>
      <c r="F132" t="s">
        <v>29</v>
      </c>
      <c r="G132" s="8">
        <v>5000</v>
      </c>
      <c r="H132" s="7">
        <v>46164</v>
      </c>
      <c r="I132" s="9">
        <v>270</v>
      </c>
      <c r="J132" s="31">
        <f t="shared" si="4"/>
        <v>46158</v>
      </c>
      <c r="K132" s="31">
        <f>Table14[[#This Row],[week first day]]-7</f>
        <v>46151</v>
      </c>
      <c r="L132">
        <f t="shared" si="5"/>
        <v>8370</v>
      </c>
    </row>
    <row r="133" spans="1:12" x14ac:dyDescent="0.3">
      <c r="A133" s="8" t="s">
        <v>25</v>
      </c>
      <c r="B133" s="8" t="s">
        <v>26</v>
      </c>
      <c r="C133" s="8" t="s">
        <v>27</v>
      </c>
      <c r="D133" s="8">
        <v>80</v>
      </c>
      <c r="E133" s="8" t="s">
        <v>28</v>
      </c>
      <c r="F133" t="s">
        <v>29</v>
      </c>
      <c r="G133" s="8">
        <v>5000</v>
      </c>
      <c r="H133" s="7">
        <v>46171</v>
      </c>
      <c r="I133" s="9">
        <v>267</v>
      </c>
      <c r="J133" s="31">
        <f t="shared" si="4"/>
        <v>46165</v>
      </c>
      <c r="K133" s="31">
        <f>Table14[[#This Row],[week first day]]-7</f>
        <v>46158</v>
      </c>
      <c r="L133">
        <f t="shared" si="5"/>
        <v>11782</v>
      </c>
    </row>
    <row r="134" spans="1:12" x14ac:dyDescent="0.3">
      <c r="A134" s="8" t="s">
        <v>25</v>
      </c>
      <c r="B134" s="8" t="s">
        <v>26</v>
      </c>
      <c r="C134" s="8" t="s">
        <v>27</v>
      </c>
      <c r="D134" s="8">
        <v>80</v>
      </c>
      <c r="E134" s="8" t="s">
        <v>28</v>
      </c>
      <c r="F134" t="s">
        <v>29</v>
      </c>
      <c r="G134" s="8">
        <v>5000</v>
      </c>
      <c r="H134" s="7">
        <v>46171</v>
      </c>
      <c r="I134" s="9">
        <v>178</v>
      </c>
      <c r="J134" s="31">
        <f t="shared" si="4"/>
        <v>46165</v>
      </c>
      <c r="K134" s="31">
        <f>Table14[[#This Row],[week first day]]-7</f>
        <v>46158</v>
      </c>
      <c r="L134">
        <f t="shared" si="5"/>
        <v>11782</v>
      </c>
    </row>
    <row r="135" spans="1:12" x14ac:dyDescent="0.3">
      <c r="A135" s="8" t="s">
        <v>25</v>
      </c>
      <c r="B135" s="8" t="s">
        <v>26</v>
      </c>
      <c r="C135" s="8" t="s">
        <v>27</v>
      </c>
      <c r="D135" s="8">
        <v>80</v>
      </c>
      <c r="E135" s="8" t="s">
        <v>28</v>
      </c>
      <c r="F135" t="s">
        <v>29</v>
      </c>
      <c r="G135" s="8">
        <v>5000</v>
      </c>
      <c r="H135" s="7">
        <v>46171</v>
      </c>
      <c r="I135" s="9">
        <v>270</v>
      </c>
      <c r="J135" s="31">
        <f t="shared" si="4"/>
        <v>46165</v>
      </c>
      <c r="K135" s="31">
        <f>Table14[[#This Row],[week first day]]-7</f>
        <v>46158</v>
      </c>
      <c r="L135">
        <f t="shared" si="5"/>
        <v>11782</v>
      </c>
    </row>
    <row r="136" spans="1:12" x14ac:dyDescent="0.3">
      <c r="A136" s="8" t="s">
        <v>25</v>
      </c>
      <c r="B136" s="8" t="s">
        <v>26</v>
      </c>
      <c r="C136" s="8" t="s">
        <v>27</v>
      </c>
      <c r="D136" s="8">
        <v>80</v>
      </c>
      <c r="E136" s="8" t="s">
        <v>28</v>
      </c>
      <c r="F136" t="s">
        <v>29</v>
      </c>
      <c r="G136" s="8">
        <v>5000</v>
      </c>
      <c r="H136" s="7">
        <v>46171</v>
      </c>
      <c r="I136" s="9">
        <v>270</v>
      </c>
      <c r="J136" s="31">
        <f t="shared" si="4"/>
        <v>46165</v>
      </c>
      <c r="K136" s="31">
        <f>Table14[[#This Row],[week first day]]-7</f>
        <v>46158</v>
      </c>
      <c r="L136">
        <f t="shared" si="5"/>
        <v>11782</v>
      </c>
    </row>
    <row r="137" spans="1:12" x14ac:dyDescent="0.3">
      <c r="A137" s="8" t="s">
        <v>25</v>
      </c>
      <c r="B137" s="8" t="s">
        <v>26</v>
      </c>
      <c r="C137" s="8" t="s">
        <v>27</v>
      </c>
      <c r="D137" s="8">
        <v>80</v>
      </c>
      <c r="E137" s="8" t="s">
        <v>28</v>
      </c>
      <c r="F137" t="s">
        <v>29</v>
      </c>
      <c r="G137" s="8">
        <v>5000</v>
      </c>
      <c r="H137" s="7">
        <v>46171</v>
      </c>
      <c r="I137" s="9">
        <v>270</v>
      </c>
      <c r="J137" s="31">
        <f t="shared" si="4"/>
        <v>46165</v>
      </c>
      <c r="K137" s="31">
        <f>Table14[[#This Row],[week first day]]-7</f>
        <v>46158</v>
      </c>
      <c r="L137">
        <f t="shared" si="5"/>
        <v>11782</v>
      </c>
    </row>
    <row r="138" spans="1:12" x14ac:dyDescent="0.3">
      <c r="A138" s="8" t="s">
        <v>25</v>
      </c>
      <c r="B138" s="8" t="s">
        <v>26</v>
      </c>
      <c r="C138" s="8" t="s">
        <v>27</v>
      </c>
      <c r="D138" s="8">
        <v>80</v>
      </c>
      <c r="E138" s="8" t="s">
        <v>28</v>
      </c>
      <c r="F138" t="s">
        <v>29</v>
      </c>
      <c r="G138" s="8">
        <v>5000</v>
      </c>
      <c r="H138" s="7">
        <v>46171</v>
      </c>
      <c r="I138" s="9">
        <v>270</v>
      </c>
      <c r="J138" s="31">
        <f t="shared" si="4"/>
        <v>46165</v>
      </c>
      <c r="K138" s="31">
        <f>Table14[[#This Row],[week first day]]-7</f>
        <v>46158</v>
      </c>
      <c r="L138">
        <f t="shared" si="5"/>
        <v>11782</v>
      </c>
    </row>
    <row r="139" spans="1:12" x14ac:dyDescent="0.3">
      <c r="A139" s="8" t="s">
        <v>25</v>
      </c>
      <c r="B139" s="8" t="s">
        <v>26</v>
      </c>
      <c r="C139" s="8" t="s">
        <v>27</v>
      </c>
      <c r="D139" s="8">
        <v>80</v>
      </c>
      <c r="E139" s="8" t="s">
        <v>28</v>
      </c>
      <c r="F139" t="s">
        <v>29</v>
      </c>
      <c r="G139" s="8">
        <v>5000</v>
      </c>
      <c r="H139" s="7">
        <v>46171</v>
      </c>
      <c r="I139" s="9">
        <v>270</v>
      </c>
      <c r="J139" s="31">
        <f t="shared" si="4"/>
        <v>46165</v>
      </c>
      <c r="K139" s="31">
        <f>Table14[[#This Row],[week first day]]-7</f>
        <v>46158</v>
      </c>
      <c r="L139">
        <f t="shared" si="5"/>
        <v>11782</v>
      </c>
    </row>
    <row r="140" spans="1:12" x14ac:dyDescent="0.3">
      <c r="A140" s="8" t="s">
        <v>25</v>
      </c>
      <c r="B140" s="8" t="s">
        <v>26</v>
      </c>
      <c r="C140" s="8" t="s">
        <v>27</v>
      </c>
      <c r="D140" s="8">
        <v>80</v>
      </c>
      <c r="E140" s="8" t="s">
        <v>28</v>
      </c>
      <c r="F140" t="s">
        <v>29</v>
      </c>
      <c r="G140" s="8">
        <v>5000</v>
      </c>
      <c r="H140" s="7">
        <v>46171</v>
      </c>
      <c r="I140" s="9">
        <v>270</v>
      </c>
      <c r="J140" s="31">
        <f t="shared" si="4"/>
        <v>46165</v>
      </c>
      <c r="K140" s="31">
        <f>Table14[[#This Row],[week first day]]-7</f>
        <v>46158</v>
      </c>
      <c r="L140">
        <f t="shared" si="5"/>
        <v>11782</v>
      </c>
    </row>
    <row r="141" spans="1:12" x14ac:dyDescent="0.3">
      <c r="A141" s="8" t="s">
        <v>25</v>
      </c>
      <c r="B141" s="8" t="s">
        <v>26</v>
      </c>
      <c r="C141" s="8" t="s">
        <v>27</v>
      </c>
      <c r="D141" s="8">
        <v>80</v>
      </c>
      <c r="E141" s="8" t="s">
        <v>28</v>
      </c>
      <c r="F141" t="s">
        <v>29</v>
      </c>
      <c r="G141" s="8">
        <v>5000</v>
      </c>
      <c r="H141" s="7">
        <v>46171</v>
      </c>
      <c r="I141" s="9">
        <v>162</v>
      </c>
      <c r="J141" s="31">
        <f t="shared" si="4"/>
        <v>46165</v>
      </c>
      <c r="K141" s="31">
        <f>Table14[[#This Row],[week first day]]-7</f>
        <v>46158</v>
      </c>
      <c r="L141">
        <f t="shared" si="5"/>
        <v>11782</v>
      </c>
    </row>
    <row r="142" spans="1:12" x14ac:dyDescent="0.3">
      <c r="A142" s="8" t="s">
        <v>25</v>
      </c>
      <c r="B142" s="8" t="s">
        <v>26</v>
      </c>
      <c r="C142" s="8" t="s">
        <v>27</v>
      </c>
      <c r="D142" s="8">
        <v>80</v>
      </c>
      <c r="E142" s="8" t="s">
        <v>28</v>
      </c>
      <c r="F142" t="s">
        <v>29</v>
      </c>
      <c r="G142" s="8">
        <v>5000</v>
      </c>
      <c r="H142" s="7">
        <v>46171</v>
      </c>
      <c r="I142" s="9">
        <v>210</v>
      </c>
      <c r="J142" s="31">
        <f t="shared" si="4"/>
        <v>46165</v>
      </c>
      <c r="K142" s="31">
        <f>Table14[[#This Row],[week first day]]-7</f>
        <v>46158</v>
      </c>
      <c r="L142">
        <f t="shared" si="5"/>
        <v>11782</v>
      </c>
    </row>
    <row r="143" spans="1:12" x14ac:dyDescent="0.3">
      <c r="A143" s="8" t="s">
        <v>25</v>
      </c>
      <c r="B143" s="8" t="s">
        <v>26</v>
      </c>
      <c r="C143" s="8" t="s">
        <v>27</v>
      </c>
      <c r="D143" s="8">
        <v>80</v>
      </c>
      <c r="E143" s="8" t="s">
        <v>28</v>
      </c>
      <c r="F143" t="s">
        <v>29</v>
      </c>
      <c r="G143" s="8">
        <v>5000</v>
      </c>
      <c r="H143" s="7">
        <v>46171</v>
      </c>
      <c r="I143" s="9">
        <v>270</v>
      </c>
      <c r="J143" s="31">
        <f t="shared" si="4"/>
        <v>46165</v>
      </c>
      <c r="K143" s="31">
        <f>Table14[[#This Row],[week first day]]-7</f>
        <v>46158</v>
      </c>
      <c r="L143">
        <f t="shared" si="5"/>
        <v>11782</v>
      </c>
    </row>
    <row r="144" spans="1:12" x14ac:dyDescent="0.3">
      <c r="A144" s="8" t="s">
        <v>25</v>
      </c>
      <c r="B144" s="8" t="s">
        <v>26</v>
      </c>
      <c r="C144" s="8" t="s">
        <v>27</v>
      </c>
      <c r="D144" s="8">
        <v>80</v>
      </c>
      <c r="E144" s="8" t="s">
        <v>28</v>
      </c>
      <c r="F144" t="s">
        <v>29</v>
      </c>
      <c r="G144" s="8">
        <v>5000</v>
      </c>
      <c r="H144" s="7">
        <v>46171</v>
      </c>
      <c r="I144" s="9">
        <v>270</v>
      </c>
      <c r="J144" s="31">
        <f t="shared" si="4"/>
        <v>46165</v>
      </c>
      <c r="K144" s="31">
        <f>Table14[[#This Row],[week first day]]-7</f>
        <v>46158</v>
      </c>
      <c r="L144">
        <f t="shared" si="5"/>
        <v>11782</v>
      </c>
    </row>
    <row r="145" spans="1:12" x14ac:dyDescent="0.3">
      <c r="A145" s="8" t="s">
        <v>25</v>
      </c>
      <c r="B145" s="8" t="s">
        <v>26</v>
      </c>
      <c r="C145" s="8" t="s">
        <v>27</v>
      </c>
      <c r="D145" s="8">
        <v>80</v>
      </c>
      <c r="E145" s="8" t="s">
        <v>28</v>
      </c>
      <c r="F145" t="s">
        <v>29</v>
      </c>
      <c r="G145" s="8">
        <v>5000</v>
      </c>
      <c r="H145" s="7">
        <v>46171</v>
      </c>
      <c r="I145" s="9">
        <v>270</v>
      </c>
      <c r="J145" s="31">
        <f t="shared" si="4"/>
        <v>46165</v>
      </c>
      <c r="K145" s="31">
        <f>Table14[[#This Row],[week first day]]-7</f>
        <v>46158</v>
      </c>
      <c r="L145">
        <f t="shared" si="5"/>
        <v>11782</v>
      </c>
    </row>
    <row r="146" spans="1:12" x14ac:dyDescent="0.3">
      <c r="A146" s="8" t="s">
        <v>25</v>
      </c>
      <c r="B146" s="8" t="s">
        <v>26</v>
      </c>
      <c r="C146" s="8" t="s">
        <v>27</v>
      </c>
      <c r="D146" s="8">
        <v>80</v>
      </c>
      <c r="E146" s="8" t="s">
        <v>28</v>
      </c>
      <c r="F146" t="s">
        <v>29</v>
      </c>
      <c r="G146" s="8">
        <v>5000</v>
      </c>
      <c r="H146" s="7">
        <v>46171</v>
      </c>
      <c r="I146" s="9">
        <v>270</v>
      </c>
      <c r="J146" s="31">
        <f t="shared" si="4"/>
        <v>46165</v>
      </c>
      <c r="K146" s="31">
        <f>Table14[[#This Row],[week first day]]-7</f>
        <v>46158</v>
      </c>
      <c r="L146">
        <f t="shared" si="5"/>
        <v>11782</v>
      </c>
    </row>
    <row r="147" spans="1:12" x14ac:dyDescent="0.3">
      <c r="A147" s="8" t="s">
        <v>25</v>
      </c>
      <c r="B147" s="8" t="s">
        <v>26</v>
      </c>
      <c r="C147" s="8" t="s">
        <v>27</v>
      </c>
      <c r="D147" s="8">
        <v>80</v>
      </c>
      <c r="E147" s="8" t="s">
        <v>28</v>
      </c>
      <c r="F147" t="s">
        <v>29</v>
      </c>
      <c r="G147" s="8">
        <v>5000</v>
      </c>
      <c r="H147" s="7">
        <v>46171</v>
      </c>
      <c r="I147" s="9">
        <v>270</v>
      </c>
      <c r="J147" s="31">
        <f t="shared" si="4"/>
        <v>46165</v>
      </c>
      <c r="K147" s="31">
        <f>Table14[[#This Row],[week first day]]-7</f>
        <v>46158</v>
      </c>
      <c r="L147">
        <f t="shared" si="5"/>
        <v>11782</v>
      </c>
    </row>
    <row r="148" spans="1:12" x14ac:dyDescent="0.3">
      <c r="A148" s="8" t="s">
        <v>25</v>
      </c>
      <c r="B148" s="8" t="s">
        <v>26</v>
      </c>
      <c r="C148" s="8" t="s">
        <v>27</v>
      </c>
      <c r="D148" s="8">
        <v>80</v>
      </c>
      <c r="E148" s="8" t="s">
        <v>28</v>
      </c>
      <c r="F148" t="s">
        <v>29</v>
      </c>
      <c r="G148" s="8">
        <v>5000</v>
      </c>
      <c r="H148" s="7">
        <v>46171</v>
      </c>
      <c r="I148" s="9">
        <v>270</v>
      </c>
      <c r="J148" s="31">
        <f t="shared" si="4"/>
        <v>46165</v>
      </c>
      <c r="K148" s="31">
        <f>Table14[[#This Row],[week first day]]-7</f>
        <v>46158</v>
      </c>
      <c r="L148">
        <f t="shared" si="5"/>
        <v>11782</v>
      </c>
    </row>
    <row r="149" spans="1:12" x14ac:dyDescent="0.3">
      <c r="A149" s="8" t="s">
        <v>25</v>
      </c>
      <c r="B149" s="8" t="s">
        <v>26</v>
      </c>
      <c r="C149" s="8" t="s">
        <v>27</v>
      </c>
      <c r="D149" s="8">
        <v>80</v>
      </c>
      <c r="E149" s="8" t="s">
        <v>28</v>
      </c>
      <c r="F149" t="s">
        <v>29</v>
      </c>
      <c r="G149" s="8">
        <v>5000</v>
      </c>
      <c r="H149" s="7">
        <v>46171</v>
      </c>
      <c r="I149" s="9">
        <v>270</v>
      </c>
      <c r="J149" s="31">
        <f t="shared" si="4"/>
        <v>46165</v>
      </c>
      <c r="K149" s="31">
        <f>Table14[[#This Row],[week first day]]-7</f>
        <v>46158</v>
      </c>
      <c r="L149">
        <f t="shared" si="5"/>
        <v>11782</v>
      </c>
    </row>
    <row r="150" spans="1:12" x14ac:dyDescent="0.3">
      <c r="A150" s="8" t="s">
        <v>25</v>
      </c>
      <c r="B150" s="8" t="s">
        <v>26</v>
      </c>
      <c r="C150" s="8" t="s">
        <v>27</v>
      </c>
      <c r="D150" s="8">
        <v>80</v>
      </c>
      <c r="E150" s="8" t="s">
        <v>28</v>
      </c>
      <c r="F150" t="s">
        <v>29</v>
      </c>
      <c r="G150" s="8">
        <v>5000</v>
      </c>
      <c r="H150" s="7">
        <v>46171</v>
      </c>
      <c r="I150" s="9">
        <v>270</v>
      </c>
      <c r="J150" s="31">
        <f t="shared" si="4"/>
        <v>46165</v>
      </c>
      <c r="K150" s="31">
        <f>Table14[[#This Row],[week first day]]-7</f>
        <v>46158</v>
      </c>
      <c r="L150">
        <f t="shared" si="5"/>
        <v>11782</v>
      </c>
    </row>
    <row r="151" spans="1:12" x14ac:dyDescent="0.3">
      <c r="A151" s="8" t="s">
        <v>25</v>
      </c>
      <c r="B151" s="8" t="s">
        <v>26</v>
      </c>
      <c r="C151" s="8" t="s">
        <v>27</v>
      </c>
      <c r="D151" s="8">
        <v>80</v>
      </c>
      <c r="E151" s="8" t="s">
        <v>28</v>
      </c>
      <c r="F151" t="s">
        <v>29</v>
      </c>
      <c r="G151" s="8">
        <v>5000</v>
      </c>
      <c r="H151" s="7">
        <v>46171</v>
      </c>
      <c r="I151" s="9">
        <v>270</v>
      </c>
      <c r="J151" s="31">
        <f t="shared" si="4"/>
        <v>46165</v>
      </c>
      <c r="K151" s="31">
        <f>Table14[[#This Row],[week first day]]-7</f>
        <v>46158</v>
      </c>
      <c r="L151">
        <f t="shared" si="5"/>
        <v>11782</v>
      </c>
    </row>
    <row r="152" spans="1:12" x14ac:dyDescent="0.3">
      <c r="A152" s="8" t="s">
        <v>25</v>
      </c>
      <c r="B152" s="8" t="s">
        <v>26</v>
      </c>
      <c r="C152" s="8" t="s">
        <v>27</v>
      </c>
      <c r="D152" s="8">
        <v>80</v>
      </c>
      <c r="E152" s="8" t="s">
        <v>28</v>
      </c>
      <c r="F152" t="s">
        <v>29</v>
      </c>
      <c r="G152" s="8">
        <v>5000</v>
      </c>
      <c r="H152" s="7">
        <v>46171</v>
      </c>
      <c r="I152" s="9">
        <v>270</v>
      </c>
      <c r="J152" s="31">
        <f t="shared" si="4"/>
        <v>46165</v>
      </c>
      <c r="K152" s="31">
        <f>Table14[[#This Row],[week first day]]-7</f>
        <v>46158</v>
      </c>
      <c r="L152">
        <f t="shared" si="5"/>
        <v>11782</v>
      </c>
    </row>
    <row r="153" spans="1:12" x14ac:dyDescent="0.3">
      <c r="A153" s="8" t="s">
        <v>25</v>
      </c>
      <c r="B153" s="8" t="s">
        <v>26</v>
      </c>
      <c r="C153" s="8" t="s">
        <v>27</v>
      </c>
      <c r="D153" s="8">
        <v>80</v>
      </c>
      <c r="E153" s="8" t="s">
        <v>28</v>
      </c>
      <c r="F153" t="s">
        <v>29</v>
      </c>
      <c r="G153" s="8">
        <v>5000</v>
      </c>
      <c r="H153" s="7">
        <v>46171</v>
      </c>
      <c r="I153" s="9">
        <v>270</v>
      </c>
      <c r="J153" s="31">
        <f t="shared" si="4"/>
        <v>46165</v>
      </c>
      <c r="K153" s="31">
        <f>Table14[[#This Row],[week first day]]-7</f>
        <v>46158</v>
      </c>
      <c r="L153">
        <f t="shared" si="5"/>
        <v>11782</v>
      </c>
    </row>
    <row r="154" spans="1:12" x14ac:dyDescent="0.3">
      <c r="A154" s="8" t="s">
        <v>25</v>
      </c>
      <c r="B154" s="8" t="s">
        <v>26</v>
      </c>
      <c r="C154" s="8" t="s">
        <v>27</v>
      </c>
      <c r="D154" s="8">
        <v>80</v>
      </c>
      <c r="E154" s="8" t="s">
        <v>28</v>
      </c>
      <c r="F154" t="s">
        <v>29</v>
      </c>
      <c r="G154" s="8">
        <v>5000</v>
      </c>
      <c r="H154" s="7">
        <v>46171</v>
      </c>
      <c r="I154" s="9">
        <v>270</v>
      </c>
      <c r="J154" s="31">
        <f t="shared" si="4"/>
        <v>46165</v>
      </c>
      <c r="K154" s="31">
        <f>Table14[[#This Row],[week first day]]-7</f>
        <v>46158</v>
      </c>
      <c r="L154">
        <f t="shared" si="5"/>
        <v>11782</v>
      </c>
    </row>
    <row r="155" spans="1:12" x14ac:dyDescent="0.3">
      <c r="A155" s="8" t="s">
        <v>25</v>
      </c>
      <c r="B155" s="8" t="s">
        <v>26</v>
      </c>
      <c r="C155" s="8" t="s">
        <v>27</v>
      </c>
      <c r="D155" s="8">
        <v>80</v>
      </c>
      <c r="E155" s="8" t="s">
        <v>28</v>
      </c>
      <c r="F155" t="s">
        <v>29</v>
      </c>
      <c r="G155" s="8">
        <v>5000</v>
      </c>
      <c r="H155" s="7">
        <v>46171</v>
      </c>
      <c r="I155" s="9">
        <v>270</v>
      </c>
      <c r="J155" s="31">
        <f t="shared" si="4"/>
        <v>46165</v>
      </c>
      <c r="K155" s="31">
        <f>Table14[[#This Row],[week first day]]-7</f>
        <v>46158</v>
      </c>
      <c r="L155">
        <f t="shared" si="5"/>
        <v>11782</v>
      </c>
    </row>
    <row r="156" spans="1:12" x14ac:dyDescent="0.3">
      <c r="A156" s="8" t="s">
        <v>25</v>
      </c>
      <c r="B156" s="8" t="s">
        <v>26</v>
      </c>
      <c r="C156" s="8" t="s">
        <v>27</v>
      </c>
      <c r="D156" s="8">
        <v>80</v>
      </c>
      <c r="E156" s="8" t="s">
        <v>28</v>
      </c>
      <c r="F156" t="s">
        <v>29</v>
      </c>
      <c r="G156" s="8">
        <v>5000</v>
      </c>
      <c r="H156" s="7">
        <v>46171</v>
      </c>
      <c r="I156" s="9">
        <v>270</v>
      </c>
      <c r="J156" s="31">
        <f t="shared" si="4"/>
        <v>46165</v>
      </c>
      <c r="K156" s="31">
        <f>Table14[[#This Row],[week first day]]-7</f>
        <v>46158</v>
      </c>
      <c r="L156">
        <f t="shared" si="5"/>
        <v>11782</v>
      </c>
    </row>
    <row r="157" spans="1:12" x14ac:dyDescent="0.3">
      <c r="A157" s="8" t="s">
        <v>25</v>
      </c>
      <c r="B157" s="8" t="s">
        <v>26</v>
      </c>
      <c r="C157" s="8" t="s">
        <v>27</v>
      </c>
      <c r="D157" s="8">
        <v>80</v>
      </c>
      <c r="E157" s="8" t="s">
        <v>28</v>
      </c>
      <c r="F157" t="s">
        <v>29</v>
      </c>
      <c r="G157" s="8">
        <v>5000</v>
      </c>
      <c r="H157" s="7">
        <v>46171</v>
      </c>
      <c r="I157" s="9">
        <v>270</v>
      </c>
      <c r="J157" s="31">
        <f t="shared" si="4"/>
        <v>46165</v>
      </c>
      <c r="K157" s="31">
        <f>Table14[[#This Row],[week first day]]-7</f>
        <v>46158</v>
      </c>
      <c r="L157">
        <f t="shared" si="5"/>
        <v>11782</v>
      </c>
    </row>
    <row r="158" spans="1:12" x14ac:dyDescent="0.3">
      <c r="A158" s="8" t="s">
        <v>25</v>
      </c>
      <c r="B158" s="8" t="s">
        <v>26</v>
      </c>
      <c r="C158" s="8" t="s">
        <v>27</v>
      </c>
      <c r="D158" s="8">
        <v>80</v>
      </c>
      <c r="E158" s="8" t="s">
        <v>28</v>
      </c>
      <c r="F158" t="s">
        <v>29</v>
      </c>
      <c r="G158" s="8">
        <v>5000</v>
      </c>
      <c r="H158" s="7">
        <v>46171</v>
      </c>
      <c r="I158" s="9">
        <v>270</v>
      </c>
      <c r="J158" s="31">
        <f t="shared" si="4"/>
        <v>46165</v>
      </c>
      <c r="K158" s="31">
        <f>Table14[[#This Row],[week first day]]-7</f>
        <v>46158</v>
      </c>
      <c r="L158">
        <f t="shared" si="5"/>
        <v>11782</v>
      </c>
    </row>
    <row r="159" spans="1:12" x14ac:dyDescent="0.3">
      <c r="A159" s="8" t="s">
        <v>25</v>
      </c>
      <c r="B159" s="8" t="s">
        <v>26</v>
      </c>
      <c r="C159" s="8" t="s">
        <v>27</v>
      </c>
      <c r="D159" s="8">
        <v>80</v>
      </c>
      <c r="E159" s="8" t="s">
        <v>28</v>
      </c>
      <c r="F159" t="s">
        <v>29</v>
      </c>
      <c r="G159" s="8">
        <v>5000</v>
      </c>
      <c r="H159" s="7">
        <v>46171</v>
      </c>
      <c r="I159" s="9">
        <v>270</v>
      </c>
      <c r="J159" s="31">
        <f t="shared" si="4"/>
        <v>46165</v>
      </c>
      <c r="K159" s="31">
        <f>Table14[[#This Row],[week first day]]-7</f>
        <v>46158</v>
      </c>
      <c r="L159">
        <f t="shared" si="5"/>
        <v>11782</v>
      </c>
    </row>
    <row r="160" spans="1:12" x14ac:dyDescent="0.3">
      <c r="A160" s="8" t="s">
        <v>25</v>
      </c>
      <c r="B160" s="8" t="s">
        <v>26</v>
      </c>
      <c r="C160" s="8" t="s">
        <v>27</v>
      </c>
      <c r="D160" s="8">
        <v>80</v>
      </c>
      <c r="E160" s="8" t="s">
        <v>28</v>
      </c>
      <c r="F160" t="s">
        <v>29</v>
      </c>
      <c r="G160" s="8">
        <v>5000</v>
      </c>
      <c r="H160" s="7">
        <v>46171</v>
      </c>
      <c r="I160" s="9">
        <v>270</v>
      </c>
      <c r="J160" s="31">
        <f t="shared" si="4"/>
        <v>46165</v>
      </c>
      <c r="K160" s="31">
        <f>Table14[[#This Row],[week first day]]-7</f>
        <v>46158</v>
      </c>
      <c r="L160">
        <f t="shared" si="5"/>
        <v>11782</v>
      </c>
    </row>
    <row r="161" spans="1:12" x14ac:dyDescent="0.3">
      <c r="A161" s="8" t="s">
        <v>25</v>
      </c>
      <c r="B161" s="8" t="s">
        <v>26</v>
      </c>
      <c r="C161" s="8" t="s">
        <v>27</v>
      </c>
      <c r="D161" s="8">
        <v>80</v>
      </c>
      <c r="E161" s="8" t="s">
        <v>28</v>
      </c>
      <c r="F161" t="s">
        <v>29</v>
      </c>
      <c r="G161" s="8">
        <v>5000</v>
      </c>
      <c r="H161" s="7">
        <v>46171</v>
      </c>
      <c r="I161" s="9">
        <v>270</v>
      </c>
      <c r="J161" s="31">
        <f t="shared" si="4"/>
        <v>46165</v>
      </c>
      <c r="K161" s="31">
        <f>Table14[[#This Row],[week first day]]-7</f>
        <v>46158</v>
      </c>
      <c r="L161">
        <f t="shared" si="5"/>
        <v>11782</v>
      </c>
    </row>
    <row r="162" spans="1:12" x14ac:dyDescent="0.3">
      <c r="A162" s="8" t="s">
        <v>25</v>
      </c>
      <c r="B162" s="8" t="s">
        <v>26</v>
      </c>
      <c r="C162" s="8" t="s">
        <v>27</v>
      </c>
      <c r="D162" s="8">
        <v>80</v>
      </c>
      <c r="E162" s="8" t="s">
        <v>28</v>
      </c>
      <c r="F162" t="s">
        <v>29</v>
      </c>
      <c r="G162" s="8">
        <v>5000</v>
      </c>
      <c r="H162" s="7">
        <v>46171</v>
      </c>
      <c r="I162" s="9">
        <v>270</v>
      </c>
      <c r="J162" s="31">
        <f t="shared" si="4"/>
        <v>46165</v>
      </c>
      <c r="K162" s="31">
        <f>Table14[[#This Row],[week first day]]-7</f>
        <v>46158</v>
      </c>
      <c r="L162">
        <f t="shared" si="5"/>
        <v>11782</v>
      </c>
    </row>
    <row r="163" spans="1:12" x14ac:dyDescent="0.3">
      <c r="A163" s="8" t="s">
        <v>25</v>
      </c>
      <c r="B163" s="8" t="s">
        <v>26</v>
      </c>
      <c r="C163" s="8" t="s">
        <v>27</v>
      </c>
      <c r="D163" s="8">
        <v>80</v>
      </c>
      <c r="E163" s="8" t="s">
        <v>28</v>
      </c>
      <c r="F163" t="s">
        <v>29</v>
      </c>
      <c r="G163" s="8">
        <v>5000</v>
      </c>
      <c r="H163" s="7">
        <v>46171</v>
      </c>
      <c r="I163" s="9">
        <v>270</v>
      </c>
      <c r="J163" s="31">
        <f t="shared" si="4"/>
        <v>46165</v>
      </c>
      <c r="K163" s="31">
        <f>Table14[[#This Row],[week first day]]-7</f>
        <v>46158</v>
      </c>
      <c r="L163">
        <f t="shared" si="5"/>
        <v>11782</v>
      </c>
    </row>
    <row r="164" spans="1:12" x14ac:dyDescent="0.3">
      <c r="A164" s="8" t="s">
        <v>25</v>
      </c>
      <c r="B164" s="8" t="s">
        <v>26</v>
      </c>
      <c r="C164" s="8" t="s">
        <v>27</v>
      </c>
      <c r="D164" s="8">
        <v>80</v>
      </c>
      <c r="E164" s="8" t="s">
        <v>28</v>
      </c>
      <c r="F164" t="s">
        <v>29</v>
      </c>
      <c r="G164" s="8">
        <v>5000</v>
      </c>
      <c r="H164" s="7">
        <v>46171</v>
      </c>
      <c r="I164" s="9">
        <v>270</v>
      </c>
      <c r="J164" s="31">
        <f t="shared" si="4"/>
        <v>46165</v>
      </c>
      <c r="K164" s="31">
        <f>Table14[[#This Row],[week first day]]-7</f>
        <v>46158</v>
      </c>
      <c r="L164">
        <f t="shared" si="5"/>
        <v>11782</v>
      </c>
    </row>
    <row r="165" spans="1:12" x14ac:dyDescent="0.3">
      <c r="A165" s="8" t="s">
        <v>25</v>
      </c>
      <c r="B165" s="8" t="s">
        <v>26</v>
      </c>
      <c r="C165" s="8" t="s">
        <v>27</v>
      </c>
      <c r="D165" s="8">
        <v>80</v>
      </c>
      <c r="E165" s="8" t="s">
        <v>28</v>
      </c>
      <c r="F165" t="s">
        <v>29</v>
      </c>
      <c r="G165" s="8">
        <v>5000</v>
      </c>
      <c r="H165" s="7">
        <v>46171</v>
      </c>
      <c r="I165" s="9">
        <v>270</v>
      </c>
      <c r="J165" s="31">
        <f t="shared" si="4"/>
        <v>46165</v>
      </c>
      <c r="K165" s="31">
        <f>Table14[[#This Row],[week first day]]-7</f>
        <v>46158</v>
      </c>
      <c r="L165">
        <f t="shared" si="5"/>
        <v>11782</v>
      </c>
    </row>
    <row r="166" spans="1:12" x14ac:dyDescent="0.3">
      <c r="A166" s="8" t="s">
        <v>25</v>
      </c>
      <c r="B166" s="8" t="s">
        <v>26</v>
      </c>
      <c r="C166" s="8" t="s">
        <v>27</v>
      </c>
      <c r="D166" s="8">
        <v>80</v>
      </c>
      <c r="E166" s="8" t="s">
        <v>28</v>
      </c>
      <c r="F166" t="s">
        <v>29</v>
      </c>
      <c r="G166" s="8">
        <v>5000</v>
      </c>
      <c r="H166" s="7">
        <v>46171</v>
      </c>
      <c r="I166" s="9">
        <v>270</v>
      </c>
      <c r="J166" s="31">
        <f t="shared" si="4"/>
        <v>46165</v>
      </c>
      <c r="K166" s="31">
        <f>Table14[[#This Row],[week first day]]-7</f>
        <v>46158</v>
      </c>
      <c r="L166">
        <f t="shared" si="5"/>
        <v>11782</v>
      </c>
    </row>
    <row r="167" spans="1:12" x14ac:dyDescent="0.3">
      <c r="A167" s="8" t="s">
        <v>25</v>
      </c>
      <c r="B167" s="8" t="s">
        <v>26</v>
      </c>
      <c r="C167" s="8" t="s">
        <v>27</v>
      </c>
      <c r="D167" s="8">
        <v>80</v>
      </c>
      <c r="E167" s="8" t="s">
        <v>28</v>
      </c>
      <c r="F167" t="s">
        <v>29</v>
      </c>
      <c r="G167" s="8">
        <v>5000</v>
      </c>
      <c r="H167" s="7">
        <v>46171</v>
      </c>
      <c r="I167" s="9">
        <v>270</v>
      </c>
      <c r="J167" s="31">
        <f t="shared" si="4"/>
        <v>46165</v>
      </c>
      <c r="K167" s="31">
        <f>Table14[[#This Row],[week first day]]-7</f>
        <v>46158</v>
      </c>
      <c r="L167">
        <f t="shared" si="5"/>
        <v>11782</v>
      </c>
    </row>
    <row r="168" spans="1:12" x14ac:dyDescent="0.3">
      <c r="A168" s="8" t="s">
        <v>25</v>
      </c>
      <c r="B168" s="8" t="s">
        <v>26</v>
      </c>
      <c r="C168" s="8" t="s">
        <v>27</v>
      </c>
      <c r="D168" s="8">
        <v>80</v>
      </c>
      <c r="E168" s="8" t="s">
        <v>28</v>
      </c>
      <c r="F168" t="s">
        <v>29</v>
      </c>
      <c r="G168" s="8">
        <v>5000</v>
      </c>
      <c r="H168" s="7">
        <v>46171</v>
      </c>
      <c r="I168" s="9">
        <v>270</v>
      </c>
      <c r="J168" s="31">
        <f t="shared" si="4"/>
        <v>46165</v>
      </c>
      <c r="K168" s="31">
        <f>Table14[[#This Row],[week first day]]-7</f>
        <v>46158</v>
      </c>
      <c r="L168">
        <f t="shared" si="5"/>
        <v>11782</v>
      </c>
    </row>
    <row r="169" spans="1:12" x14ac:dyDescent="0.3">
      <c r="A169" s="8" t="s">
        <v>25</v>
      </c>
      <c r="B169" s="8" t="s">
        <v>26</v>
      </c>
      <c r="C169" s="8" t="s">
        <v>27</v>
      </c>
      <c r="D169" s="8">
        <v>80</v>
      </c>
      <c r="E169" s="8" t="s">
        <v>28</v>
      </c>
      <c r="F169" t="s">
        <v>29</v>
      </c>
      <c r="G169" s="8">
        <v>5000</v>
      </c>
      <c r="H169" s="7">
        <v>46171</v>
      </c>
      <c r="I169" s="9">
        <v>270</v>
      </c>
      <c r="J169" s="31">
        <f t="shared" si="4"/>
        <v>46165</v>
      </c>
      <c r="K169" s="31">
        <f>Table14[[#This Row],[week first day]]-7</f>
        <v>46158</v>
      </c>
      <c r="L169">
        <f t="shared" si="5"/>
        <v>11782</v>
      </c>
    </row>
    <row r="170" spans="1:12" x14ac:dyDescent="0.3">
      <c r="A170" s="8" t="s">
        <v>25</v>
      </c>
      <c r="B170" s="8" t="s">
        <v>26</v>
      </c>
      <c r="C170" s="8" t="s">
        <v>27</v>
      </c>
      <c r="D170" s="8">
        <v>80</v>
      </c>
      <c r="E170" s="8" t="s">
        <v>28</v>
      </c>
      <c r="F170" t="s">
        <v>29</v>
      </c>
      <c r="G170" s="8">
        <v>5000</v>
      </c>
      <c r="H170" s="7">
        <v>46171</v>
      </c>
      <c r="I170" s="9">
        <v>270</v>
      </c>
      <c r="J170" s="31">
        <f t="shared" si="4"/>
        <v>46165</v>
      </c>
      <c r="K170" s="31">
        <f>Table14[[#This Row],[week first day]]-7</f>
        <v>46158</v>
      </c>
      <c r="L170">
        <f t="shared" si="5"/>
        <v>11782</v>
      </c>
    </row>
    <row r="171" spans="1:12" x14ac:dyDescent="0.3">
      <c r="A171" s="8" t="s">
        <v>25</v>
      </c>
      <c r="B171" s="8" t="s">
        <v>26</v>
      </c>
      <c r="C171" s="8" t="s">
        <v>27</v>
      </c>
      <c r="D171" s="8">
        <v>80</v>
      </c>
      <c r="E171" s="8" t="s">
        <v>28</v>
      </c>
      <c r="F171" t="s">
        <v>29</v>
      </c>
      <c r="G171" s="8">
        <v>5000</v>
      </c>
      <c r="H171" s="7">
        <v>46171</v>
      </c>
      <c r="I171" s="9">
        <v>263</v>
      </c>
      <c r="J171" s="31">
        <f t="shared" si="4"/>
        <v>46165</v>
      </c>
      <c r="K171" s="31">
        <f>Table14[[#This Row],[week first day]]-7</f>
        <v>46158</v>
      </c>
      <c r="L171">
        <f t="shared" si="5"/>
        <v>11782</v>
      </c>
    </row>
    <row r="172" spans="1:12" x14ac:dyDescent="0.3">
      <c r="A172" s="8" t="s">
        <v>25</v>
      </c>
      <c r="B172" s="8" t="s">
        <v>26</v>
      </c>
      <c r="C172" s="8" t="s">
        <v>27</v>
      </c>
      <c r="D172" s="8">
        <v>80</v>
      </c>
      <c r="E172" s="8" t="s">
        <v>28</v>
      </c>
      <c r="F172" t="s">
        <v>29</v>
      </c>
      <c r="G172" s="8">
        <v>5000</v>
      </c>
      <c r="H172" s="7">
        <v>46171</v>
      </c>
      <c r="I172" s="9">
        <v>220</v>
      </c>
      <c r="J172" s="31">
        <f t="shared" si="4"/>
        <v>46165</v>
      </c>
      <c r="K172" s="31">
        <f>Table14[[#This Row],[week first day]]-7</f>
        <v>46158</v>
      </c>
      <c r="L172">
        <f t="shared" si="5"/>
        <v>11782</v>
      </c>
    </row>
    <row r="173" spans="1:12" x14ac:dyDescent="0.3">
      <c r="A173" s="8" t="s">
        <v>25</v>
      </c>
      <c r="B173" s="8" t="s">
        <v>26</v>
      </c>
      <c r="C173" s="8" t="s">
        <v>27</v>
      </c>
      <c r="D173" s="8">
        <v>80</v>
      </c>
      <c r="E173" s="8" t="s">
        <v>28</v>
      </c>
      <c r="F173" t="s">
        <v>29</v>
      </c>
      <c r="G173" s="8">
        <v>5000</v>
      </c>
      <c r="H173" s="7">
        <v>46171</v>
      </c>
      <c r="I173" s="9">
        <v>270</v>
      </c>
      <c r="J173" s="31">
        <f t="shared" si="4"/>
        <v>46165</v>
      </c>
      <c r="K173" s="31">
        <f>Table14[[#This Row],[week first day]]-7</f>
        <v>46158</v>
      </c>
      <c r="L173">
        <f t="shared" si="5"/>
        <v>11782</v>
      </c>
    </row>
    <row r="174" spans="1:12" x14ac:dyDescent="0.3">
      <c r="A174" s="8" t="s">
        <v>25</v>
      </c>
      <c r="B174" s="8" t="s">
        <v>26</v>
      </c>
      <c r="C174" s="8" t="s">
        <v>27</v>
      </c>
      <c r="D174" s="8">
        <v>80</v>
      </c>
      <c r="E174" s="8" t="s">
        <v>28</v>
      </c>
      <c r="F174" t="s">
        <v>29</v>
      </c>
      <c r="G174" s="8">
        <v>5000</v>
      </c>
      <c r="H174" s="7">
        <v>46171</v>
      </c>
      <c r="I174" s="9">
        <v>270</v>
      </c>
      <c r="J174" s="31">
        <f t="shared" si="4"/>
        <v>46165</v>
      </c>
      <c r="K174" s="31">
        <f>Table14[[#This Row],[week first day]]-7</f>
        <v>46158</v>
      </c>
      <c r="L174">
        <f t="shared" si="5"/>
        <v>11782</v>
      </c>
    </row>
    <row r="175" spans="1:12" x14ac:dyDescent="0.3">
      <c r="A175" s="8" t="s">
        <v>25</v>
      </c>
      <c r="B175" s="8" t="s">
        <v>26</v>
      </c>
      <c r="C175" s="8" t="s">
        <v>27</v>
      </c>
      <c r="D175" s="8">
        <v>80</v>
      </c>
      <c r="E175" s="8" t="s">
        <v>28</v>
      </c>
      <c r="F175" t="s">
        <v>29</v>
      </c>
      <c r="G175" s="8">
        <v>5000</v>
      </c>
      <c r="H175" s="7">
        <v>46171</v>
      </c>
      <c r="I175" s="9">
        <v>246</v>
      </c>
      <c r="J175" s="31">
        <f t="shared" si="4"/>
        <v>46165</v>
      </c>
      <c r="K175" s="31">
        <f>Table14[[#This Row],[week first day]]-7</f>
        <v>46158</v>
      </c>
      <c r="L175">
        <f t="shared" si="5"/>
        <v>11782</v>
      </c>
    </row>
    <row r="176" spans="1:12" x14ac:dyDescent="0.3">
      <c r="A176" s="8" t="s">
        <v>25</v>
      </c>
      <c r="B176" s="8" t="s">
        <v>26</v>
      </c>
      <c r="C176" s="8" t="s">
        <v>27</v>
      </c>
      <c r="D176" s="8">
        <v>80</v>
      </c>
      <c r="E176" s="8" t="s">
        <v>28</v>
      </c>
      <c r="F176" t="s">
        <v>29</v>
      </c>
      <c r="G176" s="8">
        <v>5000</v>
      </c>
      <c r="H176" s="7">
        <v>46171</v>
      </c>
      <c r="I176" s="9">
        <v>246</v>
      </c>
      <c r="J176" s="31">
        <f t="shared" si="4"/>
        <v>46165</v>
      </c>
      <c r="K176" s="31">
        <f>Table14[[#This Row],[week first day]]-7</f>
        <v>46158</v>
      </c>
      <c r="L176">
        <f t="shared" si="5"/>
        <v>11782</v>
      </c>
    </row>
    <row r="177" spans="1:12" x14ac:dyDescent="0.3">
      <c r="A177" s="8" t="s">
        <v>25</v>
      </c>
      <c r="B177" s="8" t="s">
        <v>26</v>
      </c>
      <c r="C177" s="8" t="s">
        <v>27</v>
      </c>
      <c r="D177" s="8">
        <v>80</v>
      </c>
      <c r="E177" s="8" t="s">
        <v>28</v>
      </c>
      <c r="F177" t="s">
        <v>29</v>
      </c>
      <c r="G177" s="8">
        <v>5000</v>
      </c>
      <c r="H177" s="7">
        <v>46171</v>
      </c>
      <c r="I177" s="9">
        <v>270</v>
      </c>
      <c r="J177" s="31">
        <f t="shared" si="4"/>
        <v>46165</v>
      </c>
      <c r="K177" s="31">
        <f>Table14[[#This Row],[week first day]]-7</f>
        <v>46158</v>
      </c>
      <c r="L177">
        <f t="shared" si="5"/>
        <v>11782</v>
      </c>
    </row>
    <row r="178" spans="1:12" x14ac:dyDescent="0.3">
      <c r="A178" s="8" t="s">
        <v>25</v>
      </c>
      <c r="B178" s="8" t="s">
        <v>26</v>
      </c>
      <c r="C178" s="8" t="s">
        <v>27</v>
      </c>
      <c r="D178" s="8">
        <v>80</v>
      </c>
      <c r="E178" s="8" t="s">
        <v>28</v>
      </c>
      <c r="F178" t="s">
        <v>29</v>
      </c>
      <c r="G178" s="8">
        <v>5000</v>
      </c>
      <c r="H178" s="7">
        <v>46176</v>
      </c>
      <c r="I178" s="9">
        <v>270</v>
      </c>
      <c r="J178" s="31">
        <f t="shared" si="4"/>
        <v>46172</v>
      </c>
      <c r="K178" s="31">
        <f>Table14[[#This Row],[week first day]]-7</f>
        <v>46165</v>
      </c>
      <c r="L178">
        <f t="shared" si="5"/>
        <v>10524</v>
      </c>
    </row>
    <row r="179" spans="1:12" x14ac:dyDescent="0.3">
      <c r="A179" s="8" t="s">
        <v>25</v>
      </c>
      <c r="B179" s="8" t="s">
        <v>26</v>
      </c>
      <c r="C179" s="8" t="s">
        <v>27</v>
      </c>
      <c r="D179" s="8">
        <v>80</v>
      </c>
      <c r="E179" s="8" t="s">
        <v>28</v>
      </c>
      <c r="F179" t="s">
        <v>29</v>
      </c>
      <c r="G179" s="8">
        <v>5000</v>
      </c>
      <c r="H179" s="7">
        <v>46176</v>
      </c>
      <c r="I179" s="9">
        <v>264</v>
      </c>
      <c r="J179" s="31">
        <f t="shared" si="4"/>
        <v>46172</v>
      </c>
      <c r="K179" s="31">
        <f>Table14[[#This Row],[week first day]]-7</f>
        <v>46165</v>
      </c>
      <c r="L179">
        <f t="shared" si="5"/>
        <v>10524</v>
      </c>
    </row>
    <row r="180" spans="1:12" x14ac:dyDescent="0.3">
      <c r="A180" s="8" t="s">
        <v>25</v>
      </c>
      <c r="B180" s="8" t="s">
        <v>26</v>
      </c>
      <c r="C180" s="8" t="s">
        <v>27</v>
      </c>
      <c r="D180" s="8">
        <v>80</v>
      </c>
      <c r="E180" s="8" t="s">
        <v>28</v>
      </c>
      <c r="F180" t="s">
        <v>29</v>
      </c>
      <c r="G180" s="8">
        <v>5000</v>
      </c>
      <c r="H180" s="7">
        <v>46178</v>
      </c>
      <c r="I180" s="9">
        <v>270</v>
      </c>
      <c r="J180" s="31">
        <f t="shared" si="4"/>
        <v>46172</v>
      </c>
      <c r="K180" s="31">
        <f>Table14[[#This Row],[week first day]]-7</f>
        <v>46165</v>
      </c>
      <c r="L180">
        <f t="shared" si="5"/>
        <v>10524</v>
      </c>
    </row>
    <row r="181" spans="1:12" x14ac:dyDescent="0.3">
      <c r="A181" s="8" t="s">
        <v>25</v>
      </c>
      <c r="B181" s="8" t="s">
        <v>26</v>
      </c>
      <c r="C181" s="8" t="s">
        <v>27</v>
      </c>
      <c r="D181" s="8">
        <v>80</v>
      </c>
      <c r="E181" s="8" t="s">
        <v>28</v>
      </c>
      <c r="F181" t="s">
        <v>29</v>
      </c>
      <c r="G181" s="8">
        <v>5000</v>
      </c>
      <c r="H181" s="7">
        <v>46178</v>
      </c>
      <c r="I181" s="9">
        <v>270</v>
      </c>
      <c r="J181" s="31">
        <f t="shared" si="4"/>
        <v>46172</v>
      </c>
      <c r="K181" s="31">
        <f>Table14[[#This Row],[week first day]]-7</f>
        <v>46165</v>
      </c>
      <c r="L181">
        <f t="shared" si="5"/>
        <v>10524</v>
      </c>
    </row>
    <row r="182" spans="1:12" x14ac:dyDescent="0.3">
      <c r="A182" s="8" t="s">
        <v>25</v>
      </c>
      <c r="B182" s="8" t="s">
        <v>26</v>
      </c>
      <c r="C182" s="8" t="s">
        <v>27</v>
      </c>
      <c r="D182" s="8">
        <v>80</v>
      </c>
      <c r="E182" s="8" t="s">
        <v>28</v>
      </c>
      <c r="F182" t="s">
        <v>29</v>
      </c>
      <c r="G182" s="8">
        <v>5000</v>
      </c>
      <c r="H182" s="7">
        <v>46178</v>
      </c>
      <c r="I182" s="9">
        <v>270</v>
      </c>
      <c r="J182" s="31">
        <f t="shared" si="4"/>
        <v>46172</v>
      </c>
      <c r="K182" s="31">
        <f>Table14[[#This Row],[week first day]]-7</f>
        <v>46165</v>
      </c>
      <c r="L182">
        <f t="shared" si="5"/>
        <v>10524</v>
      </c>
    </row>
    <row r="183" spans="1:12" x14ac:dyDescent="0.3">
      <c r="A183" s="8" t="s">
        <v>25</v>
      </c>
      <c r="B183" s="8" t="s">
        <v>26</v>
      </c>
      <c r="C183" s="8" t="s">
        <v>27</v>
      </c>
      <c r="D183" s="8">
        <v>80</v>
      </c>
      <c r="E183" s="8" t="s">
        <v>28</v>
      </c>
      <c r="F183" t="s">
        <v>29</v>
      </c>
      <c r="G183" s="8">
        <v>5000</v>
      </c>
      <c r="H183" s="7">
        <v>46178</v>
      </c>
      <c r="I183" s="9">
        <v>270</v>
      </c>
      <c r="J183" s="31">
        <f t="shared" si="4"/>
        <v>46172</v>
      </c>
      <c r="K183" s="31">
        <f>Table14[[#This Row],[week first day]]-7</f>
        <v>46165</v>
      </c>
      <c r="L183">
        <f t="shared" si="5"/>
        <v>10524</v>
      </c>
    </row>
    <row r="184" spans="1:12" x14ac:dyDescent="0.3">
      <c r="A184" s="8" t="s">
        <v>25</v>
      </c>
      <c r="B184" s="8" t="s">
        <v>26</v>
      </c>
      <c r="C184" s="8" t="s">
        <v>27</v>
      </c>
      <c r="D184" s="8">
        <v>80</v>
      </c>
      <c r="E184" s="8" t="s">
        <v>28</v>
      </c>
      <c r="F184" t="s">
        <v>29</v>
      </c>
      <c r="G184" s="8">
        <v>5000</v>
      </c>
      <c r="H184" s="7">
        <v>46178</v>
      </c>
      <c r="I184" s="9">
        <v>270</v>
      </c>
      <c r="J184" s="31">
        <f t="shared" si="4"/>
        <v>46172</v>
      </c>
      <c r="K184" s="31">
        <f>Table14[[#This Row],[week first day]]-7</f>
        <v>46165</v>
      </c>
      <c r="L184">
        <f t="shared" si="5"/>
        <v>10524</v>
      </c>
    </row>
    <row r="185" spans="1:12" x14ac:dyDescent="0.3">
      <c r="A185" s="8" t="s">
        <v>25</v>
      </c>
      <c r="B185" s="8" t="s">
        <v>26</v>
      </c>
      <c r="C185" s="8" t="s">
        <v>27</v>
      </c>
      <c r="D185" s="8">
        <v>80</v>
      </c>
      <c r="E185" s="8" t="s">
        <v>28</v>
      </c>
      <c r="F185" t="s">
        <v>29</v>
      </c>
      <c r="G185" s="8">
        <v>5000</v>
      </c>
      <c r="H185" s="7">
        <v>46178</v>
      </c>
      <c r="I185" s="9">
        <v>270</v>
      </c>
      <c r="J185" s="31">
        <f t="shared" si="4"/>
        <v>46172</v>
      </c>
      <c r="K185" s="31">
        <f>Table14[[#This Row],[week first day]]-7</f>
        <v>46165</v>
      </c>
      <c r="L185">
        <f t="shared" si="5"/>
        <v>10524</v>
      </c>
    </row>
    <row r="186" spans="1:12" x14ac:dyDescent="0.3">
      <c r="A186" s="8" t="s">
        <v>25</v>
      </c>
      <c r="B186" s="8" t="s">
        <v>26</v>
      </c>
      <c r="C186" s="8" t="s">
        <v>27</v>
      </c>
      <c r="D186" s="8">
        <v>80</v>
      </c>
      <c r="E186" s="8" t="s">
        <v>28</v>
      </c>
      <c r="F186" t="s">
        <v>29</v>
      </c>
      <c r="G186" s="8">
        <v>5000</v>
      </c>
      <c r="H186" s="7">
        <v>46178</v>
      </c>
      <c r="I186" s="9">
        <v>270</v>
      </c>
      <c r="J186" s="31">
        <f t="shared" si="4"/>
        <v>46172</v>
      </c>
      <c r="K186" s="31">
        <f>Table14[[#This Row],[week first day]]-7</f>
        <v>46165</v>
      </c>
      <c r="L186">
        <f t="shared" si="5"/>
        <v>10524</v>
      </c>
    </row>
    <row r="187" spans="1:12" x14ac:dyDescent="0.3">
      <c r="A187" s="8" t="s">
        <v>25</v>
      </c>
      <c r="B187" s="8" t="s">
        <v>26</v>
      </c>
      <c r="C187" s="8" t="s">
        <v>27</v>
      </c>
      <c r="D187" s="8">
        <v>80</v>
      </c>
      <c r="E187" s="8" t="s">
        <v>28</v>
      </c>
      <c r="F187" t="s">
        <v>29</v>
      </c>
      <c r="G187" s="8">
        <v>5000</v>
      </c>
      <c r="H187" s="7">
        <v>46178</v>
      </c>
      <c r="I187" s="9">
        <v>270</v>
      </c>
      <c r="J187" s="31">
        <f t="shared" si="4"/>
        <v>46172</v>
      </c>
      <c r="K187" s="31">
        <f>Table14[[#This Row],[week first day]]-7</f>
        <v>46165</v>
      </c>
      <c r="L187">
        <f t="shared" si="5"/>
        <v>10524</v>
      </c>
    </row>
    <row r="188" spans="1:12" x14ac:dyDescent="0.3">
      <c r="A188" s="8" t="s">
        <v>25</v>
      </c>
      <c r="B188" s="8" t="s">
        <v>26</v>
      </c>
      <c r="C188" s="8" t="s">
        <v>27</v>
      </c>
      <c r="D188" s="8">
        <v>80</v>
      </c>
      <c r="E188" s="8" t="s">
        <v>28</v>
      </c>
      <c r="F188" t="s">
        <v>29</v>
      </c>
      <c r="G188" s="8">
        <v>5000</v>
      </c>
      <c r="H188" s="7">
        <v>46178</v>
      </c>
      <c r="I188" s="9">
        <v>270</v>
      </c>
      <c r="J188" s="31">
        <f t="shared" si="4"/>
        <v>46172</v>
      </c>
      <c r="K188" s="31">
        <f>Table14[[#This Row],[week first day]]-7</f>
        <v>46165</v>
      </c>
      <c r="L188">
        <f t="shared" si="5"/>
        <v>10524</v>
      </c>
    </row>
    <row r="189" spans="1:12" x14ac:dyDescent="0.3">
      <c r="A189" s="8" t="s">
        <v>25</v>
      </c>
      <c r="B189" s="8" t="s">
        <v>26</v>
      </c>
      <c r="C189" s="8" t="s">
        <v>27</v>
      </c>
      <c r="D189" s="8">
        <v>80</v>
      </c>
      <c r="E189" s="8" t="s">
        <v>28</v>
      </c>
      <c r="F189" t="s">
        <v>29</v>
      </c>
      <c r="G189" s="8">
        <v>5000</v>
      </c>
      <c r="H189" s="7">
        <v>46178</v>
      </c>
      <c r="I189" s="9">
        <v>270</v>
      </c>
      <c r="J189" s="31">
        <f t="shared" si="4"/>
        <v>46172</v>
      </c>
      <c r="K189" s="31">
        <f>Table14[[#This Row],[week first day]]-7</f>
        <v>46165</v>
      </c>
      <c r="L189">
        <f t="shared" si="5"/>
        <v>10524</v>
      </c>
    </row>
    <row r="190" spans="1:12" x14ac:dyDescent="0.3">
      <c r="A190" s="8" t="s">
        <v>25</v>
      </c>
      <c r="B190" s="8" t="s">
        <v>26</v>
      </c>
      <c r="C190" s="8" t="s">
        <v>27</v>
      </c>
      <c r="D190" s="8">
        <v>80</v>
      </c>
      <c r="E190" s="8" t="s">
        <v>28</v>
      </c>
      <c r="F190" t="s">
        <v>29</v>
      </c>
      <c r="G190" s="8">
        <v>5000</v>
      </c>
      <c r="H190" s="7">
        <v>46178</v>
      </c>
      <c r="I190" s="9">
        <v>270</v>
      </c>
      <c r="J190" s="31">
        <f t="shared" si="4"/>
        <v>46172</v>
      </c>
      <c r="K190" s="31">
        <f>Table14[[#This Row],[week first day]]-7</f>
        <v>46165</v>
      </c>
      <c r="L190">
        <f t="shared" si="5"/>
        <v>10524</v>
      </c>
    </row>
    <row r="191" spans="1:12" x14ac:dyDescent="0.3">
      <c r="A191" s="8" t="s">
        <v>25</v>
      </c>
      <c r="B191" s="8" t="s">
        <v>26</v>
      </c>
      <c r="C191" s="8" t="s">
        <v>27</v>
      </c>
      <c r="D191" s="8">
        <v>80</v>
      </c>
      <c r="E191" s="8" t="s">
        <v>28</v>
      </c>
      <c r="F191" t="s">
        <v>29</v>
      </c>
      <c r="G191" s="8">
        <v>5000</v>
      </c>
      <c r="H191" s="7">
        <v>46178</v>
      </c>
      <c r="I191" s="9">
        <v>270</v>
      </c>
      <c r="J191" s="31">
        <f t="shared" si="4"/>
        <v>46172</v>
      </c>
      <c r="K191" s="31">
        <f>Table14[[#This Row],[week first day]]-7</f>
        <v>46165</v>
      </c>
      <c r="L191">
        <f t="shared" si="5"/>
        <v>10524</v>
      </c>
    </row>
    <row r="192" spans="1:12" x14ac:dyDescent="0.3">
      <c r="A192" s="8" t="s">
        <v>25</v>
      </c>
      <c r="B192" s="8" t="s">
        <v>26</v>
      </c>
      <c r="C192" s="8" t="s">
        <v>27</v>
      </c>
      <c r="D192" s="8">
        <v>80</v>
      </c>
      <c r="E192" s="8" t="s">
        <v>28</v>
      </c>
      <c r="F192" t="s">
        <v>29</v>
      </c>
      <c r="G192" s="8">
        <v>5000</v>
      </c>
      <c r="H192" s="7">
        <v>46178</v>
      </c>
      <c r="I192" s="9">
        <v>270</v>
      </c>
      <c r="J192" s="31">
        <f t="shared" si="4"/>
        <v>46172</v>
      </c>
      <c r="K192" s="31">
        <f>Table14[[#This Row],[week first day]]-7</f>
        <v>46165</v>
      </c>
      <c r="L192">
        <f t="shared" si="5"/>
        <v>10524</v>
      </c>
    </row>
    <row r="193" spans="1:12" x14ac:dyDescent="0.3">
      <c r="A193" s="8" t="s">
        <v>25</v>
      </c>
      <c r="B193" s="8" t="s">
        <v>26</v>
      </c>
      <c r="C193" s="8" t="s">
        <v>27</v>
      </c>
      <c r="D193" s="8">
        <v>80</v>
      </c>
      <c r="E193" s="8" t="s">
        <v>28</v>
      </c>
      <c r="F193" t="s">
        <v>29</v>
      </c>
      <c r="G193" s="8">
        <v>5000</v>
      </c>
      <c r="H193" s="7">
        <v>46178</v>
      </c>
      <c r="I193" s="9">
        <v>270</v>
      </c>
      <c r="J193" s="31">
        <f t="shared" si="4"/>
        <v>46172</v>
      </c>
      <c r="K193" s="31">
        <f>Table14[[#This Row],[week first day]]-7</f>
        <v>46165</v>
      </c>
      <c r="L193">
        <f t="shared" si="5"/>
        <v>10524</v>
      </c>
    </row>
    <row r="194" spans="1:12" x14ac:dyDescent="0.3">
      <c r="A194" s="8" t="s">
        <v>25</v>
      </c>
      <c r="B194" s="8" t="s">
        <v>26</v>
      </c>
      <c r="C194" s="8" t="s">
        <v>27</v>
      </c>
      <c r="D194" s="8">
        <v>80</v>
      </c>
      <c r="E194" s="8" t="s">
        <v>28</v>
      </c>
      <c r="F194" t="s">
        <v>29</v>
      </c>
      <c r="G194" s="8">
        <v>5000</v>
      </c>
      <c r="H194" s="7">
        <v>46178</v>
      </c>
      <c r="I194" s="9">
        <v>270</v>
      </c>
      <c r="J194" s="31">
        <f t="shared" ref="J194:J257" si="6">$M$1+7*INT((H194-$M$1)/7)</f>
        <v>46172</v>
      </c>
      <c r="K194" s="31">
        <f>Table14[[#This Row],[week first day]]-7</f>
        <v>46165</v>
      </c>
      <c r="L194">
        <f t="shared" ref="L194:L257" si="7">SUMIFS($I:$I,$A:$A,A194,J:J,J194)</f>
        <v>10524</v>
      </c>
    </row>
    <row r="195" spans="1:12" x14ac:dyDescent="0.3">
      <c r="A195" s="8" t="s">
        <v>25</v>
      </c>
      <c r="B195" s="8" t="s">
        <v>26</v>
      </c>
      <c r="C195" s="8" t="s">
        <v>27</v>
      </c>
      <c r="D195" s="8">
        <v>80</v>
      </c>
      <c r="E195" s="8" t="s">
        <v>28</v>
      </c>
      <c r="F195" t="s">
        <v>29</v>
      </c>
      <c r="G195" s="8">
        <v>5000</v>
      </c>
      <c r="H195" s="7">
        <v>46178</v>
      </c>
      <c r="I195" s="9">
        <v>270</v>
      </c>
      <c r="J195" s="31">
        <f t="shared" si="6"/>
        <v>46172</v>
      </c>
      <c r="K195" s="31">
        <f>Table14[[#This Row],[week first day]]-7</f>
        <v>46165</v>
      </c>
      <c r="L195">
        <f t="shared" si="7"/>
        <v>10524</v>
      </c>
    </row>
    <row r="196" spans="1:12" x14ac:dyDescent="0.3">
      <c r="A196" s="8" t="s">
        <v>25</v>
      </c>
      <c r="B196" s="8" t="s">
        <v>26</v>
      </c>
      <c r="C196" s="8" t="s">
        <v>27</v>
      </c>
      <c r="D196" s="8">
        <v>80</v>
      </c>
      <c r="E196" s="8" t="s">
        <v>28</v>
      </c>
      <c r="F196" t="s">
        <v>29</v>
      </c>
      <c r="G196" s="8">
        <v>5000</v>
      </c>
      <c r="H196" s="7">
        <v>46178</v>
      </c>
      <c r="I196" s="9">
        <v>270</v>
      </c>
      <c r="J196" s="31">
        <f t="shared" si="6"/>
        <v>46172</v>
      </c>
      <c r="K196" s="31">
        <f>Table14[[#This Row],[week first day]]-7</f>
        <v>46165</v>
      </c>
      <c r="L196">
        <f t="shared" si="7"/>
        <v>10524</v>
      </c>
    </row>
    <row r="197" spans="1:12" x14ac:dyDescent="0.3">
      <c r="A197" s="8" t="s">
        <v>25</v>
      </c>
      <c r="B197" s="8" t="s">
        <v>26</v>
      </c>
      <c r="C197" s="8" t="s">
        <v>27</v>
      </c>
      <c r="D197" s="8">
        <v>80</v>
      </c>
      <c r="E197" s="8" t="s">
        <v>28</v>
      </c>
      <c r="F197" t="s">
        <v>29</v>
      </c>
      <c r="G197" s="8">
        <v>5000</v>
      </c>
      <c r="H197" s="7">
        <v>46178</v>
      </c>
      <c r="I197" s="9">
        <v>270</v>
      </c>
      <c r="J197" s="31">
        <f t="shared" si="6"/>
        <v>46172</v>
      </c>
      <c r="K197" s="31">
        <f>Table14[[#This Row],[week first day]]-7</f>
        <v>46165</v>
      </c>
      <c r="L197">
        <f t="shared" si="7"/>
        <v>10524</v>
      </c>
    </row>
    <row r="198" spans="1:12" x14ac:dyDescent="0.3">
      <c r="A198" s="8" t="s">
        <v>25</v>
      </c>
      <c r="B198" s="8" t="s">
        <v>26</v>
      </c>
      <c r="C198" s="8" t="s">
        <v>27</v>
      </c>
      <c r="D198" s="8">
        <v>80</v>
      </c>
      <c r="E198" s="8" t="s">
        <v>28</v>
      </c>
      <c r="F198" t="s">
        <v>29</v>
      </c>
      <c r="G198" s="8">
        <v>5000</v>
      </c>
      <c r="H198" s="7">
        <v>46178</v>
      </c>
      <c r="I198" s="9">
        <v>270</v>
      </c>
      <c r="J198" s="31">
        <f t="shared" si="6"/>
        <v>46172</v>
      </c>
      <c r="K198" s="31">
        <f>Table14[[#This Row],[week first day]]-7</f>
        <v>46165</v>
      </c>
      <c r="L198">
        <f t="shared" si="7"/>
        <v>10524</v>
      </c>
    </row>
    <row r="199" spans="1:12" x14ac:dyDescent="0.3">
      <c r="A199" s="8" t="s">
        <v>25</v>
      </c>
      <c r="B199" s="8" t="s">
        <v>26</v>
      </c>
      <c r="C199" s="8" t="s">
        <v>27</v>
      </c>
      <c r="D199" s="8">
        <v>80</v>
      </c>
      <c r="E199" s="8" t="s">
        <v>28</v>
      </c>
      <c r="F199" t="s">
        <v>29</v>
      </c>
      <c r="G199" s="8">
        <v>5000</v>
      </c>
      <c r="H199" s="7">
        <v>46178</v>
      </c>
      <c r="I199" s="9">
        <v>270</v>
      </c>
      <c r="J199" s="31">
        <f t="shared" si="6"/>
        <v>46172</v>
      </c>
      <c r="K199" s="31">
        <f>Table14[[#This Row],[week first day]]-7</f>
        <v>46165</v>
      </c>
      <c r="L199">
        <f t="shared" si="7"/>
        <v>10524</v>
      </c>
    </row>
    <row r="200" spans="1:12" x14ac:dyDescent="0.3">
      <c r="A200" s="8" t="s">
        <v>25</v>
      </c>
      <c r="B200" s="8" t="s">
        <v>26</v>
      </c>
      <c r="C200" s="8" t="s">
        <v>27</v>
      </c>
      <c r="D200" s="8">
        <v>80</v>
      </c>
      <c r="E200" s="8" t="s">
        <v>28</v>
      </c>
      <c r="F200" t="s">
        <v>29</v>
      </c>
      <c r="G200" s="8">
        <v>5000</v>
      </c>
      <c r="H200" s="7">
        <v>46178</v>
      </c>
      <c r="I200" s="9">
        <v>270</v>
      </c>
      <c r="J200" s="31">
        <f t="shared" si="6"/>
        <v>46172</v>
      </c>
      <c r="K200" s="31">
        <f>Table14[[#This Row],[week first day]]-7</f>
        <v>46165</v>
      </c>
      <c r="L200">
        <f t="shared" si="7"/>
        <v>10524</v>
      </c>
    </row>
    <row r="201" spans="1:12" x14ac:dyDescent="0.3">
      <c r="A201" s="8" t="s">
        <v>25</v>
      </c>
      <c r="B201" s="8" t="s">
        <v>26</v>
      </c>
      <c r="C201" s="8" t="s">
        <v>27</v>
      </c>
      <c r="D201" s="8">
        <v>80</v>
      </c>
      <c r="E201" s="8" t="s">
        <v>28</v>
      </c>
      <c r="F201" t="s">
        <v>29</v>
      </c>
      <c r="G201" s="8">
        <v>5000</v>
      </c>
      <c r="H201" s="7">
        <v>46178</v>
      </c>
      <c r="I201" s="9">
        <v>270</v>
      </c>
      <c r="J201" s="31">
        <f t="shared" si="6"/>
        <v>46172</v>
      </c>
      <c r="K201" s="31">
        <f>Table14[[#This Row],[week first day]]-7</f>
        <v>46165</v>
      </c>
      <c r="L201">
        <f t="shared" si="7"/>
        <v>10524</v>
      </c>
    </row>
    <row r="202" spans="1:12" x14ac:dyDescent="0.3">
      <c r="A202" s="8" t="s">
        <v>25</v>
      </c>
      <c r="B202" s="8" t="s">
        <v>26</v>
      </c>
      <c r="C202" s="8" t="s">
        <v>27</v>
      </c>
      <c r="D202" s="8">
        <v>80</v>
      </c>
      <c r="E202" s="8" t="s">
        <v>28</v>
      </c>
      <c r="F202" t="s">
        <v>29</v>
      </c>
      <c r="G202" s="8">
        <v>5000</v>
      </c>
      <c r="H202" s="7">
        <v>46178</v>
      </c>
      <c r="I202" s="9">
        <v>270</v>
      </c>
      <c r="J202" s="31">
        <f t="shared" si="6"/>
        <v>46172</v>
      </c>
      <c r="K202" s="31">
        <f>Table14[[#This Row],[week first day]]-7</f>
        <v>46165</v>
      </c>
      <c r="L202">
        <f t="shared" si="7"/>
        <v>10524</v>
      </c>
    </row>
    <row r="203" spans="1:12" x14ac:dyDescent="0.3">
      <c r="A203" s="8" t="s">
        <v>25</v>
      </c>
      <c r="B203" s="8" t="s">
        <v>26</v>
      </c>
      <c r="C203" s="8" t="s">
        <v>27</v>
      </c>
      <c r="D203" s="8">
        <v>80</v>
      </c>
      <c r="E203" s="8" t="s">
        <v>28</v>
      </c>
      <c r="F203" t="s">
        <v>29</v>
      </c>
      <c r="G203" s="8">
        <v>5000</v>
      </c>
      <c r="H203" s="7">
        <v>46178</v>
      </c>
      <c r="I203" s="9">
        <v>270</v>
      </c>
      <c r="J203" s="31">
        <f t="shared" si="6"/>
        <v>46172</v>
      </c>
      <c r="K203" s="31">
        <f>Table14[[#This Row],[week first day]]-7</f>
        <v>46165</v>
      </c>
      <c r="L203">
        <f t="shared" si="7"/>
        <v>10524</v>
      </c>
    </row>
    <row r="204" spans="1:12" x14ac:dyDescent="0.3">
      <c r="A204" s="8" t="s">
        <v>25</v>
      </c>
      <c r="B204" s="8" t="s">
        <v>26</v>
      </c>
      <c r="C204" s="8" t="s">
        <v>27</v>
      </c>
      <c r="D204" s="8">
        <v>80</v>
      </c>
      <c r="E204" s="8" t="s">
        <v>28</v>
      </c>
      <c r="F204" t="s">
        <v>29</v>
      </c>
      <c r="G204" s="8">
        <v>5000</v>
      </c>
      <c r="H204" s="7">
        <v>46178</v>
      </c>
      <c r="I204" s="9">
        <v>270</v>
      </c>
      <c r="J204" s="31">
        <f t="shared" si="6"/>
        <v>46172</v>
      </c>
      <c r="K204" s="31">
        <f>Table14[[#This Row],[week first day]]-7</f>
        <v>46165</v>
      </c>
      <c r="L204">
        <f t="shared" si="7"/>
        <v>10524</v>
      </c>
    </row>
    <row r="205" spans="1:12" x14ac:dyDescent="0.3">
      <c r="A205" s="8" t="s">
        <v>25</v>
      </c>
      <c r="B205" s="8" t="s">
        <v>26</v>
      </c>
      <c r="C205" s="8" t="s">
        <v>27</v>
      </c>
      <c r="D205" s="8">
        <v>80</v>
      </c>
      <c r="E205" s="8" t="s">
        <v>28</v>
      </c>
      <c r="F205" t="s">
        <v>29</v>
      </c>
      <c r="G205" s="8">
        <v>5000</v>
      </c>
      <c r="H205" s="7">
        <v>46178</v>
      </c>
      <c r="I205" s="9">
        <v>270</v>
      </c>
      <c r="J205" s="31">
        <f t="shared" si="6"/>
        <v>46172</v>
      </c>
      <c r="K205" s="31">
        <f>Table14[[#This Row],[week first day]]-7</f>
        <v>46165</v>
      </c>
      <c r="L205">
        <f t="shared" si="7"/>
        <v>10524</v>
      </c>
    </row>
    <row r="206" spans="1:12" x14ac:dyDescent="0.3">
      <c r="A206" s="8" t="s">
        <v>25</v>
      </c>
      <c r="B206" s="8" t="s">
        <v>26</v>
      </c>
      <c r="C206" s="8" t="s">
        <v>27</v>
      </c>
      <c r="D206" s="8">
        <v>80</v>
      </c>
      <c r="E206" s="8" t="s">
        <v>28</v>
      </c>
      <c r="F206" t="s">
        <v>29</v>
      </c>
      <c r="G206" s="8">
        <v>5000</v>
      </c>
      <c r="H206" s="7">
        <v>46178</v>
      </c>
      <c r="I206" s="9">
        <v>270</v>
      </c>
      <c r="J206" s="31">
        <f t="shared" si="6"/>
        <v>46172</v>
      </c>
      <c r="K206" s="31">
        <f>Table14[[#This Row],[week first day]]-7</f>
        <v>46165</v>
      </c>
      <c r="L206">
        <f t="shared" si="7"/>
        <v>10524</v>
      </c>
    </row>
    <row r="207" spans="1:12" x14ac:dyDescent="0.3">
      <c r="A207" s="8" t="s">
        <v>25</v>
      </c>
      <c r="B207" s="8" t="s">
        <v>26</v>
      </c>
      <c r="C207" s="8" t="s">
        <v>27</v>
      </c>
      <c r="D207" s="8">
        <v>80</v>
      </c>
      <c r="E207" s="8" t="s">
        <v>28</v>
      </c>
      <c r="F207" t="s">
        <v>29</v>
      </c>
      <c r="G207" s="8">
        <v>5000</v>
      </c>
      <c r="H207" s="7">
        <v>46178</v>
      </c>
      <c r="I207" s="9">
        <v>270</v>
      </c>
      <c r="J207" s="31">
        <f t="shared" si="6"/>
        <v>46172</v>
      </c>
      <c r="K207" s="31">
        <f>Table14[[#This Row],[week first day]]-7</f>
        <v>46165</v>
      </c>
      <c r="L207">
        <f t="shared" si="7"/>
        <v>10524</v>
      </c>
    </row>
    <row r="208" spans="1:12" x14ac:dyDescent="0.3">
      <c r="A208" s="8" t="s">
        <v>25</v>
      </c>
      <c r="B208" s="8" t="s">
        <v>26</v>
      </c>
      <c r="C208" s="8" t="s">
        <v>27</v>
      </c>
      <c r="D208" s="8">
        <v>80</v>
      </c>
      <c r="E208" s="8" t="s">
        <v>28</v>
      </c>
      <c r="F208" t="s">
        <v>29</v>
      </c>
      <c r="G208" s="8">
        <v>5000</v>
      </c>
      <c r="H208" s="7">
        <v>46178</v>
      </c>
      <c r="I208" s="9">
        <v>270</v>
      </c>
      <c r="J208" s="31">
        <f t="shared" si="6"/>
        <v>46172</v>
      </c>
      <c r="K208" s="31">
        <f>Table14[[#This Row],[week first day]]-7</f>
        <v>46165</v>
      </c>
      <c r="L208">
        <f t="shared" si="7"/>
        <v>10524</v>
      </c>
    </row>
    <row r="209" spans="1:12" x14ac:dyDescent="0.3">
      <c r="A209" s="8" t="s">
        <v>25</v>
      </c>
      <c r="B209" s="8" t="s">
        <v>26</v>
      </c>
      <c r="C209" s="8" t="s">
        <v>27</v>
      </c>
      <c r="D209" s="8">
        <v>80</v>
      </c>
      <c r="E209" s="8" t="s">
        <v>28</v>
      </c>
      <c r="F209" t="s">
        <v>29</v>
      </c>
      <c r="G209" s="8">
        <v>5000</v>
      </c>
      <c r="H209" s="7">
        <v>46178</v>
      </c>
      <c r="I209" s="9">
        <v>270</v>
      </c>
      <c r="J209" s="31">
        <f t="shared" si="6"/>
        <v>46172</v>
      </c>
      <c r="K209" s="31">
        <f>Table14[[#This Row],[week first day]]-7</f>
        <v>46165</v>
      </c>
      <c r="L209">
        <f t="shared" si="7"/>
        <v>10524</v>
      </c>
    </row>
    <row r="210" spans="1:12" x14ac:dyDescent="0.3">
      <c r="A210" s="8" t="s">
        <v>25</v>
      </c>
      <c r="B210" s="8" t="s">
        <v>26</v>
      </c>
      <c r="C210" s="8" t="s">
        <v>27</v>
      </c>
      <c r="D210" s="8">
        <v>80</v>
      </c>
      <c r="E210" s="8" t="s">
        <v>28</v>
      </c>
      <c r="F210" t="s">
        <v>29</v>
      </c>
      <c r="G210" s="8">
        <v>5000</v>
      </c>
      <c r="H210" s="7">
        <v>46178</v>
      </c>
      <c r="I210" s="9">
        <v>270</v>
      </c>
      <c r="J210" s="31">
        <f t="shared" si="6"/>
        <v>46172</v>
      </c>
      <c r="K210" s="31">
        <f>Table14[[#This Row],[week first day]]-7</f>
        <v>46165</v>
      </c>
      <c r="L210">
        <f t="shared" si="7"/>
        <v>10524</v>
      </c>
    </row>
    <row r="211" spans="1:12" x14ac:dyDescent="0.3">
      <c r="A211" s="8" t="s">
        <v>25</v>
      </c>
      <c r="B211" s="8" t="s">
        <v>26</v>
      </c>
      <c r="C211" s="8" t="s">
        <v>27</v>
      </c>
      <c r="D211" s="8">
        <v>80</v>
      </c>
      <c r="E211" s="8" t="s">
        <v>28</v>
      </c>
      <c r="F211" t="s">
        <v>29</v>
      </c>
      <c r="G211" s="8">
        <v>5000</v>
      </c>
      <c r="H211" s="7">
        <v>46178</v>
      </c>
      <c r="I211" s="9">
        <v>270</v>
      </c>
      <c r="J211" s="31">
        <f t="shared" si="6"/>
        <v>46172</v>
      </c>
      <c r="K211" s="31">
        <f>Table14[[#This Row],[week first day]]-7</f>
        <v>46165</v>
      </c>
      <c r="L211">
        <f t="shared" si="7"/>
        <v>10524</v>
      </c>
    </row>
    <row r="212" spans="1:12" x14ac:dyDescent="0.3">
      <c r="A212" s="8" t="s">
        <v>25</v>
      </c>
      <c r="B212" s="8" t="s">
        <v>26</v>
      </c>
      <c r="C212" s="8" t="s">
        <v>27</v>
      </c>
      <c r="D212" s="8">
        <v>80</v>
      </c>
      <c r="E212" s="8" t="s">
        <v>28</v>
      </c>
      <c r="F212" t="s">
        <v>29</v>
      </c>
      <c r="G212" s="8">
        <v>5000</v>
      </c>
      <c r="H212" s="7">
        <v>46178</v>
      </c>
      <c r="I212" s="9">
        <v>270</v>
      </c>
      <c r="J212" s="31">
        <f t="shared" si="6"/>
        <v>46172</v>
      </c>
      <c r="K212" s="31">
        <f>Table14[[#This Row],[week first day]]-7</f>
        <v>46165</v>
      </c>
      <c r="L212">
        <f t="shared" si="7"/>
        <v>10524</v>
      </c>
    </row>
    <row r="213" spans="1:12" x14ac:dyDescent="0.3">
      <c r="A213" s="8" t="s">
        <v>25</v>
      </c>
      <c r="B213" s="8" t="s">
        <v>26</v>
      </c>
      <c r="C213" s="8" t="s">
        <v>27</v>
      </c>
      <c r="D213" s="8">
        <v>80</v>
      </c>
      <c r="E213" s="8" t="s">
        <v>28</v>
      </c>
      <c r="F213" t="s">
        <v>29</v>
      </c>
      <c r="G213" s="8">
        <v>5000</v>
      </c>
      <c r="H213" s="7">
        <v>46178</v>
      </c>
      <c r="I213" s="9">
        <v>270</v>
      </c>
      <c r="J213" s="31">
        <f t="shared" si="6"/>
        <v>46172</v>
      </c>
      <c r="K213" s="31">
        <f>Table14[[#This Row],[week first day]]-7</f>
        <v>46165</v>
      </c>
      <c r="L213">
        <f t="shared" si="7"/>
        <v>10524</v>
      </c>
    </row>
    <row r="214" spans="1:12" x14ac:dyDescent="0.3">
      <c r="A214" s="8" t="s">
        <v>25</v>
      </c>
      <c r="B214" s="8" t="s">
        <v>26</v>
      </c>
      <c r="C214" s="8" t="s">
        <v>27</v>
      </c>
      <c r="D214" s="8">
        <v>80</v>
      </c>
      <c r="E214" s="8" t="s">
        <v>28</v>
      </c>
      <c r="F214" t="s">
        <v>29</v>
      </c>
      <c r="G214" s="8">
        <v>5000</v>
      </c>
      <c r="H214" s="7">
        <v>46178</v>
      </c>
      <c r="I214" s="9">
        <v>270</v>
      </c>
      <c r="J214" s="31">
        <f t="shared" si="6"/>
        <v>46172</v>
      </c>
      <c r="K214" s="31">
        <f>Table14[[#This Row],[week first day]]-7</f>
        <v>46165</v>
      </c>
      <c r="L214">
        <f t="shared" si="7"/>
        <v>10524</v>
      </c>
    </row>
    <row r="215" spans="1:12" x14ac:dyDescent="0.3">
      <c r="A215" s="8" t="s">
        <v>25</v>
      </c>
      <c r="B215" s="8" t="s">
        <v>26</v>
      </c>
      <c r="C215" s="8" t="s">
        <v>27</v>
      </c>
      <c r="D215" s="8">
        <v>80</v>
      </c>
      <c r="E215" s="8" t="s">
        <v>28</v>
      </c>
      <c r="F215" t="s">
        <v>29</v>
      </c>
      <c r="G215" s="8">
        <v>5000</v>
      </c>
      <c r="H215" s="7">
        <v>46178</v>
      </c>
      <c r="I215" s="9">
        <v>270</v>
      </c>
      <c r="J215" s="31">
        <f t="shared" si="6"/>
        <v>46172</v>
      </c>
      <c r="K215" s="31">
        <f>Table14[[#This Row],[week first day]]-7</f>
        <v>46165</v>
      </c>
      <c r="L215">
        <f t="shared" si="7"/>
        <v>10524</v>
      </c>
    </row>
    <row r="216" spans="1:12" x14ac:dyDescent="0.3">
      <c r="A216" s="8" t="s">
        <v>25</v>
      </c>
      <c r="B216" s="8" t="s">
        <v>26</v>
      </c>
      <c r="C216" s="8" t="s">
        <v>27</v>
      </c>
      <c r="D216" s="8">
        <v>80</v>
      </c>
      <c r="E216" s="8" t="s">
        <v>28</v>
      </c>
      <c r="F216" t="s">
        <v>29</v>
      </c>
      <c r="G216" s="8">
        <v>5000</v>
      </c>
      <c r="H216" s="7">
        <v>46178</v>
      </c>
      <c r="I216" s="9">
        <v>270</v>
      </c>
      <c r="J216" s="31">
        <f t="shared" si="6"/>
        <v>46172</v>
      </c>
      <c r="K216" s="31">
        <f>Table14[[#This Row],[week first day]]-7</f>
        <v>46165</v>
      </c>
      <c r="L216">
        <f t="shared" si="7"/>
        <v>10524</v>
      </c>
    </row>
    <row r="217" spans="1:12" x14ac:dyDescent="0.3">
      <c r="A217" s="8" t="s">
        <v>25</v>
      </c>
      <c r="B217" s="8" t="s">
        <v>26</v>
      </c>
      <c r="C217" s="8" t="s">
        <v>27</v>
      </c>
      <c r="D217" s="8">
        <v>80</v>
      </c>
      <c r="E217" s="8" t="s">
        <v>28</v>
      </c>
      <c r="F217" t="s">
        <v>29</v>
      </c>
      <c r="G217" s="8">
        <v>5000</v>
      </c>
      <c r="H217" s="7">
        <v>46183</v>
      </c>
      <c r="I217" s="9">
        <v>270</v>
      </c>
      <c r="J217" s="31">
        <f t="shared" si="6"/>
        <v>46179</v>
      </c>
      <c r="K217" s="31">
        <f>Table14[[#This Row],[week first day]]-7</f>
        <v>46172</v>
      </c>
      <c r="L217">
        <f t="shared" si="7"/>
        <v>1080</v>
      </c>
    </row>
    <row r="218" spans="1:12" x14ac:dyDescent="0.3">
      <c r="A218" s="8" t="s">
        <v>25</v>
      </c>
      <c r="B218" s="8" t="s">
        <v>26</v>
      </c>
      <c r="C218" s="8" t="s">
        <v>27</v>
      </c>
      <c r="D218" s="8">
        <v>80</v>
      </c>
      <c r="E218" s="8" t="s">
        <v>28</v>
      </c>
      <c r="F218" t="s">
        <v>29</v>
      </c>
      <c r="G218" s="8">
        <v>5000</v>
      </c>
      <c r="H218" s="7">
        <v>46183</v>
      </c>
      <c r="I218" s="9">
        <v>270</v>
      </c>
      <c r="J218" s="31">
        <f t="shared" si="6"/>
        <v>46179</v>
      </c>
      <c r="K218" s="31">
        <f>Table14[[#This Row],[week first day]]-7</f>
        <v>46172</v>
      </c>
      <c r="L218">
        <f t="shared" si="7"/>
        <v>1080</v>
      </c>
    </row>
    <row r="219" spans="1:12" x14ac:dyDescent="0.3">
      <c r="A219" s="8" t="s">
        <v>25</v>
      </c>
      <c r="B219" s="8" t="s">
        <v>26</v>
      </c>
      <c r="C219" s="8" t="s">
        <v>27</v>
      </c>
      <c r="D219" s="8">
        <v>80</v>
      </c>
      <c r="E219" s="8" t="s">
        <v>28</v>
      </c>
      <c r="F219" t="s">
        <v>29</v>
      </c>
      <c r="G219" s="8">
        <v>5000</v>
      </c>
      <c r="H219" s="7">
        <v>46183</v>
      </c>
      <c r="I219" s="9">
        <v>270</v>
      </c>
      <c r="J219" s="31">
        <f t="shared" si="6"/>
        <v>46179</v>
      </c>
      <c r="K219" s="31">
        <f>Table14[[#This Row],[week first day]]-7</f>
        <v>46172</v>
      </c>
      <c r="L219">
        <f t="shared" si="7"/>
        <v>1080</v>
      </c>
    </row>
    <row r="220" spans="1:12" x14ac:dyDescent="0.3">
      <c r="A220" s="8" t="s">
        <v>25</v>
      </c>
      <c r="B220" s="8" t="s">
        <v>26</v>
      </c>
      <c r="C220" s="8" t="s">
        <v>27</v>
      </c>
      <c r="D220" s="8">
        <v>80</v>
      </c>
      <c r="E220" s="8" t="s">
        <v>28</v>
      </c>
      <c r="F220" t="s">
        <v>29</v>
      </c>
      <c r="G220" s="8">
        <v>5000</v>
      </c>
      <c r="H220" s="7">
        <v>46183</v>
      </c>
      <c r="I220" s="9">
        <v>270</v>
      </c>
      <c r="J220" s="31">
        <f t="shared" si="6"/>
        <v>46179</v>
      </c>
      <c r="K220" s="31">
        <f>Table14[[#This Row],[week first day]]-7</f>
        <v>46172</v>
      </c>
      <c r="L220">
        <f t="shared" si="7"/>
        <v>1080</v>
      </c>
    </row>
    <row r="221" spans="1:12" x14ac:dyDescent="0.3">
      <c r="A221" s="8" t="s">
        <v>25</v>
      </c>
      <c r="B221" s="8" t="s">
        <v>26</v>
      </c>
      <c r="C221" s="8" t="s">
        <v>27</v>
      </c>
      <c r="D221" s="8">
        <v>80</v>
      </c>
      <c r="E221" s="8" t="s">
        <v>28</v>
      </c>
      <c r="F221" t="s">
        <v>29</v>
      </c>
      <c r="G221" s="8">
        <v>5000</v>
      </c>
      <c r="H221" s="7">
        <v>46186</v>
      </c>
      <c r="I221" s="9">
        <v>270</v>
      </c>
      <c r="J221" s="31">
        <f t="shared" si="6"/>
        <v>46186</v>
      </c>
      <c r="K221" s="31">
        <f>Table14[[#This Row],[week first day]]-7</f>
        <v>46179</v>
      </c>
      <c r="L221">
        <f t="shared" si="7"/>
        <v>8602</v>
      </c>
    </row>
    <row r="222" spans="1:12" x14ac:dyDescent="0.3">
      <c r="A222" s="8" t="s">
        <v>25</v>
      </c>
      <c r="B222" s="8" t="s">
        <v>26</v>
      </c>
      <c r="C222" s="8" t="s">
        <v>27</v>
      </c>
      <c r="D222" s="8">
        <v>80</v>
      </c>
      <c r="E222" s="8" t="s">
        <v>28</v>
      </c>
      <c r="F222" t="s">
        <v>29</v>
      </c>
      <c r="G222" s="8">
        <v>5000</v>
      </c>
      <c r="H222" s="7">
        <v>46186</v>
      </c>
      <c r="I222" s="9">
        <v>270</v>
      </c>
      <c r="J222" s="31">
        <f t="shared" si="6"/>
        <v>46186</v>
      </c>
      <c r="K222" s="31">
        <f>Table14[[#This Row],[week first day]]-7</f>
        <v>46179</v>
      </c>
      <c r="L222">
        <f t="shared" si="7"/>
        <v>8602</v>
      </c>
    </row>
    <row r="223" spans="1:12" x14ac:dyDescent="0.3">
      <c r="A223" s="8" t="s">
        <v>25</v>
      </c>
      <c r="B223" s="8" t="s">
        <v>26</v>
      </c>
      <c r="C223" s="8" t="s">
        <v>27</v>
      </c>
      <c r="D223" s="8">
        <v>80</v>
      </c>
      <c r="E223" s="8" t="s">
        <v>28</v>
      </c>
      <c r="F223" t="s">
        <v>29</v>
      </c>
      <c r="G223" s="8">
        <v>5000</v>
      </c>
      <c r="H223" s="7">
        <v>46186</v>
      </c>
      <c r="I223" s="9">
        <v>270</v>
      </c>
      <c r="J223" s="31">
        <f t="shared" si="6"/>
        <v>46186</v>
      </c>
      <c r="K223" s="31">
        <f>Table14[[#This Row],[week first day]]-7</f>
        <v>46179</v>
      </c>
      <c r="L223">
        <f t="shared" si="7"/>
        <v>8602</v>
      </c>
    </row>
    <row r="224" spans="1:12" x14ac:dyDescent="0.3">
      <c r="A224" s="8" t="s">
        <v>25</v>
      </c>
      <c r="B224" s="8" t="s">
        <v>26</v>
      </c>
      <c r="C224" s="8" t="s">
        <v>27</v>
      </c>
      <c r="D224" s="8">
        <v>80</v>
      </c>
      <c r="E224" s="8" t="s">
        <v>28</v>
      </c>
      <c r="F224" t="s">
        <v>29</v>
      </c>
      <c r="G224" s="8">
        <v>5000</v>
      </c>
      <c r="H224" s="7">
        <v>46186</v>
      </c>
      <c r="I224" s="9">
        <v>270</v>
      </c>
      <c r="J224" s="31">
        <f t="shared" si="6"/>
        <v>46186</v>
      </c>
      <c r="K224" s="31">
        <f>Table14[[#This Row],[week first day]]-7</f>
        <v>46179</v>
      </c>
      <c r="L224">
        <f t="shared" si="7"/>
        <v>8602</v>
      </c>
    </row>
    <row r="225" spans="1:12" x14ac:dyDescent="0.3">
      <c r="A225" s="8" t="s">
        <v>25</v>
      </c>
      <c r="B225" s="8" t="s">
        <v>26</v>
      </c>
      <c r="C225" s="8" t="s">
        <v>27</v>
      </c>
      <c r="D225" s="8">
        <v>80</v>
      </c>
      <c r="E225" s="8" t="s">
        <v>28</v>
      </c>
      <c r="F225" t="s">
        <v>29</v>
      </c>
      <c r="G225" s="8">
        <v>5000</v>
      </c>
      <c r="H225" s="7">
        <v>46186</v>
      </c>
      <c r="I225" s="9">
        <v>270</v>
      </c>
      <c r="J225" s="31">
        <f t="shared" si="6"/>
        <v>46186</v>
      </c>
      <c r="K225" s="31">
        <f>Table14[[#This Row],[week first day]]-7</f>
        <v>46179</v>
      </c>
      <c r="L225">
        <f t="shared" si="7"/>
        <v>8602</v>
      </c>
    </row>
    <row r="226" spans="1:12" x14ac:dyDescent="0.3">
      <c r="A226" s="8" t="s">
        <v>25</v>
      </c>
      <c r="B226" s="8" t="s">
        <v>26</v>
      </c>
      <c r="C226" s="8" t="s">
        <v>27</v>
      </c>
      <c r="D226" s="8">
        <v>80</v>
      </c>
      <c r="E226" s="8" t="s">
        <v>28</v>
      </c>
      <c r="F226" t="s">
        <v>29</v>
      </c>
      <c r="G226" s="8">
        <v>5000</v>
      </c>
      <c r="H226" s="7">
        <v>46186</v>
      </c>
      <c r="I226" s="9">
        <v>270</v>
      </c>
      <c r="J226" s="31">
        <f t="shared" si="6"/>
        <v>46186</v>
      </c>
      <c r="K226" s="31">
        <f>Table14[[#This Row],[week first day]]-7</f>
        <v>46179</v>
      </c>
      <c r="L226">
        <f t="shared" si="7"/>
        <v>8602</v>
      </c>
    </row>
    <row r="227" spans="1:12" x14ac:dyDescent="0.3">
      <c r="A227" s="8" t="s">
        <v>25</v>
      </c>
      <c r="B227" s="8" t="s">
        <v>26</v>
      </c>
      <c r="C227" s="8" t="s">
        <v>27</v>
      </c>
      <c r="D227" s="8">
        <v>80</v>
      </c>
      <c r="E227" s="8" t="s">
        <v>28</v>
      </c>
      <c r="F227" t="s">
        <v>29</v>
      </c>
      <c r="G227" s="8">
        <v>5000</v>
      </c>
      <c r="H227" s="7">
        <v>46186</v>
      </c>
      <c r="I227" s="9">
        <v>270</v>
      </c>
      <c r="J227" s="31">
        <f t="shared" si="6"/>
        <v>46186</v>
      </c>
      <c r="K227" s="31">
        <f>Table14[[#This Row],[week first day]]-7</f>
        <v>46179</v>
      </c>
      <c r="L227">
        <f t="shared" si="7"/>
        <v>8602</v>
      </c>
    </row>
    <row r="228" spans="1:12" x14ac:dyDescent="0.3">
      <c r="A228" s="8" t="s">
        <v>25</v>
      </c>
      <c r="B228" s="8" t="s">
        <v>26</v>
      </c>
      <c r="C228" s="8" t="s">
        <v>27</v>
      </c>
      <c r="D228" s="8">
        <v>80</v>
      </c>
      <c r="E228" s="8" t="s">
        <v>28</v>
      </c>
      <c r="F228" t="s">
        <v>29</v>
      </c>
      <c r="G228" s="8">
        <v>5000</v>
      </c>
      <c r="H228" s="7">
        <v>46186</v>
      </c>
      <c r="I228" s="9">
        <v>270</v>
      </c>
      <c r="J228" s="31">
        <f t="shared" si="6"/>
        <v>46186</v>
      </c>
      <c r="K228" s="31">
        <f>Table14[[#This Row],[week first day]]-7</f>
        <v>46179</v>
      </c>
      <c r="L228">
        <f t="shared" si="7"/>
        <v>8602</v>
      </c>
    </row>
    <row r="229" spans="1:12" x14ac:dyDescent="0.3">
      <c r="A229" s="8" t="s">
        <v>25</v>
      </c>
      <c r="B229" s="8" t="s">
        <v>26</v>
      </c>
      <c r="C229" s="8" t="s">
        <v>27</v>
      </c>
      <c r="D229" s="8">
        <v>80</v>
      </c>
      <c r="E229" s="8" t="s">
        <v>28</v>
      </c>
      <c r="F229" t="s">
        <v>29</v>
      </c>
      <c r="G229" s="8">
        <v>5000</v>
      </c>
      <c r="H229" s="7">
        <v>46190</v>
      </c>
      <c r="I229" s="9">
        <v>270</v>
      </c>
      <c r="J229" s="31">
        <f t="shared" si="6"/>
        <v>46186</v>
      </c>
      <c r="K229" s="31">
        <f>Table14[[#This Row],[week first day]]-7</f>
        <v>46179</v>
      </c>
      <c r="L229">
        <f t="shared" si="7"/>
        <v>8602</v>
      </c>
    </row>
    <row r="230" spans="1:12" x14ac:dyDescent="0.3">
      <c r="A230" s="8" t="s">
        <v>25</v>
      </c>
      <c r="B230" s="8" t="s">
        <v>26</v>
      </c>
      <c r="C230" s="8" t="s">
        <v>27</v>
      </c>
      <c r="D230" s="8">
        <v>80</v>
      </c>
      <c r="E230" s="8" t="s">
        <v>28</v>
      </c>
      <c r="F230" t="s">
        <v>29</v>
      </c>
      <c r="G230" s="8">
        <v>5000</v>
      </c>
      <c r="H230" s="7">
        <v>46190</v>
      </c>
      <c r="I230" s="9">
        <v>270</v>
      </c>
      <c r="J230" s="31">
        <f t="shared" si="6"/>
        <v>46186</v>
      </c>
      <c r="K230" s="31">
        <f>Table14[[#This Row],[week first day]]-7</f>
        <v>46179</v>
      </c>
      <c r="L230">
        <f t="shared" si="7"/>
        <v>8602</v>
      </c>
    </row>
    <row r="231" spans="1:12" x14ac:dyDescent="0.3">
      <c r="A231" s="8" t="s">
        <v>25</v>
      </c>
      <c r="B231" s="8" t="s">
        <v>26</v>
      </c>
      <c r="C231" s="8" t="s">
        <v>27</v>
      </c>
      <c r="D231" s="8">
        <v>80</v>
      </c>
      <c r="E231" s="8" t="s">
        <v>28</v>
      </c>
      <c r="F231" t="s">
        <v>29</v>
      </c>
      <c r="G231" s="8">
        <v>5000</v>
      </c>
      <c r="H231" s="7">
        <v>46190</v>
      </c>
      <c r="I231" s="9">
        <v>270</v>
      </c>
      <c r="J231" s="31">
        <f t="shared" si="6"/>
        <v>46186</v>
      </c>
      <c r="K231" s="31">
        <f>Table14[[#This Row],[week first day]]-7</f>
        <v>46179</v>
      </c>
      <c r="L231">
        <f t="shared" si="7"/>
        <v>8602</v>
      </c>
    </row>
    <row r="232" spans="1:12" x14ac:dyDescent="0.3">
      <c r="A232" s="8" t="s">
        <v>25</v>
      </c>
      <c r="B232" s="8" t="s">
        <v>26</v>
      </c>
      <c r="C232" s="8" t="s">
        <v>27</v>
      </c>
      <c r="D232" s="8">
        <v>80</v>
      </c>
      <c r="E232" s="8" t="s">
        <v>28</v>
      </c>
      <c r="F232" t="s">
        <v>29</v>
      </c>
      <c r="G232" s="8">
        <v>5000</v>
      </c>
      <c r="H232" s="7">
        <v>46190</v>
      </c>
      <c r="I232" s="9">
        <v>270</v>
      </c>
      <c r="J232" s="31">
        <f t="shared" si="6"/>
        <v>46186</v>
      </c>
      <c r="K232" s="31">
        <f>Table14[[#This Row],[week first day]]-7</f>
        <v>46179</v>
      </c>
      <c r="L232">
        <f t="shared" si="7"/>
        <v>8602</v>
      </c>
    </row>
    <row r="233" spans="1:12" x14ac:dyDescent="0.3">
      <c r="A233" s="8" t="s">
        <v>25</v>
      </c>
      <c r="B233" s="8" t="s">
        <v>26</v>
      </c>
      <c r="C233" s="8" t="s">
        <v>27</v>
      </c>
      <c r="D233" s="8">
        <v>80</v>
      </c>
      <c r="E233" s="8" t="s">
        <v>28</v>
      </c>
      <c r="F233" t="s">
        <v>29</v>
      </c>
      <c r="G233" s="8">
        <v>5000</v>
      </c>
      <c r="H233" s="7">
        <v>46190</v>
      </c>
      <c r="I233" s="9">
        <v>270</v>
      </c>
      <c r="J233" s="31">
        <f t="shared" si="6"/>
        <v>46186</v>
      </c>
      <c r="K233" s="31">
        <f>Table14[[#This Row],[week first day]]-7</f>
        <v>46179</v>
      </c>
      <c r="L233">
        <f t="shared" si="7"/>
        <v>8602</v>
      </c>
    </row>
    <row r="234" spans="1:12" x14ac:dyDescent="0.3">
      <c r="A234" s="8" t="s">
        <v>25</v>
      </c>
      <c r="B234" s="8" t="s">
        <v>26</v>
      </c>
      <c r="C234" s="8" t="s">
        <v>27</v>
      </c>
      <c r="D234" s="8">
        <v>80</v>
      </c>
      <c r="E234" s="8" t="s">
        <v>28</v>
      </c>
      <c r="F234" t="s">
        <v>29</v>
      </c>
      <c r="G234" s="8">
        <v>5000</v>
      </c>
      <c r="H234" s="7">
        <v>46190</v>
      </c>
      <c r="I234" s="9">
        <v>270</v>
      </c>
      <c r="J234" s="31">
        <f t="shared" si="6"/>
        <v>46186</v>
      </c>
      <c r="K234" s="31">
        <f>Table14[[#This Row],[week first day]]-7</f>
        <v>46179</v>
      </c>
      <c r="L234">
        <f t="shared" si="7"/>
        <v>8602</v>
      </c>
    </row>
    <row r="235" spans="1:12" x14ac:dyDescent="0.3">
      <c r="A235" s="8" t="s">
        <v>25</v>
      </c>
      <c r="B235" s="8" t="s">
        <v>26</v>
      </c>
      <c r="C235" s="8" t="s">
        <v>27</v>
      </c>
      <c r="D235" s="8">
        <v>80</v>
      </c>
      <c r="E235" s="8" t="s">
        <v>28</v>
      </c>
      <c r="F235" t="s">
        <v>29</v>
      </c>
      <c r="G235" s="8">
        <v>5000</v>
      </c>
      <c r="H235" s="7">
        <v>46190</v>
      </c>
      <c r="I235" s="9">
        <v>270</v>
      </c>
      <c r="J235" s="31">
        <f t="shared" si="6"/>
        <v>46186</v>
      </c>
      <c r="K235" s="31">
        <f>Table14[[#This Row],[week first day]]-7</f>
        <v>46179</v>
      </c>
      <c r="L235">
        <f t="shared" si="7"/>
        <v>8602</v>
      </c>
    </row>
    <row r="236" spans="1:12" x14ac:dyDescent="0.3">
      <c r="A236" s="8" t="s">
        <v>25</v>
      </c>
      <c r="B236" s="8" t="s">
        <v>26</v>
      </c>
      <c r="C236" s="8" t="s">
        <v>27</v>
      </c>
      <c r="D236" s="8">
        <v>80</v>
      </c>
      <c r="E236" s="8" t="s">
        <v>28</v>
      </c>
      <c r="F236" t="s">
        <v>29</v>
      </c>
      <c r="G236" s="8">
        <v>5000</v>
      </c>
      <c r="H236" s="7">
        <v>46190</v>
      </c>
      <c r="I236" s="9">
        <v>270</v>
      </c>
      <c r="J236" s="31">
        <f t="shared" si="6"/>
        <v>46186</v>
      </c>
      <c r="K236" s="31">
        <f>Table14[[#This Row],[week first day]]-7</f>
        <v>46179</v>
      </c>
      <c r="L236">
        <f t="shared" si="7"/>
        <v>8602</v>
      </c>
    </row>
    <row r="237" spans="1:12" x14ac:dyDescent="0.3">
      <c r="A237" s="8" t="s">
        <v>25</v>
      </c>
      <c r="B237" s="8" t="s">
        <v>26</v>
      </c>
      <c r="C237" s="8" t="s">
        <v>27</v>
      </c>
      <c r="D237" s="8">
        <v>80</v>
      </c>
      <c r="E237" s="8" t="s">
        <v>28</v>
      </c>
      <c r="F237" t="s">
        <v>29</v>
      </c>
      <c r="G237" s="8">
        <v>5000</v>
      </c>
      <c r="H237" s="7">
        <v>46190</v>
      </c>
      <c r="I237" s="9">
        <v>270</v>
      </c>
      <c r="J237" s="31">
        <f t="shared" si="6"/>
        <v>46186</v>
      </c>
      <c r="K237" s="31">
        <f>Table14[[#This Row],[week first day]]-7</f>
        <v>46179</v>
      </c>
      <c r="L237">
        <f t="shared" si="7"/>
        <v>8602</v>
      </c>
    </row>
    <row r="238" spans="1:12" x14ac:dyDescent="0.3">
      <c r="A238" s="8" t="s">
        <v>25</v>
      </c>
      <c r="B238" s="8" t="s">
        <v>26</v>
      </c>
      <c r="C238" s="8" t="s">
        <v>27</v>
      </c>
      <c r="D238" s="8">
        <v>80</v>
      </c>
      <c r="E238" s="8" t="s">
        <v>28</v>
      </c>
      <c r="F238" t="s">
        <v>29</v>
      </c>
      <c r="G238" s="8">
        <v>5000</v>
      </c>
      <c r="H238" s="7">
        <v>46190</v>
      </c>
      <c r="I238" s="9">
        <v>270</v>
      </c>
      <c r="J238" s="31">
        <f t="shared" si="6"/>
        <v>46186</v>
      </c>
      <c r="K238" s="31">
        <f>Table14[[#This Row],[week first day]]-7</f>
        <v>46179</v>
      </c>
      <c r="L238">
        <f t="shared" si="7"/>
        <v>8602</v>
      </c>
    </row>
    <row r="239" spans="1:12" x14ac:dyDescent="0.3">
      <c r="A239" s="8" t="s">
        <v>25</v>
      </c>
      <c r="B239" s="8" t="s">
        <v>26</v>
      </c>
      <c r="C239" s="8" t="s">
        <v>27</v>
      </c>
      <c r="D239" s="8">
        <v>80</v>
      </c>
      <c r="E239" s="8" t="s">
        <v>28</v>
      </c>
      <c r="F239" t="s">
        <v>29</v>
      </c>
      <c r="G239" s="8">
        <v>5000</v>
      </c>
      <c r="H239" s="7">
        <v>46192</v>
      </c>
      <c r="I239" s="9">
        <v>3202</v>
      </c>
      <c r="J239" s="31">
        <f t="shared" si="6"/>
        <v>46186</v>
      </c>
      <c r="K239" s="31">
        <f>Table14[[#This Row],[week first day]]-7</f>
        <v>46179</v>
      </c>
      <c r="L239">
        <f t="shared" si="7"/>
        <v>8602</v>
      </c>
    </row>
    <row r="240" spans="1:12" x14ac:dyDescent="0.3">
      <c r="A240" s="8" t="s">
        <v>25</v>
      </c>
      <c r="B240" s="8" t="s">
        <v>26</v>
      </c>
      <c r="C240" s="8" t="s">
        <v>27</v>
      </c>
      <c r="D240" s="8">
        <v>80</v>
      </c>
      <c r="E240" s="8" t="s">
        <v>28</v>
      </c>
      <c r="F240" t="s">
        <v>29</v>
      </c>
      <c r="G240" s="8">
        <v>5000</v>
      </c>
      <c r="H240" s="7">
        <v>46192</v>
      </c>
      <c r="I240" s="9">
        <v>540</v>
      </c>
      <c r="J240" s="31">
        <f t="shared" si="6"/>
        <v>46186</v>
      </c>
      <c r="K240" s="31">
        <f>Table14[[#This Row],[week first day]]-7</f>
        <v>46179</v>
      </c>
      <c r="L240">
        <f t="shared" si="7"/>
        <v>8602</v>
      </c>
    </row>
    <row r="241" spans="1:12" x14ac:dyDescent="0.3">
      <c r="A241" s="8" t="s">
        <v>25</v>
      </c>
      <c r="B241" s="8" t="s">
        <v>26</v>
      </c>
      <c r="C241" s="8" t="s">
        <v>27</v>
      </c>
      <c r="D241" s="8">
        <v>80</v>
      </c>
      <c r="E241" s="8" t="s">
        <v>28</v>
      </c>
      <c r="F241" t="s">
        <v>29</v>
      </c>
      <c r="G241" s="8">
        <v>5000</v>
      </c>
      <c r="H241" s="7">
        <v>46197</v>
      </c>
      <c r="I241" s="9">
        <v>270</v>
      </c>
      <c r="J241" s="31">
        <f t="shared" si="6"/>
        <v>46193</v>
      </c>
      <c r="K241" s="31">
        <f>Table14[[#This Row],[week first day]]-7</f>
        <v>46186</v>
      </c>
      <c r="L241">
        <f t="shared" si="7"/>
        <v>8802</v>
      </c>
    </row>
    <row r="242" spans="1:12" x14ac:dyDescent="0.3">
      <c r="A242" s="8" t="s">
        <v>25</v>
      </c>
      <c r="B242" s="8" t="s">
        <v>26</v>
      </c>
      <c r="C242" s="8" t="s">
        <v>27</v>
      </c>
      <c r="D242" s="8">
        <v>80</v>
      </c>
      <c r="E242" s="8" t="s">
        <v>28</v>
      </c>
      <c r="F242" t="s">
        <v>29</v>
      </c>
      <c r="G242" s="8">
        <v>5000</v>
      </c>
      <c r="H242" s="7">
        <v>46197</v>
      </c>
      <c r="I242" s="9">
        <v>270</v>
      </c>
      <c r="J242" s="31">
        <f t="shared" si="6"/>
        <v>46193</v>
      </c>
      <c r="K242" s="31">
        <f>Table14[[#This Row],[week first day]]-7</f>
        <v>46186</v>
      </c>
      <c r="L242">
        <f t="shared" si="7"/>
        <v>8802</v>
      </c>
    </row>
    <row r="243" spans="1:12" x14ac:dyDescent="0.3">
      <c r="A243" s="8" t="s">
        <v>25</v>
      </c>
      <c r="B243" s="8" t="s">
        <v>26</v>
      </c>
      <c r="C243" s="8" t="s">
        <v>27</v>
      </c>
      <c r="D243" s="8">
        <v>80</v>
      </c>
      <c r="E243" s="8" t="s">
        <v>28</v>
      </c>
      <c r="F243" t="s">
        <v>29</v>
      </c>
      <c r="G243" s="8">
        <v>5000</v>
      </c>
      <c r="H243" s="7">
        <v>46197</v>
      </c>
      <c r="I243" s="9">
        <v>270</v>
      </c>
      <c r="J243" s="31">
        <f t="shared" si="6"/>
        <v>46193</v>
      </c>
      <c r="K243" s="31">
        <f>Table14[[#This Row],[week first day]]-7</f>
        <v>46186</v>
      </c>
      <c r="L243">
        <f t="shared" si="7"/>
        <v>8802</v>
      </c>
    </row>
    <row r="244" spans="1:12" x14ac:dyDescent="0.3">
      <c r="A244" s="8" t="s">
        <v>25</v>
      </c>
      <c r="B244" s="8" t="s">
        <v>26</v>
      </c>
      <c r="C244" s="8" t="s">
        <v>27</v>
      </c>
      <c r="D244" s="8">
        <v>80</v>
      </c>
      <c r="E244" s="8" t="s">
        <v>28</v>
      </c>
      <c r="F244" t="s">
        <v>29</v>
      </c>
      <c r="G244" s="8">
        <v>5000</v>
      </c>
      <c r="H244" s="7">
        <v>46197</v>
      </c>
      <c r="I244" s="9">
        <v>270</v>
      </c>
      <c r="J244" s="31">
        <f t="shared" si="6"/>
        <v>46193</v>
      </c>
      <c r="K244" s="31">
        <f>Table14[[#This Row],[week first day]]-7</f>
        <v>46186</v>
      </c>
      <c r="L244">
        <f t="shared" si="7"/>
        <v>8802</v>
      </c>
    </row>
    <row r="245" spans="1:12" x14ac:dyDescent="0.3">
      <c r="A245" s="8" t="s">
        <v>25</v>
      </c>
      <c r="B245" s="8" t="s">
        <v>26</v>
      </c>
      <c r="C245" s="8" t="s">
        <v>27</v>
      </c>
      <c r="D245" s="8">
        <v>80</v>
      </c>
      <c r="E245" s="8" t="s">
        <v>28</v>
      </c>
      <c r="F245" t="s">
        <v>29</v>
      </c>
      <c r="G245" s="8">
        <v>5000</v>
      </c>
      <c r="H245" s="7">
        <v>46197</v>
      </c>
      <c r="I245" s="9">
        <v>270</v>
      </c>
      <c r="J245" s="31">
        <f t="shared" si="6"/>
        <v>46193</v>
      </c>
      <c r="K245" s="31">
        <f>Table14[[#This Row],[week first day]]-7</f>
        <v>46186</v>
      </c>
      <c r="L245">
        <f t="shared" si="7"/>
        <v>8802</v>
      </c>
    </row>
    <row r="246" spans="1:12" x14ac:dyDescent="0.3">
      <c r="A246" s="8" t="s">
        <v>25</v>
      </c>
      <c r="B246" s="8" t="s">
        <v>26</v>
      </c>
      <c r="C246" s="8" t="s">
        <v>27</v>
      </c>
      <c r="D246" s="8">
        <v>80</v>
      </c>
      <c r="E246" s="8" t="s">
        <v>28</v>
      </c>
      <c r="F246" t="s">
        <v>29</v>
      </c>
      <c r="G246" s="8">
        <v>5000</v>
      </c>
      <c r="H246" s="7">
        <v>46197</v>
      </c>
      <c r="I246" s="9">
        <v>270</v>
      </c>
      <c r="J246" s="31">
        <f t="shared" si="6"/>
        <v>46193</v>
      </c>
      <c r="K246" s="31">
        <f>Table14[[#This Row],[week first day]]-7</f>
        <v>46186</v>
      </c>
      <c r="L246">
        <f t="shared" si="7"/>
        <v>8802</v>
      </c>
    </row>
    <row r="247" spans="1:12" x14ac:dyDescent="0.3">
      <c r="A247" s="8" t="s">
        <v>25</v>
      </c>
      <c r="B247" s="8" t="s">
        <v>26</v>
      </c>
      <c r="C247" s="8" t="s">
        <v>27</v>
      </c>
      <c r="D247" s="8">
        <v>80</v>
      </c>
      <c r="E247" s="8" t="s">
        <v>28</v>
      </c>
      <c r="F247" t="s">
        <v>29</v>
      </c>
      <c r="G247" s="8">
        <v>5000</v>
      </c>
      <c r="H247" s="7">
        <v>46197</v>
      </c>
      <c r="I247" s="9">
        <v>228</v>
      </c>
      <c r="J247" s="31">
        <f t="shared" si="6"/>
        <v>46193</v>
      </c>
      <c r="K247" s="31">
        <f>Table14[[#This Row],[week first day]]-7</f>
        <v>46186</v>
      </c>
      <c r="L247">
        <f t="shared" si="7"/>
        <v>8802</v>
      </c>
    </row>
    <row r="248" spans="1:12" x14ac:dyDescent="0.3">
      <c r="A248" s="8" t="s">
        <v>25</v>
      </c>
      <c r="B248" s="8" t="s">
        <v>26</v>
      </c>
      <c r="C248" s="8" t="s">
        <v>27</v>
      </c>
      <c r="D248" s="8">
        <v>80</v>
      </c>
      <c r="E248" s="8" t="s">
        <v>28</v>
      </c>
      <c r="F248" t="s">
        <v>29</v>
      </c>
      <c r="G248" s="8">
        <v>5000</v>
      </c>
      <c r="H248" s="7">
        <v>46197</v>
      </c>
      <c r="I248" s="9">
        <v>170</v>
      </c>
      <c r="J248" s="31">
        <f t="shared" si="6"/>
        <v>46193</v>
      </c>
      <c r="K248" s="31">
        <f>Table14[[#This Row],[week first day]]-7</f>
        <v>46186</v>
      </c>
      <c r="L248">
        <f t="shared" si="7"/>
        <v>8802</v>
      </c>
    </row>
    <row r="249" spans="1:12" x14ac:dyDescent="0.3">
      <c r="A249" s="8" t="s">
        <v>25</v>
      </c>
      <c r="B249" s="8" t="s">
        <v>26</v>
      </c>
      <c r="C249" s="8" t="s">
        <v>27</v>
      </c>
      <c r="D249" s="8">
        <v>80</v>
      </c>
      <c r="E249" s="8" t="s">
        <v>28</v>
      </c>
      <c r="F249" t="s">
        <v>29</v>
      </c>
      <c r="G249" s="8">
        <v>5000</v>
      </c>
      <c r="H249" s="7">
        <v>46197</v>
      </c>
      <c r="I249" s="9">
        <v>270</v>
      </c>
      <c r="J249" s="31">
        <f t="shared" si="6"/>
        <v>46193</v>
      </c>
      <c r="K249" s="31">
        <f>Table14[[#This Row],[week first day]]-7</f>
        <v>46186</v>
      </c>
      <c r="L249">
        <f t="shared" si="7"/>
        <v>8802</v>
      </c>
    </row>
    <row r="250" spans="1:12" x14ac:dyDescent="0.3">
      <c r="A250" s="8" t="s">
        <v>25</v>
      </c>
      <c r="B250" s="8" t="s">
        <v>26</v>
      </c>
      <c r="C250" s="8" t="s">
        <v>27</v>
      </c>
      <c r="D250" s="8">
        <v>80</v>
      </c>
      <c r="E250" s="8" t="s">
        <v>28</v>
      </c>
      <c r="F250" t="s">
        <v>29</v>
      </c>
      <c r="G250" s="8">
        <v>5000</v>
      </c>
      <c r="H250" s="7">
        <v>46197</v>
      </c>
      <c r="I250" s="9">
        <v>270</v>
      </c>
      <c r="J250" s="31">
        <f t="shared" si="6"/>
        <v>46193</v>
      </c>
      <c r="K250" s="31">
        <f>Table14[[#This Row],[week first day]]-7</f>
        <v>46186</v>
      </c>
      <c r="L250">
        <f t="shared" si="7"/>
        <v>8802</v>
      </c>
    </row>
    <row r="251" spans="1:12" x14ac:dyDescent="0.3">
      <c r="A251" s="8" t="s">
        <v>25</v>
      </c>
      <c r="B251" s="8" t="s">
        <v>26</v>
      </c>
      <c r="C251" s="8" t="s">
        <v>27</v>
      </c>
      <c r="D251" s="8">
        <v>80</v>
      </c>
      <c r="E251" s="8" t="s">
        <v>28</v>
      </c>
      <c r="F251" t="s">
        <v>29</v>
      </c>
      <c r="G251" s="8">
        <v>5000</v>
      </c>
      <c r="H251" s="7">
        <v>46197</v>
      </c>
      <c r="I251" s="9">
        <v>270</v>
      </c>
      <c r="J251" s="31">
        <f t="shared" si="6"/>
        <v>46193</v>
      </c>
      <c r="K251" s="31">
        <f>Table14[[#This Row],[week first day]]-7</f>
        <v>46186</v>
      </c>
      <c r="L251">
        <f t="shared" si="7"/>
        <v>8802</v>
      </c>
    </row>
    <row r="252" spans="1:12" x14ac:dyDescent="0.3">
      <c r="A252" s="8" t="s">
        <v>25</v>
      </c>
      <c r="B252" s="8" t="s">
        <v>26</v>
      </c>
      <c r="C252" s="8" t="s">
        <v>27</v>
      </c>
      <c r="D252" s="8">
        <v>80</v>
      </c>
      <c r="E252" s="8" t="s">
        <v>28</v>
      </c>
      <c r="F252" t="s">
        <v>29</v>
      </c>
      <c r="G252" s="8">
        <v>5000</v>
      </c>
      <c r="H252" s="7">
        <v>46197</v>
      </c>
      <c r="I252" s="9">
        <v>270</v>
      </c>
      <c r="J252" s="31">
        <f t="shared" si="6"/>
        <v>46193</v>
      </c>
      <c r="K252" s="31">
        <f>Table14[[#This Row],[week first day]]-7</f>
        <v>46186</v>
      </c>
      <c r="L252">
        <f t="shared" si="7"/>
        <v>8802</v>
      </c>
    </row>
    <row r="253" spans="1:12" x14ac:dyDescent="0.3">
      <c r="A253" s="8" t="s">
        <v>25</v>
      </c>
      <c r="B253" s="8" t="s">
        <v>26</v>
      </c>
      <c r="C253" s="8" t="s">
        <v>27</v>
      </c>
      <c r="D253" s="8">
        <v>80</v>
      </c>
      <c r="E253" s="8" t="s">
        <v>28</v>
      </c>
      <c r="F253" t="s">
        <v>29</v>
      </c>
      <c r="G253" s="8">
        <v>5000</v>
      </c>
      <c r="H253" s="7">
        <v>46199</v>
      </c>
      <c r="I253" s="9">
        <v>5704</v>
      </c>
      <c r="J253" s="31">
        <f t="shared" si="6"/>
        <v>46193</v>
      </c>
      <c r="K253" s="31">
        <f>Table14[[#This Row],[week first day]]-7</f>
        <v>46186</v>
      </c>
      <c r="L253">
        <f t="shared" si="7"/>
        <v>8802</v>
      </c>
    </row>
    <row r="254" spans="1:12" x14ac:dyDescent="0.3">
      <c r="A254" s="8" t="s">
        <v>25</v>
      </c>
      <c r="B254" s="8" t="s">
        <v>26</v>
      </c>
      <c r="C254" s="8" t="s">
        <v>27</v>
      </c>
      <c r="D254" s="8">
        <v>80</v>
      </c>
      <c r="E254" s="8" t="s">
        <v>28</v>
      </c>
      <c r="F254" t="s">
        <v>29</v>
      </c>
      <c r="G254" s="8">
        <v>5000</v>
      </c>
      <c r="H254" s="7">
        <v>46206</v>
      </c>
      <c r="I254" s="9">
        <v>2500</v>
      </c>
      <c r="J254" s="31">
        <f t="shared" si="6"/>
        <v>46200</v>
      </c>
      <c r="K254" s="31">
        <f>Table14[[#This Row],[week first day]]-7</f>
        <v>46193</v>
      </c>
      <c r="L254">
        <f t="shared" si="7"/>
        <v>7695</v>
      </c>
    </row>
    <row r="255" spans="1:12" x14ac:dyDescent="0.3">
      <c r="A255" s="8" t="s">
        <v>25</v>
      </c>
      <c r="B255" s="8" t="s">
        <v>26</v>
      </c>
      <c r="C255" s="8" t="s">
        <v>27</v>
      </c>
      <c r="D255" s="8">
        <v>80</v>
      </c>
      <c r="E255" s="8" t="s">
        <v>28</v>
      </c>
      <c r="F255" t="s">
        <v>29</v>
      </c>
      <c r="G255" s="8">
        <v>5000</v>
      </c>
      <c r="H255" s="7">
        <v>46206</v>
      </c>
      <c r="I255" s="9">
        <v>4655</v>
      </c>
      <c r="J255" s="31">
        <f t="shared" si="6"/>
        <v>46200</v>
      </c>
      <c r="K255" s="31">
        <f>Table14[[#This Row],[week first day]]-7</f>
        <v>46193</v>
      </c>
      <c r="L255">
        <f t="shared" si="7"/>
        <v>7695</v>
      </c>
    </row>
    <row r="256" spans="1:12" x14ac:dyDescent="0.3">
      <c r="A256" s="8" t="s">
        <v>25</v>
      </c>
      <c r="B256" s="8" t="s">
        <v>26</v>
      </c>
      <c r="C256" s="8" t="s">
        <v>27</v>
      </c>
      <c r="D256" s="8">
        <v>80</v>
      </c>
      <c r="E256" s="8" t="s">
        <v>28</v>
      </c>
      <c r="F256" t="s">
        <v>29</v>
      </c>
      <c r="G256" s="8">
        <v>5000</v>
      </c>
      <c r="H256" s="7">
        <v>46206</v>
      </c>
      <c r="I256" s="9">
        <v>540</v>
      </c>
      <c r="J256" s="31">
        <f t="shared" si="6"/>
        <v>46200</v>
      </c>
      <c r="K256" s="31">
        <f>Table14[[#This Row],[week first day]]-7</f>
        <v>46193</v>
      </c>
      <c r="L256">
        <f t="shared" si="7"/>
        <v>7695</v>
      </c>
    </row>
    <row r="257" spans="1:12" x14ac:dyDescent="0.3">
      <c r="A257" s="8" t="s">
        <v>25</v>
      </c>
      <c r="B257" s="8" t="s">
        <v>26</v>
      </c>
      <c r="C257" s="8" t="s">
        <v>27</v>
      </c>
      <c r="D257" s="8">
        <v>80</v>
      </c>
      <c r="E257" s="8" t="s">
        <v>28</v>
      </c>
      <c r="F257" t="s">
        <v>29</v>
      </c>
      <c r="G257" s="8">
        <v>5000</v>
      </c>
      <c r="H257" s="7">
        <v>46213</v>
      </c>
      <c r="I257" s="9">
        <v>2500</v>
      </c>
      <c r="J257" s="31">
        <f t="shared" si="6"/>
        <v>46207</v>
      </c>
      <c r="K257" s="31">
        <f>Table14[[#This Row],[week first day]]-7</f>
        <v>46200</v>
      </c>
      <c r="L257">
        <f t="shared" si="7"/>
        <v>2500</v>
      </c>
    </row>
    <row r="258" spans="1:12" x14ac:dyDescent="0.3">
      <c r="A258" s="8" t="s">
        <v>25</v>
      </c>
      <c r="B258" s="8" t="s">
        <v>26</v>
      </c>
      <c r="C258" s="8" t="s">
        <v>27</v>
      </c>
      <c r="D258" s="8">
        <v>80</v>
      </c>
      <c r="E258" s="8" t="s">
        <v>28</v>
      </c>
      <c r="F258" t="s">
        <v>29</v>
      </c>
      <c r="G258" s="8">
        <v>5000</v>
      </c>
      <c r="H258" s="7">
        <v>46220</v>
      </c>
      <c r="I258" s="9">
        <v>2500</v>
      </c>
      <c r="J258" s="31">
        <f t="shared" ref="J258:J321" si="8">$M$1+7*INT((H258-$M$1)/7)</f>
        <v>46214</v>
      </c>
      <c r="K258" s="31">
        <f>Table14[[#This Row],[week first day]]-7</f>
        <v>46207</v>
      </c>
      <c r="L258">
        <f t="shared" ref="L258:L321" si="9">SUMIFS($I:$I,$A:$A,A258,J:J,J258)</f>
        <v>2500</v>
      </c>
    </row>
    <row r="259" spans="1:12" x14ac:dyDescent="0.3">
      <c r="A259" s="8" t="s">
        <v>25</v>
      </c>
      <c r="B259" s="8" t="s">
        <v>26</v>
      </c>
      <c r="C259" s="8" t="s">
        <v>27</v>
      </c>
      <c r="D259" s="8">
        <v>80</v>
      </c>
      <c r="E259" s="8" t="s">
        <v>28</v>
      </c>
      <c r="F259" t="s">
        <v>29</v>
      </c>
      <c r="G259" s="8">
        <v>5000</v>
      </c>
      <c r="H259" s="7">
        <v>46227</v>
      </c>
      <c r="I259" s="9">
        <v>2500</v>
      </c>
      <c r="J259" s="31">
        <f t="shared" si="8"/>
        <v>46221</v>
      </c>
      <c r="K259" s="31">
        <f>Table14[[#This Row],[week first day]]-7</f>
        <v>46214</v>
      </c>
      <c r="L259">
        <f t="shared" si="9"/>
        <v>2500</v>
      </c>
    </row>
    <row r="260" spans="1:12" x14ac:dyDescent="0.3">
      <c r="A260" s="8" t="s">
        <v>25</v>
      </c>
      <c r="B260" s="8" t="s">
        <v>26</v>
      </c>
      <c r="C260" s="8" t="s">
        <v>27</v>
      </c>
      <c r="D260" s="8">
        <v>80</v>
      </c>
      <c r="E260" s="8" t="s">
        <v>28</v>
      </c>
      <c r="F260" t="s">
        <v>29</v>
      </c>
      <c r="G260" s="8">
        <v>5000</v>
      </c>
      <c r="H260" s="7">
        <v>46234</v>
      </c>
      <c r="I260" s="9">
        <v>1000</v>
      </c>
      <c r="J260" s="31">
        <f t="shared" si="8"/>
        <v>46228</v>
      </c>
      <c r="K260" s="31">
        <f>Table14[[#This Row],[week first day]]-7</f>
        <v>46221</v>
      </c>
      <c r="L260">
        <f t="shared" si="9"/>
        <v>1000</v>
      </c>
    </row>
    <row r="261" spans="1:12" x14ac:dyDescent="0.3">
      <c r="A261" s="8" t="s">
        <v>25</v>
      </c>
      <c r="B261" s="8" t="s">
        <v>26</v>
      </c>
      <c r="C261" s="8" t="s">
        <v>27</v>
      </c>
      <c r="D261" s="8">
        <v>80</v>
      </c>
      <c r="E261" s="8" t="s">
        <v>28</v>
      </c>
      <c r="F261" t="s">
        <v>29</v>
      </c>
      <c r="G261" s="8">
        <v>5000</v>
      </c>
      <c r="H261" s="7">
        <v>46241</v>
      </c>
      <c r="I261" s="9">
        <v>1000</v>
      </c>
      <c r="J261" s="31">
        <f t="shared" si="8"/>
        <v>46235</v>
      </c>
      <c r="K261" s="31">
        <f>Table14[[#This Row],[week first day]]-7</f>
        <v>46228</v>
      </c>
      <c r="L261">
        <f t="shared" si="9"/>
        <v>1000</v>
      </c>
    </row>
    <row r="262" spans="1:12" x14ac:dyDescent="0.3">
      <c r="A262" s="8" t="s">
        <v>25</v>
      </c>
      <c r="B262" s="8" t="s">
        <v>26</v>
      </c>
      <c r="C262" s="8" t="s">
        <v>27</v>
      </c>
      <c r="D262" s="8">
        <v>80</v>
      </c>
      <c r="E262" s="8" t="s">
        <v>28</v>
      </c>
      <c r="F262" t="s">
        <v>29</v>
      </c>
      <c r="G262" s="8">
        <v>5000</v>
      </c>
      <c r="H262" s="7">
        <v>46248</v>
      </c>
      <c r="I262" s="9">
        <v>1000</v>
      </c>
      <c r="J262" s="31">
        <f t="shared" si="8"/>
        <v>46242</v>
      </c>
      <c r="K262" s="31">
        <f>Table14[[#This Row],[week first day]]-7</f>
        <v>46235</v>
      </c>
      <c r="L262">
        <f t="shared" si="9"/>
        <v>1000</v>
      </c>
    </row>
    <row r="263" spans="1:12" x14ac:dyDescent="0.3">
      <c r="A263" s="8" t="s">
        <v>25</v>
      </c>
      <c r="B263" s="8" t="s">
        <v>26</v>
      </c>
      <c r="C263" s="8" t="s">
        <v>27</v>
      </c>
      <c r="D263" s="8">
        <v>80</v>
      </c>
      <c r="E263" s="8" t="s">
        <v>28</v>
      </c>
      <c r="F263" t="s">
        <v>29</v>
      </c>
      <c r="G263" s="8">
        <v>5000</v>
      </c>
      <c r="H263" s="7">
        <v>46255</v>
      </c>
      <c r="I263" s="9">
        <v>1000</v>
      </c>
      <c r="J263" s="31">
        <f t="shared" si="8"/>
        <v>46249</v>
      </c>
      <c r="K263" s="31">
        <f>Table14[[#This Row],[week first day]]-7</f>
        <v>46242</v>
      </c>
      <c r="L263">
        <f t="shared" si="9"/>
        <v>1000</v>
      </c>
    </row>
    <row r="264" spans="1:12" x14ac:dyDescent="0.3">
      <c r="A264" s="8" t="s">
        <v>25</v>
      </c>
      <c r="B264" s="8" t="s">
        <v>26</v>
      </c>
      <c r="C264" s="8" t="s">
        <v>27</v>
      </c>
      <c r="D264" s="8">
        <v>80</v>
      </c>
      <c r="E264" s="8" t="s">
        <v>28</v>
      </c>
      <c r="F264" t="s">
        <v>29</v>
      </c>
      <c r="G264" s="8">
        <v>5000</v>
      </c>
      <c r="H264" s="7">
        <v>46262</v>
      </c>
      <c r="I264" s="9">
        <v>1000</v>
      </c>
      <c r="J264" s="31">
        <f t="shared" si="8"/>
        <v>46256</v>
      </c>
      <c r="K264" s="31">
        <f>Table14[[#This Row],[week first day]]-7</f>
        <v>46249</v>
      </c>
      <c r="L264">
        <f t="shared" si="9"/>
        <v>1000</v>
      </c>
    </row>
    <row r="265" spans="1:12" x14ac:dyDescent="0.3">
      <c r="A265" s="8" t="s">
        <v>25</v>
      </c>
      <c r="B265" s="8" t="s">
        <v>26</v>
      </c>
      <c r="C265" s="8" t="s">
        <v>27</v>
      </c>
      <c r="D265" s="8">
        <v>80</v>
      </c>
      <c r="E265" s="8" t="s">
        <v>28</v>
      </c>
      <c r="F265" t="s">
        <v>29</v>
      </c>
      <c r="G265" s="8">
        <v>5000</v>
      </c>
      <c r="H265" s="7">
        <v>46269</v>
      </c>
      <c r="I265" s="9">
        <v>750</v>
      </c>
      <c r="J265" s="31">
        <f t="shared" si="8"/>
        <v>46263</v>
      </c>
      <c r="K265" s="31">
        <f>Table14[[#This Row],[week first day]]-7</f>
        <v>46256</v>
      </c>
      <c r="L265">
        <f t="shared" si="9"/>
        <v>750</v>
      </c>
    </row>
    <row r="266" spans="1:12" x14ac:dyDescent="0.3">
      <c r="A266" s="8" t="s">
        <v>25</v>
      </c>
      <c r="B266" s="8" t="s">
        <v>26</v>
      </c>
      <c r="C266" s="8" t="s">
        <v>27</v>
      </c>
      <c r="D266" s="8">
        <v>80</v>
      </c>
      <c r="E266" s="8" t="s">
        <v>28</v>
      </c>
      <c r="F266" t="s">
        <v>29</v>
      </c>
      <c r="G266" s="8">
        <v>5000</v>
      </c>
      <c r="H266" s="7">
        <v>46276</v>
      </c>
      <c r="I266" s="9">
        <v>750</v>
      </c>
      <c r="J266" s="31">
        <f t="shared" si="8"/>
        <v>46270</v>
      </c>
      <c r="K266" s="31">
        <f>Table14[[#This Row],[week first day]]-7</f>
        <v>46263</v>
      </c>
      <c r="L266">
        <f t="shared" si="9"/>
        <v>750</v>
      </c>
    </row>
    <row r="267" spans="1:12" x14ac:dyDescent="0.3">
      <c r="A267" s="8" t="s">
        <v>25</v>
      </c>
      <c r="B267" s="8" t="s">
        <v>26</v>
      </c>
      <c r="C267" s="8" t="s">
        <v>27</v>
      </c>
      <c r="D267" s="8">
        <v>80</v>
      </c>
      <c r="E267" s="8" t="s">
        <v>28</v>
      </c>
      <c r="F267" t="s">
        <v>29</v>
      </c>
      <c r="G267" s="8">
        <v>5000</v>
      </c>
      <c r="H267" s="7">
        <v>46283</v>
      </c>
      <c r="I267" s="9">
        <v>750</v>
      </c>
      <c r="J267" s="31">
        <f t="shared" si="8"/>
        <v>46277</v>
      </c>
      <c r="K267" s="31">
        <f>Table14[[#This Row],[week first day]]-7</f>
        <v>46270</v>
      </c>
      <c r="L267">
        <f t="shared" si="9"/>
        <v>750</v>
      </c>
    </row>
    <row r="268" spans="1:12" x14ac:dyDescent="0.3">
      <c r="A268" s="8" t="s">
        <v>25</v>
      </c>
      <c r="B268" s="8" t="s">
        <v>26</v>
      </c>
      <c r="C268" s="8" t="s">
        <v>27</v>
      </c>
      <c r="D268" s="8">
        <v>80</v>
      </c>
      <c r="E268" s="8" t="s">
        <v>28</v>
      </c>
      <c r="F268" t="s">
        <v>29</v>
      </c>
      <c r="G268" s="8">
        <v>5000</v>
      </c>
      <c r="H268" s="7">
        <v>46290</v>
      </c>
      <c r="I268" s="9">
        <v>750</v>
      </c>
      <c r="J268" s="31">
        <f t="shared" si="8"/>
        <v>46284</v>
      </c>
      <c r="K268" s="31">
        <f>Table14[[#This Row],[week first day]]-7</f>
        <v>46277</v>
      </c>
      <c r="L268">
        <f t="shared" si="9"/>
        <v>750</v>
      </c>
    </row>
    <row r="269" spans="1:12" x14ac:dyDescent="0.3">
      <c r="A269" s="8" t="s">
        <v>25</v>
      </c>
      <c r="B269" s="8" t="s">
        <v>26</v>
      </c>
      <c r="C269" s="8" t="s">
        <v>27</v>
      </c>
      <c r="D269" s="8">
        <v>80</v>
      </c>
      <c r="E269" s="8" t="s">
        <v>28</v>
      </c>
      <c r="F269" t="s">
        <v>29</v>
      </c>
      <c r="G269" s="8">
        <v>5000</v>
      </c>
      <c r="H269" s="7">
        <v>46297</v>
      </c>
      <c r="I269" s="9">
        <v>600</v>
      </c>
      <c r="J269" s="31">
        <f t="shared" si="8"/>
        <v>46291</v>
      </c>
      <c r="K269" s="31">
        <f>Table14[[#This Row],[week first day]]-7</f>
        <v>46284</v>
      </c>
      <c r="L269">
        <f t="shared" si="9"/>
        <v>600</v>
      </c>
    </row>
    <row r="270" spans="1:12" x14ac:dyDescent="0.3">
      <c r="A270" s="8" t="s">
        <v>25</v>
      </c>
      <c r="B270" s="8" t="s">
        <v>26</v>
      </c>
      <c r="C270" s="8" t="s">
        <v>27</v>
      </c>
      <c r="D270" s="8">
        <v>80</v>
      </c>
      <c r="E270" s="8" t="s">
        <v>28</v>
      </c>
      <c r="F270" t="s">
        <v>29</v>
      </c>
      <c r="G270" s="8">
        <v>5000</v>
      </c>
      <c r="H270" s="7">
        <v>46304</v>
      </c>
      <c r="I270" s="9">
        <v>600</v>
      </c>
      <c r="J270" s="31">
        <f t="shared" si="8"/>
        <v>46298</v>
      </c>
      <c r="K270" s="31">
        <f>Table14[[#This Row],[week first day]]-7</f>
        <v>46291</v>
      </c>
      <c r="L270">
        <f t="shared" si="9"/>
        <v>600</v>
      </c>
    </row>
    <row r="271" spans="1:12" x14ac:dyDescent="0.3">
      <c r="A271" s="8" t="s">
        <v>25</v>
      </c>
      <c r="B271" s="8" t="s">
        <v>26</v>
      </c>
      <c r="C271" s="8" t="s">
        <v>27</v>
      </c>
      <c r="D271" s="8">
        <v>80</v>
      </c>
      <c r="E271" s="8" t="s">
        <v>28</v>
      </c>
      <c r="F271" t="s">
        <v>29</v>
      </c>
      <c r="G271" s="8">
        <v>5000</v>
      </c>
      <c r="H271" s="7">
        <v>46311</v>
      </c>
      <c r="I271" s="9">
        <v>600</v>
      </c>
      <c r="J271" s="31">
        <f t="shared" si="8"/>
        <v>46305</v>
      </c>
      <c r="K271" s="31">
        <f>Table14[[#This Row],[week first day]]-7</f>
        <v>46298</v>
      </c>
      <c r="L271">
        <f t="shared" si="9"/>
        <v>600</v>
      </c>
    </row>
    <row r="272" spans="1:12" x14ac:dyDescent="0.3">
      <c r="A272" s="8" t="s">
        <v>25</v>
      </c>
      <c r="B272" s="8" t="s">
        <v>26</v>
      </c>
      <c r="C272" s="8" t="s">
        <v>27</v>
      </c>
      <c r="D272" s="8">
        <v>80</v>
      </c>
      <c r="E272" s="8" t="s">
        <v>28</v>
      </c>
      <c r="F272" t="s">
        <v>29</v>
      </c>
      <c r="G272" s="8">
        <v>5000</v>
      </c>
      <c r="H272" s="7">
        <v>46318</v>
      </c>
      <c r="I272" s="9">
        <v>600</v>
      </c>
      <c r="J272" s="31">
        <f t="shared" si="8"/>
        <v>46312</v>
      </c>
      <c r="K272" s="31">
        <f>Table14[[#This Row],[week first day]]-7</f>
        <v>46305</v>
      </c>
      <c r="L272">
        <f t="shared" si="9"/>
        <v>600</v>
      </c>
    </row>
    <row r="273" spans="1:12" x14ac:dyDescent="0.3">
      <c r="A273" s="8" t="s">
        <v>25</v>
      </c>
      <c r="B273" s="8" t="s">
        <v>26</v>
      </c>
      <c r="C273" s="8" t="s">
        <v>27</v>
      </c>
      <c r="D273" s="8">
        <v>80</v>
      </c>
      <c r="E273" s="8" t="s">
        <v>28</v>
      </c>
      <c r="F273" t="s">
        <v>29</v>
      </c>
      <c r="G273" s="8">
        <v>5000</v>
      </c>
      <c r="H273" s="7">
        <v>46325</v>
      </c>
      <c r="I273" s="9">
        <v>600</v>
      </c>
      <c r="J273" s="31">
        <f t="shared" si="8"/>
        <v>46319</v>
      </c>
      <c r="K273" s="31">
        <f>Table14[[#This Row],[week first day]]-7</f>
        <v>46312</v>
      </c>
      <c r="L273">
        <f t="shared" si="9"/>
        <v>600</v>
      </c>
    </row>
    <row r="274" spans="1:12" x14ac:dyDescent="0.3">
      <c r="A274" s="8" t="s">
        <v>25</v>
      </c>
      <c r="B274" s="8" t="s">
        <v>26</v>
      </c>
      <c r="C274" s="8" t="s">
        <v>27</v>
      </c>
      <c r="D274" s="8">
        <v>80</v>
      </c>
      <c r="E274" s="8" t="s">
        <v>28</v>
      </c>
      <c r="F274" t="s">
        <v>29</v>
      </c>
      <c r="G274" s="8">
        <v>5000</v>
      </c>
      <c r="H274" s="7">
        <v>46332</v>
      </c>
      <c r="I274" s="9">
        <v>500</v>
      </c>
      <c r="J274" s="31">
        <f t="shared" si="8"/>
        <v>46326</v>
      </c>
      <c r="K274" s="31">
        <f>Table14[[#This Row],[week first day]]-7</f>
        <v>46319</v>
      </c>
      <c r="L274">
        <f t="shared" si="9"/>
        <v>500</v>
      </c>
    </row>
    <row r="275" spans="1:12" x14ac:dyDescent="0.3">
      <c r="A275" s="8" t="s">
        <v>25</v>
      </c>
      <c r="B275" s="8" t="s">
        <v>26</v>
      </c>
      <c r="C275" s="8" t="s">
        <v>27</v>
      </c>
      <c r="D275" s="8">
        <v>80</v>
      </c>
      <c r="E275" s="8" t="s">
        <v>28</v>
      </c>
      <c r="F275" t="s">
        <v>29</v>
      </c>
      <c r="G275" s="8">
        <v>5000</v>
      </c>
      <c r="H275" s="7">
        <v>46339</v>
      </c>
      <c r="I275" s="9">
        <v>500</v>
      </c>
      <c r="J275" s="31">
        <f t="shared" si="8"/>
        <v>46333</v>
      </c>
      <c r="K275" s="31">
        <f>Table14[[#This Row],[week first day]]-7</f>
        <v>46326</v>
      </c>
      <c r="L275">
        <f t="shared" si="9"/>
        <v>500</v>
      </c>
    </row>
    <row r="276" spans="1:12" x14ac:dyDescent="0.3">
      <c r="A276" s="8" t="s">
        <v>25</v>
      </c>
      <c r="B276" s="8" t="s">
        <v>26</v>
      </c>
      <c r="C276" s="8" t="s">
        <v>27</v>
      </c>
      <c r="D276" s="8">
        <v>80</v>
      </c>
      <c r="E276" s="8" t="s">
        <v>28</v>
      </c>
      <c r="F276" t="s">
        <v>29</v>
      </c>
      <c r="G276" s="8">
        <v>5000</v>
      </c>
      <c r="H276" s="7">
        <v>46346</v>
      </c>
      <c r="I276" s="9">
        <v>500</v>
      </c>
      <c r="J276" s="31">
        <f t="shared" si="8"/>
        <v>46340</v>
      </c>
      <c r="K276" s="31">
        <f>Table14[[#This Row],[week first day]]-7</f>
        <v>46333</v>
      </c>
      <c r="L276">
        <f t="shared" si="9"/>
        <v>500</v>
      </c>
    </row>
    <row r="277" spans="1:12" x14ac:dyDescent="0.3">
      <c r="A277" s="8" t="s">
        <v>25</v>
      </c>
      <c r="B277" s="8" t="s">
        <v>26</v>
      </c>
      <c r="C277" s="8" t="s">
        <v>27</v>
      </c>
      <c r="D277" s="8">
        <v>80</v>
      </c>
      <c r="E277" s="8" t="s">
        <v>28</v>
      </c>
      <c r="F277" t="s">
        <v>29</v>
      </c>
      <c r="G277" s="8">
        <v>5000</v>
      </c>
      <c r="H277" s="7">
        <v>46353</v>
      </c>
      <c r="I277" s="9">
        <v>500</v>
      </c>
      <c r="J277" s="31">
        <f t="shared" si="8"/>
        <v>46347</v>
      </c>
      <c r="K277" s="31">
        <f>Table14[[#This Row],[week first day]]-7</f>
        <v>46340</v>
      </c>
      <c r="L277">
        <f t="shared" si="9"/>
        <v>500</v>
      </c>
    </row>
    <row r="278" spans="1:12" x14ac:dyDescent="0.3">
      <c r="A278" s="8" t="s">
        <v>25</v>
      </c>
      <c r="B278" s="8" t="s">
        <v>26</v>
      </c>
      <c r="C278" s="8" t="s">
        <v>27</v>
      </c>
      <c r="D278" s="8">
        <v>80</v>
      </c>
      <c r="E278" s="8" t="s">
        <v>28</v>
      </c>
      <c r="F278" t="s">
        <v>29</v>
      </c>
      <c r="G278" s="8">
        <v>5000</v>
      </c>
      <c r="H278" s="7">
        <v>46360</v>
      </c>
      <c r="I278" s="9">
        <v>3000</v>
      </c>
      <c r="J278" s="31">
        <f t="shared" si="8"/>
        <v>46354</v>
      </c>
      <c r="K278" s="31">
        <f>Table14[[#This Row],[week first day]]-7</f>
        <v>46347</v>
      </c>
      <c r="L278">
        <f t="shared" si="9"/>
        <v>3000</v>
      </c>
    </row>
    <row r="279" spans="1:12" x14ac:dyDescent="0.3">
      <c r="A279" s="8" t="s">
        <v>25</v>
      </c>
      <c r="B279" s="8" t="s">
        <v>26</v>
      </c>
      <c r="C279" s="8" t="s">
        <v>27</v>
      </c>
      <c r="D279" s="8">
        <v>80</v>
      </c>
      <c r="E279" s="8" t="s">
        <v>28</v>
      </c>
      <c r="F279" t="s">
        <v>29</v>
      </c>
      <c r="G279" s="8">
        <v>5000</v>
      </c>
      <c r="H279" s="7">
        <v>46367</v>
      </c>
      <c r="I279" s="9">
        <v>3000</v>
      </c>
      <c r="J279" s="31">
        <f t="shared" si="8"/>
        <v>46361</v>
      </c>
      <c r="K279" s="31">
        <f>Table14[[#This Row],[week first day]]-7</f>
        <v>46354</v>
      </c>
      <c r="L279">
        <f t="shared" si="9"/>
        <v>3000</v>
      </c>
    </row>
    <row r="280" spans="1:12" x14ac:dyDescent="0.3">
      <c r="A280" s="8" t="s">
        <v>25</v>
      </c>
      <c r="B280" s="8" t="s">
        <v>26</v>
      </c>
      <c r="C280" s="8" t="s">
        <v>27</v>
      </c>
      <c r="D280" s="8">
        <v>80</v>
      </c>
      <c r="E280" s="8" t="s">
        <v>28</v>
      </c>
      <c r="F280" t="s">
        <v>29</v>
      </c>
      <c r="G280" s="8">
        <v>5000</v>
      </c>
      <c r="H280" s="7">
        <v>46374</v>
      </c>
      <c r="I280" s="9">
        <v>3000</v>
      </c>
      <c r="J280" s="31">
        <f t="shared" si="8"/>
        <v>46368</v>
      </c>
      <c r="K280" s="31">
        <f>Table14[[#This Row],[week first day]]-7</f>
        <v>46361</v>
      </c>
      <c r="L280">
        <f t="shared" si="9"/>
        <v>3000</v>
      </c>
    </row>
    <row r="281" spans="1:12" x14ac:dyDescent="0.3">
      <c r="A281" s="8" t="s">
        <v>25</v>
      </c>
      <c r="B281" s="8" t="s">
        <v>26</v>
      </c>
      <c r="C281" s="8" t="s">
        <v>27</v>
      </c>
      <c r="D281" s="8">
        <v>80</v>
      </c>
      <c r="E281" s="8" t="s">
        <v>28</v>
      </c>
      <c r="F281" t="s">
        <v>29</v>
      </c>
      <c r="G281" s="8">
        <v>5000</v>
      </c>
      <c r="H281" s="7">
        <v>46381</v>
      </c>
      <c r="I281" s="9">
        <v>3000</v>
      </c>
      <c r="J281" s="31">
        <f t="shared" si="8"/>
        <v>46375</v>
      </c>
      <c r="K281" s="31">
        <f>Table14[[#This Row],[week first day]]-7</f>
        <v>46368</v>
      </c>
      <c r="L281">
        <f t="shared" si="9"/>
        <v>3000</v>
      </c>
    </row>
    <row r="282" spans="1:12" x14ac:dyDescent="0.3">
      <c r="A282" s="8" t="s">
        <v>30</v>
      </c>
      <c r="B282" s="8" t="s">
        <v>31</v>
      </c>
      <c r="C282" s="8" t="s">
        <v>27</v>
      </c>
      <c r="D282" s="8">
        <v>40</v>
      </c>
      <c r="E282" s="8" t="s">
        <v>32</v>
      </c>
      <c r="F282" t="s">
        <v>29</v>
      </c>
      <c r="G282" s="8">
        <v>5000</v>
      </c>
      <c r="H282" s="7">
        <v>46157</v>
      </c>
      <c r="I282" s="9">
        <v>270</v>
      </c>
      <c r="J282" s="31">
        <f t="shared" si="8"/>
        <v>46151</v>
      </c>
      <c r="K282" s="31">
        <f>Table14[[#This Row],[week first day]]-7</f>
        <v>46144</v>
      </c>
      <c r="L282">
        <f t="shared" si="9"/>
        <v>2430</v>
      </c>
    </row>
    <row r="283" spans="1:12" x14ac:dyDescent="0.3">
      <c r="A283" s="8" t="s">
        <v>30</v>
      </c>
      <c r="B283" s="8" t="s">
        <v>31</v>
      </c>
      <c r="C283" s="8" t="s">
        <v>27</v>
      </c>
      <c r="D283" s="8">
        <v>40</v>
      </c>
      <c r="E283" s="8" t="s">
        <v>32</v>
      </c>
      <c r="F283" t="s">
        <v>29</v>
      </c>
      <c r="G283" s="8">
        <v>5000</v>
      </c>
      <c r="H283" s="7">
        <v>46157</v>
      </c>
      <c r="I283" s="9">
        <v>270</v>
      </c>
      <c r="J283" s="31">
        <f t="shared" si="8"/>
        <v>46151</v>
      </c>
      <c r="K283" s="31">
        <f>Table14[[#This Row],[week first day]]-7</f>
        <v>46144</v>
      </c>
      <c r="L283">
        <f t="shared" si="9"/>
        <v>2430</v>
      </c>
    </row>
    <row r="284" spans="1:12" x14ac:dyDescent="0.3">
      <c r="A284" s="8" t="s">
        <v>30</v>
      </c>
      <c r="B284" s="8" t="s">
        <v>31</v>
      </c>
      <c r="C284" s="8" t="s">
        <v>27</v>
      </c>
      <c r="D284" s="8">
        <v>40</v>
      </c>
      <c r="E284" s="8" t="s">
        <v>32</v>
      </c>
      <c r="F284" t="s">
        <v>29</v>
      </c>
      <c r="G284" s="8">
        <v>5000</v>
      </c>
      <c r="H284" s="7">
        <v>46157</v>
      </c>
      <c r="I284" s="9">
        <v>270</v>
      </c>
      <c r="J284" s="31">
        <f t="shared" si="8"/>
        <v>46151</v>
      </c>
      <c r="K284" s="31">
        <f>Table14[[#This Row],[week first day]]-7</f>
        <v>46144</v>
      </c>
      <c r="L284">
        <f t="shared" si="9"/>
        <v>2430</v>
      </c>
    </row>
    <row r="285" spans="1:12" x14ac:dyDescent="0.3">
      <c r="A285" s="8" t="s">
        <v>30</v>
      </c>
      <c r="B285" s="8" t="s">
        <v>31</v>
      </c>
      <c r="C285" s="8" t="s">
        <v>27</v>
      </c>
      <c r="D285" s="8">
        <v>40</v>
      </c>
      <c r="E285" s="8" t="s">
        <v>32</v>
      </c>
      <c r="F285" t="s">
        <v>29</v>
      </c>
      <c r="G285" s="8">
        <v>5000</v>
      </c>
      <c r="H285" s="7">
        <v>46157</v>
      </c>
      <c r="I285" s="9">
        <v>270</v>
      </c>
      <c r="J285" s="31">
        <f t="shared" si="8"/>
        <v>46151</v>
      </c>
      <c r="K285" s="31">
        <f>Table14[[#This Row],[week first day]]-7</f>
        <v>46144</v>
      </c>
      <c r="L285">
        <f t="shared" si="9"/>
        <v>2430</v>
      </c>
    </row>
    <row r="286" spans="1:12" x14ac:dyDescent="0.3">
      <c r="A286" s="8" t="s">
        <v>30</v>
      </c>
      <c r="B286" s="8" t="s">
        <v>31</v>
      </c>
      <c r="C286" s="8" t="s">
        <v>27</v>
      </c>
      <c r="D286" s="8">
        <v>40</v>
      </c>
      <c r="E286" s="8" t="s">
        <v>32</v>
      </c>
      <c r="F286" t="s">
        <v>29</v>
      </c>
      <c r="G286" s="8">
        <v>5000</v>
      </c>
      <c r="H286" s="7">
        <v>46157</v>
      </c>
      <c r="I286" s="9">
        <v>270</v>
      </c>
      <c r="J286" s="31">
        <f t="shared" si="8"/>
        <v>46151</v>
      </c>
      <c r="K286" s="31">
        <f>Table14[[#This Row],[week first day]]-7</f>
        <v>46144</v>
      </c>
      <c r="L286">
        <f t="shared" si="9"/>
        <v>2430</v>
      </c>
    </row>
    <row r="287" spans="1:12" x14ac:dyDescent="0.3">
      <c r="A287" s="8" t="s">
        <v>30</v>
      </c>
      <c r="B287" s="8" t="s">
        <v>31</v>
      </c>
      <c r="C287" s="8" t="s">
        <v>27</v>
      </c>
      <c r="D287" s="8">
        <v>40</v>
      </c>
      <c r="E287" s="8" t="s">
        <v>32</v>
      </c>
      <c r="F287" t="s">
        <v>29</v>
      </c>
      <c r="G287" s="8">
        <v>5000</v>
      </c>
      <c r="H287" s="7">
        <v>46157</v>
      </c>
      <c r="I287" s="9">
        <v>270</v>
      </c>
      <c r="J287" s="31">
        <f t="shared" si="8"/>
        <v>46151</v>
      </c>
      <c r="K287" s="31">
        <f>Table14[[#This Row],[week first day]]-7</f>
        <v>46144</v>
      </c>
      <c r="L287">
        <f t="shared" si="9"/>
        <v>2430</v>
      </c>
    </row>
    <row r="288" spans="1:12" x14ac:dyDescent="0.3">
      <c r="A288" s="8" t="s">
        <v>30</v>
      </c>
      <c r="B288" s="8" t="s">
        <v>31</v>
      </c>
      <c r="C288" s="8" t="s">
        <v>27</v>
      </c>
      <c r="D288" s="8">
        <v>40</v>
      </c>
      <c r="E288" s="8" t="s">
        <v>32</v>
      </c>
      <c r="F288" t="s">
        <v>29</v>
      </c>
      <c r="G288" s="8">
        <v>5000</v>
      </c>
      <c r="H288" s="7">
        <v>46157</v>
      </c>
      <c r="I288" s="9">
        <v>270</v>
      </c>
      <c r="J288" s="31">
        <f t="shared" si="8"/>
        <v>46151</v>
      </c>
      <c r="K288" s="31">
        <f>Table14[[#This Row],[week first day]]-7</f>
        <v>46144</v>
      </c>
      <c r="L288">
        <f t="shared" si="9"/>
        <v>2430</v>
      </c>
    </row>
    <row r="289" spans="1:12" x14ac:dyDescent="0.3">
      <c r="A289" s="8" t="s">
        <v>30</v>
      </c>
      <c r="B289" s="8" t="s">
        <v>31</v>
      </c>
      <c r="C289" s="8" t="s">
        <v>27</v>
      </c>
      <c r="D289" s="8">
        <v>40</v>
      </c>
      <c r="E289" s="8" t="s">
        <v>32</v>
      </c>
      <c r="F289" t="s">
        <v>29</v>
      </c>
      <c r="G289" s="8">
        <v>5000</v>
      </c>
      <c r="H289" s="7">
        <v>46157</v>
      </c>
      <c r="I289" s="9">
        <v>270</v>
      </c>
      <c r="J289" s="31">
        <f t="shared" si="8"/>
        <v>46151</v>
      </c>
      <c r="K289" s="31">
        <f>Table14[[#This Row],[week first day]]-7</f>
        <v>46144</v>
      </c>
      <c r="L289">
        <f t="shared" si="9"/>
        <v>2430</v>
      </c>
    </row>
    <row r="290" spans="1:12" x14ac:dyDescent="0.3">
      <c r="A290" s="8" t="s">
        <v>30</v>
      </c>
      <c r="B290" s="8" t="s">
        <v>31</v>
      </c>
      <c r="C290" s="8" t="s">
        <v>27</v>
      </c>
      <c r="D290" s="8">
        <v>40</v>
      </c>
      <c r="E290" s="8" t="s">
        <v>32</v>
      </c>
      <c r="F290" t="s">
        <v>29</v>
      </c>
      <c r="G290" s="8">
        <v>5000</v>
      </c>
      <c r="H290" s="7">
        <v>46157</v>
      </c>
      <c r="I290" s="9">
        <v>270</v>
      </c>
      <c r="J290" s="31">
        <f t="shared" si="8"/>
        <v>46151</v>
      </c>
      <c r="K290" s="31">
        <f>Table14[[#This Row],[week first day]]-7</f>
        <v>46144</v>
      </c>
      <c r="L290">
        <f t="shared" si="9"/>
        <v>2430</v>
      </c>
    </row>
    <row r="291" spans="1:12" x14ac:dyDescent="0.3">
      <c r="A291" s="8" t="s">
        <v>30</v>
      </c>
      <c r="B291" s="8" t="s">
        <v>31</v>
      </c>
      <c r="C291" s="8" t="s">
        <v>27</v>
      </c>
      <c r="D291" s="8">
        <v>40</v>
      </c>
      <c r="E291" s="8" t="s">
        <v>32</v>
      </c>
      <c r="F291" t="s">
        <v>29</v>
      </c>
      <c r="G291" s="8">
        <v>5000</v>
      </c>
      <c r="H291" s="7">
        <v>46164</v>
      </c>
      <c r="I291" s="9">
        <v>270</v>
      </c>
      <c r="J291" s="31">
        <f t="shared" si="8"/>
        <v>46158</v>
      </c>
      <c r="K291" s="31">
        <f>Table14[[#This Row],[week first day]]-7</f>
        <v>46151</v>
      </c>
      <c r="L291">
        <f t="shared" si="9"/>
        <v>9990</v>
      </c>
    </row>
    <row r="292" spans="1:12" x14ac:dyDescent="0.3">
      <c r="A292" s="8" t="s">
        <v>30</v>
      </c>
      <c r="B292" s="8" t="s">
        <v>31</v>
      </c>
      <c r="C292" s="8" t="s">
        <v>27</v>
      </c>
      <c r="D292" s="8">
        <v>40</v>
      </c>
      <c r="E292" s="8" t="s">
        <v>32</v>
      </c>
      <c r="F292" t="s">
        <v>29</v>
      </c>
      <c r="G292" s="8">
        <v>5000</v>
      </c>
      <c r="H292" s="7">
        <v>46164</v>
      </c>
      <c r="I292" s="9">
        <v>270</v>
      </c>
      <c r="J292" s="31">
        <f t="shared" si="8"/>
        <v>46158</v>
      </c>
      <c r="K292" s="31">
        <f>Table14[[#This Row],[week first day]]-7</f>
        <v>46151</v>
      </c>
      <c r="L292">
        <f t="shared" si="9"/>
        <v>9990</v>
      </c>
    </row>
    <row r="293" spans="1:12" x14ac:dyDescent="0.3">
      <c r="A293" s="8" t="s">
        <v>30</v>
      </c>
      <c r="B293" s="8" t="s">
        <v>31</v>
      </c>
      <c r="C293" s="8" t="s">
        <v>27</v>
      </c>
      <c r="D293" s="8">
        <v>40</v>
      </c>
      <c r="E293" s="8" t="s">
        <v>32</v>
      </c>
      <c r="F293" t="s">
        <v>29</v>
      </c>
      <c r="G293" s="8">
        <v>5000</v>
      </c>
      <c r="H293" s="7">
        <v>46164</v>
      </c>
      <c r="I293" s="9">
        <v>270</v>
      </c>
      <c r="J293" s="31">
        <f t="shared" si="8"/>
        <v>46158</v>
      </c>
      <c r="K293" s="31">
        <f>Table14[[#This Row],[week first day]]-7</f>
        <v>46151</v>
      </c>
      <c r="L293">
        <f t="shared" si="9"/>
        <v>9990</v>
      </c>
    </row>
    <row r="294" spans="1:12" x14ac:dyDescent="0.3">
      <c r="A294" s="8" t="s">
        <v>30</v>
      </c>
      <c r="B294" s="8" t="s">
        <v>31</v>
      </c>
      <c r="C294" s="8" t="s">
        <v>27</v>
      </c>
      <c r="D294" s="8">
        <v>40</v>
      </c>
      <c r="E294" s="8" t="s">
        <v>32</v>
      </c>
      <c r="F294" t="s">
        <v>29</v>
      </c>
      <c r="G294" s="8">
        <v>5000</v>
      </c>
      <c r="H294" s="7">
        <v>46164</v>
      </c>
      <c r="I294" s="9">
        <v>270</v>
      </c>
      <c r="J294" s="31">
        <f t="shared" si="8"/>
        <v>46158</v>
      </c>
      <c r="K294" s="31">
        <f>Table14[[#This Row],[week first day]]-7</f>
        <v>46151</v>
      </c>
      <c r="L294">
        <f t="shared" si="9"/>
        <v>9990</v>
      </c>
    </row>
    <row r="295" spans="1:12" x14ac:dyDescent="0.3">
      <c r="A295" s="8" t="s">
        <v>30</v>
      </c>
      <c r="B295" s="8" t="s">
        <v>31</v>
      </c>
      <c r="C295" s="8" t="s">
        <v>27</v>
      </c>
      <c r="D295" s="8">
        <v>40</v>
      </c>
      <c r="E295" s="8" t="s">
        <v>32</v>
      </c>
      <c r="F295" t="s">
        <v>29</v>
      </c>
      <c r="G295" s="8">
        <v>5000</v>
      </c>
      <c r="H295" s="7">
        <v>46164</v>
      </c>
      <c r="I295" s="9">
        <v>270</v>
      </c>
      <c r="J295" s="31">
        <f t="shared" si="8"/>
        <v>46158</v>
      </c>
      <c r="K295" s="31">
        <f>Table14[[#This Row],[week first day]]-7</f>
        <v>46151</v>
      </c>
      <c r="L295">
        <f t="shared" si="9"/>
        <v>9990</v>
      </c>
    </row>
    <row r="296" spans="1:12" x14ac:dyDescent="0.3">
      <c r="A296" s="8" t="s">
        <v>30</v>
      </c>
      <c r="B296" s="8" t="s">
        <v>31</v>
      </c>
      <c r="C296" s="8" t="s">
        <v>27</v>
      </c>
      <c r="D296" s="8">
        <v>40</v>
      </c>
      <c r="E296" s="8" t="s">
        <v>32</v>
      </c>
      <c r="F296" t="s">
        <v>29</v>
      </c>
      <c r="G296" s="8">
        <v>5000</v>
      </c>
      <c r="H296" s="7">
        <v>46164</v>
      </c>
      <c r="I296" s="9">
        <v>270</v>
      </c>
      <c r="J296" s="31">
        <f t="shared" si="8"/>
        <v>46158</v>
      </c>
      <c r="K296" s="31">
        <f>Table14[[#This Row],[week first day]]-7</f>
        <v>46151</v>
      </c>
      <c r="L296">
        <f t="shared" si="9"/>
        <v>9990</v>
      </c>
    </row>
    <row r="297" spans="1:12" x14ac:dyDescent="0.3">
      <c r="A297" s="8" t="s">
        <v>30</v>
      </c>
      <c r="B297" s="8" t="s">
        <v>31</v>
      </c>
      <c r="C297" s="8" t="s">
        <v>27</v>
      </c>
      <c r="D297" s="8">
        <v>40</v>
      </c>
      <c r="E297" s="8" t="s">
        <v>32</v>
      </c>
      <c r="F297" t="s">
        <v>29</v>
      </c>
      <c r="G297" s="8">
        <v>5000</v>
      </c>
      <c r="H297" s="7">
        <v>46164</v>
      </c>
      <c r="I297" s="9">
        <v>270</v>
      </c>
      <c r="J297" s="31">
        <f t="shared" si="8"/>
        <v>46158</v>
      </c>
      <c r="K297" s="31">
        <f>Table14[[#This Row],[week first day]]-7</f>
        <v>46151</v>
      </c>
      <c r="L297">
        <f t="shared" si="9"/>
        <v>9990</v>
      </c>
    </row>
    <row r="298" spans="1:12" x14ac:dyDescent="0.3">
      <c r="A298" s="8" t="s">
        <v>30</v>
      </c>
      <c r="B298" s="8" t="s">
        <v>31</v>
      </c>
      <c r="C298" s="8" t="s">
        <v>27</v>
      </c>
      <c r="D298" s="8">
        <v>40</v>
      </c>
      <c r="E298" s="8" t="s">
        <v>32</v>
      </c>
      <c r="F298" t="s">
        <v>29</v>
      </c>
      <c r="G298" s="8">
        <v>5000</v>
      </c>
      <c r="H298" s="7">
        <v>46164</v>
      </c>
      <c r="I298" s="9">
        <v>270</v>
      </c>
      <c r="J298" s="31">
        <f t="shared" si="8"/>
        <v>46158</v>
      </c>
      <c r="K298" s="31">
        <f>Table14[[#This Row],[week first day]]-7</f>
        <v>46151</v>
      </c>
      <c r="L298">
        <f t="shared" si="9"/>
        <v>9990</v>
      </c>
    </row>
    <row r="299" spans="1:12" x14ac:dyDescent="0.3">
      <c r="A299" s="8" t="s">
        <v>30</v>
      </c>
      <c r="B299" s="8" t="s">
        <v>31</v>
      </c>
      <c r="C299" s="8" t="s">
        <v>27</v>
      </c>
      <c r="D299" s="8">
        <v>40</v>
      </c>
      <c r="E299" s="8" t="s">
        <v>32</v>
      </c>
      <c r="F299" t="s">
        <v>29</v>
      </c>
      <c r="G299" s="8">
        <v>5000</v>
      </c>
      <c r="H299" s="7">
        <v>46164</v>
      </c>
      <c r="I299" s="9">
        <v>270</v>
      </c>
      <c r="J299" s="31">
        <f t="shared" si="8"/>
        <v>46158</v>
      </c>
      <c r="K299" s="31">
        <f>Table14[[#This Row],[week first day]]-7</f>
        <v>46151</v>
      </c>
      <c r="L299">
        <f t="shared" si="9"/>
        <v>9990</v>
      </c>
    </row>
    <row r="300" spans="1:12" x14ac:dyDescent="0.3">
      <c r="A300" s="8" t="s">
        <v>30</v>
      </c>
      <c r="B300" s="8" t="s">
        <v>31</v>
      </c>
      <c r="C300" s="8" t="s">
        <v>27</v>
      </c>
      <c r="D300" s="8">
        <v>40</v>
      </c>
      <c r="E300" s="8" t="s">
        <v>32</v>
      </c>
      <c r="F300" t="s">
        <v>29</v>
      </c>
      <c r="G300" s="8">
        <v>5000</v>
      </c>
      <c r="H300" s="7">
        <v>46164</v>
      </c>
      <c r="I300" s="9">
        <v>270</v>
      </c>
      <c r="J300" s="31">
        <f t="shared" si="8"/>
        <v>46158</v>
      </c>
      <c r="K300" s="31">
        <f>Table14[[#This Row],[week first day]]-7</f>
        <v>46151</v>
      </c>
      <c r="L300">
        <f t="shared" si="9"/>
        <v>9990</v>
      </c>
    </row>
    <row r="301" spans="1:12" x14ac:dyDescent="0.3">
      <c r="A301" s="8" t="s">
        <v>30</v>
      </c>
      <c r="B301" s="8" t="s">
        <v>31</v>
      </c>
      <c r="C301" s="8" t="s">
        <v>27</v>
      </c>
      <c r="D301" s="8">
        <v>40</v>
      </c>
      <c r="E301" s="8" t="s">
        <v>32</v>
      </c>
      <c r="F301" t="s">
        <v>29</v>
      </c>
      <c r="G301" s="8">
        <v>5000</v>
      </c>
      <c r="H301" s="7">
        <v>46164</v>
      </c>
      <c r="I301" s="9">
        <v>270</v>
      </c>
      <c r="J301" s="31">
        <f t="shared" si="8"/>
        <v>46158</v>
      </c>
      <c r="K301" s="31">
        <f>Table14[[#This Row],[week first day]]-7</f>
        <v>46151</v>
      </c>
      <c r="L301">
        <f t="shared" si="9"/>
        <v>9990</v>
      </c>
    </row>
    <row r="302" spans="1:12" x14ac:dyDescent="0.3">
      <c r="A302" s="8" t="s">
        <v>30</v>
      </c>
      <c r="B302" s="8" t="s">
        <v>31</v>
      </c>
      <c r="C302" s="8" t="s">
        <v>27</v>
      </c>
      <c r="D302" s="8">
        <v>40</v>
      </c>
      <c r="E302" s="8" t="s">
        <v>32</v>
      </c>
      <c r="F302" t="s">
        <v>29</v>
      </c>
      <c r="G302" s="8">
        <v>5000</v>
      </c>
      <c r="H302" s="7">
        <v>46164</v>
      </c>
      <c r="I302" s="9">
        <v>270</v>
      </c>
      <c r="J302" s="31">
        <f t="shared" si="8"/>
        <v>46158</v>
      </c>
      <c r="K302" s="31">
        <f>Table14[[#This Row],[week first day]]-7</f>
        <v>46151</v>
      </c>
      <c r="L302">
        <f t="shared" si="9"/>
        <v>9990</v>
      </c>
    </row>
    <row r="303" spans="1:12" x14ac:dyDescent="0.3">
      <c r="A303" s="8" t="s">
        <v>30</v>
      </c>
      <c r="B303" s="8" t="s">
        <v>31</v>
      </c>
      <c r="C303" s="8" t="s">
        <v>27</v>
      </c>
      <c r="D303" s="8">
        <v>40</v>
      </c>
      <c r="E303" s="8" t="s">
        <v>32</v>
      </c>
      <c r="F303" t="s">
        <v>29</v>
      </c>
      <c r="G303" s="8">
        <v>5000</v>
      </c>
      <c r="H303" s="7">
        <v>46164</v>
      </c>
      <c r="I303" s="9">
        <v>270</v>
      </c>
      <c r="J303" s="31">
        <f t="shared" si="8"/>
        <v>46158</v>
      </c>
      <c r="K303" s="31">
        <f>Table14[[#This Row],[week first day]]-7</f>
        <v>46151</v>
      </c>
      <c r="L303">
        <f t="shared" si="9"/>
        <v>9990</v>
      </c>
    </row>
    <row r="304" spans="1:12" x14ac:dyDescent="0.3">
      <c r="A304" s="8" t="s">
        <v>30</v>
      </c>
      <c r="B304" s="8" t="s">
        <v>31</v>
      </c>
      <c r="C304" s="8" t="s">
        <v>27</v>
      </c>
      <c r="D304" s="8">
        <v>40</v>
      </c>
      <c r="E304" s="8" t="s">
        <v>32</v>
      </c>
      <c r="F304" t="s">
        <v>29</v>
      </c>
      <c r="G304" s="8">
        <v>5000</v>
      </c>
      <c r="H304" s="7">
        <v>46164</v>
      </c>
      <c r="I304" s="9">
        <v>270</v>
      </c>
      <c r="J304" s="31">
        <f t="shared" si="8"/>
        <v>46158</v>
      </c>
      <c r="K304" s="31">
        <f>Table14[[#This Row],[week first day]]-7</f>
        <v>46151</v>
      </c>
      <c r="L304">
        <f t="shared" si="9"/>
        <v>9990</v>
      </c>
    </row>
    <row r="305" spans="1:12" x14ac:dyDescent="0.3">
      <c r="A305" s="8" t="s">
        <v>30</v>
      </c>
      <c r="B305" s="8" t="s">
        <v>31</v>
      </c>
      <c r="C305" s="8" t="s">
        <v>27</v>
      </c>
      <c r="D305" s="8">
        <v>40</v>
      </c>
      <c r="E305" s="8" t="s">
        <v>32</v>
      </c>
      <c r="F305" t="s">
        <v>29</v>
      </c>
      <c r="G305" s="8">
        <v>5000</v>
      </c>
      <c r="H305" s="7">
        <v>46164</v>
      </c>
      <c r="I305" s="9">
        <v>270</v>
      </c>
      <c r="J305" s="31">
        <f t="shared" si="8"/>
        <v>46158</v>
      </c>
      <c r="K305" s="31">
        <f>Table14[[#This Row],[week first day]]-7</f>
        <v>46151</v>
      </c>
      <c r="L305">
        <f t="shared" si="9"/>
        <v>9990</v>
      </c>
    </row>
    <row r="306" spans="1:12" x14ac:dyDescent="0.3">
      <c r="A306" s="8" t="s">
        <v>30</v>
      </c>
      <c r="B306" s="8" t="s">
        <v>31</v>
      </c>
      <c r="C306" s="8" t="s">
        <v>27</v>
      </c>
      <c r="D306" s="8">
        <v>40</v>
      </c>
      <c r="E306" s="8" t="s">
        <v>32</v>
      </c>
      <c r="F306" t="s">
        <v>29</v>
      </c>
      <c r="G306" s="8">
        <v>5000</v>
      </c>
      <c r="H306" s="7">
        <v>46164</v>
      </c>
      <c r="I306" s="9">
        <v>270</v>
      </c>
      <c r="J306" s="31">
        <f t="shared" si="8"/>
        <v>46158</v>
      </c>
      <c r="K306" s="31">
        <f>Table14[[#This Row],[week first day]]-7</f>
        <v>46151</v>
      </c>
      <c r="L306">
        <f t="shared" si="9"/>
        <v>9990</v>
      </c>
    </row>
    <row r="307" spans="1:12" x14ac:dyDescent="0.3">
      <c r="A307" s="8" t="s">
        <v>30</v>
      </c>
      <c r="B307" s="8" t="s">
        <v>31</v>
      </c>
      <c r="C307" s="8" t="s">
        <v>27</v>
      </c>
      <c r="D307" s="8">
        <v>40</v>
      </c>
      <c r="E307" s="8" t="s">
        <v>32</v>
      </c>
      <c r="F307" t="s">
        <v>29</v>
      </c>
      <c r="G307" s="8">
        <v>5000</v>
      </c>
      <c r="H307" s="7">
        <v>46164</v>
      </c>
      <c r="I307" s="9">
        <v>270</v>
      </c>
      <c r="J307" s="31">
        <f t="shared" si="8"/>
        <v>46158</v>
      </c>
      <c r="K307" s="31">
        <f>Table14[[#This Row],[week first day]]-7</f>
        <v>46151</v>
      </c>
      <c r="L307">
        <f t="shared" si="9"/>
        <v>9990</v>
      </c>
    </row>
    <row r="308" spans="1:12" x14ac:dyDescent="0.3">
      <c r="A308" s="8" t="s">
        <v>30</v>
      </c>
      <c r="B308" s="8" t="s">
        <v>31</v>
      </c>
      <c r="C308" s="8" t="s">
        <v>27</v>
      </c>
      <c r="D308" s="8">
        <v>40</v>
      </c>
      <c r="E308" s="8" t="s">
        <v>32</v>
      </c>
      <c r="F308" t="s">
        <v>29</v>
      </c>
      <c r="G308" s="8">
        <v>5000</v>
      </c>
      <c r="H308" s="7">
        <v>46164</v>
      </c>
      <c r="I308" s="9">
        <v>270</v>
      </c>
      <c r="J308" s="31">
        <f t="shared" si="8"/>
        <v>46158</v>
      </c>
      <c r="K308" s="31">
        <f>Table14[[#This Row],[week first day]]-7</f>
        <v>46151</v>
      </c>
      <c r="L308">
        <f t="shared" si="9"/>
        <v>9990</v>
      </c>
    </row>
    <row r="309" spans="1:12" x14ac:dyDescent="0.3">
      <c r="A309" s="8" t="s">
        <v>30</v>
      </c>
      <c r="B309" s="8" t="s">
        <v>31</v>
      </c>
      <c r="C309" s="8" t="s">
        <v>27</v>
      </c>
      <c r="D309" s="8">
        <v>40</v>
      </c>
      <c r="E309" s="8" t="s">
        <v>32</v>
      </c>
      <c r="F309" t="s">
        <v>29</v>
      </c>
      <c r="G309" s="8">
        <v>5000</v>
      </c>
      <c r="H309" s="7">
        <v>46164</v>
      </c>
      <c r="I309" s="9">
        <v>270</v>
      </c>
      <c r="J309" s="31">
        <f t="shared" si="8"/>
        <v>46158</v>
      </c>
      <c r="K309" s="31">
        <f>Table14[[#This Row],[week first day]]-7</f>
        <v>46151</v>
      </c>
      <c r="L309">
        <f t="shared" si="9"/>
        <v>9990</v>
      </c>
    </row>
    <row r="310" spans="1:12" x14ac:dyDescent="0.3">
      <c r="A310" s="8" t="s">
        <v>30</v>
      </c>
      <c r="B310" s="8" t="s">
        <v>31</v>
      </c>
      <c r="C310" s="8" t="s">
        <v>27</v>
      </c>
      <c r="D310" s="8">
        <v>40</v>
      </c>
      <c r="E310" s="8" t="s">
        <v>32</v>
      </c>
      <c r="F310" t="s">
        <v>29</v>
      </c>
      <c r="G310" s="8">
        <v>5000</v>
      </c>
      <c r="H310" s="7">
        <v>46164</v>
      </c>
      <c r="I310" s="9">
        <v>270</v>
      </c>
      <c r="J310" s="31">
        <f t="shared" si="8"/>
        <v>46158</v>
      </c>
      <c r="K310" s="31">
        <f>Table14[[#This Row],[week first day]]-7</f>
        <v>46151</v>
      </c>
      <c r="L310">
        <f t="shared" si="9"/>
        <v>9990</v>
      </c>
    </row>
    <row r="311" spans="1:12" x14ac:dyDescent="0.3">
      <c r="A311" s="8" t="s">
        <v>30</v>
      </c>
      <c r="B311" s="8" t="s">
        <v>31</v>
      </c>
      <c r="C311" s="8" t="s">
        <v>27</v>
      </c>
      <c r="D311" s="8">
        <v>40</v>
      </c>
      <c r="E311" s="8" t="s">
        <v>32</v>
      </c>
      <c r="F311" t="s">
        <v>29</v>
      </c>
      <c r="G311" s="8">
        <v>5000</v>
      </c>
      <c r="H311" s="7">
        <v>46164</v>
      </c>
      <c r="I311" s="9">
        <v>270</v>
      </c>
      <c r="J311" s="31">
        <f t="shared" si="8"/>
        <v>46158</v>
      </c>
      <c r="K311" s="31">
        <f>Table14[[#This Row],[week first day]]-7</f>
        <v>46151</v>
      </c>
      <c r="L311">
        <f t="shared" si="9"/>
        <v>9990</v>
      </c>
    </row>
    <row r="312" spans="1:12" x14ac:dyDescent="0.3">
      <c r="A312" s="8" t="s">
        <v>30</v>
      </c>
      <c r="B312" s="8" t="s">
        <v>31</v>
      </c>
      <c r="C312" s="8" t="s">
        <v>27</v>
      </c>
      <c r="D312" s="8">
        <v>40</v>
      </c>
      <c r="E312" s="8" t="s">
        <v>32</v>
      </c>
      <c r="F312" t="s">
        <v>29</v>
      </c>
      <c r="G312" s="8">
        <v>5000</v>
      </c>
      <c r="H312" s="7">
        <v>46164</v>
      </c>
      <c r="I312" s="9">
        <v>270</v>
      </c>
      <c r="J312" s="31">
        <f t="shared" si="8"/>
        <v>46158</v>
      </c>
      <c r="K312" s="31">
        <f>Table14[[#This Row],[week first day]]-7</f>
        <v>46151</v>
      </c>
      <c r="L312">
        <f t="shared" si="9"/>
        <v>9990</v>
      </c>
    </row>
    <row r="313" spans="1:12" x14ac:dyDescent="0.3">
      <c r="A313" s="8" t="s">
        <v>30</v>
      </c>
      <c r="B313" s="8" t="s">
        <v>31</v>
      </c>
      <c r="C313" s="8" t="s">
        <v>27</v>
      </c>
      <c r="D313" s="8">
        <v>40</v>
      </c>
      <c r="E313" s="8" t="s">
        <v>32</v>
      </c>
      <c r="F313" t="s">
        <v>29</v>
      </c>
      <c r="G313" s="8">
        <v>5000</v>
      </c>
      <c r="H313" s="7">
        <v>46164</v>
      </c>
      <c r="I313" s="9">
        <v>270</v>
      </c>
      <c r="J313" s="31">
        <f t="shared" si="8"/>
        <v>46158</v>
      </c>
      <c r="K313" s="31">
        <f>Table14[[#This Row],[week first day]]-7</f>
        <v>46151</v>
      </c>
      <c r="L313">
        <f t="shared" si="9"/>
        <v>9990</v>
      </c>
    </row>
    <row r="314" spans="1:12" x14ac:dyDescent="0.3">
      <c r="A314" s="8" t="s">
        <v>30</v>
      </c>
      <c r="B314" s="8" t="s">
        <v>31</v>
      </c>
      <c r="C314" s="8" t="s">
        <v>27</v>
      </c>
      <c r="D314" s="8">
        <v>40</v>
      </c>
      <c r="E314" s="8" t="s">
        <v>32</v>
      </c>
      <c r="F314" t="s">
        <v>29</v>
      </c>
      <c r="G314" s="8">
        <v>5000</v>
      </c>
      <c r="H314" s="7">
        <v>46164</v>
      </c>
      <c r="I314" s="9">
        <v>270</v>
      </c>
      <c r="J314" s="31">
        <f t="shared" si="8"/>
        <v>46158</v>
      </c>
      <c r="K314" s="31">
        <f>Table14[[#This Row],[week first day]]-7</f>
        <v>46151</v>
      </c>
      <c r="L314">
        <f t="shared" si="9"/>
        <v>9990</v>
      </c>
    </row>
    <row r="315" spans="1:12" x14ac:dyDescent="0.3">
      <c r="A315" s="8" t="s">
        <v>30</v>
      </c>
      <c r="B315" s="8" t="s">
        <v>31</v>
      </c>
      <c r="C315" s="8" t="s">
        <v>27</v>
      </c>
      <c r="D315" s="8">
        <v>40</v>
      </c>
      <c r="E315" s="8" t="s">
        <v>32</v>
      </c>
      <c r="F315" t="s">
        <v>29</v>
      </c>
      <c r="G315" s="8">
        <v>5000</v>
      </c>
      <c r="H315" s="7">
        <v>46164</v>
      </c>
      <c r="I315" s="9">
        <v>270</v>
      </c>
      <c r="J315" s="31">
        <f t="shared" si="8"/>
        <v>46158</v>
      </c>
      <c r="K315" s="31">
        <f>Table14[[#This Row],[week first day]]-7</f>
        <v>46151</v>
      </c>
      <c r="L315">
        <f t="shared" si="9"/>
        <v>9990</v>
      </c>
    </row>
    <row r="316" spans="1:12" x14ac:dyDescent="0.3">
      <c r="A316" s="8" t="s">
        <v>30</v>
      </c>
      <c r="B316" s="8" t="s">
        <v>31</v>
      </c>
      <c r="C316" s="8" t="s">
        <v>27</v>
      </c>
      <c r="D316" s="8">
        <v>40</v>
      </c>
      <c r="E316" s="8" t="s">
        <v>32</v>
      </c>
      <c r="F316" t="s">
        <v>29</v>
      </c>
      <c r="G316" s="8">
        <v>5000</v>
      </c>
      <c r="H316" s="7">
        <v>46164</v>
      </c>
      <c r="I316" s="9">
        <v>270</v>
      </c>
      <c r="J316" s="31">
        <f t="shared" si="8"/>
        <v>46158</v>
      </c>
      <c r="K316" s="31">
        <f>Table14[[#This Row],[week first day]]-7</f>
        <v>46151</v>
      </c>
      <c r="L316">
        <f t="shared" si="9"/>
        <v>9990</v>
      </c>
    </row>
    <row r="317" spans="1:12" x14ac:dyDescent="0.3">
      <c r="A317" s="8" t="s">
        <v>30</v>
      </c>
      <c r="B317" s="8" t="s">
        <v>31</v>
      </c>
      <c r="C317" s="8" t="s">
        <v>27</v>
      </c>
      <c r="D317" s="8">
        <v>40</v>
      </c>
      <c r="E317" s="8" t="s">
        <v>32</v>
      </c>
      <c r="F317" t="s">
        <v>29</v>
      </c>
      <c r="G317" s="8">
        <v>5000</v>
      </c>
      <c r="H317" s="7">
        <v>46164</v>
      </c>
      <c r="I317" s="9">
        <v>270</v>
      </c>
      <c r="J317" s="31">
        <f t="shared" si="8"/>
        <v>46158</v>
      </c>
      <c r="K317" s="31">
        <f>Table14[[#This Row],[week first day]]-7</f>
        <v>46151</v>
      </c>
      <c r="L317">
        <f t="shared" si="9"/>
        <v>9990</v>
      </c>
    </row>
    <row r="318" spans="1:12" x14ac:dyDescent="0.3">
      <c r="A318" s="8" t="s">
        <v>30</v>
      </c>
      <c r="B318" s="8" t="s">
        <v>31</v>
      </c>
      <c r="C318" s="8" t="s">
        <v>27</v>
      </c>
      <c r="D318" s="8">
        <v>40</v>
      </c>
      <c r="E318" s="8" t="s">
        <v>32</v>
      </c>
      <c r="F318" t="s">
        <v>29</v>
      </c>
      <c r="G318" s="8">
        <v>5000</v>
      </c>
      <c r="H318" s="7">
        <v>46164</v>
      </c>
      <c r="I318" s="9">
        <v>270</v>
      </c>
      <c r="J318" s="31">
        <f t="shared" si="8"/>
        <v>46158</v>
      </c>
      <c r="K318" s="31">
        <f>Table14[[#This Row],[week first day]]-7</f>
        <v>46151</v>
      </c>
      <c r="L318">
        <f t="shared" si="9"/>
        <v>9990</v>
      </c>
    </row>
    <row r="319" spans="1:12" x14ac:dyDescent="0.3">
      <c r="A319" s="8" t="s">
        <v>30</v>
      </c>
      <c r="B319" s="8" t="s">
        <v>31</v>
      </c>
      <c r="C319" s="8" t="s">
        <v>27</v>
      </c>
      <c r="D319" s="8">
        <v>40</v>
      </c>
      <c r="E319" s="8" t="s">
        <v>32</v>
      </c>
      <c r="F319" t="s">
        <v>29</v>
      </c>
      <c r="G319" s="8">
        <v>5000</v>
      </c>
      <c r="H319" s="7">
        <v>46164</v>
      </c>
      <c r="I319" s="9">
        <v>270</v>
      </c>
      <c r="J319" s="31">
        <f t="shared" si="8"/>
        <v>46158</v>
      </c>
      <c r="K319" s="31">
        <f>Table14[[#This Row],[week first day]]-7</f>
        <v>46151</v>
      </c>
      <c r="L319">
        <f t="shared" si="9"/>
        <v>9990</v>
      </c>
    </row>
    <row r="320" spans="1:12" x14ac:dyDescent="0.3">
      <c r="A320" s="8" t="s">
        <v>30</v>
      </c>
      <c r="B320" s="8" t="s">
        <v>31</v>
      </c>
      <c r="C320" s="8" t="s">
        <v>27</v>
      </c>
      <c r="D320" s="8">
        <v>40</v>
      </c>
      <c r="E320" s="8" t="s">
        <v>32</v>
      </c>
      <c r="F320" t="s">
        <v>29</v>
      </c>
      <c r="G320" s="8">
        <v>5000</v>
      </c>
      <c r="H320" s="7">
        <v>46164</v>
      </c>
      <c r="I320" s="9">
        <v>270</v>
      </c>
      <c r="J320" s="31">
        <f t="shared" si="8"/>
        <v>46158</v>
      </c>
      <c r="K320" s="31">
        <f>Table14[[#This Row],[week first day]]-7</f>
        <v>46151</v>
      </c>
      <c r="L320">
        <f t="shared" si="9"/>
        <v>9990</v>
      </c>
    </row>
    <row r="321" spans="1:12" x14ac:dyDescent="0.3">
      <c r="A321" s="8" t="s">
        <v>30</v>
      </c>
      <c r="B321" s="8" t="s">
        <v>31</v>
      </c>
      <c r="C321" s="8" t="s">
        <v>27</v>
      </c>
      <c r="D321" s="8">
        <v>40</v>
      </c>
      <c r="E321" s="8" t="s">
        <v>32</v>
      </c>
      <c r="F321" t="s">
        <v>29</v>
      </c>
      <c r="G321" s="8">
        <v>5000</v>
      </c>
      <c r="H321" s="7">
        <v>46164</v>
      </c>
      <c r="I321" s="9">
        <v>270</v>
      </c>
      <c r="J321" s="31">
        <f t="shared" si="8"/>
        <v>46158</v>
      </c>
      <c r="K321" s="31">
        <f>Table14[[#This Row],[week first day]]-7</f>
        <v>46151</v>
      </c>
      <c r="L321">
        <f t="shared" si="9"/>
        <v>9990</v>
      </c>
    </row>
    <row r="322" spans="1:12" x14ac:dyDescent="0.3">
      <c r="A322" s="8" t="s">
        <v>30</v>
      </c>
      <c r="B322" s="8" t="s">
        <v>31</v>
      </c>
      <c r="C322" s="8" t="s">
        <v>27</v>
      </c>
      <c r="D322" s="8">
        <v>40</v>
      </c>
      <c r="E322" s="8" t="s">
        <v>32</v>
      </c>
      <c r="F322" t="s">
        <v>29</v>
      </c>
      <c r="G322" s="8">
        <v>5000</v>
      </c>
      <c r="H322" s="7">
        <v>46164</v>
      </c>
      <c r="I322" s="9">
        <v>270</v>
      </c>
      <c r="J322" s="31">
        <f t="shared" ref="J322:J385" si="10">$M$1+7*INT((H322-$M$1)/7)</f>
        <v>46158</v>
      </c>
      <c r="K322" s="31">
        <f>Table14[[#This Row],[week first day]]-7</f>
        <v>46151</v>
      </c>
      <c r="L322">
        <f t="shared" ref="L322:L385" si="11">SUMIFS($I:$I,$A:$A,A322,J:J,J322)</f>
        <v>9990</v>
      </c>
    </row>
    <row r="323" spans="1:12" x14ac:dyDescent="0.3">
      <c r="A323" s="8" t="s">
        <v>30</v>
      </c>
      <c r="B323" s="8" t="s">
        <v>31</v>
      </c>
      <c r="C323" s="8" t="s">
        <v>27</v>
      </c>
      <c r="D323" s="8">
        <v>40</v>
      </c>
      <c r="E323" s="8" t="s">
        <v>32</v>
      </c>
      <c r="F323" t="s">
        <v>29</v>
      </c>
      <c r="G323" s="8">
        <v>5000</v>
      </c>
      <c r="H323" s="7">
        <v>46164</v>
      </c>
      <c r="I323" s="9">
        <v>270</v>
      </c>
      <c r="J323" s="31">
        <f t="shared" si="10"/>
        <v>46158</v>
      </c>
      <c r="K323" s="31">
        <f>Table14[[#This Row],[week first day]]-7</f>
        <v>46151</v>
      </c>
      <c r="L323">
        <f t="shared" si="11"/>
        <v>9990</v>
      </c>
    </row>
    <row r="324" spans="1:12" x14ac:dyDescent="0.3">
      <c r="A324" s="8" t="s">
        <v>30</v>
      </c>
      <c r="B324" s="8" t="s">
        <v>31</v>
      </c>
      <c r="C324" s="8" t="s">
        <v>27</v>
      </c>
      <c r="D324" s="8">
        <v>40</v>
      </c>
      <c r="E324" s="8" t="s">
        <v>32</v>
      </c>
      <c r="F324" t="s">
        <v>29</v>
      </c>
      <c r="G324" s="8">
        <v>5000</v>
      </c>
      <c r="H324" s="7">
        <v>46164</v>
      </c>
      <c r="I324" s="9">
        <v>270</v>
      </c>
      <c r="J324" s="31">
        <f t="shared" si="10"/>
        <v>46158</v>
      </c>
      <c r="K324" s="31">
        <f>Table14[[#This Row],[week first day]]-7</f>
        <v>46151</v>
      </c>
      <c r="L324">
        <f t="shared" si="11"/>
        <v>9990</v>
      </c>
    </row>
    <row r="325" spans="1:12" x14ac:dyDescent="0.3">
      <c r="A325" s="8" t="s">
        <v>30</v>
      </c>
      <c r="B325" s="8" t="s">
        <v>31</v>
      </c>
      <c r="C325" s="8" t="s">
        <v>27</v>
      </c>
      <c r="D325" s="8">
        <v>40</v>
      </c>
      <c r="E325" s="8" t="s">
        <v>32</v>
      </c>
      <c r="F325" t="s">
        <v>29</v>
      </c>
      <c r="G325" s="8">
        <v>5000</v>
      </c>
      <c r="H325" s="7">
        <v>46164</v>
      </c>
      <c r="I325" s="9">
        <v>270</v>
      </c>
      <c r="J325" s="31">
        <f t="shared" si="10"/>
        <v>46158</v>
      </c>
      <c r="K325" s="31">
        <f>Table14[[#This Row],[week first day]]-7</f>
        <v>46151</v>
      </c>
      <c r="L325">
        <f t="shared" si="11"/>
        <v>9990</v>
      </c>
    </row>
    <row r="326" spans="1:12" x14ac:dyDescent="0.3">
      <c r="A326" s="8" t="s">
        <v>30</v>
      </c>
      <c r="B326" s="8" t="s">
        <v>31</v>
      </c>
      <c r="C326" s="8" t="s">
        <v>27</v>
      </c>
      <c r="D326" s="8">
        <v>40</v>
      </c>
      <c r="E326" s="8" t="s">
        <v>32</v>
      </c>
      <c r="F326" t="s">
        <v>29</v>
      </c>
      <c r="G326" s="8">
        <v>5000</v>
      </c>
      <c r="H326" s="7">
        <v>46164</v>
      </c>
      <c r="I326" s="9">
        <v>270</v>
      </c>
      <c r="J326" s="31">
        <f t="shared" si="10"/>
        <v>46158</v>
      </c>
      <c r="K326" s="31">
        <f>Table14[[#This Row],[week first day]]-7</f>
        <v>46151</v>
      </c>
      <c r="L326">
        <f t="shared" si="11"/>
        <v>9990</v>
      </c>
    </row>
    <row r="327" spans="1:12" x14ac:dyDescent="0.3">
      <c r="A327" s="8" t="s">
        <v>30</v>
      </c>
      <c r="B327" s="8" t="s">
        <v>31</v>
      </c>
      <c r="C327" s="8" t="s">
        <v>27</v>
      </c>
      <c r="D327" s="8">
        <v>40</v>
      </c>
      <c r="E327" s="8" t="s">
        <v>32</v>
      </c>
      <c r="F327" t="s">
        <v>29</v>
      </c>
      <c r="G327" s="8">
        <v>5000</v>
      </c>
      <c r="H327" s="7">
        <v>46164</v>
      </c>
      <c r="I327" s="9">
        <v>270</v>
      </c>
      <c r="J327" s="31">
        <f t="shared" si="10"/>
        <v>46158</v>
      </c>
      <c r="K327" s="31">
        <f>Table14[[#This Row],[week first day]]-7</f>
        <v>46151</v>
      </c>
      <c r="L327">
        <f t="shared" si="11"/>
        <v>9990</v>
      </c>
    </row>
    <row r="328" spans="1:12" x14ac:dyDescent="0.3">
      <c r="A328" s="8" t="s">
        <v>30</v>
      </c>
      <c r="B328" s="8" t="s">
        <v>31</v>
      </c>
      <c r="C328" s="8" t="s">
        <v>27</v>
      </c>
      <c r="D328" s="8">
        <v>40</v>
      </c>
      <c r="E328" s="8" t="s">
        <v>32</v>
      </c>
      <c r="F328" t="s">
        <v>29</v>
      </c>
      <c r="G328" s="8">
        <v>5000</v>
      </c>
      <c r="H328" s="7">
        <v>46171</v>
      </c>
      <c r="I328" s="9">
        <v>222</v>
      </c>
      <c r="J328" s="31">
        <f t="shared" si="10"/>
        <v>46165</v>
      </c>
      <c r="K328" s="31">
        <f>Table14[[#This Row],[week first day]]-7</f>
        <v>46158</v>
      </c>
      <c r="L328">
        <f t="shared" si="11"/>
        <v>5840</v>
      </c>
    </row>
    <row r="329" spans="1:12" x14ac:dyDescent="0.3">
      <c r="A329" s="8" t="s">
        <v>30</v>
      </c>
      <c r="B329" s="8" t="s">
        <v>31</v>
      </c>
      <c r="C329" s="8" t="s">
        <v>27</v>
      </c>
      <c r="D329" s="8">
        <v>40</v>
      </c>
      <c r="E329" s="8" t="s">
        <v>32</v>
      </c>
      <c r="F329" t="s">
        <v>29</v>
      </c>
      <c r="G329" s="8">
        <v>5000</v>
      </c>
      <c r="H329" s="7">
        <v>46171</v>
      </c>
      <c r="I329" s="9">
        <v>171</v>
      </c>
      <c r="J329" s="31">
        <f t="shared" si="10"/>
        <v>46165</v>
      </c>
      <c r="K329" s="31">
        <f>Table14[[#This Row],[week first day]]-7</f>
        <v>46158</v>
      </c>
      <c r="L329">
        <f t="shared" si="11"/>
        <v>5840</v>
      </c>
    </row>
    <row r="330" spans="1:12" x14ac:dyDescent="0.3">
      <c r="A330" s="8" t="s">
        <v>30</v>
      </c>
      <c r="B330" s="8" t="s">
        <v>31</v>
      </c>
      <c r="C330" s="8" t="s">
        <v>27</v>
      </c>
      <c r="D330" s="8">
        <v>40</v>
      </c>
      <c r="E330" s="8" t="s">
        <v>32</v>
      </c>
      <c r="F330" t="s">
        <v>29</v>
      </c>
      <c r="G330" s="8">
        <v>5000</v>
      </c>
      <c r="H330" s="7">
        <v>46171</v>
      </c>
      <c r="I330" s="9">
        <v>270</v>
      </c>
      <c r="J330" s="31">
        <f t="shared" si="10"/>
        <v>46165</v>
      </c>
      <c r="K330" s="31">
        <f>Table14[[#This Row],[week first day]]-7</f>
        <v>46158</v>
      </c>
      <c r="L330">
        <f t="shared" si="11"/>
        <v>5840</v>
      </c>
    </row>
    <row r="331" spans="1:12" x14ac:dyDescent="0.3">
      <c r="A331" s="8" t="s">
        <v>30</v>
      </c>
      <c r="B331" s="8" t="s">
        <v>31</v>
      </c>
      <c r="C331" s="8" t="s">
        <v>27</v>
      </c>
      <c r="D331" s="8">
        <v>40</v>
      </c>
      <c r="E331" s="8" t="s">
        <v>32</v>
      </c>
      <c r="F331" t="s">
        <v>29</v>
      </c>
      <c r="G331" s="8">
        <v>5000</v>
      </c>
      <c r="H331" s="7">
        <v>46171</v>
      </c>
      <c r="I331" s="9">
        <v>270</v>
      </c>
      <c r="J331" s="31">
        <f t="shared" si="10"/>
        <v>46165</v>
      </c>
      <c r="K331" s="31">
        <f>Table14[[#This Row],[week first day]]-7</f>
        <v>46158</v>
      </c>
      <c r="L331">
        <f t="shared" si="11"/>
        <v>5840</v>
      </c>
    </row>
    <row r="332" spans="1:12" x14ac:dyDescent="0.3">
      <c r="A332" s="8" t="s">
        <v>30</v>
      </c>
      <c r="B332" s="8" t="s">
        <v>31</v>
      </c>
      <c r="C332" s="8" t="s">
        <v>27</v>
      </c>
      <c r="D332" s="8">
        <v>40</v>
      </c>
      <c r="E332" s="8" t="s">
        <v>32</v>
      </c>
      <c r="F332" t="s">
        <v>29</v>
      </c>
      <c r="G332" s="8">
        <v>5000</v>
      </c>
      <c r="H332" s="7">
        <v>46171</v>
      </c>
      <c r="I332" s="9">
        <v>270</v>
      </c>
      <c r="J332" s="31">
        <f t="shared" si="10"/>
        <v>46165</v>
      </c>
      <c r="K332" s="31">
        <f>Table14[[#This Row],[week first day]]-7</f>
        <v>46158</v>
      </c>
      <c r="L332">
        <f t="shared" si="11"/>
        <v>5840</v>
      </c>
    </row>
    <row r="333" spans="1:12" x14ac:dyDescent="0.3">
      <c r="A333" s="8" t="s">
        <v>30</v>
      </c>
      <c r="B333" s="8" t="s">
        <v>31</v>
      </c>
      <c r="C333" s="8" t="s">
        <v>27</v>
      </c>
      <c r="D333" s="8">
        <v>40</v>
      </c>
      <c r="E333" s="8" t="s">
        <v>32</v>
      </c>
      <c r="F333" t="s">
        <v>29</v>
      </c>
      <c r="G333" s="8">
        <v>5000</v>
      </c>
      <c r="H333" s="7">
        <v>46171</v>
      </c>
      <c r="I333" s="9">
        <v>270</v>
      </c>
      <c r="J333" s="31">
        <f t="shared" si="10"/>
        <v>46165</v>
      </c>
      <c r="K333" s="31">
        <f>Table14[[#This Row],[week first day]]-7</f>
        <v>46158</v>
      </c>
      <c r="L333">
        <f t="shared" si="11"/>
        <v>5840</v>
      </c>
    </row>
    <row r="334" spans="1:12" x14ac:dyDescent="0.3">
      <c r="A334" s="8" t="s">
        <v>30</v>
      </c>
      <c r="B334" s="8" t="s">
        <v>31</v>
      </c>
      <c r="C334" s="8" t="s">
        <v>27</v>
      </c>
      <c r="D334" s="8">
        <v>40</v>
      </c>
      <c r="E334" s="8" t="s">
        <v>32</v>
      </c>
      <c r="F334" t="s">
        <v>29</v>
      </c>
      <c r="G334" s="8">
        <v>5000</v>
      </c>
      <c r="H334" s="7">
        <v>46171</v>
      </c>
      <c r="I334" s="9">
        <v>270</v>
      </c>
      <c r="J334" s="31">
        <f t="shared" si="10"/>
        <v>46165</v>
      </c>
      <c r="K334" s="31">
        <f>Table14[[#This Row],[week first day]]-7</f>
        <v>46158</v>
      </c>
      <c r="L334">
        <f t="shared" si="11"/>
        <v>5840</v>
      </c>
    </row>
    <row r="335" spans="1:12" x14ac:dyDescent="0.3">
      <c r="A335" s="8" t="s">
        <v>30</v>
      </c>
      <c r="B335" s="8" t="s">
        <v>31</v>
      </c>
      <c r="C335" s="8" t="s">
        <v>27</v>
      </c>
      <c r="D335" s="8">
        <v>40</v>
      </c>
      <c r="E335" s="8" t="s">
        <v>32</v>
      </c>
      <c r="F335" t="s">
        <v>29</v>
      </c>
      <c r="G335" s="8">
        <v>5000</v>
      </c>
      <c r="H335" s="7">
        <v>46171</v>
      </c>
      <c r="I335" s="9">
        <v>270</v>
      </c>
      <c r="J335" s="31">
        <f t="shared" si="10"/>
        <v>46165</v>
      </c>
      <c r="K335" s="31">
        <f>Table14[[#This Row],[week first day]]-7</f>
        <v>46158</v>
      </c>
      <c r="L335">
        <f t="shared" si="11"/>
        <v>5840</v>
      </c>
    </row>
    <row r="336" spans="1:12" x14ac:dyDescent="0.3">
      <c r="A336" s="8" t="s">
        <v>30</v>
      </c>
      <c r="B336" s="8" t="s">
        <v>31</v>
      </c>
      <c r="C336" s="8" t="s">
        <v>27</v>
      </c>
      <c r="D336" s="8">
        <v>40</v>
      </c>
      <c r="E336" s="8" t="s">
        <v>32</v>
      </c>
      <c r="F336" t="s">
        <v>29</v>
      </c>
      <c r="G336" s="8">
        <v>5000</v>
      </c>
      <c r="H336" s="7">
        <v>46171</v>
      </c>
      <c r="I336" s="9">
        <v>269</v>
      </c>
      <c r="J336" s="31">
        <f t="shared" si="10"/>
        <v>46165</v>
      </c>
      <c r="K336" s="31">
        <f>Table14[[#This Row],[week first day]]-7</f>
        <v>46158</v>
      </c>
      <c r="L336">
        <f t="shared" si="11"/>
        <v>5840</v>
      </c>
    </row>
    <row r="337" spans="1:12" x14ac:dyDescent="0.3">
      <c r="A337" s="8" t="s">
        <v>30</v>
      </c>
      <c r="B337" s="8" t="s">
        <v>31</v>
      </c>
      <c r="C337" s="8" t="s">
        <v>27</v>
      </c>
      <c r="D337" s="8">
        <v>40</v>
      </c>
      <c r="E337" s="8" t="s">
        <v>32</v>
      </c>
      <c r="F337" t="s">
        <v>29</v>
      </c>
      <c r="G337" s="8">
        <v>5000</v>
      </c>
      <c r="H337" s="7">
        <v>46171</v>
      </c>
      <c r="I337" s="9">
        <v>270</v>
      </c>
      <c r="J337" s="31">
        <f t="shared" si="10"/>
        <v>46165</v>
      </c>
      <c r="K337" s="31">
        <f>Table14[[#This Row],[week first day]]-7</f>
        <v>46158</v>
      </c>
      <c r="L337">
        <f t="shared" si="11"/>
        <v>5840</v>
      </c>
    </row>
    <row r="338" spans="1:12" x14ac:dyDescent="0.3">
      <c r="A338" s="8" t="s">
        <v>30</v>
      </c>
      <c r="B338" s="8" t="s">
        <v>31</v>
      </c>
      <c r="C338" s="8" t="s">
        <v>27</v>
      </c>
      <c r="D338" s="8">
        <v>40</v>
      </c>
      <c r="E338" s="8" t="s">
        <v>32</v>
      </c>
      <c r="F338" t="s">
        <v>29</v>
      </c>
      <c r="G338" s="8">
        <v>5000</v>
      </c>
      <c r="H338" s="7">
        <v>46171</v>
      </c>
      <c r="I338" s="9">
        <v>270</v>
      </c>
      <c r="J338" s="31">
        <f t="shared" si="10"/>
        <v>46165</v>
      </c>
      <c r="K338" s="31">
        <f>Table14[[#This Row],[week first day]]-7</f>
        <v>46158</v>
      </c>
      <c r="L338">
        <f t="shared" si="11"/>
        <v>5840</v>
      </c>
    </row>
    <row r="339" spans="1:12" x14ac:dyDescent="0.3">
      <c r="A339" s="8" t="s">
        <v>30</v>
      </c>
      <c r="B339" s="8" t="s">
        <v>31</v>
      </c>
      <c r="C339" s="8" t="s">
        <v>27</v>
      </c>
      <c r="D339" s="8">
        <v>40</v>
      </c>
      <c r="E339" s="8" t="s">
        <v>32</v>
      </c>
      <c r="F339" t="s">
        <v>29</v>
      </c>
      <c r="G339" s="8">
        <v>5000</v>
      </c>
      <c r="H339" s="7">
        <v>46171</v>
      </c>
      <c r="I339" s="9">
        <v>227</v>
      </c>
      <c r="J339" s="31">
        <f t="shared" si="10"/>
        <v>46165</v>
      </c>
      <c r="K339" s="31">
        <f>Table14[[#This Row],[week first day]]-7</f>
        <v>46158</v>
      </c>
      <c r="L339">
        <f t="shared" si="11"/>
        <v>5840</v>
      </c>
    </row>
    <row r="340" spans="1:12" x14ac:dyDescent="0.3">
      <c r="A340" s="8" t="s">
        <v>30</v>
      </c>
      <c r="B340" s="8" t="s">
        <v>31</v>
      </c>
      <c r="C340" s="8" t="s">
        <v>27</v>
      </c>
      <c r="D340" s="8">
        <v>40</v>
      </c>
      <c r="E340" s="8" t="s">
        <v>32</v>
      </c>
      <c r="F340" t="s">
        <v>29</v>
      </c>
      <c r="G340" s="8">
        <v>5000</v>
      </c>
      <c r="H340" s="7">
        <v>46171</v>
      </c>
      <c r="I340" s="9">
        <v>264</v>
      </c>
      <c r="J340" s="31">
        <f t="shared" si="10"/>
        <v>46165</v>
      </c>
      <c r="K340" s="31">
        <f>Table14[[#This Row],[week first day]]-7</f>
        <v>46158</v>
      </c>
      <c r="L340">
        <f t="shared" si="11"/>
        <v>5840</v>
      </c>
    </row>
    <row r="341" spans="1:12" x14ac:dyDescent="0.3">
      <c r="A341" s="8" t="s">
        <v>30</v>
      </c>
      <c r="B341" s="8" t="s">
        <v>31</v>
      </c>
      <c r="C341" s="8" t="s">
        <v>27</v>
      </c>
      <c r="D341" s="8">
        <v>40</v>
      </c>
      <c r="E341" s="8" t="s">
        <v>32</v>
      </c>
      <c r="F341" t="s">
        <v>29</v>
      </c>
      <c r="G341" s="8">
        <v>5000</v>
      </c>
      <c r="H341" s="7">
        <v>46171</v>
      </c>
      <c r="I341" s="9">
        <v>270</v>
      </c>
      <c r="J341" s="31">
        <f t="shared" si="10"/>
        <v>46165</v>
      </c>
      <c r="K341" s="31">
        <f>Table14[[#This Row],[week first day]]-7</f>
        <v>46158</v>
      </c>
      <c r="L341">
        <f t="shared" si="11"/>
        <v>5840</v>
      </c>
    </row>
    <row r="342" spans="1:12" x14ac:dyDescent="0.3">
      <c r="A342" s="8" t="s">
        <v>30</v>
      </c>
      <c r="B342" s="8" t="s">
        <v>31</v>
      </c>
      <c r="C342" s="8" t="s">
        <v>27</v>
      </c>
      <c r="D342" s="8">
        <v>40</v>
      </c>
      <c r="E342" s="8" t="s">
        <v>32</v>
      </c>
      <c r="F342" t="s">
        <v>29</v>
      </c>
      <c r="G342" s="8">
        <v>5000</v>
      </c>
      <c r="H342" s="7">
        <v>46171</v>
      </c>
      <c r="I342" s="9">
        <v>270</v>
      </c>
      <c r="J342" s="31">
        <f t="shared" si="10"/>
        <v>46165</v>
      </c>
      <c r="K342" s="31">
        <f>Table14[[#This Row],[week first day]]-7</f>
        <v>46158</v>
      </c>
      <c r="L342">
        <f t="shared" si="11"/>
        <v>5840</v>
      </c>
    </row>
    <row r="343" spans="1:12" x14ac:dyDescent="0.3">
      <c r="A343" s="8" t="s">
        <v>30</v>
      </c>
      <c r="B343" s="8" t="s">
        <v>31</v>
      </c>
      <c r="C343" s="8" t="s">
        <v>27</v>
      </c>
      <c r="D343" s="8">
        <v>40</v>
      </c>
      <c r="E343" s="8" t="s">
        <v>32</v>
      </c>
      <c r="F343" t="s">
        <v>29</v>
      </c>
      <c r="G343" s="8">
        <v>5000</v>
      </c>
      <c r="H343" s="7">
        <v>46171</v>
      </c>
      <c r="I343" s="9">
        <v>270</v>
      </c>
      <c r="J343" s="31">
        <f t="shared" si="10"/>
        <v>46165</v>
      </c>
      <c r="K343" s="31">
        <f>Table14[[#This Row],[week first day]]-7</f>
        <v>46158</v>
      </c>
      <c r="L343">
        <f t="shared" si="11"/>
        <v>5840</v>
      </c>
    </row>
    <row r="344" spans="1:12" x14ac:dyDescent="0.3">
      <c r="A344" s="8" t="s">
        <v>30</v>
      </c>
      <c r="B344" s="8" t="s">
        <v>31</v>
      </c>
      <c r="C344" s="8" t="s">
        <v>27</v>
      </c>
      <c r="D344" s="8">
        <v>40</v>
      </c>
      <c r="E344" s="8" t="s">
        <v>32</v>
      </c>
      <c r="F344" t="s">
        <v>29</v>
      </c>
      <c r="G344" s="8">
        <v>5000</v>
      </c>
      <c r="H344" s="7">
        <v>46171</v>
      </c>
      <c r="I344" s="9">
        <v>270</v>
      </c>
      <c r="J344" s="31">
        <f t="shared" si="10"/>
        <v>46165</v>
      </c>
      <c r="K344" s="31">
        <f>Table14[[#This Row],[week first day]]-7</f>
        <v>46158</v>
      </c>
      <c r="L344">
        <f t="shared" si="11"/>
        <v>5840</v>
      </c>
    </row>
    <row r="345" spans="1:12" x14ac:dyDescent="0.3">
      <c r="A345" s="8" t="s">
        <v>30</v>
      </c>
      <c r="B345" s="8" t="s">
        <v>31</v>
      </c>
      <c r="C345" s="8" t="s">
        <v>27</v>
      </c>
      <c r="D345" s="8">
        <v>40</v>
      </c>
      <c r="E345" s="8" t="s">
        <v>32</v>
      </c>
      <c r="F345" t="s">
        <v>29</v>
      </c>
      <c r="G345" s="8">
        <v>5000</v>
      </c>
      <c r="H345" s="7">
        <v>46171</v>
      </c>
      <c r="I345" s="9">
        <v>270</v>
      </c>
      <c r="J345" s="31">
        <f t="shared" si="10"/>
        <v>46165</v>
      </c>
      <c r="K345" s="31">
        <f>Table14[[#This Row],[week first day]]-7</f>
        <v>46158</v>
      </c>
      <c r="L345">
        <f t="shared" si="11"/>
        <v>5840</v>
      </c>
    </row>
    <row r="346" spans="1:12" x14ac:dyDescent="0.3">
      <c r="A346" s="8" t="s">
        <v>30</v>
      </c>
      <c r="B346" s="8" t="s">
        <v>31</v>
      </c>
      <c r="C346" s="8" t="s">
        <v>27</v>
      </c>
      <c r="D346" s="8">
        <v>40</v>
      </c>
      <c r="E346" s="8" t="s">
        <v>32</v>
      </c>
      <c r="F346" t="s">
        <v>29</v>
      </c>
      <c r="G346" s="8">
        <v>5000</v>
      </c>
      <c r="H346" s="7">
        <v>46171</v>
      </c>
      <c r="I346" s="9">
        <v>207</v>
      </c>
      <c r="J346" s="31">
        <f t="shared" si="10"/>
        <v>46165</v>
      </c>
      <c r="K346" s="31">
        <f>Table14[[#This Row],[week first day]]-7</f>
        <v>46158</v>
      </c>
      <c r="L346">
        <f t="shared" si="11"/>
        <v>5840</v>
      </c>
    </row>
    <row r="347" spans="1:12" x14ac:dyDescent="0.3">
      <c r="A347" s="8" t="s">
        <v>30</v>
      </c>
      <c r="B347" s="8" t="s">
        <v>31</v>
      </c>
      <c r="C347" s="8" t="s">
        <v>27</v>
      </c>
      <c r="D347" s="8">
        <v>40</v>
      </c>
      <c r="E347" s="8" t="s">
        <v>32</v>
      </c>
      <c r="F347" t="s">
        <v>29</v>
      </c>
      <c r="G347" s="8">
        <v>5000</v>
      </c>
      <c r="H347" s="7">
        <v>46171</v>
      </c>
      <c r="I347" s="9">
        <v>270</v>
      </c>
      <c r="J347" s="31">
        <f t="shared" si="10"/>
        <v>46165</v>
      </c>
      <c r="K347" s="31">
        <f>Table14[[#This Row],[week first day]]-7</f>
        <v>46158</v>
      </c>
      <c r="L347">
        <f t="shared" si="11"/>
        <v>5840</v>
      </c>
    </row>
    <row r="348" spans="1:12" x14ac:dyDescent="0.3">
      <c r="A348" s="8" t="s">
        <v>30</v>
      </c>
      <c r="B348" s="8" t="s">
        <v>31</v>
      </c>
      <c r="C348" s="8" t="s">
        <v>27</v>
      </c>
      <c r="D348" s="8">
        <v>40</v>
      </c>
      <c r="E348" s="8" t="s">
        <v>32</v>
      </c>
      <c r="F348" t="s">
        <v>29</v>
      </c>
      <c r="G348" s="8">
        <v>5000</v>
      </c>
      <c r="H348" s="7">
        <v>46171</v>
      </c>
      <c r="I348" s="9">
        <v>160</v>
      </c>
      <c r="J348" s="31">
        <f t="shared" si="10"/>
        <v>46165</v>
      </c>
      <c r="K348" s="31">
        <f>Table14[[#This Row],[week first day]]-7</f>
        <v>46158</v>
      </c>
      <c r="L348">
        <f t="shared" si="11"/>
        <v>5840</v>
      </c>
    </row>
    <row r="349" spans="1:12" x14ac:dyDescent="0.3">
      <c r="A349" s="8" t="s">
        <v>30</v>
      </c>
      <c r="B349" s="8" t="s">
        <v>31</v>
      </c>
      <c r="C349" s="8" t="s">
        <v>27</v>
      </c>
      <c r="D349" s="8">
        <v>40</v>
      </c>
      <c r="E349" s="8" t="s">
        <v>32</v>
      </c>
      <c r="F349" t="s">
        <v>29</v>
      </c>
      <c r="G349" s="8">
        <v>5000</v>
      </c>
      <c r="H349" s="7">
        <v>46171</v>
      </c>
      <c r="I349" s="9">
        <v>270</v>
      </c>
      <c r="J349" s="31">
        <f t="shared" si="10"/>
        <v>46165</v>
      </c>
      <c r="K349" s="31">
        <f>Table14[[#This Row],[week first day]]-7</f>
        <v>46158</v>
      </c>
      <c r="L349">
        <f t="shared" si="11"/>
        <v>5840</v>
      </c>
    </row>
    <row r="350" spans="1:12" x14ac:dyDescent="0.3">
      <c r="A350" s="8" t="s">
        <v>30</v>
      </c>
      <c r="B350" s="8" t="s">
        <v>31</v>
      </c>
      <c r="C350" s="8" t="s">
        <v>27</v>
      </c>
      <c r="D350" s="8">
        <v>40</v>
      </c>
      <c r="E350" s="8" t="s">
        <v>32</v>
      </c>
      <c r="F350" t="s">
        <v>29</v>
      </c>
      <c r="G350" s="8">
        <v>5000</v>
      </c>
      <c r="H350" s="7">
        <v>46171</v>
      </c>
      <c r="I350" s="9">
        <v>270</v>
      </c>
      <c r="J350" s="31">
        <f t="shared" si="10"/>
        <v>46165</v>
      </c>
      <c r="K350" s="31">
        <f>Table14[[#This Row],[week first day]]-7</f>
        <v>46158</v>
      </c>
      <c r="L350">
        <f t="shared" si="11"/>
        <v>5840</v>
      </c>
    </row>
    <row r="351" spans="1:12" x14ac:dyDescent="0.3">
      <c r="A351" s="8" t="s">
        <v>30</v>
      </c>
      <c r="B351" s="8" t="s">
        <v>31</v>
      </c>
      <c r="C351" s="8" t="s">
        <v>27</v>
      </c>
      <c r="D351" s="8">
        <v>40</v>
      </c>
      <c r="E351" s="8" t="s">
        <v>32</v>
      </c>
      <c r="F351" t="s">
        <v>29</v>
      </c>
      <c r="G351" s="8">
        <v>5000</v>
      </c>
      <c r="H351" s="7">
        <v>46175</v>
      </c>
      <c r="I351" s="9">
        <v>270</v>
      </c>
      <c r="J351" s="31">
        <f t="shared" si="10"/>
        <v>46172</v>
      </c>
      <c r="K351" s="31">
        <f>Table14[[#This Row],[week first day]]-7</f>
        <v>46165</v>
      </c>
      <c r="L351">
        <f t="shared" si="11"/>
        <v>8100</v>
      </c>
    </row>
    <row r="352" spans="1:12" x14ac:dyDescent="0.3">
      <c r="A352" s="8" t="s">
        <v>30</v>
      </c>
      <c r="B352" s="8" t="s">
        <v>31</v>
      </c>
      <c r="C352" s="8" t="s">
        <v>27</v>
      </c>
      <c r="D352" s="8">
        <v>40</v>
      </c>
      <c r="E352" s="8" t="s">
        <v>32</v>
      </c>
      <c r="F352" t="s">
        <v>29</v>
      </c>
      <c r="G352" s="8">
        <v>5000</v>
      </c>
      <c r="H352" s="7">
        <v>46175</v>
      </c>
      <c r="I352" s="9">
        <v>270</v>
      </c>
      <c r="J352" s="31">
        <f t="shared" si="10"/>
        <v>46172</v>
      </c>
      <c r="K352" s="31">
        <f>Table14[[#This Row],[week first day]]-7</f>
        <v>46165</v>
      </c>
      <c r="L352">
        <f t="shared" si="11"/>
        <v>8100</v>
      </c>
    </row>
    <row r="353" spans="1:12" x14ac:dyDescent="0.3">
      <c r="A353" s="8" t="s">
        <v>30</v>
      </c>
      <c r="B353" s="8" t="s">
        <v>31</v>
      </c>
      <c r="C353" s="8" t="s">
        <v>27</v>
      </c>
      <c r="D353" s="8">
        <v>40</v>
      </c>
      <c r="E353" s="8" t="s">
        <v>32</v>
      </c>
      <c r="F353" t="s">
        <v>29</v>
      </c>
      <c r="G353" s="8">
        <v>5000</v>
      </c>
      <c r="H353" s="7">
        <v>46175</v>
      </c>
      <c r="I353" s="9">
        <v>270</v>
      </c>
      <c r="J353" s="31">
        <f t="shared" si="10"/>
        <v>46172</v>
      </c>
      <c r="K353" s="31">
        <f>Table14[[#This Row],[week first day]]-7</f>
        <v>46165</v>
      </c>
      <c r="L353">
        <f t="shared" si="11"/>
        <v>8100</v>
      </c>
    </row>
    <row r="354" spans="1:12" x14ac:dyDescent="0.3">
      <c r="A354" s="8" t="s">
        <v>30</v>
      </c>
      <c r="B354" s="8" t="s">
        <v>31</v>
      </c>
      <c r="C354" s="8" t="s">
        <v>27</v>
      </c>
      <c r="D354" s="8">
        <v>40</v>
      </c>
      <c r="E354" s="8" t="s">
        <v>32</v>
      </c>
      <c r="F354" t="s">
        <v>29</v>
      </c>
      <c r="G354" s="8">
        <v>5000</v>
      </c>
      <c r="H354" s="7">
        <v>46175</v>
      </c>
      <c r="I354" s="9">
        <v>270</v>
      </c>
      <c r="J354" s="31">
        <f t="shared" si="10"/>
        <v>46172</v>
      </c>
      <c r="K354" s="31">
        <f>Table14[[#This Row],[week first day]]-7</f>
        <v>46165</v>
      </c>
      <c r="L354">
        <f t="shared" si="11"/>
        <v>8100</v>
      </c>
    </row>
    <row r="355" spans="1:12" x14ac:dyDescent="0.3">
      <c r="A355" s="8" t="s">
        <v>30</v>
      </c>
      <c r="B355" s="8" t="s">
        <v>31</v>
      </c>
      <c r="C355" s="8" t="s">
        <v>27</v>
      </c>
      <c r="D355" s="8">
        <v>40</v>
      </c>
      <c r="E355" s="8" t="s">
        <v>32</v>
      </c>
      <c r="F355" t="s">
        <v>29</v>
      </c>
      <c r="G355" s="8">
        <v>5000</v>
      </c>
      <c r="H355" s="7">
        <v>46175</v>
      </c>
      <c r="I355" s="9">
        <v>270</v>
      </c>
      <c r="J355" s="31">
        <f t="shared" si="10"/>
        <v>46172</v>
      </c>
      <c r="K355" s="31">
        <f>Table14[[#This Row],[week first day]]-7</f>
        <v>46165</v>
      </c>
      <c r="L355">
        <f t="shared" si="11"/>
        <v>8100</v>
      </c>
    </row>
    <row r="356" spans="1:12" x14ac:dyDescent="0.3">
      <c r="A356" s="8" t="s">
        <v>30</v>
      </c>
      <c r="B356" s="8" t="s">
        <v>31</v>
      </c>
      <c r="C356" s="8" t="s">
        <v>27</v>
      </c>
      <c r="D356" s="8">
        <v>40</v>
      </c>
      <c r="E356" s="8" t="s">
        <v>32</v>
      </c>
      <c r="F356" t="s">
        <v>29</v>
      </c>
      <c r="G356" s="8">
        <v>5000</v>
      </c>
      <c r="H356" s="7">
        <v>46175</v>
      </c>
      <c r="I356" s="9">
        <v>270</v>
      </c>
      <c r="J356" s="31">
        <f t="shared" si="10"/>
        <v>46172</v>
      </c>
      <c r="K356" s="31">
        <f>Table14[[#This Row],[week first day]]-7</f>
        <v>46165</v>
      </c>
      <c r="L356">
        <f t="shared" si="11"/>
        <v>8100</v>
      </c>
    </row>
    <row r="357" spans="1:12" x14ac:dyDescent="0.3">
      <c r="A357" s="8" t="s">
        <v>30</v>
      </c>
      <c r="B357" s="8" t="s">
        <v>31</v>
      </c>
      <c r="C357" s="8" t="s">
        <v>27</v>
      </c>
      <c r="D357" s="8">
        <v>40</v>
      </c>
      <c r="E357" s="8" t="s">
        <v>32</v>
      </c>
      <c r="F357" t="s">
        <v>29</v>
      </c>
      <c r="G357" s="8">
        <v>5000</v>
      </c>
      <c r="H357" s="7">
        <v>46175</v>
      </c>
      <c r="I357" s="9">
        <v>270</v>
      </c>
      <c r="J357" s="31">
        <f t="shared" si="10"/>
        <v>46172</v>
      </c>
      <c r="K357" s="31">
        <f>Table14[[#This Row],[week first day]]-7</f>
        <v>46165</v>
      </c>
      <c r="L357">
        <f t="shared" si="11"/>
        <v>8100</v>
      </c>
    </row>
    <row r="358" spans="1:12" x14ac:dyDescent="0.3">
      <c r="A358" s="8" t="s">
        <v>30</v>
      </c>
      <c r="B358" s="8" t="s">
        <v>31</v>
      </c>
      <c r="C358" s="8" t="s">
        <v>27</v>
      </c>
      <c r="D358" s="8">
        <v>40</v>
      </c>
      <c r="E358" s="8" t="s">
        <v>32</v>
      </c>
      <c r="F358" t="s">
        <v>29</v>
      </c>
      <c r="G358" s="8">
        <v>5000</v>
      </c>
      <c r="H358" s="7">
        <v>46175</v>
      </c>
      <c r="I358" s="9">
        <v>270</v>
      </c>
      <c r="J358" s="31">
        <f t="shared" si="10"/>
        <v>46172</v>
      </c>
      <c r="K358" s="31">
        <f>Table14[[#This Row],[week first day]]-7</f>
        <v>46165</v>
      </c>
      <c r="L358">
        <f t="shared" si="11"/>
        <v>8100</v>
      </c>
    </row>
    <row r="359" spans="1:12" x14ac:dyDescent="0.3">
      <c r="A359" s="8" t="s">
        <v>30</v>
      </c>
      <c r="B359" s="8" t="s">
        <v>31</v>
      </c>
      <c r="C359" s="8" t="s">
        <v>27</v>
      </c>
      <c r="D359" s="8">
        <v>40</v>
      </c>
      <c r="E359" s="8" t="s">
        <v>32</v>
      </c>
      <c r="F359" t="s">
        <v>29</v>
      </c>
      <c r="G359" s="8">
        <v>5000</v>
      </c>
      <c r="H359" s="7">
        <v>46175</v>
      </c>
      <c r="I359" s="9">
        <v>270</v>
      </c>
      <c r="J359" s="31">
        <f t="shared" si="10"/>
        <v>46172</v>
      </c>
      <c r="K359" s="31">
        <f>Table14[[#This Row],[week first day]]-7</f>
        <v>46165</v>
      </c>
      <c r="L359">
        <f t="shared" si="11"/>
        <v>8100</v>
      </c>
    </row>
    <row r="360" spans="1:12" x14ac:dyDescent="0.3">
      <c r="A360" s="8" t="s">
        <v>30</v>
      </c>
      <c r="B360" s="8" t="s">
        <v>31</v>
      </c>
      <c r="C360" s="8" t="s">
        <v>27</v>
      </c>
      <c r="D360" s="8">
        <v>40</v>
      </c>
      <c r="E360" s="8" t="s">
        <v>32</v>
      </c>
      <c r="F360" t="s">
        <v>29</v>
      </c>
      <c r="G360" s="8">
        <v>5000</v>
      </c>
      <c r="H360" s="7">
        <v>46175</v>
      </c>
      <c r="I360" s="9">
        <v>270</v>
      </c>
      <c r="J360" s="31">
        <f t="shared" si="10"/>
        <v>46172</v>
      </c>
      <c r="K360" s="31">
        <f>Table14[[#This Row],[week first day]]-7</f>
        <v>46165</v>
      </c>
      <c r="L360">
        <f t="shared" si="11"/>
        <v>8100</v>
      </c>
    </row>
    <row r="361" spans="1:12" x14ac:dyDescent="0.3">
      <c r="A361" s="8" t="s">
        <v>30</v>
      </c>
      <c r="B361" s="8" t="s">
        <v>31</v>
      </c>
      <c r="C361" s="8" t="s">
        <v>27</v>
      </c>
      <c r="D361" s="8">
        <v>40</v>
      </c>
      <c r="E361" s="8" t="s">
        <v>32</v>
      </c>
      <c r="F361" t="s">
        <v>29</v>
      </c>
      <c r="G361" s="8">
        <v>5000</v>
      </c>
      <c r="H361" s="7">
        <v>46175</v>
      </c>
      <c r="I361" s="9">
        <v>270</v>
      </c>
      <c r="J361" s="31">
        <f t="shared" si="10"/>
        <v>46172</v>
      </c>
      <c r="K361" s="31">
        <f>Table14[[#This Row],[week first day]]-7</f>
        <v>46165</v>
      </c>
      <c r="L361">
        <f t="shared" si="11"/>
        <v>8100</v>
      </c>
    </row>
    <row r="362" spans="1:12" x14ac:dyDescent="0.3">
      <c r="A362" s="8" t="s">
        <v>30</v>
      </c>
      <c r="B362" s="8" t="s">
        <v>31</v>
      </c>
      <c r="C362" s="8" t="s">
        <v>27</v>
      </c>
      <c r="D362" s="8">
        <v>40</v>
      </c>
      <c r="E362" s="8" t="s">
        <v>32</v>
      </c>
      <c r="F362" t="s">
        <v>29</v>
      </c>
      <c r="G362" s="8">
        <v>5000</v>
      </c>
      <c r="H362" s="7">
        <v>46175</v>
      </c>
      <c r="I362" s="9">
        <v>270</v>
      </c>
      <c r="J362" s="31">
        <f t="shared" si="10"/>
        <v>46172</v>
      </c>
      <c r="K362" s="31">
        <f>Table14[[#This Row],[week first day]]-7</f>
        <v>46165</v>
      </c>
      <c r="L362">
        <f t="shared" si="11"/>
        <v>8100</v>
      </c>
    </row>
    <row r="363" spans="1:12" x14ac:dyDescent="0.3">
      <c r="A363" s="8" t="s">
        <v>30</v>
      </c>
      <c r="B363" s="8" t="s">
        <v>31</v>
      </c>
      <c r="C363" s="8" t="s">
        <v>27</v>
      </c>
      <c r="D363" s="8">
        <v>40</v>
      </c>
      <c r="E363" s="8" t="s">
        <v>32</v>
      </c>
      <c r="F363" t="s">
        <v>29</v>
      </c>
      <c r="G363" s="8">
        <v>5000</v>
      </c>
      <c r="H363" s="7">
        <v>46175</v>
      </c>
      <c r="I363" s="9">
        <v>270</v>
      </c>
      <c r="J363" s="31">
        <f t="shared" si="10"/>
        <v>46172</v>
      </c>
      <c r="K363" s="31">
        <f>Table14[[#This Row],[week first day]]-7</f>
        <v>46165</v>
      </c>
      <c r="L363">
        <f t="shared" si="11"/>
        <v>8100</v>
      </c>
    </row>
    <row r="364" spans="1:12" x14ac:dyDescent="0.3">
      <c r="A364" s="8" t="s">
        <v>30</v>
      </c>
      <c r="B364" s="8" t="s">
        <v>31</v>
      </c>
      <c r="C364" s="8" t="s">
        <v>27</v>
      </c>
      <c r="D364" s="8">
        <v>40</v>
      </c>
      <c r="E364" s="8" t="s">
        <v>32</v>
      </c>
      <c r="F364" t="s">
        <v>29</v>
      </c>
      <c r="G364" s="8">
        <v>5000</v>
      </c>
      <c r="H364" s="7">
        <v>46175</v>
      </c>
      <c r="I364" s="9">
        <v>270</v>
      </c>
      <c r="J364" s="31">
        <f t="shared" si="10"/>
        <v>46172</v>
      </c>
      <c r="K364" s="31">
        <f>Table14[[#This Row],[week first day]]-7</f>
        <v>46165</v>
      </c>
      <c r="L364">
        <f t="shared" si="11"/>
        <v>8100</v>
      </c>
    </row>
    <row r="365" spans="1:12" x14ac:dyDescent="0.3">
      <c r="A365" s="8" t="s">
        <v>30</v>
      </c>
      <c r="B365" s="8" t="s">
        <v>31</v>
      </c>
      <c r="C365" s="8" t="s">
        <v>27</v>
      </c>
      <c r="D365" s="8">
        <v>40</v>
      </c>
      <c r="E365" s="8" t="s">
        <v>32</v>
      </c>
      <c r="F365" t="s">
        <v>29</v>
      </c>
      <c r="G365" s="8">
        <v>5000</v>
      </c>
      <c r="H365" s="7">
        <v>46175</v>
      </c>
      <c r="I365" s="9">
        <v>270</v>
      </c>
      <c r="J365" s="31">
        <f t="shared" si="10"/>
        <v>46172</v>
      </c>
      <c r="K365" s="31">
        <f>Table14[[#This Row],[week first day]]-7</f>
        <v>46165</v>
      </c>
      <c r="L365">
        <f t="shared" si="11"/>
        <v>8100</v>
      </c>
    </row>
    <row r="366" spans="1:12" x14ac:dyDescent="0.3">
      <c r="A366" s="8" t="s">
        <v>30</v>
      </c>
      <c r="B366" s="8" t="s">
        <v>31</v>
      </c>
      <c r="C366" s="8" t="s">
        <v>27</v>
      </c>
      <c r="D366" s="8">
        <v>40</v>
      </c>
      <c r="E366" s="8" t="s">
        <v>32</v>
      </c>
      <c r="F366" t="s">
        <v>29</v>
      </c>
      <c r="G366" s="8">
        <v>5000</v>
      </c>
      <c r="H366" s="7">
        <v>46175</v>
      </c>
      <c r="I366" s="9">
        <v>270</v>
      </c>
      <c r="J366" s="31">
        <f t="shared" si="10"/>
        <v>46172</v>
      </c>
      <c r="K366" s="31">
        <f>Table14[[#This Row],[week first day]]-7</f>
        <v>46165</v>
      </c>
      <c r="L366">
        <f t="shared" si="11"/>
        <v>8100</v>
      </c>
    </row>
    <row r="367" spans="1:12" x14ac:dyDescent="0.3">
      <c r="A367" s="8" t="s">
        <v>30</v>
      </c>
      <c r="B367" s="8" t="s">
        <v>31</v>
      </c>
      <c r="C367" s="8" t="s">
        <v>27</v>
      </c>
      <c r="D367" s="8">
        <v>40</v>
      </c>
      <c r="E367" s="8" t="s">
        <v>32</v>
      </c>
      <c r="F367" t="s">
        <v>29</v>
      </c>
      <c r="G367" s="8">
        <v>5000</v>
      </c>
      <c r="H367" s="7">
        <v>46175</v>
      </c>
      <c r="I367" s="9">
        <v>270</v>
      </c>
      <c r="J367" s="31">
        <f t="shared" si="10"/>
        <v>46172</v>
      </c>
      <c r="K367" s="31">
        <f>Table14[[#This Row],[week first day]]-7</f>
        <v>46165</v>
      </c>
      <c r="L367">
        <f t="shared" si="11"/>
        <v>8100</v>
      </c>
    </row>
    <row r="368" spans="1:12" x14ac:dyDescent="0.3">
      <c r="A368" s="8" t="s">
        <v>30</v>
      </c>
      <c r="B368" s="8" t="s">
        <v>31</v>
      </c>
      <c r="C368" s="8" t="s">
        <v>27</v>
      </c>
      <c r="D368" s="8">
        <v>40</v>
      </c>
      <c r="E368" s="8" t="s">
        <v>32</v>
      </c>
      <c r="F368" t="s">
        <v>29</v>
      </c>
      <c r="G368" s="8">
        <v>5000</v>
      </c>
      <c r="H368" s="7">
        <v>46175</v>
      </c>
      <c r="I368" s="9">
        <v>270</v>
      </c>
      <c r="J368" s="31">
        <f t="shared" si="10"/>
        <v>46172</v>
      </c>
      <c r="K368" s="31">
        <f>Table14[[#This Row],[week first day]]-7</f>
        <v>46165</v>
      </c>
      <c r="L368">
        <f t="shared" si="11"/>
        <v>8100</v>
      </c>
    </row>
    <row r="369" spans="1:12" x14ac:dyDescent="0.3">
      <c r="A369" s="8" t="s">
        <v>30</v>
      </c>
      <c r="B369" s="8" t="s">
        <v>31</v>
      </c>
      <c r="C369" s="8" t="s">
        <v>27</v>
      </c>
      <c r="D369" s="8">
        <v>40</v>
      </c>
      <c r="E369" s="8" t="s">
        <v>32</v>
      </c>
      <c r="F369" t="s">
        <v>29</v>
      </c>
      <c r="G369" s="8">
        <v>5000</v>
      </c>
      <c r="H369" s="7">
        <v>46175</v>
      </c>
      <c r="I369" s="9">
        <v>270</v>
      </c>
      <c r="J369" s="31">
        <f t="shared" si="10"/>
        <v>46172</v>
      </c>
      <c r="K369" s="31">
        <f>Table14[[#This Row],[week first day]]-7</f>
        <v>46165</v>
      </c>
      <c r="L369">
        <f t="shared" si="11"/>
        <v>8100</v>
      </c>
    </row>
    <row r="370" spans="1:12" x14ac:dyDescent="0.3">
      <c r="A370" s="8" t="s">
        <v>30</v>
      </c>
      <c r="B370" s="8" t="s">
        <v>31</v>
      </c>
      <c r="C370" s="8" t="s">
        <v>27</v>
      </c>
      <c r="D370" s="8">
        <v>40</v>
      </c>
      <c r="E370" s="8" t="s">
        <v>32</v>
      </c>
      <c r="F370" t="s">
        <v>29</v>
      </c>
      <c r="G370" s="8">
        <v>5000</v>
      </c>
      <c r="H370" s="7">
        <v>46175</v>
      </c>
      <c r="I370" s="9">
        <v>270</v>
      </c>
      <c r="J370" s="31">
        <f t="shared" si="10"/>
        <v>46172</v>
      </c>
      <c r="K370" s="31">
        <f>Table14[[#This Row],[week first day]]-7</f>
        <v>46165</v>
      </c>
      <c r="L370">
        <f t="shared" si="11"/>
        <v>8100</v>
      </c>
    </row>
    <row r="371" spans="1:12" x14ac:dyDescent="0.3">
      <c r="A371" s="8" t="s">
        <v>30</v>
      </c>
      <c r="B371" s="8" t="s">
        <v>31</v>
      </c>
      <c r="C371" s="8" t="s">
        <v>27</v>
      </c>
      <c r="D371" s="8">
        <v>40</v>
      </c>
      <c r="E371" s="8" t="s">
        <v>32</v>
      </c>
      <c r="F371" t="s">
        <v>29</v>
      </c>
      <c r="G371" s="8">
        <v>5000</v>
      </c>
      <c r="H371" s="7">
        <v>46175</v>
      </c>
      <c r="I371" s="9">
        <v>270</v>
      </c>
      <c r="J371" s="31">
        <f t="shared" si="10"/>
        <v>46172</v>
      </c>
      <c r="K371" s="31">
        <f>Table14[[#This Row],[week first day]]-7</f>
        <v>46165</v>
      </c>
      <c r="L371">
        <f t="shared" si="11"/>
        <v>8100</v>
      </c>
    </row>
    <row r="372" spans="1:12" x14ac:dyDescent="0.3">
      <c r="A372" s="8" t="s">
        <v>30</v>
      </c>
      <c r="B372" s="8" t="s">
        <v>31</v>
      </c>
      <c r="C372" s="8" t="s">
        <v>27</v>
      </c>
      <c r="D372" s="8">
        <v>40</v>
      </c>
      <c r="E372" s="8" t="s">
        <v>32</v>
      </c>
      <c r="F372" t="s">
        <v>29</v>
      </c>
      <c r="G372" s="8">
        <v>5000</v>
      </c>
      <c r="H372" s="7">
        <v>46175</v>
      </c>
      <c r="I372" s="9">
        <v>270</v>
      </c>
      <c r="J372" s="31">
        <f t="shared" si="10"/>
        <v>46172</v>
      </c>
      <c r="K372" s="31">
        <f>Table14[[#This Row],[week first day]]-7</f>
        <v>46165</v>
      </c>
      <c r="L372">
        <f t="shared" si="11"/>
        <v>8100</v>
      </c>
    </row>
    <row r="373" spans="1:12" x14ac:dyDescent="0.3">
      <c r="A373" s="8" t="s">
        <v>30</v>
      </c>
      <c r="B373" s="8" t="s">
        <v>31</v>
      </c>
      <c r="C373" s="8" t="s">
        <v>27</v>
      </c>
      <c r="D373" s="8">
        <v>40</v>
      </c>
      <c r="E373" s="8" t="s">
        <v>32</v>
      </c>
      <c r="F373" t="s">
        <v>29</v>
      </c>
      <c r="G373" s="8">
        <v>5000</v>
      </c>
      <c r="H373" s="7">
        <v>46175</v>
      </c>
      <c r="I373" s="9">
        <v>270</v>
      </c>
      <c r="J373" s="31">
        <f t="shared" si="10"/>
        <v>46172</v>
      </c>
      <c r="K373" s="31">
        <f>Table14[[#This Row],[week first day]]-7</f>
        <v>46165</v>
      </c>
      <c r="L373">
        <f t="shared" si="11"/>
        <v>8100</v>
      </c>
    </row>
    <row r="374" spans="1:12" x14ac:dyDescent="0.3">
      <c r="A374" s="8" t="s">
        <v>30</v>
      </c>
      <c r="B374" s="8" t="s">
        <v>31</v>
      </c>
      <c r="C374" s="8" t="s">
        <v>27</v>
      </c>
      <c r="D374" s="8">
        <v>40</v>
      </c>
      <c r="E374" s="8" t="s">
        <v>32</v>
      </c>
      <c r="F374" t="s">
        <v>29</v>
      </c>
      <c r="G374" s="8">
        <v>5000</v>
      </c>
      <c r="H374" s="7">
        <v>46175</v>
      </c>
      <c r="I374" s="9">
        <v>270</v>
      </c>
      <c r="J374" s="31">
        <f t="shared" si="10"/>
        <v>46172</v>
      </c>
      <c r="K374" s="31">
        <f>Table14[[#This Row],[week first day]]-7</f>
        <v>46165</v>
      </c>
      <c r="L374">
        <f t="shared" si="11"/>
        <v>8100</v>
      </c>
    </row>
    <row r="375" spans="1:12" x14ac:dyDescent="0.3">
      <c r="A375" s="8" t="s">
        <v>30</v>
      </c>
      <c r="B375" s="8" t="s">
        <v>31</v>
      </c>
      <c r="C375" s="8" t="s">
        <v>27</v>
      </c>
      <c r="D375" s="8">
        <v>40</v>
      </c>
      <c r="E375" s="8" t="s">
        <v>32</v>
      </c>
      <c r="F375" t="s">
        <v>29</v>
      </c>
      <c r="G375" s="8">
        <v>5000</v>
      </c>
      <c r="H375" s="7">
        <v>46175</v>
      </c>
      <c r="I375" s="9">
        <v>270</v>
      </c>
      <c r="J375" s="31">
        <f t="shared" si="10"/>
        <v>46172</v>
      </c>
      <c r="K375" s="31">
        <f>Table14[[#This Row],[week first day]]-7</f>
        <v>46165</v>
      </c>
      <c r="L375">
        <f t="shared" si="11"/>
        <v>8100</v>
      </c>
    </row>
    <row r="376" spans="1:12" x14ac:dyDescent="0.3">
      <c r="A376" s="8" t="s">
        <v>30</v>
      </c>
      <c r="B376" s="8" t="s">
        <v>31</v>
      </c>
      <c r="C376" s="8" t="s">
        <v>27</v>
      </c>
      <c r="D376" s="8">
        <v>40</v>
      </c>
      <c r="E376" s="8" t="s">
        <v>32</v>
      </c>
      <c r="F376" t="s">
        <v>29</v>
      </c>
      <c r="G376" s="8">
        <v>5000</v>
      </c>
      <c r="H376" s="7">
        <v>46175</v>
      </c>
      <c r="I376" s="9">
        <v>270</v>
      </c>
      <c r="J376" s="31">
        <f t="shared" si="10"/>
        <v>46172</v>
      </c>
      <c r="K376" s="31">
        <f>Table14[[#This Row],[week first day]]-7</f>
        <v>46165</v>
      </c>
      <c r="L376">
        <f t="shared" si="11"/>
        <v>8100</v>
      </c>
    </row>
    <row r="377" spans="1:12" x14ac:dyDescent="0.3">
      <c r="A377" s="8" t="s">
        <v>30</v>
      </c>
      <c r="B377" s="8" t="s">
        <v>31</v>
      </c>
      <c r="C377" s="8" t="s">
        <v>27</v>
      </c>
      <c r="D377" s="8">
        <v>40</v>
      </c>
      <c r="E377" s="8" t="s">
        <v>32</v>
      </c>
      <c r="F377" t="s">
        <v>29</v>
      </c>
      <c r="G377" s="8">
        <v>5000</v>
      </c>
      <c r="H377" s="7">
        <v>46175</v>
      </c>
      <c r="I377" s="9">
        <v>270</v>
      </c>
      <c r="J377" s="31">
        <f t="shared" si="10"/>
        <v>46172</v>
      </c>
      <c r="K377" s="31">
        <f>Table14[[#This Row],[week first day]]-7</f>
        <v>46165</v>
      </c>
      <c r="L377">
        <f t="shared" si="11"/>
        <v>8100</v>
      </c>
    </row>
    <row r="378" spans="1:12" x14ac:dyDescent="0.3">
      <c r="A378" s="8" t="s">
        <v>30</v>
      </c>
      <c r="B378" s="8" t="s">
        <v>31</v>
      </c>
      <c r="C378" s="8" t="s">
        <v>27</v>
      </c>
      <c r="D378" s="8">
        <v>40</v>
      </c>
      <c r="E378" s="8" t="s">
        <v>32</v>
      </c>
      <c r="F378" t="s">
        <v>29</v>
      </c>
      <c r="G378" s="8">
        <v>5000</v>
      </c>
      <c r="H378" s="7">
        <v>46175</v>
      </c>
      <c r="I378" s="9">
        <v>270</v>
      </c>
      <c r="J378" s="31">
        <f t="shared" si="10"/>
        <v>46172</v>
      </c>
      <c r="K378" s="31">
        <f>Table14[[#This Row],[week first day]]-7</f>
        <v>46165</v>
      </c>
      <c r="L378">
        <f t="shared" si="11"/>
        <v>8100</v>
      </c>
    </row>
    <row r="379" spans="1:12" x14ac:dyDescent="0.3">
      <c r="A379" s="8" t="s">
        <v>30</v>
      </c>
      <c r="B379" s="8" t="s">
        <v>31</v>
      </c>
      <c r="C379" s="8" t="s">
        <v>27</v>
      </c>
      <c r="D379" s="8">
        <v>40</v>
      </c>
      <c r="E379" s="8" t="s">
        <v>32</v>
      </c>
      <c r="F379" t="s">
        <v>29</v>
      </c>
      <c r="G379" s="8">
        <v>5000</v>
      </c>
      <c r="H379" s="7">
        <v>46175</v>
      </c>
      <c r="I379" s="9">
        <v>270</v>
      </c>
      <c r="J379" s="31">
        <f t="shared" si="10"/>
        <v>46172</v>
      </c>
      <c r="K379" s="31">
        <f>Table14[[#This Row],[week first day]]-7</f>
        <v>46165</v>
      </c>
      <c r="L379">
        <f t="shared" si="11"/>
        <v>8100</v>
      </c>
    </row>
    <row r="380" spans="1:12" x14ac:dyDescent="0.3">
      <c r="A380" s="8" t="s">
        <v>30</v>
      </c>
      <c r="B380" s="8" t="s">
        <v>31</v>
      </c>
      <c r="C380" s="8" t="s">
        <v>27</v>
      </c>
      <c r="D380" s="8">
        <v>40</v>
      </c>
      <c r="E380" s="8" t="s">
        <v>32</v>
      </c>
      <c r="F380" t="s">
        <v>29</v>
      </c>
      <c r="G380" s="8">
        <v>5000</v>
      </c>
      <c r="H380" s="7">
        <v>46175</v>
      </c>
      <c r="I380" s="9">
        <v>270</v>
      </c>
      <c r="J380" s="31">
        <f t="shared" si="10"/>
        <v>46172</v>
      </c>
      <c r="K380" s="31">
        <f>Table14[[#This Row],[week first day]]-7</f>
        <v>46165</v>
      </c>
      <c r="L380">
        <f t="shared" si="11"/>
        <v>8100</v>
      </c>
    </row>
    <row r="381" spans="1:12" x14ac:dyDescent="0.3">
      <c r="A381" s="8" t="s">
        <v>30</v>
      </c>
      <c r="B381" s="8" t="s">
        <v>31</v>
      </c>
      <c r="C381" s="8" t="s">
        <v>27</v>
      </c>
      <c r="D381" s="8">
        <v>40</v>
      </c>
      <c r="E381" s="8" t="s">
        <v>32</v>
      </c>
      <c r="F381" t="s">
        <v>29</v>
      </c>
      <c r="G381" s="8">
        <v>5000</v>
      </c>
      <c r="H381" s="7">
        <v>46183</v>
      </c>
      <c r="I381" s="9">
        <v>228</v>
      </c>
      <c r="J381" s="31">
        <f t="shared" si="10"/>
        <v>46179</v>
      </c>
      <c r="K381" s="31">
        <f>Table14[[#This Row],[week first day]]-7</f>
        <v>46172</v>
      </c>
      <c r="L381">
        <f t="shared" si="11"/>
        <v>1001</v>
      </c>
    </row>
    <row r="382" spans="1:12" x14ac:dyDescent="0.3">
      <c r="A382" s="8" t="s">
        <v>30</v>
      </c>
      <c r="B382" s="8" t="s">
        <v>31</v>
      </c>
      <c r="C382" s="8" t="s">
        <v>27</v>
      </c>
      <c r="D382" s="8">
        <v>40</v>
      </c>
      <c r="E382" s="8" t="s">
        <v>32</v>
      </c>
      <c r="F382" t="s">
        <v>29</v>
      </c>
      <c r="G382" s="8">
        <v>5000</v>
      </c>
      <c r="H382" s="7">
        <v>46183</v>
      </c>
      <c r="I382" s="9">
        <v>270</v>
      </c>
      <c r="J382" s="31">
        <f t="shared" si="10"/>
        <v>46179</v>
      </c>
      <c r="K382" s="31">
        <f>Table14[[#This Row],[week first day]]-7</f>
        <v>46172</v>
      </c>
      <c r="L382">
        <f t="shared" si="11"/>
        <v>1001</v>
      </c>
    </row>
    <row r="383" spans="1:12" x14ac:dyDescent="0.3">
      <c r="A383" s="8" t="s">
        <v>30</v>
      </c>
      <c r="B383" s="8" t="s">
        <v>31</v>
      </c>
      <c r="C383" s="8" t="s">
        <v>27</v>
      </c>
      <c r="D383" s="8">
        <v>40</v>
      </c>
      <c r="E383" s="8" t="s">
        <v>32</v>
      </c>
      <c r="F383" t="s">
        <v>29</v>
      </c>
      <c r="G383" s="8">
        <v>5000</v>
      </c>
      <c r="H383" s="7">
        <v>46183</v>
      </c>
      <c r="I383" s="9">
        <v>270</v>
      </c>
      <c r="J383" s="31">
        <f t="shared" si="10"/>
        <v>46179</v>
      </c>
      <c r="K383" s="31">
        <f>Table14[[#This Row],[week first day]]-7</f>
        <v>46172</v>
      </c>
      <c r="L383">
        <f t="shared" si="11"/>
        <v>1001</v>
      </c>
    </row>
    <row r="384" spans="1:12" x14ac:dyDescent="0.3">
      <c r="A384" s="8" t="s">
        <v>30</v>
      </c>
      <c r="B384" s="8" t="s">
        <v>31</v>
      </c>
      <c r="C384" s="8" t="s">
        <v>27</v>
      </c>
      <c r="D384" s="8">
        <v>40</v>
      </c>
      <c r="E384" s="8" t="s">
        <v>32</v>
      </c>
      <c r="F384" t="s">
        <v>29</v>
      </c>
      <c r="G384" s="8">
        <v>5000</v>
      </c>
      <c r="H384" s="7">
        <v>46183</v>
      </c>
      <c r="I384" s="9">
        <v>233</v>
      </c>
      <c r="J384" s="31">
        <f t="shared" si="10"/>
        <v>46179</v>
      </c>
      <c r="K384" s="31">
        <f>Table14[[#This Row],[week first day]]-7</f>
        <v>46172</v>
      </c>
      <c r="L384">
        <f t="shared" si="11"/>
        <v>1001</v>
      </c>
    </row>
    <row r="385" spans="1:12" x14ac:dyDescent="0.3">
      <c r="A385" s="8" t="s">
        <v>30</v>
      </c>
      <c r="B385" s="8" t="s">
        <v>31</v>
      </c>
      <c r="C385" s="8" t="s">
        <v>27</v>
      </c>
      <c r="D385" s="8">
        <v>40</v>
      </c>
      <c r="E385" s="8" t="s">
        <v>32</v>
      </c>
      <c r="F385" t="s">
        <v>29</v>
      </c>
      <c r="G385" s="8">
        <v>5000</v>
      </c>
      <c r="H385" s="7">
        <v>46190</v>
      </c>
      <c r="I385" s="9">
        <v>270</v>
      </c>
      <c r="J385" s="31">
        <f t="shared" si="10"/>
        <v>46186</v>
      </c>
      <c r="K385" s="31">
        <f>Table14[[#This Row],[week first day]]-7</f>
        <v>46179</v>
      </c>
      <c r="L385">
        <f t="shared" si="11"/>
        <v>2471</v>
      </c>
    </row>
    <row r="386" spans="1:12" x14ac:dyDescent="0.3">
      <c r="A386" s="8" t="s">
        <v>30</v>
      </c>
      <c r="B386" s="8" t="s">
        <v>31</v>
      </c>
      <c r="C386" s="8" t="s">
        <v>27</v>
      </c>
      <c r="D386" s="8">
        <v>40</v>
      </c>
      <c r="E386" s="8" t="s">
        <v>32</v>
      </c>
      <c r="F386" t="s">
        <v>29</v>
      </c>
      <c r="G386" s="8">
        <v>5000</v>
      </c>
      <c r="H386" s="7">
        <v>46190</v>
      </c>
      <c r="I386" s="9">
        <v>192</v>
      </c>
      <c r="J386" s="31">
        <f t="shared" ref="J386:J449" si="12">$M$1+7*INT((H386-$M$1)/7)</f>
        <v>46186</v>
      </c>
      <c r="K386" s="31">
        <f>Table14[[#This Row],[week first day]]-7</f>
        <v>46179</v>
      </c>
      <c r="L386">
        <f t="shared" ref="L386:L449" si="13">SUMIFS($I:$I,$A:$A,A386,J:J,J386)</f>
        <v>2471</v>
      </c>
    </row>
    <row r="387" spans="1:12" x14ac:dyDescent="0.3">
      <c r="A387" s="8" t="s">
        <v>30</v>
      </c>
      <c r="B387" s="8" t="s">
        <v>31</v>
      </c>
      <c r="C387" s="8" t="s">
        <v>27</v>
      </c>
      <c r="D387" s="8">
        <v>40</v>
      </c>
      <c r="E387" s="8" t="s">
        <v>32</v>
      </c>
      <c r="F387" t="s">
        <v>29</v>
      </c>
      <c r="G387" s="8">
        <v>5000</v>
      </c>
      <c r="H387" s="7">
        <v>46190</v>
      </c>
      <c r="I387" s="9">
        <v>204</v>
      </c>
      <c r="J387" s="31">
        <f t="shared" si="12"/>
        <v>46186</v>
      </c>
      <c r="K387" s="31">
        <f>Table14[[#This Row],[week first day]]-7</f>
        <v>46179</v>
      </c>
      <c r="L387">
        <f t="shared" si="13"/>
        <v>2471</v>
      </c>
    </row>
    <row r="388" spans="1:12" x14ac:dyDescent="0.3">
      <c r="A388" s="8" t="s">
        <v>30</v>
      </c>
      <c r="B388" s="8" t="s">
        <v>31</v>
      </c>
      <c r="C388" s="8" t="s">
        <v>27</v>
      </c>
      <c r="D388" s="8">
        <v>40</v>
      </c>
      <c r="E388" s="8" t="s">
        <v>32</v>
      </c>
      <c r="F388" t="s">
        <v>29</v>
      </c>
      <c r="G388" s="8">
        <v>5000</v>
      </c>
      <c r="H388" s="7">
        <v>46190</v>
      </c>
      <c r="I388" s="9">
        <v>270</v>
      </c>
      <c r="J388" s="31">
        <f t="shared" si="12"/>
        <v>46186</v>
      </c>
      <c r="K388" s="31">
        <f>Table14[[#This Row],[week first day]]-7</f>
        <v>46179</v>
      </c>
      <c r="L388">
        <f t="shared" si="13"/>
        <v>2471</v>
      </c>
    </row>
    <row r="389" spans="1:12" x14ac:dyDescent="0.3">
      <c r="A389" s="8" t="s">
        <v>30</v>
      </c>
      <c r="B389" s="8" t="s">
        <v>31</v>
      </c>
      <c r="C389" s="8" t="s">
        <v>27</v>
      </c>
      <c r="D389" s="8">
        <v>40</v>
      </c>
      <c r="E389" s="8" t="s">
        <v>32</v>
      </c>
      <c r="F389" t="s">
        <v>29</v>
      </c>
      <c r="G389" s="8">
        <v>5000</v>
      </c>
      <c r="H389" s="7">
        <v>46190</v>
      </c>
      <c r="I389" s="9">
        <v>234</v>
      </c>
      <c r="J389" s="31">
        <f t="shared" si="12"/>
        <v>46186</v>
      </c>
      <c r="K389" s="31">
        <f>Table14[[#This Row],[week first day]]-7</f>
        <v>46179</v>
      </c>
      <c r="L389">
        <f t="shared" si="13"/>
        <v>2471</v>
      </c>
    </row>
    <row r="390" spans="1:12" x14ac:dyDescent="0.3">
      <c r="A390" s="8" t="s">
        <v>30</v>
      </c>
      <c r="B390" s="8" t="s">
        <v>31</v>
      </c>
      <c r="C390" s="8" t="s">
        <v>27</v>
      </c>
      <c r="D390" s="8">
        <v>40</v>
      </c>
      <c r="E390" s="8" t="s">
        <v>32</v>
      </c>
      <c r="F390" t="s">
        <v>29</v>
      </c>
      <c r="G390" s="8">
        <v>5000</v>
      </c>
      <c r="H390" s="7">
        <v>46190</v>
      </c>
      <c r="I390" s="9">
        <v>270</v>
      </c>
      <c r="J390" s="31">
        <f t="shared" si="12"/>
        <v>46186</v>
      </c>
      <c r="K390" s="31">
        <f>Table14[[#This Row],[week first day]]-7</f>
        <v>46179</v>
      </c>
      <c r="L390">
        <f t="shared" si="13"/>
        <v>2471</v>
      </c>
    </row>
    <row r="391" spans="1:12" x14ac:dyDescent="0.3">
      <c r="A391" s="8" t="s">
        <v>30</v>
      </c>
      <c r="B391" s="8" t="s">
        <v>31</v>
      </c>
      <c r="C391" s="8" t="s">
        <v>27</v>
      </c>
      <c r="D391" s="8">
        <v>40</v>
      </c>
      <c r="E391" s="8" t="s">
        <v>32</v>
      </c>
      <c r="F391" t="s">
        <v>29</v>
      </c>
      <c r="G391" s="8">
        <v>5000</v>
      </c>
      <c r="H391" s="7">
        <v>46190</v>
      </c>
      <c r="I391" s="9">
        <v>179</v>
      </c>
      <c r="J391" s="31">
        <f t="shared" si="12"/>
        <v>46186</v>
      </c>
      <c r="K391" s="31">
        <f>Table14[[#This Row],[week first day]]-7</f>
        <v>46179</v>
      </c>
      <c r="L391">
        <f t="shared" si="13"/>
        <v>2471</v>
      </c>
    </row>
    <row r="392" spans="1:12" x14ac:dyDescent="0.3">
      <c r="A392" s="8" t="s">
        <v>30</v>
      </c>
      <c r="B392" s="8" t="s">
        <v>31</v>
      </c>
      <c r="C392" s="8" t="s">
        <v>27</v>
      </c>
      <c r="D392" s="8">
        <v>40</v>
      </c>
      <c r="E392" s="8" t="s">
        <v>32</v>
      </c>
      <c r="F392" t="s">
        <v>29</v>
      </c>
      <c r="G392" s="8">
        <v>5000</v>
      </c>
      <c r="H392" s="7">
        <v>46190</v>
      </c>
      <c r="I392" s="9">
        <v>270</v>
      </c>
      <c r="J392" s="31">
        <f t="shared" si="12"/>
        <v>46186</v>
      </c>
      <c r="K392" s="31">
        <f>Table14[[#This Row],[week first day]]-7</f>
        <v>46179</v>
      </c>
      <c r="L392">
        <f t="shared" si="13"/>
        <v>2471</v>
      </c>
    </row>
    <row r="393" spans="1:12" x14ac:dyDescent="0.3">
      <c r="A393" s="8" t="s">
        <v>30</v>
      </c>
      <c r="B393" s="8" t="s">
        <v>31</v>
      </c>
      <c r="C393" s="8" t="s">
        <v>27</v>
      </c>
      <c r="D393" s="8">
        <v>40</v>
      </c>
      <c r="E393" s="8" t="s">
        <v>32</v>
      </c>
      <c r="F393" t="s">
        <v>29</v>
      </c>
      <c r="G393" s="8">
        <v>5000</v>
      </c>
      <c r="H393" s="7">
        <v>46192</v>
      </c>
      <c r="I393" s="9">
        <v>582</v>
      </c>
      <c r="J393" s="31">
        <f t="shared" si="12"/>
        <v>46186</v>
      </c>
      <c r="K393" s="31">
        <f>Table14[[#This Row],[week first day]]-7</f>
        <v>46179</v>
      </c>
      <c r="L393">
        <f t="shared" si="13"/>
        <v>2471</v>
      </c>
    </row>
    <row r="394" spans="1:12" x14ac:dyDescent="0.3">
      <c r="A394" s="8" t="s">
        <v>30</v>
      </c>
      <c r="B394" s="8" t="s">
        <v>31</v>
      </c>
      <c r="C394" s="8" t="s">
        <v>27</v>
      </c>
      <c r="D394" s="8">
        <v>40</v>
      </c>
      <c r="E394" s="8" t="s">
        <v>32</v>
      </c>
      <c r="F394" t="s">
        <v>29</v>
      </c>
      <c r="G394" s="8">
        <v>5000</v>
      </c>
      <c r="H394" s="7">
        <v>46197</v>
      </c>
      <c r="I394" s="9">
        <v>228</v>
      </c>
      <c r="J394" s="31">
        <f t="shared" si="12"/>
        <v>46193</v>
      </c>
      <c r="K394" s="31">
        <f>Table14[[#This Row],[week first day]]-7</f>
        <v>46186</v>
      </c>
      <c r="L394">
        <f t="shared" si="13"/>
        <v>3458</v>
      </c>
    </row>
    <row r="395" spans="1:12" x14ac:dyDescent="0.3">
      <c r="A395" s="8" t="s">
        <v>30</v>
      </c>
      <c r="B395" s="8" t="s">
        <v>31</v>
      </c>
      <c r="C395" s="8" t="s">
        <v>27</v>
      </c>
      <c r="D395" s="8">
        <v>40</v>
      </c>
      <c r="E395" s="8" t="s">
        <v>32</v>
      </c>
      <c r="F395" t="s">
        <v>29</v>
      </c>
      <c r="G395" s="8">
        <v>5000</v>
      </c>
      <c r="H395" s="7">
        <v>46197</v>
      </c>
      <c r="I395" s="9">
        <v>234</v>
      </c>
      <c r="J395" s="31">
        <f t="shared" si="12"/>
        <v>46193</v>
      </c>
      <c r="K395" s="31">
        <f>Table14[[#This Row],[week first day]]-7</f>
        <v>46186</v>
      </c>
      <c r="L395">
        <f t="shared" si="13"/>
        <v>3458</v>
      </c>
    </row>
    <row r="396" spans="1:12" x14ac:dyDescent="0.3">
      <c r="A396" s="8" t="s">
        <v>30</v>
      </c>
      <c r="B396" s="8" t="s">
        <v>31</v>
      </c>
      <c r="C396" s="8" t="s">
        <v>27</v>
      </c>
      <c r="D396" s="8">
        <v>40</v>
      </c>
      <c r="E396" s="8" t="s">
        <v>32</v>
      </c>
      <c r="F396" t="s">
        <v>29</v>
      </c>
      <c r="G396" s="8">
        <v>5000</v>
      </c>
      <c r="H396" s="7">
        <v>46197</v>
      </c>
      <c r="I396" s="9">
        <v>228</v>
      </c>
      <c r="J396" s="31">
        <f t="shared" si="12"/>
        <v>46193</v>
      </c>
      <c r="K396" s="31">
        <f>Table14[[#This Row],[week first day]]-7</f>
        <v>46186</v>
      </c>
      <c r="L396">
        <f t="shared" si="13"/>
        <v>3458</v>
      </c>
    </row>
    <row r="397" spans="1:12" x14ac:dyDescent="0.3">
      <c r="A397" s="8" t="s">
        <v>30</v>
      </c>
      <c r="B397" s="8" t="s">
        <v>31</v>
      </c>
      <c r="C397" s="8" t="s">
        <v>27</v>
      </c>
      <c r="D397" s="8">
        <v>40</v>
      </c>
      <c r="E397" s="8" t="s">
        <v>32</v>
      </c>
      <c r="F397" t="s">
        <v>29</v>
      </c>
      <c r="G397" s="8">
        <v>5000</v>
      </c>
      <c r="H397" s="7">
        <v>46197</v>
      </c>
      <c r="I397" s="9">
        <v>228</v>
      </c>
      <c r="J397" s="31">
        <f t="shared" si="12"/>
        <v>46193</v>
      </c>
      <c r="K397" s="31">
        <f>Table14[[#This Row],[week first day]]-7</f>
        <v>46186</v>
      </c>
      <c r="L397">
        <f t="shared" si="13"/>
        <v>3458</v>
      </c>
    </row>
    <row r="398" spans="1:12" x14ac:dyDescent="0.3">
      <c r="A398" s="8" t="s">
        <v>30</v>
      </c>
      <c r="B398" s="8" t="s">
        <v>31</v>
      </c>
      <c r="C398" s="8" t="s">
        <v>27</v>
      </c>
      <c r="D398" s="8">
        <v>40</v>
      </c>
      <c r="E398" s="8" t="s">
        <v>32</v>
      </c>
      <c r="F398" t="s">
        <v>29</v>
      </c>
      <c r="G398" s="8">
        <v>5000</v>
      </c>
      <c r="H398" s="7">
        <v>46199</v>
      </c>
      <c r="I398" s="9">
        <v>2540</v>
      </c>
      <c r="J398" s="31">
        <f t="shared" si="12"/>
        <v>46193</v>
      </c>
      <c r="K398" s="31">
        <f>Table14[[#This Row],[week first day]]-7</f>
        <v>46186</v>
      </c>
      <c r="L398">
        <f t="shared" si="13"/>
        <v>3458</v>
      </c>
    </row>
    <row r="399" spans="1:12" x14ac:dyDescent="0.3">
      <c r="A399" s="8" t="s">
        <v>30</v>
      </c>
      <c r="B399" s="8" t="s">
        <v>31</v>
      </c>
      <c r="C399" s="8" t="s">
        <v>27</v>
      </c>
      <c r="D399" s="8">
        <v>40</v>
      </c>
      <c r="E399" s="8" t="s">
        <v>32</v>
      </c>
      <c r="F399" t="s">
        <v>29</v>
      </c>
      <c r="G399" s="8">
        <v>5000</v>
      </c>
      <c r="H399" s="7">
        <v>46206</v>
      </c>
      <c r="I399" s="9">
        <v>500</v>
      </c>
      <c r="J399" s="31">
        <f t="shared" si="12"/>
        <v>46200</v>
      </c>
      <c r="K399" s="31">
        <f>Table14[[#This Row],[week first day]]-7</f>
        <v>46193</v>
      </c>
      <c r="L399">
        <f t="shared" si="13"/>
        <v>500</v>
      </c>
    </row>
    <row r="400" spans="1:12" x14ac:dyDescent="0.3">
      <c r="A400" s="8" t="s">
        <v>30</v>
      </c>
      <c r="B400" s="8" t="s">
        <v>31</v>
      </c>
      <c r="C400" s="8" t="s">
        <v>27</v>
      </c>
      <c r="D400" s="8">
        <v>40</v>
      </c>
      <c r="E400" s="8" t="s">
        <v>32</v>
      </c>
      <c r="F400" t="s">
        <v>29</v>
      </c>
      <c r="G400" s="8">
        <v>5000</v>
      </c>
      <c r="H400" s="7">
        <v>46213</v>
      </c>
      <c r="I400" s="9">
        <v>500</v>
      </c>
      <c r="J400" s="31">
        <f t="shared" si="12"/>
        <v>46207</v>
      </c>
      <c r="K400" s="31">
        <f>Table14[[#This Row],[week first day]]-7</f>
        <v>46200</v>
      </c>
      <c r="L400">
        <f t="shared" si="13"/>
        <v>500</v>
      </c>
    </row>
    <row r="401" spans="1:12" x14ac:dyDescent="0.3">
      <c r="A401" s="8" t="s">
        <v>30</v>
      </c>
      <c r="B401" s="8" t="s">
        <v>31</v>
      </c>
      <c r="C401" s="8" t="s">
        <v>27</v>
      </c>
      <c r="D401" s="8">
        <v>40</v>
      </c>
      <c r="E401" s="8" t="s">
        <v>32</v>
      </c>
      <c r="F401" t="s">
        <v>29</v>
      </c>
      <c r="G401" s="8">
        <v>5000</v>
      </c>
      <c r="H401" s="7">
        <v>46220</v>
      </c>
      <c r="I401" s="9">
        <v>500</v>
      </c>
      <c r="J401" s="31">
        <f t="shared" si="12"/>
        <v>46214</v>
      </c>
      <c r="K401" s="31">
        <f>Table14[[#This Row],[week first day]]-7</f>
        <v>46207</v>
      </c>
      <c r="L401">
        <f t="shared" si="13"/>
        <v>500</v>
      </c>
    </row>
    <row r="402" spans="1:12" x14ac:dyDescent="0.3">
      <c r="A402" s="8" t="s">
        <v>30</v>
      </c>
      <c r="B402" s="8" t="s">
        <v>31</v>
      </c>
      <c r="C402" s="8" t="s">
        <v>27</v>
      </c>
      <c r="D402" s="8">
        <v>40</v>
      </c>
      <c r="E402" s="8" t="s">
        <v>32</v>
      </c>
      <c r="F402" t="s">
        <v>29</v>
      </c>
      <c r="G402" s="8">
        <v>5000</v>
      </c>
      <c r="H402" s="7">
        <v>46227</v>
      </c>
      <c r="I402" s="9">
        <v>500</v>
      </c>
      <c r="J402" s="31">
        <f t="shared" si="12"/>
        <v>46221</v>
      </c>
      <c r="K402" s="31">
        <f>Table14[[#This Row],[week first day]]-7</f>
        <v>46214</v>
      </c>
      <c r="L402">
        <f t="shared" si="13"/>
        <v>500</v>
      </c>
    </row>
    <row r="403" spans="1:12" x14ac:dyDescent="0.3">
      <c r="A403" s="8" t="s">
        <v>30</v>
      </c>
      <c r="B403" s="8" t="s">
        <v>31</v>
      </c>
      <c r="C403" s="8" t="s">
        <v>27</v>
      </c>
      <c r="D403" s="8">
        <v>40</v>
      </c>
      <c r="E403" s="8" t="s">
        <v>32</v>
      </c>
      <c r="F403" t="s">
        <v>29</v>
      </c>
      <c r="G403" s="8">
        <v>5000</v>
      </c>
      <c r="H403" s="7">
        <v>46248</v>
      </c>
      <c r="I403" s="9">
        <v>400</v>
      </c>
      <c r="J403" s="31">
        <f t="shared" si="12"/>
        <v>46242</v>
      </c>
      <c r="K403" s="31">
        <f>Table14[[#This Row],[week first day]]-7</f>
        <v>46235</v>
      </c>
      <c r="L403">
        <f t="shared" si="13"/>
        <v>400</v>
      </c>
    </row>
    <row r="404" spans="1:12" x14ac:dyDescent="0.3">
      <c r="A404" s="8" t="s">
        <v>30</v>
      </c>
      <c r="B404" s="8" t="s">
        <v>31</v>
      </c>
      <c r="C404" s="8" t="s">
        <v>27</v>
      </c>
      <c r="D404" s="8">
        <v>40</v>
      </c>
      <c r="E404" s="8" t="s">
        <v>32</v>
      </c>
      <c r="F404" t="s">
        <v>29</v>
      </c>
      <c r="G404" s="8">
        <v>5000</v>
      </c>
      <c r="H404" s="7">
        <v>46269</v>
      </c>
      <c r="I404" s="9">
        <v>400</v>
      </c>
      <c r="J404" s="31">
        <f t="shared" si="12"/>
        <v>46263</v>
      </c>
      <c r="K404" s="31">
        <f>Table14[[#This Row],[week first day]]-7</f>
        <v>46256</v>
      </c>
      <c r="L404">
        <f t="shared" si="13"/>
        <v>400</v>
      </c>
    </row>
    <row r="405" spans="1:12" x14ac:dyDescent="0.3">
      <c r="A405" s="8" t="s">
        <v>30</v>
      </c>
      <c r="B405" s="8" t="s">
        <v>31</v>
      </c>
      <c r="C405" s="8" t="s">
        <v>27</v>
      </c>
      <c r="D405" s="8">
        <v>40</v>
      </c>
      <c r="E405" s="8" t="s">
        <v>32</v>
      </c>
      <c r="F405" t="s">
        <v>29</v>
      </c>
      <c r="G405" s="8">
        <v>5000</v>
      </c>
      <c r="H405" s="7">
        <v>46283</v>
      </c>
      <c r="I405" s="9">
        <v>400</v>
      </c>
      <c r="J405" s="31">
        <f t="shared" si="12"/>
        <v>46277</v>
      </c>
      <c r="K405" s="31">
        <f>Table14[[#This Row],[week first day]]-7</f>
        <v>46270</v>
      </c>
      <c r="L405">
        <f t="shared" si="13"/>
        <v>400</v>
      </c>
    </row>
    <row r="406" spans="1:12" x14ac:dyDescent="0.3">
      <c r="A406" s="8" t="s">
        <v>30</v>
      </c>
      <c r="B406" s="8" t="s">
        <v>31</v>
      </c>
      <c r="C406" s="8" t="s">
        <v>27</v>
      </c>
      <c r="D406" s="8">
        <v>40</v>
      </c>
      <c r="E406" s="8" t="s">
        <v>32</v>
      </c>
      <c r="F406" t="s">
        <v>29</v>
      </c>
      <c r="G406" s="8">
        <v>5000</v>
      </c>
      <c r="H406" s="7">
        <v>46297</v>
      </c>
      <c r="I406" s="9">
        <v>360</v>
      </c>
      <c r="J406" s="31">
        <f t="shared" si="12"/>
        <v>46291</v>
      </c>
      <c r="K406" s="31">
        <f>Table14[[#This Row],[week first day]]-7</f>
        <v>46284</v>
      </c>
      <c r="L406">
        <f t="shared" si="13"/>
        <v>360</v>
      </c>
    </row>
    <row r="407" spans="1:12" x14ac:dyDescent="0.3">
      <c r="A407" s="8" t="s">
        <v>30</v>
      </c>
      <c r="B407" s="8" t="s">
        <v>31</v>
      </c>
      <c r="C407" s="8" t="s">
        <v>27</v>
      </c>
      <c r="D407" s="8">
        <v>40</v>
      </c>
      <c r="E407" s="8" t="s">
        <v>32</v>
      </c>
      <c r="F407" t="s">
        <v>29</v>
      </c>
      <c r="G407" s="8">
        <v>5000</v>
      </c>
      <c r="H407" s="7">
        <v>46304</v>
      </c>
      <c r="I407" s="9">
        <v>360</v>
      </c>
      <c r="J407" s="31">
        <f t="shared" si="12"/>
        <v>46298</v>
      </c>
      <c r="K407" s="31">
        <f>Table14[[#This Row],[week first day]]-7</f>
        <v>46291</v>
      </c>
      <c r="L407">
        <f t="shared" si="13"/>
        <v>360</v>
      </c>
    </row>
    <row r="408" spans="1:12" x14ac:dyDescent="0.3">
      <c r="A408" s="8" t="s">
        <v>30</v>
      </c>
      <c r="B408" s="8" t="s">
        <v>31</v>
      </c>
      <c r="C408" s="8" t="s">
        <v>27</v>
      </c>
      <c r="D408" s="8">
        <v>40</v>
      </c>
      <c r="E408" s="8" t="s">
        <v>32</v>
      </c>
      <c r="F408" t="s">
        <v>29</v>
      </c>
      <c r="G408" s="8">
        <v>5000</v>
      </c>
      <c r="H408" s="7">
        <v>46311</v>
      </c>
      <c r="I408" s="9">
        <v>360</v>
      </c>
      <c r="J408" s="31">
        <f t="shared" si="12"/>
        <v>46305</v>
      </c>
      <c r="K408" s="31">
        <f>Table14[[#This Row],[week first day]]-7</f>
        <v>46298</v>
      </c>
      <c r="L408">
        <f t="shared" si="13"/>
        <v>360</v>
      </c>
    </row>
    <row r="409" spans="1:12" x14ac:dyDescent="0.3">
      <c r="A409" s="8" t="s">
        <v>30</v>
      </c>
      <c r="B409" s="8" t="s">
        <v>31</v>
      </c>
      <c r="C409" s="8" t="s">
        <v>27</v>
      </c>
      <c r="D409" s="8">
        <v>40</v>
      </c>
      <c r="E409" s="8" t="s">
        <v>32</v>
      </c>
      <c r="F409" t="s">
        <v>29</v>
      </c>
      <c r="G409" s="8">
        <v>5000</v>
      </c>
      <c r="H409" s="7">
        <v>46318</v>
      </c>
      <c r="I409" s="9">
        <v>360</v>
      </c>
      <c r="J409" s="31">
        <f t="shared" si="12"/>
        <v>46312</v>
      </c>
      <c r="K409" s="31">
        <f>Table14[[#This Row],[week first day]]-7</f>
        <v>46305</v>
      </c>
      <c r="L409">
        <f t="shared" si="13"/>
        <v>360</v>
      </c>
    </row>
    <row r="410" spans="1:12" x14ac:dyDescent="0.3">
      <c r="A410" s="8" t="s">
        <v>30</v>
      </c>
      <c r="B410" s="8" t="s">
        <v>31</v>
      </c>
      <c r="C410" s="8" t="s">
        <v>27</v>
      </c>
      <c r="D410" s="8">
        <v>40</v>
      </c>
      <c r="E410" s="8" t="s">
        <v>32</v>
      </c>
      <c r="F410" t="s">
        <v>29</v>
      </c>
      <c r="G410" s="8">
        <v>5000</v>
      </c>
      <c r="H410" s="7">
        <v>46325</v>
      </c>
      <c r="I410" s="9">
        <v>360</v>
      </c>
      <c r="J410" s="31">
        <f t="shared" si="12"/>
        <v>46319</v>
      </c>
      <c r="K410" s="31">
        <f>Table14[[#This Row],[week first day]]-7</f>
        <v>46312</v>
      </c>
      <c r="L410">
        <f t="shared" si="13"/>
        <v>360</v>
      </c>
    </row>
    <row r="411" spans="1:12" x14ac:dyDescent="0.3">
      <c r="A411" s="8" t="s">
        <v>30</v>
      </c>
      <c r="B411" s="8" t="s">
        <v>31</v>
      </c>
      <c r="C411" s="8" t="s">
        <v>27</v>
      </c>
      <c r="D411" s="8">
        <v>40</v>
      </c>
      <c r="E411" s="8" t="s">
        <v>32</v>
      </c>
      <c r="F411" t="s">
        <v>29</v>
      </c>
      <c r="G411" s="8">
        <v>5000</v>
      </c>
      <c r="H411" s="7">
        <v>46332</v>
      </c>
      <c r="I411" s="9">
        <v>1000</v>
      </c>
      <c r="J411" s="31">
        <f t="shared" si="12"/>
        <v>46326</v>
      </c>
      <c r="K411" s="31">
        <f>Table14[[#This Row],[week first day]]-7</f>
        <v>46319</v>
      </c>
      <c r="L411">
        <f t="shared" si="13"/>
        <v>1000</v>
      </c>
    </row>
    <row r="412" spans="1:12" x14ac:dyDescent="0.3">
      <c r="A412" s="8" t="s">
        <v>30</v>
      </c>
      <c r="B412" s="8" t="s">
        <v>31</v>
      </c>
      <c r="C412" s="8" t="s">
        <v>27</v>
      </c>
      <c r="D412" s="8">
        <v>40</v>
      </c>
      <c r="E412" s="8" t="s">
        <v>32</v>
      </c>
      <c r="F412" t="s">
        <v>29</v>
      </c>
      <c r="G412" s="8">
        <v>5000</v>
      </c>
      <c r="H412" s="7">
        <v>46339</v>
      </c>
      <c r="I412" s="9">
        <v>1000</v>
      </c>
      <c r="J412" s="31">
        <f t="shared" si="12"/>
        <v>46333</v>
      </c>
      <c r="K412" s="31">
        <f>Table14[[#This Row],[week first day]]-7</f>
        <v>46326</v>
      </c>
      <c r="L412">
        <f t="shared" si="13"/>
        <v>1000</v>
      </c>
    </row>
    <row r="413" spans="1:12" x14ac:dyDescent="0.3">
      <c r="A413" s="8" t="s">
        <v>30</v>
      </c>
      <c r="B413" s="8" t="s">
        <v>31</v>
      </c>
      <c r="C413" s="8" t="s">
        <v>27</v>
      </c>
      <c r="D413" s="8">
        <v>40</v>
      </c>
      <c r="E413" s="8" t="s">
        <v>32</v>
      </c>
      <c r="F413" t="s">
        <v>29</v>
      </c>
      <c r="G413" s="8">
        <v>5000</v>
      </c>
      <c r="H413" s="7">
        <v>46346</v>
      </c>
      <c r="I413" s="9">
        <v>1000</v>
      </c>
      <c r="J413" s="31">
        <f t="shared" si="12"/>
        <v>46340</v>
      </c>
      <c r="K413" s="31">
        <f>Table14[[#This Row],[week first day]]-7</f>
        <v>46333</v>
      </c>
      <c r="L413">
        <f t="shared" si="13"/>
        <v>1000</v>
      </c>
    </row>
    <row r="414" spans="1:12" x14ac:dyDescent="0.3">
      <c r="A414" s="8" t="s">
        <v>30</v>
      </c>
      <c r="B414" s="8" t="s">
        <v>31</v>
      </c>
      <c r="C414" s="8" t="s">
        <v>27</v>
      </c>
      <c r="D414" s="8">
        <v>40</v>
      </c>
      <c r="E414" s="8" t="s">
        <v>32</v>
      </c>
      <c r="F414" t="s">
        <v>29</v>
      </c>
      <c r="G414" s="8">
        <v>5000</v>
      </c>
      <c r="H414" s="7">
        <v>46353</v>
      </c>
      <c r="I414" s="9">
        <v>1000</v>
      </c>
      <c r="J414" s="31">
        <f t="shared" si="12"/>
        <v>46347</v>
      </c>
      <c r="K414" s="31">
        <f>Table14[[#This Row],[week first day]]-7</f>
        <v>46340</v>
      </c>
      <c r="L414">
        <f t="shared" si="13"/>
        <v>1000</v>
      </c>
    </row>
    <row r="415" spans="1:12" x14ac:dyDescent="0.3">
      <c r="A415" s="8" t="s">
        <v>30</v>
      </c>
      <c r="B415" s="8" t="s">
        <v>31</v>
      </c>
      <c r="C415" s="8" t="s">
        <v>27</v>
      </c>
      <c r="D415" s="8">
        <v>40</v>
      </c>
      <c r="E415" s="8" t="s">
        <v>32</v>
      </c>
      <c r="F415" t="s">
        <v>29</v>
      </c>
      <c r="G415" s="8">
        <v>5000</v>
      </c>
      <c r="H415" s="7">
        <v>46360</v>
      </c>
      <c r="I415" s="9">
        <v>1250</v>
      </c>
      <c r="J415" s="31">
        <f t="shared" si="12"/>
        <v>46354</v>
      </c>
      <c r="K415" s="31">
        <f>Table14[[#This Row],[week first day]]-7</f>
        <v>46347</v>
      </c>
      <c r="L415">
        <f t="shared" si="13"/>
        <v>1250</v>
      </c>
    </row>
    <row r="416" spans="1:12" x14ac:dyDescent="0.3">
      <c r="A416" s="8" t="s">
        <v>30</v>
      </c>
      <c r="B416" s="8" t="s">
        <v>31</v>
      </c>
      <c r="C416" s="8" t="s">
        <v>27</v>
      </c>
      <c r="D416" s="8">
        <v>40</v>
      </c>
      <c r="E416" s="8" t="s">
        <v>32</v>
      </c>
      <c r="F416" t="s">
        <v>29</v>
      </c>
      <c r="G416" s="8">
        <v>5000</v>
      </c>
      <c r="H416" s="7">
        <v>46367</v>
      </c>
      <c r="I416" s="9">
        <v>1250</v>
      </c>
      <c r="J416" s="31">
        <f t="shared" si="12"/>
        <v>46361</v>
      </c>
      <c r="K416" s="31">
        <f>Table14[[#This Row],[week first day]]-7</f>
        <v>46354</v>
      </c>
      <c r="L416">
        <f t="shared" si="13"/>
        <v>1250</v>
      </c>
    </row>
    <row r="417" spans="1:12" x14ac:dyDescent="0.3">
      <c r="A417" s="8" t="s">
        <v>30</v>
      </c>
      <c r="B417" s="8" t="s">
        <v>31</v>
      </c>
      <c r="C417" s="8" t="s">
        <v>27</v>
      </c>
      <c r="D417" s="8">
        <v>40</v>
      </c>
      <c r="E417" s="8" t="s">
        <v>32</v>
      </c>
      <c r="F417" t="s">
        <v>29</v>
      </c>
      <c r="G417" s="8">
        <v>5000</v>
      </c>
      <c r="H417" s="7">
        <v>46374</v>
      </c>
      <c r="I417" s="9">
        <v>1250</v>
      </c>
      <c r="J417" s="31">
        <f t="shared" si="12"/>
        <v>46368</v>
      </c>
      <c r="K417" s="31">
        <f>Table14[[#This Row],[week first day]]-7</f>
        <v>46361</v>
      </c>
      <c r="L417">
        <f t="shared" si="13"/>
        <v>1250</v>
      </c>
    </row>
    <row r="418" spans="1:12" x14ac:dyDescent="0.3">
      <c r="A418" s="8" t="s">
        <v>30</v>
      </c>
      <c r="B418" s="8" t="s">
        <v>31</v>
      </c>
      <c r="C418" s="8" t="s">
        <v>27</v>
      </c>
      <c r="D418" s="8">
        <v>40</v>
      </c>
      <c r="E418" s="8" t="s">
        <v>32</v>
      </c>
      <c r="F418" t="s">
        <v>29</v>
      </c>
      <c r="G418" s="8">
        <v>5000</v>
      </c>
      <c r="H418" s="7">
        <v>46381</v>
      </c>
      <c r="I418" s="9">
        <v>1250</v>
      </c>
      <c r="J418" s="31">
        <f t="shared" si="12"/>
        <v>46375</v>
      </c>
      <c r="K418" s="31">
        <f>Table14[[#This Row],[week first day]]-7</f>
        <v>46368</v>
      </c>
      <c r="L418">
        <f t="shared" si="13"/>
        <v>1250</v>
      </c>
    </row>
    <row r="419" spans="1:12" x14ac:dyDescent="0.3">
      <c r="A419" s="8" t="s">
        <v>18</v>
      </c>
      <c r="B419" s="8" t="s">
        <v>19</v>
      </c>
      <c r="C419" s="8" t="s">
        <v>20</v>
      </c>
      <c r="D419" s="8">
        <v>30</v>
      </c>
      <c r="E419" s="8" t="s">
        <v>21</v>
      </c>
      <c r="F419" t="s">
        <v>13</v>
      </c>
      <c r="G419" s="8">
        <v>3000</v>
      </c>
      <c r="H419" s="7">
        <v>46150</v>
      </c>
      <c r="I419" s="9">
        <v>472</v>
      </c>
      <c r="J419" s="31">
        <f t="shared" si="12"/>
        <v>46144</v>
      </c>
      <c r="K419" s="31">
        <f>Table14[[#This Row],[week first day]]-7</f>
        <v>46137</v>
      </c>
      <c r="L419">
        <f t="shared" si="13"/>
        <v>472</v>
      </c>
    </row>
    <row r="420" spans="1:12" x14ac:dyDescent="0.3">
      <c r="A420" s="8" t="s">
        <v>18</v>
      </c>
      <c r="B420" s="8" t="s">
        <v>19</v>
      </c>
      <c r="C420" s="8" t="s">
        <v>20</v>
      </c>
      <c r="D420" s="8">
        <v>30</v>
      </c>
      <c r="E420" s="8" t="s">
        <v>21</v>
      </c>
      <c r="F420" t="s">
        <v>13</v>
      </c>
      <c r="G420" s="8">
        <v>3000</v>
      </c>
      <c r="H420" s="7">
        <v>46157</v>
      </c>
      <c r="I420" s="9">
        <v>300</v>
      </c>
      <c r="J420" s="31">
        <f t="shared" si="12"/>
        <v>46151</v>
      </c>
      <c r="K420" s="31">
        <f>Table14[[#This Row],[week first day]]-7</f>
        <v>46144</v>
      </c>
      <c r="L420">
        <f t="shared" si="13"/>
        <v>300</v>
      </c>
    </row>
    <row r="421" spans="1:12" x14ac:dyDescent="0.3">
      <c r="A421" s="8" t="s">
        <v>18</v>
      </c>
      <c r="B421" s="8" t="s">
        <v>19</v>
      </c>
      <c r="C421" s="8" t="s">
        <v>20</v>
      </c>
      <c r="D421" s="8">
        <v>30</v>
      </c>
      <c r="E421" s="8" t="s">
        <v>21</v>
      </c>
      <c r="F421" t="s">
        <v>13</v>
      </c>
      <c r="G421" s="8">
        <v>3000</v>
      </c>
      <c r="H421" s="7">
        <v>46164</v>
      </c>
      <c r="I421" s="9">
        <v>698</v>
      </c>
      <c r="J421" s="31">
        <f t="shared" si="12"/>
        <v>46158</v>
      </c>
      <c r="K421" s="31">
        <f>Table14[[#This Row],[week first day]]-7</f>
        <v>46151</v>
      </c>
      <c r="L421">
        <f t="shared" si="13"/>
        <v>698</v>
      </c>
    </row>
    <row r="422" spans="1:12" x14ac:dyDescent="0.3">
      <c r="A422" s="8" t="s">
        <v>18</v>
      </c>
      <c r="B422" s="8" t="s">
        <v>19</v>
      </c>
      <c r="C422" s="8" t="s">
        <v>20</v>
      </c>
      <c r="D422" s="8">
        <v>30</v>
      </c>
      <c r="E422" s="8" t="s">
        <v>21</v>
      </c>
      <c r="F422" t="s">
        <v>13</v>
      </c>
      <c r="G422" s="8">
        <v>3000</v>
      </c>
      <c r="H422" s="7">
        <v>46178</v>
      </c>
      <c r="I422" s="9">
        <v>300</v>
      </c>
      <c r="J422" s="31">
        <f t="shared" si="12"/>
        <v>46172</v>
      </c>
      <c r="K422" s="31">
        <f>Table14[[#This Row],[week first day]]-7</f>
        <v>46165</v>
      </c>
      <c r="L422">
        <f t="shared" si="13"/>
        <v>300</v>
      </c>
    </row>
    <row r="423" spans="1:12" x14ac:dyDescent="0.3">
      <c r="A423" s="8" t="s">
        <v>18</v>
      </c>
      <c r="B423" s="8" t="s">
        <v>19</v>
      </c>
      <c r="C423" s="8" t="s">
        <v>20</v>
      </c>
      <c r="D423" s="8">
        <v>30</v>
      </c>
      <c r="E423" s="8" t="s">
        <v>21</v>
      </c>
      <c r="F423" t="s">
        <v>13</v>
      </c>
      <c r="G423" s="8">
        <v>3000</v>
      </c>
      <c r="H423" s="7">
        <v>46199</v>
      </c>
      <c r="I423" s="9">
        <v>300</v>
      </c>
      <c r="J423" s="31">
        <f t="shared" si="12"/>
        <v>46193</v>
      </c>
      <c r="K423" s="31">
        <f>Table14[[#This Row],[week first day]]-7</f>
        <v>46186</v>
      </c>
      <c r="L423">
        <f t="shared" si="13"/>
        <v>300</v>
      </c>
    </row>
    <row r="424" spans="1:12" x14ac:dyDescent="0.3">
      <c r="A424" s="8" t="s">
        <v>18</v>
      </c>
      <c r="B424" s="8" t="s">
        <v>19</v>
      </c>
      <c r="C424" s="8" t="s">
        <v>20</v>
      </c>
      <c r="D424" s="8">
        <v>30</v>
      </c>
      <c r="E424" s="8" t="s">
        <v>21</v>
      </c>
      <c r="F424" t="s">
        <v>13</v>
      </c>
      <c r="G424" s="8">
        <v>3000</v>
      </c>
      <c r="H424" s="7">
        <v>46213</v>
      </c>
      <c r="I424" s="9">
        <v>700</v>
      </c>
      <c r="J424" s="31">
        <f t="shared" si="12"/>
        <v>46207</v>
      </c>
      <c r="K424" s="31">
        <f>Table14[[#This Row],[week first day]]-7</f>
        <v>46200</v>
      </c>
      <c r="L424">
        <f t="shared" si="13"/>
        <v>700</v>
      </c>
    </row>
    <row r="425" spans="1:12" x14ac:dyDescent="0.3">
      <c r="A425" s="8" t="s">
        <v>18</v>
      </c>
      <c r="B425" s="8" t="s">
        <v>19</v>
      </c>
      <c r="C425" s="8" t="s">
        <v>20</v>
      </c>
      <c r="D425" s="8">
        <v>30</v>
      </c>
      <c r="E425" s="8" t="s">
        <v>21</v>
      </c>
      <c r="F425" t="s">
        <v>13</v>
      </c>
      <c r="G425" s="8">
        <v>3000</v>
      </c>
      <c r="H425" s="7">
        <v>46220</v>
      </c>
      <c r="I425" s="9">
        <v>300</v>
      </c>
      <c r="J425" s="31">
        <f t="shared" si="12"/>
        <v>46214</v>
      </c>
      <c r="K425" s="31">
        <f>Table14[[#This Row],[week first day]]-7</f>
        <v>46207</v>
      </c>
      <c r="L425">
        <f t="shared" si="13"/>
        <v>300</v>
      </c>
    </row>
    <row r="426" spans="1:12" x14ac:dyDescent="0.3">
      <c r="A426" s="8" t="s">
        <v>18</v>
      </c>
      <c r="B426" s="8" t="s">
        <v>19</v>
      </c>
      <c r="C426" s="8" t="s">
        <v>20</v>
      </c>
      <c r="D426" s="8">
        <v>30</v>
      </c>
      <c r="E426" s="8" t="s">
        <v>21</v>
      </c>
      <c r="F426" t="s">
        <v>13</v>
      </c>
      <c r="G426" s="8">
        <v>3000</v>
      </c>
      <c r="H426" s="7">
        <v>46227</v>
      </c>
      <c r="I426" s="9">
        <v>300</v>
      </c>
      <c r="J426" s="31">
        <f t="shared" si="12"/>
        <v>46221</v>
      </c>
      <c r="K426" s="31">
        <f>Table14[[#This Row],[week first day]]-7</f>
        <v>46214</v>
      </c>
      <c r="L426">
        <f t="shared" si="13"/>
        <v>300</v>
      </c>
    </row>
    <row r="427" spans="1:12" x14ac:dyDescent="0.3">
      <c r="A427" s="8" t="s">
        <v>18</v>
      </c>
      <c r="B427" s="8" t="s">
        <v>19</v>
      </c>
      <c r="C427" s="8" t="s">
        <v>20</v>
      </c>
      <c r="D427" s="8">
        <v>30</v>
      </c>
      <c r="E427" s="8" t="s">
        <v>21</v>
      </c>
      <c r="F427" t="s">
        <v>13</v>
      </c>
      <c r="G427" s="8">
        <v>3000</v>
      </c>
      <c r="H427" s="7">
        <v>46234</v>
      </c>
      <c r="I427" s="9">
        <v>300</v>
      </c>
      <c r="J427" s="31">
        <f t="shared" si="12"/>
        <v>46228</v>
      </c>
      <c r="K427" s="31">
        <f>Table14[[#This Row],[week first day]]-7</f>
        <v>46221</v>
      </c>
      <c r="L427">
        <f t="shared" si="13"/>
        <v>300</v>
      </c>
    </row>
    <row r="428" spans="1:12" x14ac:dyDescent="0.3">
      <c r="A428" s="8" t="s">
        <v>18</v>
      </c>
      <c r="B428" s="8" t="s">
        <v>19</v>
      </c>
      <c r="C428" s="8" t="s">
        <v>20</v>
      </c>
      <c r="D428" s="8">
        <v>30</v>
      </c>
      <c r="E428" s="8" t="s">
        <v>21</v>
      </c>
      <c r="F428" t="s">
        <v>13</v>
      </c>
      <c r="G428" s="8">
        <v>3000</v>
      </c>
      <c r="H428" s="7">
        <v>46255</v>
      </c>
      <c r="I428" s="9">
        <v>300</v>
      </c>
      <c r="J428" s="31">
        <f t="shared" si="12"/>
        <v>46249</v>
      </c>
      <c r="K428" s="31">
        <f>Table14[[#This Row],[week first day]]-7</f>
        <v>46242</v>
      </c>
      <c r="L428">
        <f t="shared" si="13"/>
        <v>300</v>
      </c>
    </row>
    <row r="429" spans="1:12" x14ac:dyDescent="0.3">
      <c r="A429" s="8" t="s">
        <v>18</v>
      </c>
      <c r="B429" s="8" t="s">
        <v>19</v>
      </c>
      <c r="C429" s="8" t="s">
        <v>20</v>
      </c>
      <c r="D429" s="8">
        <v>30</v>
      </c>
      <c r="E429" s="8" t="s">
        <v>21</v>
      </c>
      <c r="F429" t="s">
        <v>13</v>
      </c>
      <c r="G429" s="8">
        <v>3000</v>
      </c>
      <c r="H429" s="7">
        <v>46276</v>
      </c>
      <c r="I429" s="9">
        <v>300</v>
      </c>
      <c r="J429" s="31">
        <f t="shared" si="12"/>
        <v>46270</v>
      </c>
      <c r="K429" s="31">
        <f>Table14[[#This Row],[week first day]]-7</f>
        <v>46263</v>
      </c>
      <c r="L429">
        <f t="shared" si="13"/>
        <v>300</v>
      </c>
    </row>
    <row r="430" spans="1:12" x14ac:dyDescent="0.3">
      <c r="A430" s="8" t="s">
        <v>18</v>
      </c>
      <c r="B430" s="8" t="s">
        <v>19</v>
      </c>
      <c r="C430" s="8" t="s">
        <v>20</v>
      </c>
      <c r="D430" s="8">
        <v>30</v>
      </c>
      <c r="E430" s="8" t="s">
        <v>21</v>
      </c>
      <c r="F430" t="s">
        <v>13</v>
      </c>
      <c r="G430" s="8">
        <v>3000</v>
      </c>
      <c r="H430" s="7">
        <v>46304</v>
      </c>
      <c r="I430" s="9">
        <v>300</v>
      </c>
      <c r="J430" s="31">
        <f t="shared" si="12"/>
        <v>46298</v>
      </c>
      <c r="K430" s="31">
        <f>Table14[[#This Row],[week first day]]-7</f>
        <v>46291</v>
      </c>
      <c r="L430">
        <f t="shared" si="13"/>
        <v>300</v>
      </c>
    </row>
    <row r="431" spans="1:12" x14ac:dyDescent="0.3">
      <c r="A431" s="8" t="s">
        <v>18</v>
      </c>
      <c r="B431" s="8" t="s">
        <v>19</v>
      </c>
      <c r="C431" s="8" t="s">
        <v>20</v>
      </c>
      <c r="D431" s="8">
        <v>30</v>
      </c>
      <c r="E431" s="8" t="s">
        <v>21</v>
      </c>
      <c r="F431" t="s">
        <v>13</v>
      </c>
      <c r="G431" s="8">
        <v>3000</v>
      </c>
      <c r="H431" s="7">
        <v>46339</v>
      </c>
      <c r="I431" s="9">
        <v>300</v>
      </c>
      <c r="J431" s="31">
        <f t="shared" si="12"/>
        <v>46333</v>
      </c>
      <c r="K431" s="31">
        <f>Table14[[#This Row],[week first day]]-7</f>
        <v>46326</v>
      </c>
      <c r="L431">
        <f t="shared" si="13"/>
        <v>300</v>
      </c>
    </row>
    <row r="432" spans="1:12" x14ac:dyDescent="0.3">
      <c r="A432" s="8" t="s">
        <v>18</v>
      </c>
      <c r="B432" s="8" t="s">
        <v>19</v>
      </c>
      <c r="C432" s="8" t="s">
        <v>20</v>
      </c>
      <c r="D432" s="8">
        <v>30</v>
      </c>
      <c r="E432" s="8" t="s">
        <v>21</v>
      </c>
      <c r="F432" t="s">
        <v>13</v>
      </c>
      <c r="G432" s="8">
        <v>3000</v>
      </c>
      <c r="H432" s="7">
        <v>46367</v>
      </c>
      <c r="I432" s="9">
        <v>300</v>
      </c>
      <c r="J432" s="31">
        <f t="shared" si="12"/>
        <v>46361</v>
      </c>
      <c r="K432" s="31">
        <f>Table14[[#This Row],[week first day]]-7</f>
        <v>46354</v>
      </c>
      <c r="L432">
        <f t="shared" si="13"/>
        <v>300</v>
      </c>
    </row>
    <row r="433" spans="1:12" x14ac:dyDescent="0.3">
      <c r="A433" s="8" t="s">
        <v>9</v>
      </c>
      <c r="B433" s="8" t="s">
        <v>10</v>
      </c>
      <c r="C433" s="8" t="s">
        <v>11</v>
      </c>
      <c r="D433" s="8">
        <v>90</v>
      </c>
      <c r="E433" s="8" t="s">
        <v>12</v>
      </c>
      <c r="F433" t="s">
        <v>13</v>
      </c>
      <c r="G433" s="8">
        <v>3000</v>
      </c>
      <c r="H433" s="7">
        <v>46143</v>
      </c>
      <c r="I433" s="9">
        <v>588</v>
      </c>
      <c r="J433" s="31">
        <f t="shared" si="12"/>
        <v>46137</v>
      </c>
      <c r="K433" s="31">
        <f>Table14[[#This Row],[week first day]]-7</f>
        <v>46130</v>
      </c>
      <c r="L433">
        <f t="shared" si="13"/>
        <v>588</v>
      </c>
    </row>
    <row r="434" spans="1:12" x14ac:dyDescent="0.3">
      <c r="A434" s="8" t="s">
        <v>9</v>
      </c>
      <c r="B434" s="8" t="s">
        <v>10</v>
      </c>
      <c r="C434" s="8" t="s">
        <v>11</v>
      </c>
      <c r="D434" s="8">
        <v>90</v>
      </c>
      <c r="E434" s="8" t="s">
        <v>12</v>
      </c>
      <c r="F434" t="s">
        <v>13</v>
      </c>
      <c r="G434" s="8">
        <v>3000</v>
      </c>
      <c r="H434" s="7">
        <v>46150</v>
      </c>
      <c r="I434" s="9">
        <v>4028</v>
      </c>
      <c r="J434" s="31">
        <f t="shared" si="12"/>
        <v>46144</v>
      </c>
      <c r="K434" s="31">
        <f>Table14[[#This Row],[week first day]]-7</f>
        <v>46137</v>
      </c>
      <c r="L434">
        <f t="shared" si="13"/>
        <v>4028</v>
      </c>
    </row>
    <row r="435" spans="1:12" x14ac:dyDescent="0.3">
      <c r="A435" s="8" t="s">
        <v>9</v>
      </c>
      <c r="B435" s="8" t="s">
        <v>10</v>
      </c>
      <c r="C435" s="8" t="s">
        <v>11</v>
      </c>
      <c r="D435" s="8">
        <v>90</v>
      </c>
      <c r="E435" s="8" t="s">
        <v>12</v>
      </c>
      <c r="F435" t="s">
        <v>13</v>
      </c>
      <c r="G435" s="8">
        <v>3000</v>
      </c>
      <c r="H435" s="7">
        <v>46157</v>
      </c>
      <c r="I435" s="9">
        <v>4200</v>
      </c>
      <c r="J435" s="31">
        <f t="shared" si="12"/>
        <v>46151</v>
      </c>
      <c r="K435" s="31">
        <f>Table14[[#This Row],[week first day]]-7</f>
        <v>46144</v>
      </c>
      <c r="L435">
        <f t="shared" si="13"/>
        <v>4200</v>
      </c>
    </row>
    <row r="436" spans="1:12" x14ac:dyDescent="0.3">
      <c r="A436" s="8" t="s">
        <v>9</v>
      </c>
      <c r="B436" s="8" t="s">
        <v>10</v>
      </c>
      <c r="C436" s="8" t="s">
        <v>11</v>
      </c>
      <c r="D436" s="8">
        <v>90</v>
      </c>
      <c r="E436" s="8" t="s">
        <v>12</v>
      </c>
      <c r="F436" t="s">
        <v>13</v>
      </c>
      <c r="G436" s="8">
        <v>3000</v>
      </c>
      <c r="H436" s="7">
        <v>46164</v>
      </c>
      <c r="I436" s="9">
        <v>3802</v>
      </c>
      <c r="J436" s="31">
        <f t="shared" si="12"/>
        <v>46158</v>
      </c>
      <c r="K436" s="31">
        <f>Table14[[#This Row],[week first day]]-7</f>
        <v>46151</v>
      </c>
      <c r="L436">
        <f t="shared" si="13"/>
        <v>3802</v>
      </c>
    </row>
    <row r="437" spans="1:12" x14ac:dyDescent="0.3">
      <c r="A437" s="8" t="s">
        <v>9</v>
      </c>
      <c r="B437" s="8" t="s">
        <v>10</v>
      </c>
      <c r="C437" s="8" t="s">
        <v>11</v>
      </c>
      <c r="D437" s="8">
        <v>90</v>
      </c>
      <c r="E437" s="8" t="s">
        <v>12</v>
      </c>
      <c r="F437" t="s">
        <v>13</v>
      </c>
      <c r="G437" s="8">
        <v>3000</v>
      </c>
      <c r="H437" s="7">
        <v>46171</v>
      </c>
      <c r="I437" s="9">
        <v>4500</v>
      </c>
      <c r="J437" s="31">
        <f t="shared" si="12"/>
        <v>46165</v>
      </c>
      <c r="K437" s="31">
        <f>Table14[[#This Row],[week first day]]-7</f>
        <v>46158</v>
      </c>
      <c r="L437">
        <f t="shared" si="13"/>
        <v>4500</v>
      </c>
    </row>
    <row r="438" spans="1:12" x14ac:dyDescent="0.3">
      <c r="A438" s="8" t="s">
        <v>9</v>
      </c>
      <c r="B438" s="8" t="s">
        <v>10</v>
      </c>
      <c r="C438" s="8" t="s">
        <v>11</v>
      </c>
      <c r="D438" s="8">
        <v>90</v>
      </c>
      <c r="E438" s="8" t="s">
        <v>12</v>
      </c>
      <c r="F438" t="s">
        <v>13</v>
      </c>
      <c r="G438" s="8">
        <v>3000</v>
      </c>
      <c r="H438" s="7">
        <v>46178</v>
      </c>
      <c r="I438" s="9">
        <v>4200</v>
      </c>
      <c r="J438" s="31">
        <f t="shared" si="12"/>
        <v>46172</v>
      </c>
      <c r="K438" s="31">
        <f>Table14[[#This Row],[week first day]]-7</f>
        <v>46165</v>
      </c>
      <c r="L438">
        <f t="shared" si="13"/>
        <v>4200</v>
      </c>
    </row>
    <row r="439" spans="1:12" x14ac:dyDescent="0.3">
      <c r="A439" s="8" t="s">
        <v>9</v>
      </c>
      <c r="B439" s="8" t="s">
        <v>10</v>
      </c>
      <c r="C439" s="8" t="s">
        <v>11</v>
      </c>
      <c r="D439" s="8">
        <v>90</v>
      </c>
      <c r="E439" s="8" t="s">
        <v>12</v>
      </c>
      <c r="F439" t="s">
        <v>13</v>
      </c>
      <c r="G439" s="8">
        <v>3000</v>
      </c>
      <c r="H439" s="7">
        <v>46185</v>
      </c>
      <c r="I439" s="9">
        <v>4500</v>
      </c>
      <c r="J439" s="31">
        <f t="shared" si="12"/>
        <v>46179</v>
      </c>
      <c r="K439" s="31">
        <f>Table14[[#This Row],[week first day]]-7</f>
        <v>46172</v>
      </c>
      <c r="L439">
        <f t="shared" si="13"/>
        <v>4500</v>
      </c>
    </row>
    <row r="440" spans="1:12" x14ac:dyDescent="0.3">
      <c r="A440" s="8" t="s">
        <v>9</v>
      </c>
      <c r="B440" s="8" t="s">
        <v>10</v>
      </c>
      <c r="C440" s="8" t="s">
        <v>11</v>
      </c>
      <c r="D440" s="8">
        <v>90</v>
      </c>
      <c r="E440" s="8" t="s">
        <v>12</v>
      </c>
      <c r="F440" t="s">
        <v>13</v>
      </c>
      <c r="G440" s="8">
        <v>3000</v>
      </c>
      <c r="H440" s="7">
        <v>46192</v>
      </c>
      <c r="I440" s="9">
        <v>4500</v>
      </c>
      <c r="J440" s="31">
        <f t="shared" si="12"/>
        <v>46186</v>
      </c>
      <c r="K440" s="31">
        <f>Table14[[#This Row],[week first day]]-7</f>
        <v>46179</v>
      </c>
      <c r="L440">
        <f t="shared" si="13"/>
        <v>4500</v>
      </c>
    </row>
    <row r="441" spans="1:12" x14ac:dyDescent="0.3">
      <c r="A441" s="8" t="s">
        <v>9</v>
      </c>
      <c r="B441" s="8" t="s">
        <v>10</v>
      </c>
      <c r="C441" s="8" t="s">
        <v>11</v>
      </c>
      <c r="D441" s="8">
        <v>90</v>
      </c>
      <c r="E441" s="8" t="s">
        <v>12</v>
      </c>
      <c r="F441" t="s">
        <v>13</v>
      </c>
      <c r="G441" s="8">
        <v>3000</v>
      </c>
      <c r="H441" s="7">
        <v>46199</v>
      </c>
      <c r="I441" s="9">
        <v>2200</v>
      </c>
      <c r="J441" s="31">
        <f t="shared" si="12"/>
        <v>46193</v>
      </c>
      <c r="K441" s="31">
        <f>Table14[[#This Row],[week first day]]-7</f>
        <v>46186</v>
      </c>
      <c r="L441">
        <f t="shared" si="13"/>
        <v>2200</v>
      </c>
    </row>
    <row r="442" spans="1:12" x14ac:dyDescent="0.3">
      <c r="A442" s="8" t="s">
        <v>9</v>
      </c>
      <c r="B442" s="8" t="s">
        <v>10</v>
      </c>
      <c r="C442" s="8" t="s">
        <v>11</v>
      </c>
      <c r="D442" s="8">
        <v>90</v>
      </c>
      <c r="E442" s="8" t="s">
        <v>12</v>
      </c>
      <c r="F442" t="s">
        <v>13</v>
      </c>
      <c r="G442" s="8">
        <v>3000</v>
      </c>
      <c r="H442" s="7">
        <v>46206</v>
      </c>
      <c r="I442" s="9">
        <v>5000</v>
      </c>
      <c r="J442" s="31">
        <f t="shared" si="12"/>
        <v>46200</v>
      </c>
      <c r="K442" s="31">
        <f>Table14[[#This Row],[week first day]]-7</f>
        <v>46193</v>
      </c>
      <c r="L442">
        <f t="shared" si="13"/>
        <v>5000</v>
      </c>
    </row>
    <row r="443" spans="1:12" x14ac:dyDescent="0.3">
      <c r="A443" s="8" t="s">
        <v>9</v>
      </c>
      <c r="B443" s="8" t="s">
        <v>10</v>
      </c>
      <c r="C443" s="8" t="s">
        <v>11</v>
      </c>
      <c r="D443" s="8">
        <v>90</v>
      </c>
      <c r="E443" s="8" t="s">
        <v>12</v>
      </c>
      <c r="F443" t="s">
        <v>13</v>
      </c>
      <c r="G443" s="8">
        <v>3000</v>
      </c>
      <c r="H443" s="7">
        <v>46213</v>
      </c>
      <c r="I443" s="9">
        <v>4300</v>
      </c>
      <c r="J443" s="31">
        <f t="shared" si="12"/>
        <v>46207</v>
      </c>
      <c r="K443" s="31">
        <f>Table14[[#This Row],[week first day]]-7</f>
        <v>46200</v>
      </c>
      <c r="L443">
        <f t="shared" si="13"/>
        <v>4300</v>
      </c>
    </row>
    <row r="444" spans="1:12" x14ac:dyDescent="0.3">
      <c r="A444" s="8" t="s">
        <v>9</v>
      </c>
      <c r="B444" s="8" t="s">
        <v>10</v>
      </c>
      <c r="C444" s="8" t="s">
        <v>11</v>
      </c>
      <c r="D444" s="8">
        <v>90</v>
      </c>
      <c r="E444" s="8" t="s">
        <v>12</v>
      </c>
      <c r="F444" t="s">
        <v>13</v>
      </c>
      <c r="G444" s="8">
        <v>3000</v>
      </c>
      <c r="H444" s="7">
        <v>46220</v>
      </c>
      <c r="I444" s="9">
        <v>4700</v>
      </c>
      <c r="J444" s="31">
        <f t="shared" si="12"/>
        <v>46214</v>
      </c>
      <c r="K444" s="31">
        <f>Table14[[#This Row],[week first day]]-7</f>
        <v>46207</v>
      </c>
      <c r="L444">
        <f t="shared" si="13"/>
        <v>4700</v>
      </c>
    </row>
    <row r="445" spans="1:12" x14ac:dyDescent="0.3">
      <c r="A445" s="8" t="s">
        <v>9</v>
      </c>
      <c r="B445" s="8" t="s">
        <v>10</v>
      </c>
      <c r="C445" s="8" t="s">
        <v>11</v>
      </c>
      <c r="D445" s="8">
        <v>90</v>
      </c>
      <c r="E445" s="8" t="s">
        <v>12</v>
      </c>
      <c r="F445" t="s">
        <v>13</v>
      </c>
      <c r="G445" s="8">
        <v>3000</v>
      </c>
      <c r="H445" s="7">
        <v>46227</v>
      </c>
      <c r="I445" s="9">
        <v>900</v>
      </c>
      <c r="J445" s="31">
        <f t="shared" si="12"/>
        <v>46221</v>
      </c>
      <c r="K445" s="31">
        <f>Table14[[#This Row],[week first day]]-7</f>
        <v>46214</v>
      </c>
      <c r="L445">
        <f t="shared" si="13"/>
        <v>4746</v>
      </c>
    </row>
    <row r="446" spans="1:12" x14ac:dyDescent="0.3">
      <c r="A446" s="8" t="s">
        <v>9</v>
      </c>
      <c r="B446" s="8" t="s">
        <v>10</v>
      </c>
      <c r="C446" s="8" t="s">
        <v>11</v>
      </c>
      <c r="D446" s="8">
        <v>90</v>
      </c>
      <c r="E446" s="8" t="s">
        <v>12</v>
      </c>
      <c r="F446" t="s">
        <v>13</v>
      </c>
      <c r="G446" s="8">
        <v>3000</v>
      </c>
      <c r="H446" s="7">
        <v>46227</v>
      </c>
      <c r="I446" s="9">
        <v>3846</v>
      </c>
      <c r="J446" s="31">
        <f t="shared" si="12"/>
        <v>46221</v>
      </c>
      <c r="K446" s="31">
        <f>Table14[[#This Row],[week first day]]-7</f>
        <v>46214</v>
      </c>
      <c r="L446">
        <f t="shared" si="13"/>
        <v>4746</v>
      </c>
    </row>
    <row r="447" spans="1:12" x14ac:dyDescent="0.3">
      <c r="A447" s="8" t="s">
        <v>9</v>
      </c>
      <c r="B447" s="8" t="s">
        <v>10</v>
      </c>
      <c r="C447" s="8" t="s">
        <v>11</v>
      </c>
      <c r="D447" s="8">
        <v>90</v>
      </c>
      <c r="E447" s="8" t="s">
        <v>12</v>
      </c>
      <c r="F447" t="s">
        <v>13</v>
      </c>
      <c r="G447" s="8">
        <v>3000</v>
      </c>
      <c r="H447" s="7">
        <v>46234</v>
      </c>
      <c r="I447" s="9">
        <v>4300</v>
      </c>
      <c r="J447" s="31">
        <f t="shared" si="12"/>
        <v>46228</v>
      </c>
      <c r="K447" s="31">
        <f>Table14[[#This Row],[week first day]]-7</f>
        <v>46221</v>
      </c>
      <c r="L447">
        <f t="shared" si="13"/>
        <v>4300</v>
      </c>
    </row>
    <row r="448" spans="1:12" x14ac:dyDescent="0.3">
      <c r="A448" s="8" t="s">
        <v>9</v>
      </c>
      <c r="B448" s="8" t="s">
        <v>10</v>
      </c>
      <c r="C448" s="8" t="s">
        <v>11</v>
      </c>
      <c r="D448" s="8">
        <v>90</v>
      </c>
      <c r="E448" s="8" t="s">
        <v>12</v>
      </c>
      <c r="F448" t="s">
        <v>13</v>
      </c>
      <c r="G448" s="8">
        <v>3000</v>
      </c>
      <c r="H448" s="7">
        <v>46241</v>
      </c>
      <c r="I448" s="9">
        <v>476</v>
      </c>
      <c r="J448" s="31">
        <f t="shared" si="12"/>
        <v>46235</v>
      </c>
      <c r="K448" s="31">
        <f>Table14[[#This Row],[week first day]]-7</f>
        <v>46228</v>
      </c>
      <c r="L448">
        <f t="shared" si="13"/>
        <v>476</v>
      </c>
    </row>
    <row r="449" spans="1:12" x14ac:dyDescent="0.3">
      <c r="A449" s="8" t="s">
        <v>9</v>
      </c>
      <c r="B449" s="8" t="s">
        <v>10</v>
      </c>
      <c r="C449" s="8" t="s">
        <v>11</v>
      </c>
      <c r="D449" s="8">
        <v>90</v>
      </c>
      <c r="E449" s="8" t="s">
        <v>12</v>
      </c>
      <c r="F449" t="s">
        <v>13</v>
      </c>
      <c r="G449" s="8">
        <v>3000</v>
      </c>
      <c r="H449" s="7">
        <v>46248</v>
      </c>
      <c r="I449" s="9">
        <v>1298</v>
      </c>
      <c r="J449" s="31">
        <f t="shared" si="12"/>
        <v>46242</v>
      </c>
      <c r="K449" s="31">
        <f>Table14[[#This Row],[week first day]]-7</f>
        <v>46235</v>
      </c>
      <c r="L449">
        <f t="shared" si="13"/>
        <v>1298</v>
      </c>
    </row>
    <row r="450" spans="1:12" x14ac:dyDescent="0.3">
      <c r="A450" s="8" t="s">
        <v>9</v>
      </c>
      <c r="B450" s="8" t="s">
        <v>10</v>
      </c>
      <c r="C450" s="8" t="s">
        <v>11</v>
      </c>
      <c r="D450" s="8">
        <v>90</v>
      </c>
      <c r="E450" s="8" t="s">
        <v>12</v>
      </c>
      <c r="F450" t="s">
        <v>13</v>
      </c>
      <c r="G450" s="8">
        <v>3000</v>
      </c>
      <c r="H450" s="7">
        <v>46255</v>
      </c>
      <c r="I450" s="9">
        <v>1300</v>
      </c>
      <c r="J450" s="31">
        <f t="shared" ref="J450:J466" si="14">$M$1+7*INT((H450-$M$1)/7)</f>
        <v>46249</v>
      </c>
      <c r="K450" s="31">
        <f>Table14[[#This Row],[week first day]]-7</f>
        <v>46242</v>
      </c>
      <c r="L450">
        <f t="shared" ref="L450:L466" si="15">SUMIFS($I:$I,$A:$A,A450,J:J,J450)</f>
        <v>1300</v>
      </c>
    </row>
    <row r="451" spans="1:12" x14ac:dyDescent="0.3">
      <c r="A451" s="8" t="s">
        <v>9</v>
      </c>
      <c r="B451" s="8" t="s">
        <v>10</v>
      </c>
      <c r="C451" s="8" t="s">
        <v>11</v>
      </c>
      <c r="D451" s="8">
        <v>90</v>
      </c>
      <c r="E451" s="8" t="s">
        <v>12</v>
      </c>
      <c r="F451" t="s">
        <v>13</v>
      </c>
      <c r="G451" s="8">
        <v>3000</v>
      </c>
      <c r="H451" s="7">
        <v>46262</v>
      </c>
      <c r="I451" s="9">
        <v>1298</v>
      </c>
      <c r="J451" s="31">
        <f t="shared" si="14"/>
        <v>46256</v>
      </c>
      <c r="K451" s="31">
        <f>Table14[[#This Row],[week first day]]-7</f>
        <v>46249</v>
      </c>
      <c r="L451">
        <f t="shared" si="15"/>
        <v>1298</v>
      </c>
    </row>
    <row r="452" spans="1:12" x14ac:dyDescent="0.3">
      <c r="A452" s="8" t="s">
        <v>9</v>
      </c>
      <c r="B452" s="8" t="s">
        <v>10</v>
      </c>
      <c r="C452" s="8" t="s">
        <v>11</v>
      </c>
      <c r="D452" s="8">
        <v>90</v>
      </c>
      <c r="E452" s="8" t="s">
        <v>12</v>
      </c>
      <c r="F452" t="s">
        <v>13</v>
      </c>
      <c r="G452" s="8">
        <v>3000</v>
      </c>
      <c r="H452" s="7">
        <v>46269</v>
      </c>
      <c r="I452" s="9">
        <v>1506</v>
      </c>
      <c r="J452" s="31">
        <f t="shared" si="14"/>
        <v>46263</v>
      </c>
      <c r="K452" s="31">
        <f>Table14[[#This Row],[week first day]]-7</f>
        <v>46256</v>
      </c>
      <c r="L452">
        <f t="shared" si="15"/>
        <v>1506</v>
      </c>
    </row>
    <row r="453" spans="1:12" x14ac:dyDescent="0.3">
      <c r="A453" s="8" t="s">
        <v>9</v>
      </c>
      <c r="B453" s="8" t="s">
        <v>10</v>
      </c>
      <c r="C453" s="8" t="s">
        <v>11</v>
      </c>
      <c r="D453" s="8">
        <v>90</v>
      </c>
      <c r="E453" s="8" t="s">
        <v>12</v>
      </c>
      <c r="F453" t="s">
        <v>13</v>
      </c>
      <c r="G453" s="8">
        <v>3000</v>
      </c>
      <c r="H453" s="7">
        <v>46276</v>
      </c>
      <c r="I453" s="9">
        <v>1506</v>
      </c>
      <c r="J453" s="31">
        <f t="shared" si="14"/>
        <v>46270</v>
      </c>
      <c r="K453" s="31">
        <f>Table14[[#This Row],[week first day]]-7</f>
        <v>46263</v>
      </c>
      <c r="L453">
        <f t="shared" si="15"/>
        <v>1506</v>
      </c>
    </row>
    <row r="454" spans="1:12" x14ac:dyDescent="0.3">
      <c r="A454" s="8" t="s">
        <v>9</v>
      </c>
      <c r="B454" s="8" t="s">
        <v>10</v>
      </c>
      <c r="C454" s="8" t="s">
        <v>11</v>
      </c>
      <c r="D454" s="8">
        <v>90</v>
      </c>
      <c r="E454" s="8" t="s">
        <v>12</v>
      </c>
      <c r="F454" t="s">
        <v>13</v>
      </c>
      <c r="G454" s="8">
        <v>3000</v>
      </c>
      <c r="H454" s="7">
        <v>46283</v>
      </c>
      <c r="I454" s="9">
        <v>1506</v>
      </c>
      <c r="J454" s="31">
        <f t="shared" si="14"/>
        <v>46277</v>
      </c>
      <c r="K454" s="31">
        <f>Table14[[#This Row],[week first day]]-7</f>
        <v>46270</v>
      </c>
      <c r="L454">
        <f t="shared" si="15"/>
        <v>1506</v>
      </c>
    </row>
    <row r="455" spans="1:12" x14ac:dyDescent="0.3">
      <c r="A455" s="8" t="s">
        <v>9</v>
      </c>
      <c r="B455" s="8" t="s">
        <v>10</v>
      </c>
      <c r="C455" s="8" t="s">
        <v>11</v>
      </c>
      <c r="D455" s="8">
        <v>90</v>
      </c>
      <c r="E455" s="8" t="s">
        <v>12</v>
      </c>
      <c r="F455" t="s">
        <v>13</v>
      </c>
      <c r="G455" s="8">
        <v>3000</v>
      </c>
      <c r="H455" s="7">
        <v>46290</v>
      </c>
      <c r="I455" s="9">
        <v>1506</v>
      </c>
      <c r="J455" s="31">
        <f t="shared" si="14"/>
        <v>46284</v>
      </c>
      <c r="K455" s="31">
        <f>Table14[[#This Row],[week first day]]-7</f>
        <v>46277</v>
      </c>
      <c r="L455">
        <f t="shared" si="15"/>
        <v>1506</v>
      </c>
    </row>
    <row r="456" spans="1:12" x14ac:dyDescent="0.3">
      <c r="A456" s="8" t="s">
        <v>9</v>
      </c>
      <c r="B456" s="8" t="s">
        <v>10</v>
      </c>
      <c r="C456" s="8" t="s">
        <v>11</v>
      </c>
      <c r="D456" s="8">
        <v>90</v>
      </c>
      <c r="E456" s="8" t="s">
        <v>12</v>
      </c>
      <c r="F456" t="s">
        <v>13</v>
      </c>
      <c r="G456" s="8">
        <v>3000</v>
      </c>
      <c r="H456" s="7">
        <v>46297</v>
      </c>
      <c r="I456" s="9">
        <v>1446</v>
      </c>
      <c r="J456" s="31">
        <f t="shared" si="14"/>
        <v>46291</v>
      </c>
      <c r="K456" s="31">
        <f>Table14[[#This Row],[week first day]]-7</f>
        <v>46284</v>
      </c>
      <c r="L456">
        <f t="shared" si="15"/>
        <v>1446</v>
      </c>
    </row>
    <row r="457" spans="1:12" x14ac:dyDescent="0.3">
      <c r="A457" s="8" t="s">
        <v>9</v>
      </c>
      <c r="B457" s="8" t="s">
        <v>10</v>
      </c>
      <c r="C457" s="8" t="s">
        <v>11</v>
      </c>
      <c r="D457" s="8">
        <v>90</v>
      </c>
      <c r="E457" s="8" t="s">
        <v>12</v>
      </c>
      <c r="F457" t="s">
        <v>13</v>
      </c>
      <c r="G457" s="8">
        <v>3000</v>
      </c>
      <c r="H457" s="7">
        <v>46318</v>
      </c>
      <c r="I457" s="9">
        <v>1448</v>
      </c>
      <c r="J457" s="31">
        <f t="shared" si="14"/>
        <v>46312</v>
      </c>
      <c r="K457" s="31">
        <f>Table14[[#This Row],[week first day]]-7</f>
        <v>46305</v>
      </c>
      <c r="L457">
        <f t="shared" si="15"/>
        <v>1448</v>
      </c>
    </row>
    <row r="458" spans="1:12" x14ac:dyDescent="0.3">
      <c r="A458" s="8" t="s">
        <v>9</v>
      </c>
      <c r="B458" s="8" t="s">
        <v>10</v>
      </c>
      <c r="C458" s="8" t="s">
        <v>11</v>
      </c>
      <c r="D458" s="8">
        <v>90</v>
      </c>
      <c r="E458" s="8" t="s">
        <v>12</v>
      </c>
      <c r="F458" t="s">
        <v>13</v>
      </c>
      <c r="G458" s="8">
        <v>3000</v>
      </c>
      <c r="H458" s="7">
        <v>46325</v>
      </c>
      <c r="I458" s="9">
        <v>1448</v>
      </c>
      <c r="J458" s="31">
        <f t="shared" si="14"/>
        <v>46319</v>
      </c>
      <c r="K458" s="31">
        <f>Table14[[#This Row],[week first day]]-7</f>
        <v>46312</v>
      </c>
      <c r="L458">
        <f t="shared" si="15"/>
        <v>1448</v>
      </c>
    </row>
    <row r="459" spans="1:12" x14ac:dyDescent="0.3">
      <c r="A459" s="8" t="s">
        <v>9</v>
      </c>
      <c r="B459" s="8" t="s">
        <v>10</v>
      </c>
      <c r="C459" s="8" t="s">
        <v>11</v>
      </c>
      <c r="D459" s="8">
        <v>90</v>
      </c>
      <c r="E459" s="8" t="s">
        <v>12</v>
      </c>
      <c r="F459" t="s">
        <v>13</v>
      </c>
      <c r="G459" s="8">
        <v>3000</v>
      </c>
      <c r="H459" s="7">
        <v>46332</v>
      </c>
      <c r="I459" s="9">
        <v>1448</v>
      </c>
      <c r="J459" s="31">
        <f t="shared" si="14"/>
        <v>46326</v>
      </c>
      <c r="K459" s="31">
        <f>Table14[[#This Row],[week first day]]-7</f>
        <v>46319</v>
      </c>
      <c r="L459">
        <f t="shared" si="15"/>
        <v>1448</v>
      </c>
    </row>
    <row r="460" spans="1:12" x14ac:dyDescent="0.3">
      <c r="A460" s="8" t="s">
        <v>9</v>
      </c>
      <c r="B460" s="8" t="s">
        <v>10</v>
      </c>
      <c r="C460" s="8" t="s">
        <v>11</v>
      </c>
      <c r="D460" s="8">
        <v>90</v>
      </c>
      <c r="E460" s="8" t="s">
        <v>12</v>
      </c>
      <c r="F460" t="s">
        <v>13</v>
      </c>
      <c r="G460" s="8">
        <v>3000</v>
      </c>
      <c r="H460" s="7">
        <v>46339</v>
      </c>
      <c r="I460" s="9">
        <v>1754</v>
      </c>
      <c r="J460" s="31">
        <f t="shared" si="14"/>
        <v>46333</v>
      </c>
      <c r="K460" s="31">
        <f>Table14[[#This Row],[week first day]]-7</f>
        <v>46326</v>
      </c>
      <c r="L460">
        <f t="shared" si="15"/>
        <v>1754</v>
      </c>
    </row>
    <row r="461" spans="1:12" x14ac:dyDescent="0.3">
      <c r="A461" s="8" t="s">
        <v>9</v>
      </c>
      <c r="B461" s="8" t="s">
        <v>10</v>
      </c>
      <c r="C461" s="8" t="s">
        <v>11</v>
      </c>
      <c r="D461" s="8">
        <v>90</v>
      </c>
      <c r="E461" s="8" t="s">
        <v>12</v>
      </c>
      <c r="F461" t="s">
        <v>13</v>
      </c>
      <c r="G461" s="8">
        <v>3000</v>
      </c>
      <c r="H461" s="7">
        <v>46346</v>
      </c>
      <c r="I461" s="9">
        <v>1756</v>
      </c>
      <c r="J461" s="31">
        <f t="shared" si="14"/>
        <v>46340</v>
      </c>
      <c r="K461" s="31">
        <f>Table14[[#This Row],[week first day]]-7</f>
        <v>46333</v>
      </c>
      <c r="L461">
        <f t="shared" si="15"/>
        <v>1756</v>
      </c>
    </row>
    <row r="462" spans="1:12" x14ac:dyDescent="0.3">
      <c r="A462" s="8" t="s">
        <v>9</v>
      </c>
      <c r="B462" s="8" t="s">
        <v>10</v>
      </c>
      <c r="C462" s="8" t="s">
        <v>11</v>
      </c>
      <c r="D462" s="8">
        <v>90</v>
      </c>
      <c r="E462" s="8" t="s">
        <v>12</v>
      </c>
      <c r="F462" t="s">
        <v>13</v>
      </c>
      <c r="G462" s="8">
        <v>3000</v>
      </c>
      <c r="H462" s="7">
        <v>46353</v>
      </c>
      <c r="I462" s="9">
        <v>1756</v>
      </c>
      <c r="J462" s="31">
        <f t="shared" si="14"/>
        <v>46347</v>
      </c>
      <c r="K462" s="31">
        <f>Table14[[#This Row],[week first day]]-7</f>
        <v>46340</v>
      </c>
      <c r="L462">
        <f t="shared" si="15"/>
        <v>1756</v>
      </c>
    </row>
    <row r="463" spans="1:12" x14ac:dyDescent="0.3">
      <c r="A463" s="8" t="s">
        <v>9</v>
      </c>
      <c r="B463" s="8" t="s">
        <v>10</v>
      </c>
      <c r="C463" s="8" t="s">
        <v>11</v>
      </c>
      <c r="D463" s="8">
        <v>90</v>
      </c>
      <c r="E463" s="8" t="s">
        <v>12</v>
      </c>
      <c r="F463" t="s">
        <v>13</v>
      </c>
      <c r="G463" s="8">
        <v>3000</v>
      </c>
      <c r="H463" s="7">
        <v>46360</v>
      </c>
      <c r="I463" s="9">
        <v>1756</v>
      </c>
      <c r="J463" s="31">
        <f t="shared" si="14"/>
        <v>46354</v>
      </c>
      <c r="K463" s="31">
        <f>Table14[[#This Row],[week first day]]-7</f>
        <v>46347</v>
      </c>
      <c r="L463">
        <f t="shared" si="15"/>
        <v>1756</v>
      </c>
    </row>
    <row r="464" spans="1:12" x14ac:dyDescent="0.3">
      <c r="A464" s="8" t="s">
        <v>9</v>
      </c>
      <c r="B464" s="8" t="s">
        <v>10</v>
      </c>
      <c r="C464" s="8" t="s">
        <v>11</v>
      </c>
      <c r="D464" s="8">
        <v>90</v>
      </c>
      <c r="E464" s="8" t="s">
        <v>12</v>
      </c>
      <c r="F464" t="s">
        <v>13</v>
      </c>
      <c r="G464" s="8">
        <v>3000</v>
      </c>
      <c r="H464" s="7">
        <v>46367</v>
      </c>
      <c r="I464" s="9">
        <v>1928</v>
      </c>
      <c r="J464" s="31">
        <f t="shared" si="14"/>
        <v>46361</v>
      </c>
      <c r="K464" s="31">
        <f>Table14[[#This Row],[week first day]]-7</f>
        <v>46354</v>
      </c>
      <c r="L464">
        <f t="shared" si="15"/>
        <v>1928</v>
      </c>
    </row>
    <row r="465" spans="1:12" x14ac:dyDescent="0.3">
      <c r="A465" s="8" t="s">
        <v>9</v>
      </c>
      <c r="B465" s="8" t="s">
        <v>10</v>
      </c>
      <c r="C465" s="8" t="s">
        <v>11</v>
      </c>
      <c r="D465" s="8">
        <v>90</v>
      </c>
      <c r="E465" s="8" t="s">
        <v>12</v>
      </c>
      <c r="F465" t="s">
        <v>13</v>
      </c>
      <c r="G465" s="8">
        <v>3000</v>
      </c>
      <c r="H465" s="7">
        <v>46374</v>
      </c>
      <c r="I465" s="9">
        <v>1930</v>
      </c>
      <c r="J465" s="31">
        <f t="shared" si="14"/>
        <v>46368</v>
      </c>
      <c r="K465" s="31">
        <f>Table14[[#This Row],[week first day]]-7</f>
        <v>46361</v>
      </c>
      <c r="L465">
        <f t="shared" si="15"/>
        <v>1930</v>
      </c>
    </row>
    <row r="466" spans="1:12" x14ac:dyDescent="0.3">
      <c r="A466" s="8" t="s">
        <v>9</v>
      </c>
      <c r="B466" s="8" t="s">
        <v>10</v>
      </c>
      <c r="C466" s="8" t="s">
        <v>11</v>
      </c>
      <c r="D466" s="8">
        <v>90</v>
      </c>
      <c r="E466" s="8" t="s">
        <v>12</v>
      </c>
      <c r="F466" t="s">
        <v>13</v>
      </c>
      <c r="G466" s="8">
        <v>3000</v>
      </c>
      <c r="H466" s="12">
        <v>46381</v>
      </c>
      <c r="I466" s="13">
        <v>1928</v>
      </c>
      <c r="J466" s="31">
        <f t="shared" si="14"/>
        <v>46375</v>
      </c>
      <c r="K466" s="31">
        <f>Table14[[#This Row],[week first day]]-7</f>
        <v>46368</v>
      </c>
      <c r="L466">
        <f t="shared" si="15"/>
        <v>1928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66"/>
  <sheetViews>
    <sheetView zoomScale="64" workbookViewId="0">
      <selection activeCell="H1" sqref="H1"/>
    </sheetView>
  </sheetViews>
  <sheetFormatPr defaultRowHeight="14.4" x14ac:dyDescent="0.3"/>
  <cols>
    <col min="1" max="1" width="12.77734375" bestFit="1" customWidth="1"/>
    <col min="2" max="2" width="23.21875" bestFit="1" customWidth="1"/>
    <col min="3" max="3" width="9.44140625" customWidth="1"/>
    <col min="4" max="4" width="10.5546875" customWidth="1"/>
    <col min="5" max="5" width="15.77734375" customWidth="1"/>
    <col min="6" max="6" width="9.44140625" customWidth="1"/>
    <col min="7" max="7" width="17.44140625" bestFit="1" customWidth="1"/>
    <col min="8" max="8" width="17.77734375" bestFit="1" customWidth="1"/>
    <col min="9" max="9" width="19.21875" bestFit="1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">
      <c r="A2" s="8" t="s">
        <v>9</v>
      </c>
      <c r="B2" s="8" t="s">
        <v>10</v>
      </c>
      <c r="C2" s="8" t="s">
        <v>11</v>
      </c>
      <c r="D2" s="8">
        <v>90</v>
      </c>
      <c r="E2" s="8" t="s">
        <v>12</v>
      </c>
      <c r="F2" t="s">
        <v>13</v>
      </c>
      <c r="G2" s="8">
        <v>3000</v>
      </c>
      <c r="H2" s="10">
        <v>46143</v>
      </c>
      <c r="I2" s="11">
        <v>588</v>
      </c>
    </row>
    <row r="3" spans="1:9" x14ac:dyDescent="0.3">
      <c r="A3" s="8" t="s">
        <v>14</v>
      </c>
      <c r="B3" s="8" t="s">
        <v>15</v>
      </c>
      <c r="C3" s="8" t="s">
        <v>11</v>
      </c>
      <c r="D3" s="8">
        <v>105</v>
      </c>
      <c r="E3" s="8" t="s">
        <v>16</v>
      </c>
      <c r="F3" t="s">
        <v>17</v>
      </c>
      <c r="G3" s="9">
        <v>15000</v>
      </c>
      <c r="H3" s="7">
        <v>46150</v>
      </c>
      <c r="I3" s="9">
        <v>684</v>
      </c>
    </row>
    <row r="4" spans="1:9" x14ac:dyDescent="0.3">
      <c r="A4" s="8" t="s">
        <v>18</v>
      </c>
      <c r="B4" s="8" t="s">
        <v>19</v>
      </c>
      <c r="C4" s="8" t="s">
        <v>20</v>
      </c>
      <c r="D4" s="8">
        <v>30</v>
      </c>
      <c r="E4" s="8" t="s">
        <v>21</v>
      </c>
      <c r="F4" t="s">
        <v>13</v>
      </c>
      <c r="G4" s="8">
        <v>3000</v>
      </c>
      <c r="H4" s="7">
        <v>46150</v>
      </c>
      <c r="I4" s="9">
        <v>472</v>
      </c>
    </row>
    <row r="5" spans="1:9" x14ac:dyDescent="0.3">
      <c r="A5" s="8" t="s">
        <v>9</v>
      </c>
      <c r="B5" s="8" t="s">
        <v>10</v>
      </c>
      <c r="C5" s="8" t="s">
        <v>11</v>
      </c>
      <c r="D5" s="8">
        <v>90</v>
      </c>
      <c r="E5" s="8" t="s">
        <v>12</v>
      </c>
      <c r="F5" t="s">
        <v>13</v>
      </c>
      <c r="G5" s="8">
        <v>3000</v>
      </c>
      <c r="H5" s="7">
        <v>46150</v>
      </c>
      <c r="I5" s="9">
        <v>4028</v>
      </c>
    </row>
    <row r="6" spans="1:9" x14ac:dyDescent="0.3">
      <c r="A6" s="8" t="s">
        <v>14</v>
      </c>
      <c r="B6" s="8" t="s">
        <v>15</v>
      </c>
      <c r="C6" s="8" t="s">
        <v>11</v>
      </c>
      <c r="D6" s="8">
        <v>105</v>
      </c>
      <c r="E6" s="8" t="s">
        <v>16</v>
      </c>
      <c r="F6" t="s">
        <v>17</v>
      </c>
      <c r="G6" s="9">
        <v>15000</v>
      </c>
      <c r="H6" s="7">
        <v>46157</v>
      </c>
      <c r="I6" s="9">
        <v>20000</v>
      </c>
    </row>
    <row r="7" spans="1:9" x14ac:dyDescent="0.3">
      <c r="A7" s="8" t="s">
        <v>22</v>
      </c>
      <c r="B7" s="8" t="s">
        <v>23</v>
      </c>
      <c r="C7" s="8" t="s">
        <v>11</v>
      </c>
      <c r="D7" s="8">
        <v>55</v>
      </c>
      <c r="E7" s="8" t="s">
        <v>24</v>
      </c>
      <c r="F7" t="s">
        <v>17</v>
      </c>
      <c r="G7" s="9">
        <v>15000</v>
      </c>
      <c r="H7" s="7">
        <v>46157</v>
      </c>
      <c r="I7" s="9">
        <v>2731</v>
      </c>
    </row>
    <row r="8" spans="1:9" x14ac:dyDescent="0.3">
      <c r="A8" s="8" t="s">
        <v>22</v>
      </c>
      <c r="B8" s="8" t="s">
        <v>23</v>
      </c>
      <c r="C8" s="8" t="s">
        <v>11</v>
      </c>
      <c r="D8" s="8">
        <v>55</v>
      </c>
      <c r="E8" s="8" t="s">
        <v>24</v>
      </c>
      <c r="F8" t="s">
        <v>17</v>
      </c>
      <c r="G8" s="9">
        <v>15000</v>
      </c>
      <c r="H8" s="7">
        <v>46157</v>
      </c>
      <c r="I8" s="9">
        <v>2771</v>
      </c>
    </row>
    <row r="9" spans="1:9" x14ac:dyDescent="0.3">
      <c r="A9" s="8" t="s">
        <v>25</v>
      </c>
      <c r="B9" s="8" t="s">
        <v>26</v>
      </c>
      <c r="C9" s="8" t="s">
        <v>27</v>
      </c>
      <c r="D9" s="8">
        <v>80</v>
      </c>
      <c r="E9" s="8" t="s">
        <v>28</v>
      </c>
      <c r="F9" t="s">
        <v>29</v>
      </c>
      <c r="G9" s="8">
        <v>5000</v>
      </c>
      <c r="H9" s="7">
        <v>46157</v>
      </c>
      <c r="I9" s="9">
        <v>270</v>
      </c>
    </row>
    <row r="10" spans="1:9" x14ac:dyDescent="0.3">
      <c r="A10" s="8" t="s">
        <v>25</v>
      </c>
      <c r="B10" s="8" t="s">
        <v>26</v>
      </c>
      <c r="C10" s="8" t="s">
        <v>27</v>
      </c>
      <c r="D10" s="8">
        <v>80</v>
      </c>
      <c r="E10" s="8" t="s">
        <v>28</v>
      </c>
      <c r="F10" t="s">
        <v>29</v>
      </c>
      <c r="G10" s="8">
        <v>5000</v>
      </c>
      <c r="H10" s="7">
        <v>46157</v>
      </c>
      <c r="I10" s="9">
        <v>270</v>
      </c>
    </row>
    <row r="11" spans="1:9" x14ac:dyDescent="0.3">
      <c r="A11" s="8" t="s">
        <v>25</v>
      </c>
      <c r="B11" s="8" t="s">
        <v>26</v>
      </c>
      <c r="C11" s="8" t="s">
        <v>27</v>
      </c>
      <c r="D11" s="8">
        <v>80</v>
      </c>
      <c r="E11" s="8" t="s">
        <v>28</v>
      </c>
      <c r="F11" t="s">
        <v>29</v>
      </c>
      <c r="G11" s="8">
        <v>5000</v>
      </c>
      <c r="H11" s="7">
        <v>46157</v>
      </c>
      <c r="I11" s="9">
        <v>270</v>
      </c>
    </row>
    <row r="12" spans="1:9" x14ac:dyDescent="0.3">
      <c r="A12" s="8" t="s">
        <v>25</v>
      </c>
      <c r="B12" s="8" t="s">
        <v>26</v>
      </c>
      <c r="C12" s="8" t="s">
        <v>27</v>
      </c>
      <c r="D12" s="8">
        <v>80</v>
      </c>
      <c r="E12" s="8" t="s">
        <v>28</v>
      </c>
      <c r="F12" t="s">
        <v>29</v>
      </c>
      <c r="G12" s="8">
        <v>5000</v>
      </c>
      <c r="H12" s="7">
        <v>46157</v>
      </c>
      <c r="I12" s="9">
        <v>270</v>
      </c>
    </row>
    <row r="13" spans="1:9" x14ac:dyDescent="0.3">
      <c r="A13" s="8" t="s">
        <v>25</v>
      </c>
      <c r="B13" s="8" t="s">
        <v>26</v>
      </c>
      <c r="C13" s="8" t="s">
        <v>27</v>
      </c>
      <c r="D13" s="8">
        <v>80</v>
      </c>
      <c r="E13" s="8" t="s">
        <v>28</v>
      </c>
      <c r="F13" t="s">
        <v>29</v>
      </c>
      <c r="G13" s="8">
        <v>5000</v>
      </c>
      <c r="H13" s="7">
        <v>46157</v>
      </c>
      <c r="I13" s="9">
        <v>270</v>
      </c>
    </row>
    <row r="14" spans="1:9" x14ac:dyDescent="0.3">
      <c r="A14" s="8" t="s">
        <v>25</v>
      </c>
      <c r="B14" s="8" t="s">
        <v>26</v>
      </c>
      <c r="C14" s="8" t="s">
        <v>27</v>
      </c>
      <c r="D14" s="8">
        <v>80</v>
      </c>
      <c r="E14" s="8" t="s">
        <v>28</v>
      </c>
      <c r="F14" t="s">
        <v>29</v>
      </c>
      <c r="G14" s="8">
        <v>5000</v>
      </c>
      <c r="H14" s="7">
        <v>46157</v>
      </c>
      <c r="I14" s="9">
        <v>270</v>
      </c>
    </row>
    <row r="15" spans="1:9" x14ac:dyDescent="0.3">
      <c r="A15" s="8" t="s">
        <v>25</v>
      </c>
      <c r="B15" s="8" t="s">
        <v>26</v>
      </c>
      <c r="C15" s="8" t="s">
        <v>27</v>
      </c>
      <c r="D15" s="8">
        <v>80</v>
      </c>
      <c r="E15" s="8" t="s">
        <v>28</v>
      </c>
      <c r="F15" t="s">
        <v>29</v>
      </c>
      <c r="G15" s="8">
        <v>5000</v>
      </c>
      <c r="H15" s="7">
        <v>46157</v>
      </c>
      <c r="I15" s="9">
        <v>270</v>
      </c>
    </row>
    <row r="16" spans="1:9" x14ac:dyDescent="0.3">
      <c r="A16" s="8" t="s">
        <v>25</v>
      </c>
      <c r="B16" s="8" t="s">
        <v>26</v>
      </c>
      <c r="C16" s="8" t="s">
        <v>27</v>
      </c>
      <c r="D16" s="8">
        <v>80</v>
      </c>
      <c r="E16" s="8" t="s">
        <v>28</v>
      </c>
      <c r="F16" t="s">
        <v>29</v>
      </c>
      <c r="G16" s="8">
        <v>5000</v>
      </c>
      <c r="H16" s="7">
        <v>46157</v>
      </c>
      <c r="I16" s="9">
        <v>270</v>
      </c>
    </row>
    <row r="17" spans="1:9" x14ac:dyDescent="0.3">
      <c r="A17" s="8" t="s">
        <v>25</v>
      </c>
      <c r="B17" s="8" t="s">
        <v>26</v>
      </c>
      <c r="C17" s="8" t="s">
        <v>27</v>
      </c>
      <c r="D17" s="8">
        <v>80</v>
      </c>
      <c r="E17" s="8" t="s">
        <v>28</v>
      </c>
      <c r="F17" t="s">
        <v>29</v>
      </c>
      <c r="G17" s="8">
        <v>5000</v>
      </c>
      <c r="H17" s="7">
        <v>46157</v>
      </c>
      <c r="I17" s="9">
        <v>270</v>
      </c>
    </row>
    <row r="18" spans="1:9" x14ac:dyDescent="0.3">
      <c r="A18" s="8" t="s">
        <v>25</v>
      </c>
      <c r="B18" s="8" t="s">
        <v>26</v>
      </c>
      <c r="C18" s="8" t="s">
        <v>27</v>
      </c>
      <c r="D18" s="8">
        <v>80</v>
      </c>
      <c r="E18" s="8" t="s">
        <v>28</v>
      </c>
      <c r="F18" t="s">
        <v>29</v>
      </c>
      <c r="G18" s="8">
        <v>5000</v>
      </c>
      <c r="H18" s="7">
        <v>46157</v>
      </c>
      <c r="I18" s="9">
        <v>270</v>
      </c>
    </row>
    <row r="19" spans="1:9" x14ac:dyDescent="0.3">
      <c r="A19" s="8" t="s">
        <v>25</v>
      </c>
      <c r="B19" s="8" t="s">
        <v>26</v>
      </c>
      <c r="C19" s="8" t="s">
        <v>27</v>
      </c>
      <c r="D19" s="8">
        <v>80</v>
      </c>
      <c r="E19" s="8" t="s">
        <v>28</v>
      </c>
      <c r="F19" t="s">
        <v>29</v>
      </c>
      <c r="G19" s="8">
        <v>5000</v>
      </c>
      <c r="H19" s="7">
        <v>46157</v>
      </c>
      <c r="I19" s="9">
        <v>270</v>
      </c>
    </row>
    <row r="20" spans="1:9" x14ac:dyDescent="0.3">
      <c r="A20" s="8" t="s">
        <v>25</v>
      </c>
      <c r="B20" s="8" t="s">
        <v>26</v>
      </c>
      <c r="C20" s="8" t="s">
        <v>27</v>
      </c>
      <c r="D20" s="8">
        <v>80</v>
      </c>
      <c r="E20" s="8" t="s">
        <v>28</v>
      </c>
      <c r="F20" t="s">
        <v>29</v>
      </c>
      <c r="G20" s="8">
        <v>5000</v>
      </c>
      <c r="H20" s="7">
        <v>46157</v>
      </c>
      <c r="I20" s="9">
        <v>270</v>
      </c>
    </row>
    <row r="21" spans="1:9" x14ac:dyDescent="0.3">
      <c r="A21" s="8" t="s">
        <v>25</v>
      </c>
      <c r="B21" s="8" t="s">
        <v>26</v>
      </c>
      <c r="C21" s="8" t="s">
        <v>27</v>
      </c>
      <c r="D21" s="8">
        <v>80</v>
      </c>
      <c r="E21" s="8" t="s">
        <v>28</v>
      </c>
      <c r="F21" t="s">
        <v>29</v>
      </c>
      <c r="G21" s="8">
        <v>5000</v>
      </c>
      <c r="H21" s="7">
        <v>46157</v>
      </c>
      <c r="I21" s="9">
        <v>270</v>
      </c>
    </row>
    <row r="22" spans="1:9" x14ac:dyDescent="0.3">
      <c r="A22" s="8" t="s">
        <v>25</v>
      </c>
      <c r="B22" s="8" t="s">
        <v>26</v>
      </c>
      <c r="C22" s="8" t="s">
        <v>27</v>
      </c>
      <c r="D22" s="8">
        <v>80</v>
      </c>
      <c r="E22" s="8" t="s">
        <v>28</v>
      </c>
      <c r="F22" t="s">
        <v>29</v>
      </c>
      <c r="G22" s="8">
        <v>5000</v>
      </c>
      <c r="H22" s="7">
        <v>46157</v>
      </c>
      <c r="I22" s="9">
        <v>270</v>
      </c>
    </row>
    <row r="23" spans="1:9" x14ac:dyDescent="0.3">
      <c r="A23" s="8" t="s">
        <v>25</v>
      </c>
      <c r="B23" s="8" t="s">
        <v>26</v>
      </c>
      <c r="C23" s="8" t="s">
        <v>27</v>
      </c>
      <c r="D23" s="8">
        <v>80</v>
      </c>
      <c r="E23" s="8" t="s">
        <v>28</v>
      </c>
      <c r="F23" t="s">
        <v>29</v>
      </c>
      <c r="G23" s="8">
        <v>5000</v>
      </c>
      <c r="H23" s="7">
        <v>46157</v>
      </c>
      <c r="I23" s="9">
        <v>270</v>
      </c>
    </row>
    <row r="24" spans="1:9" x14ac:dyDescent="0.3">
      <c r="A24" s="8" t="s">
        <v>25</v>
      </c>
      <c r="B24" s="8" t="s">
        <v>26</v>
      </c>
      <c r="C24" s="8" t="s">
        <v>27</v>
      </c>
      <c r="D24" s="8">
        <v>80</v>
      </c>
      <c r="E24" s="8" t="s">
        <v>28</v>
      </c>
      <c r="F24" t="s">
        <v>29</v>
      </c>
      <c r="G24" s="8">
        <v>5000</v>
      </c>
      <c r="H24" s="7">
        <v>46157</v>
      </c>
      <c r="I24" s="9">
        <v>270</v>
      </c>
    </row>
    <row r="25" spans="1:9" x14ac:dyDescent="0.3">
      <c r="A25" s="8" t="s">
        <v>30</v>
      </c>
      <c r="B25" s="8" t="s">
        <v>31</v>
      </c>
      <c r="C25" s="8" t="s">
        <v>27</v>
      </c>
      <c r="D25" s="8">
        <v>40</v>
      </c>
      <c r="E25" s="8" t="s">
        <v>32</v>
      </c>
      <c r="F25" t="s">
        <v>29</v>
      </c>
      <c r="G25" s="8">
        <v>5000</v>
      </c>
      <c r="H25" s="7">
        <v>46157</v>
      </c>
      <c r="I25" s="9">
        <v>270</v>
      </c>
    </row>
    <row r="26" spans="1:9" x14ac:dyDescent="0.3">
      <c r="A26" s="8" t="s">
        <v>30</v>
      </c>
      <c r="B26" s="8" t="s">
        <v>31</v>
      </c>
      <c r="C26" s="8" t="s">
        <v>27</v>
      </c>
      <c r="D26" s="8">
        <v>40</v>
      </c>
      <c r="E26" s="8" t="s">
        <v>32</v>
      </c>
      <c r="F26" t="s">
        <v>29</v>
      </c>
      <c r="G26" s="8">
        <v>5000</v>
      </c>
      <c r="H26" s="7">
        <v>46157</v>
      </c>
      <c r="I26" s="9">
        <v>270</v>
      </c>
    </row>
    <row r="27" spans="1:9" x14ac:dyDescent="0.3">
      <c r="A27" s="8" t="s">
        <v>30</v>
      </c>
      <c r="B27" s="8" t="s">
        <v>31</v>
      </c>
      <c r="C27" s="8" t="s">
        <v>27</v>
      </c>
      <c r="D27" s="8">
        <v>40</v>
      </c>
      <c r="E27" s="8" t="s">
        <v>32</v>
      </c>
      <c r="F27" t="s">
        <v>29</v>
      </c>
      <c r="G27" s="8">
        <v>5000</v>
      </c>
      <c r="H27" s="7">
        <v>46157</v>
      </c>
      <c r="I27" s="9">
        <v>270</v>
      </c>
    </row>
    <row r="28" spans="1:9" x14ac:dyDescent="0.3">
      <c r="A28" s="8" t="s">
        <v>30</v>
      </c>
      <c r="B28" s="8" t="s">
        <v>31</v>
      </c>
      <c r="C28" s="8" t="s">
        <v>27</v>
      </c>
      <c r="D28" s="8">
        <v>40</v>
      </c>
      <c r="E28" s="8" t="s">
        <v>32</v>
      </c>
      <c r="F28" t="s">
        <v>29</v>
      </c>
      <c r="G28" s="8">
        <v>5000</v>
      </c>
      <c r="H28" s="7">
        <v>46157</v>
      </c>
      <c r="I28" s="9">
        <v>270</v>
      </c>
    </row>
    <row r="29" spans="1:9" x14ac:dyDescent="0.3">
      <c r="A29" s="8" t="s">
        <v>30</v>
      </c>
      <c r="B29" s="8" t="s">
        <v>31</v>
      </c>
      <c r="C29" s="8" t="s">
        <v>27</v>
      </c>
      <c r="D29" s="8">
        <v>40</v>
      </c>
      <c r="E29" s="8" t="s">
        <v>32</v>
      </c>
      <c r="F29" t="s">
        <v>29</v>
      </c>
      <c r="G29" s="8">
        <v>5000</v>
      </c>
      <c r="H29" s="7">
        <v>46157</v>
      </c>
      <c r="I29" s="9">
        <v>270</v>
      </c>
    </row>
    <row r="30" spans="1:9" x14ac:dyDescent="0.3">
      <c r="A30" s="8" t="s">
        <v>30</v>
      </c>
      <c r="B30" s="8" t="s">
        <v>31</v>
      </c>
      <c r="C30" s="8" t="s">
        <v>27</v>
      </c>
      <c r="D30" s="8">
        <v>40</v>
      </c>
      <c r="E30" s="8" t="s">
        <v>32</v>
      </c>
      <c r="F30" t="s">
        <v>29</v>
      </c>
      <c r="G30" s="8">
        <v>5000</v>
      </c>
      <c r="H30" s="7">
        <v>46157</v>
      </c>
      <c r="I30" s="9">
        <v>270</v>
      </c>
    </row>
    <row r="31" spans="1:9" x14ac:dyDescent="0.3">
      <c r="A31" s="8" t="s">
        <v>30</v>
      </c>
      <c r="B31" s="8" t="s">
        <v>31</v>
      </c>
      <c r="C31" s="8" t="s">
        <v>27</v>
      </c>
      <c r="D31" s="8">
        <v>40</v>
      </c>
      <c r="E31" s="8" t="s">
        <v>32</v>
      </c>
      <c r="F31" t="s">
        <v>29</v>
      </c>
      <c r="G31" s="8">
        <v>5000</v>
      </c>
      <c r="H31" s="7">
        <v>46157</v>
      </c>
      <c r="I31" s="9">
        <v>270</v>
      </c>
    </row>
    <row r="32" spans="1:9" x14ac:dyDescent="0.3">
      <c r="A32" s="8" t="s">
        <v>30</v>
      </c>
      <c r="B32" s="8" t="s">
        <v>31</v>
      </c>
      <c r="C32" s="8" t="s">
        <v>27</v>
      </c>
      <c r="D32" s="8">
        <v>40</v>
      </c>
      <c r="E32" s="8" t="s">
        <v>32</v>
      </c>
      <c r="F32" t="s">
        <v>29</v>
      </c>
      <c r="G32" s="8">
        <v>5000</v>
      </c>
      <c r="H32" s="7">
        <v>46157</v>
      </c>
      <c r="I32" s="9">
        <v>270</v>
      </c>
    </row>
    <row r="33" spans="1:9" x14ac:dyDescent="0.3">
      <c r="A33" s="8" t="s">
        <v>30</v>
      </c>
      <c r="B33" s="8" t="s">
        <v>31</v>
      </c>
      <c r="C33" s="8" t="s">
        <v>27</v>
      </c>
      <c r="D33" s="8">
        <v>40</v>
      </c>
      <c r="E33" s="8" t="s">
        <v>32</v>
      </c>
      <c r="F33" t="s">
        <v>29</v>
      </c>
      <c r="G33" s="8">
        <v>5000</v>
      </c>
      <c r="H33" s="7">
        <v>46157</v>
      </c>
      <c r="I33" s="9">
        <v>270</v>
      </c>
    </row>
    <row r="34" spans="1:9" x14ac:dyDescent="0.3">
      <c r="A34" s="8" t="s">
        <v>18</v>
      </c>
      <c r="B34" s="8" t="s">
        <v>19</v>
      </c>
      <c r="C34" s="8" t="s">
        <v>20</v>
      </c>
      <c r="D34" s="8">
        <v>30</v>
      </c>
      <c r="E34" s="8" t="s">
        <v>21</v>
      </c>
      <c r="F34" t="s">
        <v>13</v>
      </c>
      <c r="G34" s="8">
        <v>3000</v>
      </c>
      <c r="H34" s="7">
        <v>46157</v>
      </c>
      <c r="I34" s="9">
        <v>300</v>
      </c>
    </row>
    <row r="35" spans="1:9" x14ac:dyDescent="0.3">
      <c r="A35" s="8" t="s">
        <v>9</v>
      </c>
      <c r="B35" s="8" t="s">
        <v>10</v>
      </c>
      <c r="C35" s="8" t="s">
        <v>11</v>
      </c>
      <c r="D35" s="8">
        <v>90</v>
      </c>
      <c r="E35" s="8" t="s">
        <v>12</v>
      </c>
      <c r="F35" t="s">
        <v>13</v>
      </c>
      <c r="G35" s="8">
        <v>3000</v>
      </c>
      <c r="H35" s="7">
        <v>46157</v>
      </c>
      <c r="I35" s="9">
        <v>4200</v>
      </c>
    </row>
    <row r="36" spans="1:9" x14ac:dyDescent="0.3">
      <c r="A36" s="8" t="s">
        <v>14</v>
      </c>
      <c r="B36" s="8" t="s">
        <v>15</v>
      </c>
      <c r="C36" s="8" t="s">
        <v>11</v>
      </c>
      <c r="D36" s="8">
        <v>105</v>
      </c>
      <c r="E36" s="8" t="s">
        <v>16</v>
      </c>
      <c r="F36" t="s">
        <v>17</v>
      </c>
      <c r="G36" s="9">
        <v>15000</v>
      </c>
      <c r="H36" s="7">
        <v>46164</v>
      </c>
      <c r="I36" s="9">
        <v>15000</v>
      </c>
    </row>
    <row r="37" spans="1:9" x14ac:dyDescent="0.3">
      <c r="A37" s="8" t="s">
        <v>14</v>
      </c>
      <c r="B37" s="8" t="s">
        <v>15</v>
      </c>
      <c r="C37" s="8" t="s">
        <v>11</v>
      </c>
      <c r="D37" s="8">
        <v>105</v>
      </c>
      <c r="E37" s="8" t="s">
        <v>16</v>
      </c>
      <c r="F37" t="s">
        <v>17</v>
      </c>
      <c r="G37" s="9">
        <v>15000</v>
      </c>
      <c r="H37" s="7">
        <v>46164</v>
      </c>
      <c r="I37" s="9">
        <v>5000</v>
      </c>
    </row>
    <row r="38" spans="1:9" x14ac:dyDescent="0.3">
      <c r="A38" s="8" t="s">
        <v>22</v>
      </c>
      <c r="B38" s="8" t="s">
        <v>23</v>
      </c>
      <c r="C38" s="8" t="s">
        <v>11</v>
      </c>
      <c r="D38" s="8">
        <v>55</v>
      </c>
      <c r="E38" s="8" t="s">
        <v>24</v>
      </c>
      <c r="F38" t="s">
        <v>17</v>
      </c>
      <c r="G38" s="9">
        <v>15000</v>
      </c>
      <c r="H38" s="7">
        <v>46164</v>
      </c>
      <c r="I38" s="9">
        <v>2270</v>
      </c>
    </row>
    <row r="39" spans="1:9" x14ac:dyDescent="0.3">
      <c r="A39" s="8" t="s">
        <v>22</v>
      </c>
      <c r="B39" s="8" t="s">
        <v>23</v>
      </c>
      <c r="C39" s="8" t="s">
        <v>11</v>
      </c>
      <c r="D39" s="8">
        <v>55</v>
      </c>
      <c r="E39" s="8" t="s">
        <v>24</v>
      </c>
      <c r="F39" t="s">
        <v>17</v>
      </c>
      <c r="G39" s="9">
        <v>15000</v>
      </c>
      <c r="H39" s="7">
        <v>46164</v>
      </c>
      <c r="I39" s="9">
        <v>1687</v>
      </c>
    </row>
    <row r="40" spans="1:9" x14ac:dyDescent="0.3">
      <c r="A40" s="8" t="s">
        <v>22</v>
      </c>
      <c r="B40" s="8" t="s">
        <v>23</v>
      </c>
      <c r="C40" s="8" t="s">
        <v>11</v>
      </c>
      <c r="D40" s="8">
        <v>55</v>
      </c>
      <c r="E40" s="8" t="s">
        <v>24</v>
      </c>
      <c r="F40" t="s">
        <v>17</v>
      </c>
      <c r="G40" s="9">
        <v>15000</v>
      </c>
      <c r="H40" s="7">
        <v>46164</v>
      </c>
      <c r="I40" s="9">
        <v>2058</v>
      </c>
    </row>
    <row r="41" spans="1:9" x14ac:dyDescent="0.3">
      <c r="A41" s="8" t="s">
        <v>22</v>
      </c>
      <c r="B41" s="8" t="s">
        <v>23</v>
      </c>
      <c r="C41" s="8" t="s">
        <v>11</v>
      </c>
      <c r="D41" s="8">
        <v>55</v>
      </c>
      <c r="E41" s="8" t="s">
        <v>24</v>
      </c>
      <c r="F41" t="s">
        <v>17</v>
      </c>
      <c r="G41" s="9">
        <v>15000</v>
      </c>
      <c r="H41" s="7">
        <v>46164</v>
      </c>
      <c r="I41" s="9">
        <v>2771</v>
      </c>
    </row>
    <row r="42" spans="1:9" x14ac:dyDescent="0.3">
      <c r="A42" s="8" t="s">
        <v>22</v>
      </c>
      <c r="B42" s="8" t="s">
        <v>23</v>
      </c>
      <c r="C42" s="8" t="s">
        <v>11</v>
      </c>
      <c r="D42" s="8">
        <v>55</v>
      </c>
      <c r="E42" s="8" t="s">
        <v>24</v>
      </c>
      <c r="F42" t="s">
        <v>17</v>
      </c>
      <c r="G42" s="9">
        <v>15000</v>
      </c>
      <c r="H42" s="7">
        <v>46164</v>
      </c>
      <c r="I42" s="9">
        <v>450</v>
      </c>
    </row>
    <row r="43" spans="1:9" x14ac:dyDescent="0.3">
      <c r="A43" s="8" t="s">
        <v>22</v>
      </c>
      <c r="B43" s="8" t="s">
        <v>23</v>
      </c>
      <c r="C43" s="8" t="s">
        <v>11</v>
      </c>
      <c r="D43" s="8">
        <v>55</v>
      </c>
      <c r="E43" s="8" t="s">
        <v>24</v>
      </c>
      <c r="F43" t="s">
        <v>17</v>
      </c>
      <c r="G43" s="9">
        <v>15000</v>
      </c>
      <c r="H43" s="7">
        <v>46164</v>
      </c>
      <c r="I43" s="9">
        <v>2771</v>
      </c>
    </row>
    <row r="44" spans="1:9" x14ac:dyDescent="0.3">
      <c r="A44" s="8" t="s">
        <v>22</v>
      </c>
      <c r="B44" s="8" t="s">
        <v>23</v>
      </c>
      <c r="C44" s="8" t="s">
        <v>11</v>
      </c>
      <c r="D44" s="8">
        <v>55</v>
      </c>
      <c r="E44" s="8" t="s">
        <v>24</v>
      </c>
      <c r="F44" t="s">
        <v>17</v>
      </c>
      <c r="G44" s="9">
        <v>15000</v>
      </c>
      <c r="H44" s="7">
        <v>46164</v>
      </c>
      <c r="I44" s="9">
        <v>2771</v>
      </c>
    </row>
    <row r="45" spans="1:9" x14ac:dyDescent="0.3">
      <c r="A45" s="8" t="s">
        <v>22</v>
      </c>
      <c r="B45" s="8" t="s">
        <v>23</v>
      </c>
      <c r="C45" s="8" t="s">
        <v>11</v>
      </c>
      <c r="D45" s="8">
        <v>55</v>
      </c>
      <c r="E45" s="8" t="s">
        <v>24</v>
      </c>
      <c r="F45" t="s">
        <v>17</v>
      </c>
      <c r="G45" s="9">
        <v>15000</v>
      </c>
      <c r="H45" s="7">
        <v>46164</v>
      </c>
      <c r="I45" s="9">
        <v>880</v>
      </c>
    </row>
    <row r="46" spans="1:9" x14ac:dyDescent="0.3">
      <c r="A46" s="8" t="s">
        <v>25</v>
      </c>
      <c r="B46" s="8" t="s">
        <v>26</v>
      </c>
      <c r="C46" s="8" t="s">
        <v>27</v>
      </c>
      <c r="D46" s="8">
        <v>80</v>
      </c>
      <c r="E46" s="8" t="s">
        <v>28</v>
      </c>
      <c r="F46" t="s">
        <v>29</v>
      </c>
      <c r="G46" s="8">
        <v>5000</v>
      </c>
      <c r="H46" s="7">
        <v>46164</v>
      </c>
      <c r="I46" s="9">
        <v>270</v>
      </c>
    </row>
    <row r="47" spans="1:9" x14ac:dyDescent="0.3">
      <c r="A47" s="8" t="s">
        <v>25</v>
      </c>
      <c r="B47" s="8" t="s">
        <v>26</v>
      </c>
      <c r="C47" s="8" t="s">
        <v>27</v>
      </c>
      <c r="D47" s="8">
        <v>80</v>
      </c>
      <c r="E47" s="8" t="s">
        <v>28</v>
      </c>
      <c r="F47" t="s">
        <v>29</v>
      </c>
      <c r="G47" s="8">
        <v>5000</v>
      </c>
      <c r="H47" s="7">
        <v>46164</v>
      </c>
      <c r="I47" s="9">
        <v>270</v>
      </c>
    </row>
    <row r="48" spans="1:9" x14ac:dyDescent="0.3">
      <c r="A48" s="8" t="s">
        <v>25</v>
      </c>
      <c r="B48" s="8" t="s">
        <v>26</v>
      </c>
      <c r="C48" s="8" t="s">
        <v>27</v>
      </c>
      <c r="D48" s="8">
        <v>80</v>
      </c>
      <c r="E48" s="8" t="s">
        <v>28</v>
      </c>
      <c r="F48" t="s">
        <v>29</v>
      </c>
      <c r="G48" s="8">
        <v>5000</v>
      </c>
      <c r="H48" s="7">
        <v>46164</v>
      </c>
      <c r="I48" s="9">
        <v>270</v>
      </c>
    </row>
    <row r="49" spans="1:9" x14ac:dyDescent="0.3">
      <c r="A49" s="8" t="s">
        <v>25</v>
      </c>
      <c r="B49" s="8" t="s">
        <v>26</v>
      </c>
      <c r="C49" s="8" t="s">
        <v>27</v>
      </c>
      <c r="D49" s="8">
        <v>80</v>
      </c>
      <c r="E49" s="8" t="s">
        <v>28</v>
      </c>
      <c r="F49" t="s">
        <v>29</v>
      </c>
      <c r="G49" s="8">
        <v>5000</v>
      </c>
      <c r="H49" s="7">
        <v>46164</v>
      </c>
      <c r="I49" s="9">
        <v>270</v>
      </c>
    </row>
    <row r="50" spans="1:9" x14ac:dyDescent="0.3">
      <c r="A50" s="8" t="s">
        <v>25</v>
      </c>
      <c r="B50" s="8" t="s">
        <v>26</v>
      </c>
      <c r="C50" s="8" t="s">
        <v>27</v>
      </c>
      <c r="D50" s="8">
        <v>80</v>
      </c>
      <c r="E50" s="8" t="s">
        <v>28</v>
      </c>
      <c r="F50" t="s">
        <v>29</v>
      </c>
      <c r="G50" s="8">
        <v>5000</v>
      </c>
      <c r="H50" s="7">
        <v>46164</v>
      </c>
      <c r="I50" s="9">
        <v>270</v>
      </c>
    </row>
    <row r="51" spans="1:9" x14ac:dyDescent="0.3">
      <c r="A51" s="8" t="s">
        <v>25</v>
      </c>
      <c r="B51" s="8" t="s">
        <v>26</v>
      </c>
      <c r="C51" s="8" t="s">
        <v>27</v>
      </c>
      <c r="D51" s="8">
        <v>80</v>
      </c>
      <c r="E51" s="8" t="s">
        <v>28</v>
      </c>
      <c r="F51" t="s">
        <v>29</v>
      </c>
      <c r="G51" s="8">
        <v>5000</v>
      </c>
      <c r="H51" s="7">
        <v>46164</v>
      </c>
      <c r="I51" s="9">
        <v>270</v>
      </c>
    </row>
    <row r="52" spans="1:9" x14ac:dyDescent="0.3">
      <c r="A52" s="8" t="s">
        <v>25</v>
      </c>
      <c r="B52" s="8" t="s">
        <v>26</v>
      </c>
      <c r="C52" s="8" t="s">
        <v>27</v>
      </c>
      <c r="D52" s="8">
        <v>80</v>
      </c>
      <c r="E52" s="8" t="s">
        <v>28</v>
      </c>
      <c r="F52" t="s">
        <v>29</v>
      </c>
      <c r="G52" s="8">
        <v>5000</v>
      </c>
      <c r="H52" s="7">
        <v>46164</v>
      </c>
      <c r="I52" s="9">
        <v>270</v>
      </c>
    </row>
    <row r="53" spans="1:9" x14ac:dyDescent="0.3">
      <c r="A53" s="8" t="s">
        <v>25</v>
      </c>
      <c r="B53" s="8" t="s">
        <v>26</v>
      </c>
      <c r="C53" s="8" t="s">
        <v>27</v>
      </c>
      <c r="D53" s="8">
        <v>80</v>
      </c>
      <c r="E53" s="8" t="s">
        <v>28</v>
      </c>
      <c r="F53" t="s">
        <v>29</v>
      </c>
      <c r="G53" s="8">
        <v>5000</v>
      </c>
      <c r="H53" s="7">
        <v>46164</v>
      </c>
      <c r="I53" s="9">
        <v>270</v>
      </c>
    </row>
    <row r="54" spans="1:9" x14ac:dyDescent="0.3">
      <c r="A54" s="8" t="s">
        <v>25</v>
      </c>
      <c r="B54" s="8" t="s">
        <v>26</v>
      </c>
      <c r="C54" s="8" t="s">
        <v>27</v>
      </c>
      <c r="D54" s="8">
        <v>80</v>
      </c>
      <c r="E54" s="8" t="s">
        <v>28</v>
      </c>
      <c r="F54" t="s">
        <v>29</v>
      </c>
      <c r="G54" s="8">
        <v>5000</v>
      </c>
      <c r="H54" s="7">
        <v>46164</v>
      </c>
      <c r="I54" s="9">
        <v>270</v>
      </c>
    </row>
    <row r="55" spans="1:9" x14ac:dyDescent="0.3">
      <c r="A55" s="8" t="s">
        <v>25</v>
      </c>
      <c r="B55" s="8" t="s">
        <v>26</v>
      </c>
      <c r="C55" s="8" t="s">
        <v>27</v>
      </c>
      <c r="D55" s="8">
        <v>80</v>
      </c>
      <c r="E55" s="8" t="s">
        <v>28</v>
      </c>
      <c r="F55" t="s">
        <v>29</v>
      </c>
      <c r="G55" s="8">
        <v>5000</v>
      </c>
      <c r="H55" s="7">
        <v>46164</v>
      </c>
      <c r="I55" s="9">
        <v>270</v>
      </c>
    </row>
    <row r="56" spans="1:9" x14ac:dyDescent="0.3">
      <c r="A56" s="8" t="s">
        <v>25</v>
      </c>
      <c r="B56" s="8" t="s">
        <v>26</v>
      </c>
      <c r="C56" s="8" t="s">
        <v>27</v>
      </c>
      <c r="D56" s="8">
        <v>80</v>
      </c>
      <c r="E56" s="8" t="s">
        <v>28</v>
      </c>
      <c r="F56" t="s">
        <v>29</v>
      </c>
      <c r="G56" s="8">
        <v>5000</v>
      </c>
      <c r="H56" s="7">
        <v>46164</v>
      </c>
      <c r="I56" s="9">
        <v>270</v>
      </c>
    </row>
    <row r="57" spans="1:9" x14ac:dyDescent="0.3">
      <c r="A57" s="8" t="s">
        <v>25</v>
      </c>
      <c r="B57" s="8" t="s">
        <v>26</v>
      </c>
      <c r="C57" s="8" t="s">
        <v>27</v>
      </c>
      <c r="D57" s="8">
        <v>80</v>
      </c>
      <c r="E57" s="8" t="s">
        <v>28</v>
      </c>
      <c r="F57" t="s">
        <v>29</v>
      </c>
      <c r="G57" s="8">
        <v>5000</v>
      </c>
      <c r="H57" s="7">
        <v>46164</v>
      </c>
      <c r="I57" s="9">
        <v>270</v>
      </c>
    </row>
    <row r="58" spans="1:9" x14ac:dyDescent="0.3">
      <c r="A58" s="8" t="s">
        <v>25</v>
      </c>
      <c r="B58" s="8" t="s">
        <v>26</v>
      </c>
      <c r="C58" s="8" t="s">
        <v>27</v>
      </c>
      <c r="D58" s="8">
        <v>80</v>
      </c>
      <c r="E58" s="8" t="s">
        <v>28</v>
      </c>
      <c r="F58" t="s">
        <v>29</v>
      </c>
      <c r="G58" s="8">
        <v>5000</v>
      </c>
      <c r="H58" s="7">
        <v>46164</v>
      </c>
      <c r="I58" s="9">
        <v>270</v>
      </c>
    </row>
    <row r="59" spans="1:9" x14ac:dyDescent="0.3">
      <c r="A59" s="8" t="s">
        <v>25</v>
      </c>
      <c r="B59" s="8" t="s">
        <v>26</v>
      </c>
      <c r="C59" s="8" t="s">
        <v>27</v>
      </c>
      <c r="D59" s="8">
        <v>80</v>
      </c>
      <c r="E59" s="8" t="s">
        <v>28</v>
      </c>
      <c r="F59" t="s">
        <v>29</v>
      </c>
      <c r="G59" s="8">
        <v>5000</v>
      </c>
      <c r="H59" s="7">
        <v>46164</v>
      </c>
      <c r="I59" s="9">
        <v>270</v>
      </c>
    </row>
    <row r="60" spans="1:9" x14ac:dyDescent="0.3">
      <c r="A60" s="8" t="s">
        <v>25</v>
      </c>
      <c r="B60" s="8" t="s">
        <v>26</v>
      </c>
      <c r="C60" s="8" t="s">
        <v>27</v>
      </c>
      <c r="D60" s="8">
        <v>80</v>
      </c>
      <c r="E60" s="8" t="s">
        <v>28</v>
      </c>
      <c r="F60" t="s">
        <v>29</v>
      </c>
      <c r="G60" s="8">
        <v>5000</v>
      </c>
      <c r="H60" s="7">
        <v>46164</v>
      </c>
      <c r="I60" s="9">
        <v>270</v>
      </c>
    </row>
    <row r="61" spans="1:9" x14ac:dyDescent="0.3">
      <c r="A61" s="8" t="s">
        <v>25</v>
      </c>
      <c r="B61" s="8" t="s">
        <v>26</v>
      </c>
      <c r="C61" s="8" t="s">
        <v>27</v>
      </c>
      <c r="D61" s="8">
        <v>80</v>
      </c>
      <c r="E61" s="8" t="s">
        <v>28</v>
      </c>
      <c r="F61" t="s">
        <v>29</v>
      </c>
      <c r="G61" s="8">
        <v>5000</v>
      </c>
      <c r="H61" s="7">
        <v>46164</v>
      </c>
      <c r="I61" s="9">
        <v>270</v>
      </c>
    </row>
    <row r="62" spans="1:9" x14ac:dyDescent="0.3">
      <c r="A62" s="8" t="s">
        <v>25</v>
      </c>
      <c r="B62" s="8" t="s">
        <v>26</v>
      </c>
      <c r="C62" s="8" t="s">
        <v>27</v>
      </c>
      <c r="D62" s="8">
        <v>80</v>
      </c>
      <c r="E62" s="8" t="s">
        <v>28</v>
      </c>
      <c r="F62" t="s">
        <v>29</v>
      </c>
      <c r="G62" s="8">
        <v>5000</v>
      </c>
      <c r="H62" s="7">
        <v>46164</v>
      </c>
      <c r="I62" s="9">
        <v>270</v>
      </c>
    </row>
    <row r="63" spans="1:9" x14ac:dyDescent="0.3">
      <c r="A63" s="8" t="s">
        <v>25</v>
      </c>
      <c r="B63" s="8" t="s">
        <v>26</v>
      </c>
      <c r="C63" s="8" t="s">
        <v>27</v>
      </c>
      <c r="D63" s="8">
        <v>80</v>
      </c>
      <c r="E63" s="8" t="s">
        <v>28</v>
      </c>
      <c r="F63" t="s">
        <v>29</v>
      </c>
      <c r="G63" s="8">
        <v>5000</v>
      </c>
      <c r="H63" s="7">
        <v>46164</v>
      </c>
      <c r="I63" s="9">
        <v>270</v>
      </c>
    </row>
    <row r="64" spans="1:9" x14ac:dyDescent="0.3">
      <c r="A64" s="8" t="s">
        <v>25</v>
      </c>
      <c r="B64" s="8" t="s">
        <v>26</v>
      </c>
      <c r="C64" s="8" t="s">
        <v>27</v>
      </c>
      <c r="D64" s="8">
        <v>80</v>
      </c>
      <c r="E64" s="8" t="s">
        <v>28</v>
      </c>
      <c r="F64" t="s">
        <v>29</v>
      </c>
      <c r="G64" s="8">
        <v>5000</v>
      </c>
      <c r="H64" s="7">
        <v>46164</v>
      </c>
      <c r="I64" s="9">
        <v>270</v>
      </c>
    </row>
    <row r="65" spans="1:9" x14ac:dyDescent="0.3">
      <c r="A65" s="8" t="s">
        <v>25</v>
      </c>
      <c r="B65" s="8" t="s">
        <v>26</v>
      </c>
      <c r="C65" s="8" t="s">
        <v>27</v>
      </c>
      <c r="D65" s="8">
        <v>80</v>
      </c>
      <c r="E65" s="8" t="s">
        <v>28</v>
      </c>
      <c r="F65" t="s">
        <v>29</v>
      </c>
      <c r="G65" s="8">
        <v>5000</v>
      </c>
      <c r="H65" s="7">
        <v>46164</v>
      </c>
      <c r="I65" s="9">
        <v>270</v>
      </c>
    </row>
    <row r="66" spans="1:9" x14ac:dyDescent="0.3">
      <c r="A66" s="8" t="s">
        <v>25</v>
      </c>
      <c r="B66" s="8" t="s">
        <v>26</v>
      </c>
      <c r="C66" s="8" t="s">
        <v>27</v>
      </c>
      <c r="D66" s="8">
        <v>80</v>
      </c>
      <c r="E66" s="8" t="s">
        <v>28</v>
      </c>
      <c r="F66" t="s">
        <v>29</v>
      </c>
      <c r="G66" s="8">
        <v>5000</v>
      </c>
      <c r="H66" s="7">
        <v>46164</v>
      </c>
      <c r="I66" s="9">
        <v>270</v>
      </c>
    </row>
    <row r="67" spans="1:9" x14ac:dyDescent="0.3">
      <c r="A67" s="8" t="s">
        <v>25</v>
      </c>
      <c r="B67" s="8" t="s">
        <v>26</v>
      </c>
      <c r="C67" s="8" t="s">
        <v>27</v>
      </c>
      <c r="D67" s="8">
        <v>80</v>
      </c>
      <c r="E67" s="8" t="s">
        <v>28</v>
      </c>
      <c r="F67" t="s">
        <v>29</v>
      </c>
      <c r="G67" s="8">
        <v>5000</v>
      </c>
      <c r="H67" s="7">
        <v>46164</v>
      </c>
      <c r="I67" s="9">
        <v>270</v>
      </c>
    </row>
    <row r="68" spans="1:9" x14ac:dyDescent="0.3">
      <c r="A68" s="8" t="s">
        <v>25</v>
      </c>
      <c r="B68" s="8" t="s">
        <v>26</v>
      </c>
      <c r="C68" s="8" t="s">
        <v>27</v>
      </c>
      <c r="D68" s="8">
        <v>80</v>
      </c>
      <c r="E68" s="8" t="s">
        <v>28</v>
      </c>
      <c r="F68" t="s">
        <v>29</v>
      </c>
      <c r="G68" s="8">
        <v>5000</v>
      </c>
      <c r="H68" s="7">
        <v>46164</v>
      </c>
      <c r="I68" s="9">
        <v>270</v>
      </c>
    </row>
    <row r="69" spans="1:9" x14ac:dyDescent="0.3">
      <c r="A69" s="8" t="s">
        <v>25</v>
      </c>
      <c r="B69" s="8" t="s">
        <v>26</v>
      </c>
      <c r="C69" s="8" t="s">
        <v>27</v>
      </c>
      <c r="D69" s="8">
        <v>80</v>
      </c>
      <c r="E69" s="8" t="s">
        <v>28</v>
      </c>
      <c r="F69" t="s">
        <v>29</v>
      </c>
      <c r="G69" s="8">
        <v>5000</v>
      </c>
      <c r="H69" s="7">
        <v>46164</v>
      </c>
      <c r="I69" s="9">
        <v>270</v>
      </c>
    </row>
    <row r="70" spans="1:9" x14ac:dyDescent="0.3">
      <c r="A70" s="8" t="s">
        <v>25</v>
      </c>
      <c r="B70" s="8" t="s">
        <v>26</v>
      </c>
      <c r="C70" s="8" t="s">
        <v>27</v>
      </c>
      <c r="D70" s="8">
        <v>80</v>
      </c>
      <c r="E70" s="8" t="s">
        <v>28</v>
      </c>
      <c r="F70" t="s">
        <v>29</v>
      </c>
      <c r="G70" s="8">
        <v>5000</v>
      </c>
      <c r="H70" s="7">
        <v>46164</v>
      </c>
      <c r="I70" s="9">
        <v>270</v>
      </c>
    </row>
    <row r="71" spans="1:9" x14ac:dyDescent="0.3">
      <c r="A71" s="8" t="s">
        <v>25</v>
      </c>
      <c r="B71" s="8" t="s">
        <v>26</v>
      </c>
      <c r="C71" s="8" t="s">
        <v>27</v>
      </c>
      <c r="D71" s="8">
        <v>80</v>
      </c>
      <c r="E71" s="8" t="s">
        <v>28</v>
      </c>
      <c r="F71" t="s">
        <v>29</v>
      </c>
      <c r="G71" s="8">
        <v>5000</v>
      </c>
      <c r="H71" s="7">
        <v>46164</v>
      </c>
      <c r="I71" s="9">
        <v>270</v>
      </c>
    </row>
    <row r="72" spans="1:9" x14ac:dyDescent="0.3">
      <c r="A72" s="8" t="s">
        <v>25</v>
      </c>
      <c r="B72" s="8" t="s">
        <v>26</v>
      </c>
      <c r="C72" s="8" t="s">
        <v>27</v>
      </c>
      <c r="D72" s="8">
        <v>80</v>
      </c>
      <c r="E72" s="8" t="s">
        <v>28</v>
      </c>
      <c r="F72" t="s">
        <v>29</v>
      </c>
      <c r="G72" s="8">
        <v>5000</v>
      </c>
      <c r="H72" s="7">
        <v>46164</v>
      </c>
      <c r="I72" s="9">
        <v>270</v>
      </c>
    </row>
    <row r="73" spans="1:9" x14ac:dyDescent="0.3">
      <c r="A73" s="8" t="s">
        <v>25</v>
      </c>
      <c r="B73" s="8" t="s">
        <v>26</v>
      </c>
      <c r="C73" s="8" t="s">
        <v>27</v>
      </c>
      <c r="D73" s="8">
        <v>80</v>
      </c>
      <c r="E73" s="8" t="s">
        <v>28</v>
      </c>
      <c r="F73" t="s">
        <v>29</v>
      </c>
      <c r="G73" s="8">
        <v>5000</v>
      </c>
      <c r="H73" s="7">
        <v>46164</v>
      </c>
      <c r="I73" s="9">
        <v>270</v>
      </c>
    </row>
    <row r="74" spans="1:9" x14ac:dyDescent="0.3">
      <c r="A74" s="8" t="s">
        <v>25</v>
      </c>
      <c r="B74" s="8" t="s">
        <v>26</v>
      </c>
      <c r="C74" s="8" t="s">
        <v>27</v>
      </c>
      <c r="D74" s="8">
        <v>80</v>
      </c>
      <c r="E74" s="8" t="s">
        <v>28</v>
      </c>
      <c r="F74" t="s">
        <v>29</v>
      </c>
      <c r="G74" s="8">
        <v>5000</v>
      </c>
      <c r="H74" s="7">
        <v>46164</v>
      </c>
      <c r="I74" s="9">
        <v>270</v>
      </c>
    </row>
    <row r="75" spans="1:9" x14ac:dyDescent="0.3">
      <c r="A75" s="8" t="s">
        <v>25</v>
      </c>
      <c r="B75" s="8" t="s">
        <v>26</v>
      </c>
      <c r="C75" s="8" t="s">
        <v>27</v>
      </c>
      <c r="D75" s="8">
        <v>80</v>
      </c>
      <c r="E75" s="8" t="s">
        <v>28</v>
      </c>
      <c r="F75" t="s">
        <v>29</v>
      </c>
      <c r="G75" s="8">
        <v>5000</v>
      </c>
      <c r="H75" s="7">
        <v>46164</v>
      </c>
      <c r="I75" s="9">
        <v>270</v>
      </c>
    </row>
    <row r="76" spans="1:9" x14ac:dyDescent="0.3">
      <c r="A76" s="8" t="s">
        <v>25</v>
      </c>
      <c r="B76" s="8" t="s">
        <v>26</v>
      </c>
      <c r="C76" s="8" t="s">
        <v>27</v>
      </c>
      <c r="D76" s="8">
        <v>80</v>
      </c>
      <c r="E76" s="8" t="s">
        <v>28</v>
      </c>
      <c r="F76" t="s">
        <v>29</v>
      </c>
      <c r="G76" s="8">
        <v>5000</v>
      </c>
      <c r="H76" s="7">
        <v>46164</v>
      </c>
      <c r="I76" s="9">
        <v>270</v>
      </c>
    </row>
    <row r="77" spans="1:9" x14ac:dyDescent="0.3">
      <c r="A77" s="8" t="s">
        <v>30</v>
      </c>
      <c r="B77" s="8" t="s">
        <v>31</v>
      </c>
      <c r="C77" s="8" t="s">
        <v>27</v>
      </c>
      <c r="D77" s="8">
        <v>40</v>
      </c>
      <c r="E77" s="8" t="s">
        <v>32</v>
      </c>
      <c r="F77" t="s">
        <v>29</v>
      </c>
      <c r="G77" s="8">
        <v>5000</v>
      </c>
      <c r="H77" s="7">
        <v>46164</v>
      </c>
      <c r="I77" s="9">
        <v>270</v>
      </c>
    </row>
    <row r="78" spans="1:9" x14ac:dyDescent="0.3">
      <c r="A78" s="8" t="s">
        <v>30</v>
      </c>
      <c r="B78" s="8" t="s">
        <v>31</v>
      </c>
      <c r="C78" s="8" t="s">
        <v>27</v>
      </c>
      <c r="D78" s="8">
        <v>40</v>
      </c>
      <c r="E78" s="8" t="s">
        <v>32</v>
      </c>
      <c r="F78" t="s">
        <v>29</v>
      </c>
      <c r="G78" s="8">
        <v>5000</v>
      </c>
      <c r="H78" s="7">
        <v>46164</v>
      </c>
      <c r="I78" s="9">
        <v>270</v>
      </c>
    </row>
    <row r="79" spans="1:9" x14ac:dyDescent="0.3">
      <c r="A79" s="8" t="s">
        <v>30</v>
      </c>
      <c r="B79" s="8" t="s">
        <v>31</v>
      </c>
      <c r="C79" s="8" t="s">
        <v>27</v>
      </c>
      <c r="D79" s="8">
        <v>40</v>
      </c>
      <c r="E79" s="8" t="s">
        <v>32</v>
      </c>
      <c r="F79" t="s">
        <v>29</v>
      </c>
      <c r="G79" s="8">
        <v>5000</v>
      </c>
      <c r="H79" s="7">
        <v>46164</v>
      </c>
      <c r="I79" s="9">
        <v>270</v>
      </c>
    </row>
    <row r="80" spans="1:9" x14ac:dyDescent="0.3">
      <c r="A80" s="8" t="s">
        <v>30</v>
      </c>
      <c r="B80" s="8" t="s">
        <v>31</v>
      </c>
      <c r="C80" s="8" t="s">
        <v>27</v>
      </c>
      <c r="D80" s="8">
        <v>40</v>
      </c>
      <c r="E80" s="8" t="s">
        <v>32</v>
      </c>
      <c r="F80" t="s">
        <v>29</v>
      </c>
      <c r="G80" s="8">
        <v>5000</v>
      </c>
      <c r="H80" s="7">
        <v>46164</v>
      </c>
      <c r="I80" s="9">
        <v>270</v>
      </c>
    </row>
    <row r="81" spans="1:9" x14ac:dyDescent="0.3">
      <c r="A81" s="8" t="s">
        <v>30</v>
      </c>
      <c r="B81" s="8" t="s">
        <v>31</v>
      </c>
      <c r="C81" s="8" t="s">
        <v>27</v>
      </c>
      <c r="D81" s="8">
        <v>40</v>
      </c>
      <c r="E81" s="8" t="s">
        <v>32</v>
      </c>
      <c r="F81" t="s">
        <v>29</v>
      </c>
      <c r="G81" s="8">
        <v>5000</v>
      </c>
      <c r="H81" s="7">
        <v>46164</v>
      </c>
      <c r="I81" s="9">
        <v>270</v>
      </c>
    </row>
    <row r="82" spans="1:9" x14ac:dyDescent="0.3">
      <c r="A82" s="8" t="s">
        <v>30</v>
      </c>
      <c r="B82" s="8" t="s">
        <v>31</v>
      </c>
      <c r="C82" s="8" t="s">
        <v>27</v>
      </c>
      <c r="D82" s="8">
        <v>40</v>
      </c>
      <c r="E82" s="8" t="s">
        <v>32</v>
      </c>
      <c r="F82" t="s">
        <v>29</v>
      </c>
      <c r="G82" s="8">
        <v>5000</v>
      </c>
      <c r="H82" s="7">
        <v>46164</v>
      </c>
      <c r="I82" s="9">
        <v>270</v>
      </c>
    </row>
    <row r="83" spans="1:9" x14ac:dyDescent="0.3">
      <c r="A83" s="8" t="s">
        <v>30</v>
      </c>
      <c r="B83" s="8" t="s">
        <v>31</v>
      </c>
      <c r="C83" s="8" t="s">
        <v>27</v>
      </c>
      <c r="D83" s="8">
        <v>40</v>
      </c>
      <c r="E83" s="8" t="s">
        <v>32</v>
      </c>
      <c r="F83" t="s">
        <v>29</v>
      </c>
      <c r="G83" s="8">
        <v>5000</v>
      </c>
      <c r="H83" s="7">
        <v>46164</v>
      </c>
      <c r="I83" s="9">
        <v>270</v>
      </c>
    </row>
    <row r="84" spans="1:9" x14ac:dyDescent="0.3">
      <c r="A84" s="8" t="s">
        <v>30</v>
      </c>
      <c r="B84" s="8" t="s">
        <v>31</v>
      </c>
      <c r="C84" s="8" t="s">
        <v>27</v>
      </c>
      <c r="D84" s="8">
        <v>40</v>
      </c>
      <c r="E84" s="8" t="s">
        <v>32</v>
      </c>
      <c r="F84" t="s">
        <v>29</v>
      </c>
      <c r="G84" s="8">
        <v>5000</v>
      </c>
      <c r="H84" s="7">
        <v>46164</v>
      </c>
      <c r="I84" s="9">
        <v>270</v>
      </c>
    </row>
    <row r="85" spans="1:9" x14ac:dyDescent="0.3">
      <c r="A85" s="8" t="s">
        <v>30</v>
      </c>
      <c r="B85" s="8" t="s">
        <v>31</v>
      </c>
      <c r="C85" s="8" t="s">
        <v>27</v>
      </c>
      <c r="D85" s="8">
        <v>40</v>
      </c>
      <c r="E85" s="8" t="s">
        <v>32</v>
      </c>
      <c r="F85" t="s">
        <v>29</v>
      </c>
      <c r="G85" s="8">
        <v>5000</v>
      </c>
      <c r="H85" s="7">
        <v>46164</v>
      </c>
      <c r="I85" s="9">
        <v>270</v>
      </c>
    </row>
    <row r="86" spans="1:9" x14ac:dyDescent="0.3">
      <c r="A86" s="8" t="s">
        <v>30</v>
      </c>
      <c r="B86" s="8" t="s">
        <v>31</v>
      </c>
      <c r="C86" s="8" t="s">
        <v>27</v>
      </c>
      <c r="D86" s="8">
        <v>40</v>
      </c>
      <c r="E86" s="8" t="s">
        <v>32</v>
      </c>
      <c r="F86" t="s">
        <v>29</v>
      </c>
      <c r="G86" s="8">
        <v>5000</v>
      </c>
      <c r="H86" s="7">
        <v>46164</v>
      </c>
      <c r="I86" s="9">
        <v>270</v>
      </c>
    </row>
    <row r="87" spans="1:9" x14ac:dyDescent="0.3">
      <c r="A87" s="8" t="s">
        <v>30</v>
      </c>
      <c r="B87" s="8" t="s">
        <v>31</v>
      </c>
      <c r="C87" s="8" t="s">
        <v>27</v>
      </c>
      <c r="D87" s="8">
        <v>40</v>
      </c>
      <c r="E87" s="8" t="s">
        <v>32</v>
      </c>
      <c r="F87" t="s">
        <v>29</v>
      </c>
      <c r="G87" s="8">
        <v>5000</v>
      </c>
      <c r="H87" s="7">
        <v>46164</v>
      </c>
      <c r="I87" s="9">
        <v>270</v>
      </c>
    </row>
    <row r="88" spans="1:9" x14ac:dyDescent="0.3">
      <c r="A88" s="8" t="s">
        <v>30</v>
      </c>
      <c r="B88" s="8" t="s">
        <v>31</v>
      </c>
      <c r="C88" s="8" t="s">
        <v>27</v>
      </c>
      <c r="D88" s="8">
        <v>40</v>
      </c>
      <c r="E88" s="8" t="s">
        <v>32</v>
      </c>
      <c r="F88" t="s">
        <v>29</v>
      </c>
      <c r="G88" s="8">
        <v>5000</v>
      </c>
      <c r="H88" s="7">
        <v>46164</v>
      </c>
      <c r="I88" s="9">
        <v>270</v>
      </c>
    </row>
    <row r="89" spans="1:9" x14ac:dyDescent="0.3">
      <c r="A89" s="8" t="s">
        <v>30</v>
      </c>
      <c r="B89" s="8" t="s">
        <v>31</v>
      </c>
      <c r="C89" s="8" t="s">
        <v>27</v>
      </c>
      <c r="D89" s="8">
        <v>40</v>
      </c>
      <c r="E89" s="8" t="s">
        <v>32</v>
      </c>
      <c r="F89" t="s">
        <v>29</v>
      </c>
      <c r="G89" s="8">
        <v>5000</v>
      </c>
      <c r="H89" s="7">
        <v>46164</v>
      </c>
      <c r="I89" s="9">
        <v>270</v>
      </c>
    </row>
    <row r="90" spans="1:9" x14ac:dyDescent="0.3">
      <c r="A90" s="8" t="s">
        <v>30</v>
      </c>
      <c r="B90" s="8" t="s">
        <v>31</v>
      </c>
      <c r="C90" s="8" t="s">
        <v>27</v>
      </c>
      <c r="D90" s="8">
        <v>40</v>
      </c>
      <c r="E90" s="8" t="s">
        <v>32</v>
      </c>
      <c r="F90" t="s">
        <v>29</v>
      </c>
      <c r="G90" s="8">
        <v>5000</v>
      </c>
      <c r="H90" s="7">
        <v>46164</v>
      </c>
      <c r="I90" s="9">
        <v>270</v>
      </c>
    </row>
    <row r="91" spans="1:9" x14ac:dyDescent="0.3">
      <c r="A91" s="8" t="s">
        <v>30</v>
      </c>
      <c r="B91" s="8" t="s">
        <v>31</v>
      </c>
      <c r="C91" s="8" t="s">
        <v>27</v>
      </c>
      <c r="D91" s="8">
        <v>40</v>
      </c>
      <c r="E91" s="8" t="s">
        <v>32</v>
      </c>
      <c r="F91" t="s">
        <v>29</v>
      </c>
      <c r="G91" s="8">
        <v>5000</v>
      </c>
      <c r="H91" s="7">
        <v>46164</v>
      </c>
      <c r="I91" s="9">
        <v>270</v>
      </c>
    </row>
    <row r="92" spans="1:9" x14ac:dyDescent="0.3">
      <c r="A92" s="8" t="s">
        <v>30</v>
      </c>
      <c r="B92" s="8" t="s">
        <v>31</v>
      </c>
      <c r="C92" s="8" t="s">
        <v>27</v>
      </c>
      <c r="D92" s="8">
        <v>40</v>
      </c>
      <c r="E92" s="8" t="s">
        <v>32</v>
      </c>
      <c r="F92" t="s">
        <v>29</v>
      </c>
      <c r="G92" s="8">
        <v>5000</v>
      </c>
      <c r="H92" s="7">
        <v>46164</v>
      </c>
      <c r="I92" s="9">
        <v>270</v>
      </c>
    </row>
    <row r="93" spans="1:9" x14ac:dyDescent="0.3">
      <c r="A93" s="8" t="s">
        <v>30</v>
      </c>
      <c r="B93" s="8" t="s">
        <v>31</v>
      </c>
      <c r="C93" s="8" t="s">
        <v>27</v>
      </c>
      <c r="D93" s="8">
        <v>40</v>
      </c>
      <c r="E93" s="8" t="s">
        <v>32</v>
      </c>
      <c r="F93" t="s">
        <v>29</v>
      </c>
      <c r="G93" s="8">
        <v>5000</v>
      </c>
      <c r="H93" s="7">
        <v>46164</v>
      </c>
      <c r="I93" s="9">
        <v>270</v>
      </c>
    </row>
    <row r="94" spans="1:9" x14ac:dyDescent="0.3">
      <c r="A94" s="8" t="s">
        <v>30</v>
      </c>
      <c r="B94" s="8" t="s">
        <v>31</v>
      </c>
      <c r="C94" s="8" t="s">
        <v>27</v>
      </c>
      <c r="D94" s="8">
        <v>40</v>
      </c>
      <c r="E94" s="8" t="s">
        <v>32</v>
      </c>
      <c r="F94" t="s">
        <v>29</v>
      </c>
      <c r="G94" s="8">
        <v>5000</v>
      </c>
      <c r="H94" s="7">
        <v>46164</v>
      </c>
      <c r="I94" s="9">
        <v>270</v>
      </c>
    </row>
    <row r="95" spans="1:9" x14ac:dyDescent="0.3">
      <c r="A95" s="8" t="s">
        <v>30</v>
      </c>
      <c r="B95" s="8" t="s">
        <v>31</v>
      </c>
      <c r="C95" s="8" t="s">
        <v>27</v>
      </c>
      <c r="D95" s="8">
        <v>40</v>
      </c>
      <c r="E95" s="8" t="s">
        <v>32</v>
      </c>
      <c r="F95" t="s">
        <v>29</v>
      </c>
      <c r="G95" s="8">
        <v>5000</v>
      </c>
      <c r="H95" s="7">
        <v>46164</v>
      </c>
      <c r="I95" s="9">
        <v>270</v>
      </c>
    </row>
    <row r="96" spans="1:9" x14ac:dyDescent="0.3">
      <c r="A96" s="8" t="s">
        <v>30</v>
      </c>
      <c r="B96" s="8" t="s">
        <v>31</v>
      </c>
      <c r="C96" s="8" t="s">
        <v>27</v>
      </c>
      <c r="D96" s="8">
        <v>40</v>
      </c>
      <c r="E96" s="8" t="s">
        <v>32</v>
      </c>
      <c r="F96" t="s">
        <v>29</v>
      </c>
      <c r="G96" s="8">
        <v>5000</v>
      </c>
      <c r="H96" s="7">
        <v>46164</v>
      </c>
      <c r="I96" s="9">
        <v>270</v>
      </c>
    </row>
    <row r="97" spans="1:9" x14ac:dyDescent="0.3">
      <c r="A97" s="8" t="s">
        <v>30</v>
      </c>
      <c r="B97" s="8" t="s">
        <v>31</v>
      </c>
      <c r="C97" s="8" t="s">
        <v>27</v>
      </c>
      <c r="D97" s="8">
        <v>40</v>
      </c>
      <c r="E97" s="8" t="s">
        <v>32</v>
      </c>
      <c r="F97" t="s">
        <v>29</v>
      </c>
      <c r="G97" s="8">
        <v>5000</v>
      </c>
      <c r="H97" s="7">
        <v>46164</v>
      </c>
      <c r="I97" s="9">
        <v>270</v>
      </c>
    </row>
    <row r="98" spans="1:9" x14ac:dyDescent="0.3">
      <c r="A98" s="8" t="s">
        <v>30</v>
      </c>
      <c r="B98" s="8" t="s">
        <v>31</v>
      </c>
      <c r="C98" s="8" t="s">
        <v>27</v>
      </c>
      <c r="D98" s="8">
        <v>40</v>
      </c>
      <c r="E98" s="8" t="s">
        <v>32</v>
      </c>
      <c r="F98" t="s">
        <v>29</v>
      </c>
      <c r="G98" s="8">
        <v>5000</v>
      </c>
      <c r="H98" s="7">
        <v>46164</v>
      </c>
      <c r="I98" s="9">
        <v>270</v>
      </c>
    </row>
    <row r="99" spans="1:9" x14ac:dyDescent="0.3">
      <c r="A99" s="8" t="s">
        <v>30</v>
      </c>
      <c r="B99" s="8" t="s">
        <v>31</v>
      </c>
      <c r="C99" s="8" t="s">
        <v>27</v>
      </c>
      <c r="D99" s="8">
        <v>40</v>
      </c>
      <c r="E99" s="8" t="s">
        <v>32</v>
      </c>
      <c r="F99" t="s">
        <v>29</v>
      </c>
      <c r="G99" s="8">
        <v>5000</v>
      </c>
      <c r="H99" s="7">
        <v>46164</v>
      </c>
      <c r="I99" s="9">
        <v>270</v>
      </c>
    </row>
    <row r="100" spans="1:9" x14ac:dyDescent="0.3">
      <c r="A100" s="8" t="s">
        <v>30</v>
      </c>
      <c r="B100" s="8" t="s">
        <v>31</v>
      </c>
      <c r="C100" s="8" t="s">
        <v>27</v>
      </c>
      <c r="D100" s="8">
        <v>40</v>
      </c>
      <c r="E100" s="8" t="s">
        <v>32</v>
      </c>
      <c r="F100" t="s">
        <v>29</v>
      </c>
      <c r="G100" s="8">
        <v>5000</v>
      </c>
      <c r="H100" s="7">
        <v>46164</v>
      </c>
      <c r="I100" s="9">
        <v>270</v>
      </c>
    </row>
    <row r="101" spans="1:9" x14ac:dyDescent="0.3">
      <c r="A101" s="8" t="s">
        <v>30</v>
      </c>
      <c r="B101" s="8" t="s">
        <v>31</v>
      </c>
      <c r="C101" s="8" t="s">
        <v>27</v>
      </c>
      <c r="D101" s="8">
        <v>40</v>
      </c>
      <c r="E101" s="8" t="s">
        <v>32</v>
      </c>
      <c r="F101" t="s">
        <v>29</v>
      </c>
      <c r="G101" s="8">
        <v>5000</v>
      </c>
      <c r="H101" s="7">
        <v>46164</v>
      </c>
      <c r="I101" s="9">
        <v>270</v>
      </c>
    </row>
    <row r="102" spans="1:9" x14ac:dyDescent="0.3">
      <c r="A102" s="8" t="s">
        <v>30</v>
      </c>
      <c r="B102" s="8" t="s">
        <v>31</v>
      </c>
      <c r="C102" s="8" t="s">
        <v>27</v>
      </c>
      <c r="D102" s="8">
        <v>40</v>
      </c>
      <c r="E102" s="8" t="s">
        <v>32</v>
      </c>
      <c r="F102" t="s">
        <v>29</v>
      </c>
      <c r="G102" s="8">
        <v>5000</v>
      </c>
      <c r="H102" s="7">
        <v>46164</v>
      </c>
      <c r="I102" s="9">
        <v>270</v>
      </c>
    </row>
    <row r="103" spans="1:9" x14ac:dyDescent="0.3">
      <c r="A103" s="8" t="s">
        <v>30</v>
      </c>
      <c r="B103" s="8" t="s">
        <v>31</v>
      </c>
      <c r="C103" s="8" t="s">
        <v>27</v>
      </c>
      <c r="D103" s="8">
        <v>40</v>
      </c>
      <c r="E103" s="8" t="s">
        <v>32</v>
      </c>
      <c r="F103" t="s">
        <v>29</v>
      </c>
      <c r="G103" s="8">
        <v>5000</v>
      </c>
      <c r="H103" s="7">
        <v>46164</v>
      </c>
      <c r="I103" s="9">
        <v>270</v>
      </c>
    </row>
    <row r="104" spans="1:9" x14ac:dyDescent="0.3">
      <c r="A104" s="8" t="s">
        <v>30</v>
      </c>
      <c r="B104" s="8" t="s">
        <v>31</v>
      </c>
      <c r="C104" s="8" t="s">
        <v>27</v>
      </c>
      <c r="D104" s="8">
        <v>40</v>
      </c>
      <c r="E104" s="8" t="s">
        <v>32</v>
      </c>
      <c r="F104" t="s">
        <v>29</v>
      </c>
      <c r="G104" s="8">
        <v>5000</v>
      </c>
      <c r="H104" s="7">
        <v>46164</v>
      </c>
      <c r="I104" s="9">
        <v>270</v>
      </c>
    </row>
    <row r="105" spans="1:9" x14ac:dyDescent="0.3">
      <c r="A105" s="8" t="s">
        <v>30</v>
      </c>
      <c r="B105" s="8" t="s">
        <v>31</v>
      </c>
      <c r="C105" s="8" t="s">
        <v>27</v>
      </c>
      <c r="D105" s="8">
        <v>40</v>
      </c>
      <c r="E105" s="8" t="s">
        <v>32</v>
      </c>
      <c r="F105" t="s">
        <v>29</v>
      </c>
      <c r="G105" s="8">
        <v>5000</v>
      </c>
      <c r="H105" s="7">
        <v>46164</v>
      </c>
      <c r="I105" s="9">
        <v>270</v>
      </c>
    </row>
    <row r="106" spans="1:9" x14ac:dyDescent="0.3">
      <c r="A106" s="8" t="s">
        <v>30</v>
      </c>
      <c r="B106" s="8" t="s">
        <v>31</v>
      </c>
      <c r="C106" s="8" t="s">
        <v>27</v>
      </c>
      <c r="D106" s="8">
        <v>40</v>
      </c>
      <c r="E106" s="8" t="s">
        <v>32</v>
      </c>
      <c r="F106" t="s">
        <v>29</v>
      </c>
      <c r="G106" s="8">
        <v>5000</v>
      </c>
      <c r="H106" s="7">
        <v>46164</v>
      </c>
      <c r="I106" s="9">
        <v>270</v>
      </c>
    </row>
    <row r="107" spans="1:9" x14ac:dyDescent="0.3">
      <c r="A107" s="8" t="s">
        <v>30</v>
      </c>
      <c r="B107" s="8" t="s">
        <v>31</v>
      </c>
      <c r="C107" s="8" t="s">
        <v>27</v>
      </c>
      <c r="D107" s="8">
        <v>40</v>
      </c>
      <c r="E107" s="8" t="s">
        <v>32</v>
      </c>
      <c r="F107" t="s">
        <v>29</v>
      </c>
      <c r="G107" s="8">
        <v>5000</v>
      </c>
      <c r="H107" s="7">
        <v>46164</v>
      </c>
      <c r="I107" s="9">
        <v>270</v>
      </c>
    </row>
    <row r="108" spans="1:9" x14ac:dyDescent="0.3">
      <c r="A108" s="8" t="s">
        <v>30</v>
      </c>
      <c r="B108" s="8" t="s">
        <v>31</v>
      </c>
      <c r="C108" s="8" t="s">
        <v>27</v>
      </c>
      <c r="D108" s="8">
        <v>40</v>
      </c>
      <c r="E108" s="8" t="s">
        <v>32</v>
      </c>
      <c r="F108" t="s">
        <v>29</v>
      </c>
      <c r="G108" s="8">
        <v>5000</v>
      </c>
      <c r="H108" s="7">
        <v>46164</v>
      </c>
      <c r="I108" s="9">
        <v>270</v>
      </c>
    </row>
    <row r="109" spans="1:9" x14ac:dyDescent="0.3">
      <c r="A109" s="8" t="s">
        <v>30</v>
      </c>
      <c r="B109" s="8" t="s">
        <v>31</v>
      </c>
      <c r="C109" s="8" t="s">
        <v>27</v>
      </c>
      <c r="D109" s="8">
        <v>40</v>
      </c>
      <c r="E109" s="8" t="s">
        <v>32</v>
      </c>
      <c r="F109" t="s">
        <v>29</v>
      </c>
      <c r="G109" s="8">
        <v>5000</v>
      </c>
      <c r="H109" s="7">
        <v>46164</v>
      </c>
      <c r="I109" s="9">
        <v>270</v>
      </c>
    </row>
    <row r="110" spans="1:9" x14ac:dyDescent="0.3">
      <c r="A110" s="8" t="s">
        <v>30</v>
      </c>
      <c r="B110" s="8" t="s">
        <v>31</v>
      </c>
      <c r="C110" s="8" t="s">
        <v>27</v>
      </c>
      <c r="D110" s="8">
        <v>40</v>
      </c>
      <c r="E110" s="8" t="s">
        <v>32</v>
      </c>
      <c r="F110" t="s">
        <v>29</v>
      </c>
      <c r="G110" s="8">
        <v>5000</v>
      </c>
      <c r="H110" s="7">
        <v>46164</v>
      </c>
      <c r="I110" s="9">
        <v>270</v>
      </c>
    </row>
    <row r="111" spans="1:9" x14ac:dyDescent="0.3">
      <c r="A111" s="8" t="s">
        <v>30</v>
      </c>
      <c r="B111" s="8" t="s">
        <v>31</v>
      </c>
      <c r="C111" s="8" t="s">
        <v>27</v>
      </c>
      <c r="D111" s="8">
        <v>40</v>
      </c>
      <c r="E111" s="8" t="s">
        <v>32</v>
      </c>
      <c r="F111" t="s">
        <v>29</v>
      </c>
      <c r="G111" s="8">
        <v>5000</v>
      </c>
      <c r="H111" s="7">
        <v>46164</v>
      </c>
      <c r="I111" s="9">
        <v>270</v>
      </c>
    </row>
    <row r="112" spans="1:9" x14ac:dyDescent="0.3">
      <c r="A112" s="8" t="s">
        <v>30</v>
      </c>
      <c r="B112" s="8" t="s">
        <v>31</v>
      </c>
      <c r="C112" s="8" t="s">
        <v>27</v>
      </c>
      <c r="D112" s="8">
        <v>40</v>
      </c>
      <c r="E112" s="8" t="s">
        <v>32</v>
      </c>
      <c r="F112" t="s">
        <v>29</v>
      </c>
      <c r="G112" s="8">
        <v>5000</v>
      </c>
      <c r="H112" s="7">
        <v>46164</v>
      </c>
      <c r="I112" s="9">
        <v>270</v>
      </c>
    </row>
    <row r="113" spans="1:9" x14ac:dyDescent="0.3">
      <c r="A113" s="8" t="s">
        <v>30</v>
      </c>
      <c r="B113" s="8" t="s">
        <v>31</v>
      </c>
      <c r="C113" s="8" t="s">
        <v>27</v>
      </c>
      <c r="D113" s="8">
        <v>40</v>
      </c>
      <c r="E113" s="8" t="s">
        <v>32</v>
      </c>
      <c r="F113" t="s">
        <v>29</v>
      </c>
      <c r="G113" s="8">
        <v>5000</v>
      </c>
      <c r="H113" s="7">
        <v>46164</v>
      </c>
      <c r="I113" s="9">
        <v>270</v>
      </c>
    </row>
    <row r="114" spans="1:9" x14ac:dyDescent="0.3">
      <c r="A114" s="8" t="s">
        <v>18</v>
      </c>
      <c r="B114" s="8" t="s">
        <v>19</v>
      </c>
      <c r="C114" s="8" t="s">
        <v>20</v>
      </c>
      <c r="D114" s="8">
        <v>30</v>
      </c>
      <c r="E114" s="8" t="s">
        <v>21</v>
      </c>
      <c r="F114" t="s">
        <v>13</v>
      </c>
      <c r="G114" s="8">
        <v>3000</v>
      </c>
      <c r="H114" s="7">
        <v>46164</v>
      </c>
      <c r="I114" s="9">
        <v>698</v>
      </c>
    </row>
    <row r="115" spans="1:9" x14ac:dyDescent="0.3">
      <c r="A115" s="8" t="s">
        <v>9</v>
      </c>
      <c r="B115" s="8" t="s">
        <v>10</v>
      </c>
      <c r="C115" s="8" t="s">
        <v>11</v>
      </c>
      <c r="D115" s="8">
        <v>90</v>
      </c>
      <c r="E115" s="8" t="s">
        <v>12</v>
      </c>
      <c r="F115" t="s">
        <v>13</v>
      </c>
      <c r="G115" s="8">
        <v>3000</v>
      </c>
      <c r="H115" s="7">
        <v>46164</v>
      </c>
      <c r="I115" s="9">
        <v>3802</v>
      </c>
    </row>
    <row r="116" spans="1:9" x14ac:dyDescent="0.3">
      <c r="A116" s="8" t="s">
        <v>14</v>
      </c>
      <c r="B116" s="8" t="s">
        <v>15</v>
      </c>
      <c r="C116" s="8" t="s">
        <v>11</v>
      </c>
      <c r="D116" s="8">
        <v>105</v>
      </c>
      <c r="E116" s="8" t="s">
        <v>16</v>
      </c>
      <c r="F116" t="s">
        <v>17</v>
      </c>
      <c r="G116" s="9">
        <v>15000</v>
      </c>
      <c r="H116" s="7">
        <v>46171</v>
      </c>
      <c r="I116" s="9">
        <v>11000</v>
      </c>
    </row>
    <row r="117" spans="1:9" x14ac:dyDescent="0.3">
      <c r="A117" s="8" t="s">
        <v>22</v>
      </c>
      <c r="B117" s="8" t="s">
        <v>23</v>
      </c>
      <c r="C117" s="8" t="s">
        <v>11</v>
      </c>
      <c r="D117" s="8">
        <v>55</v>
      </c>
      <c r="E117" s="8" t="s">
        <v>24</v>
      </c>
      <c r="F117" t="s">
        <v>17</v>
      </c>
      <c r="G117" s="9">
        <v>15000</v>
      </c>
      <c r="H117" s="7">
        <v>46171</v>
      </c>
      <c r="I117" s="9">
        <v>2771</v>
      </c>
    </row>
    <row r="118" spans="1:9" x14ac:dyDescent="0.3">
      <c r="A118" s="8" t="s">
        <v>22</v>
      </c>
      <c r="B118" s="8" t="s">
        <v>23</v>
      </c>
      <c r="C118" s="8" t="s">
        <v>11</v>
      </c>
      <c r="D118" s="8">
        <v>55</v>
      </c>
      <c r="E118" s="8" t="s">
        <v>24</v>
      </c>
      <c r="F118" t="s">
        <v>17</v>
      </c>
      <c r="G118" s="9">
        <v>15000</v>
      </c>
      <c r="H118" s="7">
        <v>46171</v>
      </c>
      <c r="I118" s="9">
        <v>552</v>
      </c>
    </row>
    <row r="119" spans="1:9" x14ac:dyDescent="0.3">
      <c r="A119" s="8" t="s">
        <v>22</v>
      </c>
      <c r="B119" s="8" t="s">
        <v>23</v>
      </c>
      <c r="C119" s="8" t="s">
        <v>11</v>
      </c>
      <c r="D119" s="8">
        <v>55</v>
      </c>
      <c r="E119" s="8" t="s">
        <v>24</v>
      </c>
      <c r="F119" t="s">
        <v>17</v>
      </c>
      <c r="G119" s="9">
        <v>15000</v>
      </c>
      <c r="H119" s="7">
        <v>46171</v>
      </c>
      <c r="I119" s="9">
        <v>2771</v>
      </c>
    </row>
    <row r="120" spans="1:9" x14ac:dyDescent="0.3">
      <c r="A120" s="8" t="s">
        <v>22</v>
      </c>
      <c r="B120" s="8" t="s">
        <v>23</v>
      </c>
      <c r="C120" s="8" t="s">
        <v>11</v>
      </c>
      <c r="D120" s="8">
        <v>55</v>
      </c>
      <c r="E120" s="8" t="s">
        <v>24</v>
      </c>
      <c r="F120" t="s">
        <v>17</v>
      </c>
      <c r="G120" s="9">
        <v>15000</v>
      </c>
      <c r="H120" s="7">
        <v>46171</v>
      </c>
      <c r="I120" s="9">
        <v>2771</v>
      </c>
    </row>
    <row r="121" spans="1:9" x14ac:dyDescent="0.3">
      <c r="A121" s="8" t="s">
        <v>25</v>
      </c>
      <c r="B121" s="8" t="s">
        <v>26</v>
      </c>
      <c r="C121" s="8" t="s">
        <v>27</v>
      </c>
      <c r="D121" s="8">
        <v>80</v>
      </c>
      <c r="E121" s="8" t="s">
        <v>28</v>
      </c>
      <c r="F121" t="s">
        <v>29</v>
      </c>
      <c r="G121" s="8">
        <v>5000</v>
      </c>
      <c r="H121" s="7">
        <v>46171</v>
      </c>
      <c r="I121" s="9">
        <v>267</v>
      </c>
    </row>
    <row r="122" spans="1:9" x14ac:dyDescent="0.3">
      <c r="A122" s="8" t="s">
        <v>25</v>
      </c>
      <c r="B122" s="8" t="s">
        <v>26</v>
      </c>
      <c r="C122" s="8" t="s">
        <v>27</v>
      </c>
      <c r="D122" s="8">
        <v>80</v>
      </c>
      <c r="E122" s="8" t="s">
        <v>28</v>
      </c>
      <c r="F122" t="s">
        <v>29</v>
      </c>
      <c r="G122" s="8">
        <v>5000</v>
      </c>
      <c r="H122" s="7">
        <v>46171</v>
      </c>
      <c r="I122" s="9">
        <v>178</v>
      </c>
    </row>
    <row r="123" spans="1:9" x14ac:dyDescent="0.3">
      <c r="A123" s="8" t="s">
        <v>25</v>
      </c>
      <c r="B123" s="8" t="s">
        <v>26</v>
      </c>
      <c r="C123" s="8" t="s">
        <v>27</v>
      </c>
      <c r="D123" s="8">
        <v>80</v>
      </c>
      <c r="E123" s="8" t="s">
        <v>28</v>
      </c>
      <c r="F123" t="s">
        <v>29</v>
      </c>
      <c r="G123" s="8">
        <v>5000</v>
      </c>
      <c r="H123" s="7">
        <v>46171</v>
      </c>
      <c r="I123" s="9">
        <v>270</v>
      </c>
    </row>
    <row r="124" spans="1:9" x14ac:dyDescent="0.3">
      <c r="A124" s="8" t="s">
        <v>25</v>
      </c>
      <c r="B124" s="8" t="s">
        <v>26</v>
      </c>
      <c r="C124" s="8" t="s">
        <v>27</v>
      </c>
      <c r="D124" s="8">
        <v>80</v>
      </c>
      <c r="E124" s="8" t="s">
        <v>28</v>
      </c>
      <c r="F124" t="s">
        <v>29</v>
      </c>
      <c r="G124" s="8">
        <v>5000</v>
      </c>
      <c r="H124" s="7">
        <v>46171</v>
      </c>
      <c r="I124" s="9">
        <v>270</v>
      </c>
    </row>
    <row r="125" spans="1:9" x14ac:dyDescent="0.3">
      <c r="A125" s="8" t="s">
        <v>25</v>
      </c>
      <c r="B125" s="8" t="s">
        <v>26</v>
      </c>
      <c r="C125" s="8" t="s">
        <v>27</v>
      </c>
      <c r="D125" s="8">
        <v>80</v>
      </c>
      <c r="E125" s="8" t="s">
        <v>28</v>
      </c>
      <c r="F125" t="s">
        <v>29</v>
      </c>
      <c r="G125" s="8">
        <v>5000</v>
      </c>
      <c r="H125" s="7">
        <v>46171</v>
      </c>
      <c r="I125" s="9">
        <v>270</v>
      </c>
    </row>
    <row r="126" spans="1:9" x14ac:dyDescent="0.3">
      <c r="A126" s="8" t="s">
        <v>25</v>
      </c>
      <c r="B126" s="8" t="s">
        <v>26</v>
      </c>
      <c r="C126" s="8" t="s">
        <v>27</v>
      </c>
      <c r="D126" s="8">
        <v>80</v>
      </c>
      <c r="E126" s="8" t="s">
        <v>28</v>
      </c>
      <c r="F126" t="s">
        <v>29</v>
      </c>
      <c r="G126" s="8">
        <v>5000</v>
      </c>
      <c r="H126" s="7">
        <v>46171</v>
      </c>
      <c r="I126" s="9">
        <v>270</v>
      </c>
    </row>
    <row r="127" spans="1:9" x14ac:dyDescent="0.3">
      <c r="A127" s="8" t="s">
        <v>25</v>
      </c>
      <c r="B127" s="8" t="s">
        <v>26</v>
      </c>
      <c r="C127" s="8" t="s">
        <v>27</v>
      </c>
      <c r="D127" s="8">
        <v>80</v>
      </c>
      <c r="E127" s="8" t="s">
        <v>28</v>
      </c>
      <c r="F127" t="s">
        <v>29</v>
      </c>
      <c r="G127" s="8">
        <v>5000</v>
      </c>
      <c r="H127" s="7">
        <v>46171</v>
      </c>
      <c r="I127" s="9">
        <v>270</v>
      </c>
    </row>
    <row r="128" spans="1:9" x14ac:dyDescent="0.3">
      <c r="A128" s="8" t="s">
        <v>25</v>
      </c>
      <c r="B128" s="8" t="s">
        <v>26</v>
      </c>
      <c r="C128" s="8" t="s">
        <v>27</v>
      </c>
      <c r="D128" s="8">
        <v>80</v>
      </c>
      <c r="E128" s="8" t="s">
        <v>28</v>
      </c>
      <c r="F128" t="s">
        <v>29</v>
      </c>
      <c r="G128" s="8">
        <v>5000</v>
      </c>
      <c r="H128" s="7">
        <v>46171</v>
      </c>
      <c r="I128" s="9">
        <v>270</v>
      </c>
    </row>
    <row r="129" spans="1:9" x14ac:dyDescent="0.3">
      <c r="A129" s="8" t="s">
        <v>25</v>
      </c>
      <c r="B129" s="8" t="s">
        <v>26</v>
      </c>
      <c r="C129" s="8" t="s">
        <v>27</v>
      </c>
      <c r="D129" s="8">
        <v>80</v>
      </c>
      <c r="E129" s="8" t="s">
        <v>28</v>
      </c>
      <c r="F129" t="s">
        <v>29</v>
      </c>
      <c r="G129" s="8">
        <v>5000</v>
      </c>
      <c r="H129" s="7">
        <v>46171</v>
      </c>
      <c r="I129" s="9">
        <v>162</v>
      </c>
    </row>
    <row r="130" spans="1:9" x14ac:dyDescent="0.3">
      <c r="A130" s="8" t="s">
        <v>25</v>
      </c>
      <c r="B130" s="8" t="s">
        <v>26</v>
      </c>
      <c r="C130" s="8" t="s">
        <v>27</v>
      </c>
      <c r="D130" s="8">
        <v>80</v>
      </c>
      <c r="E130" s="8" t="s">
        <v>28</v>
      </c>
      <c r="F130" t="s">
        <v>29</v>
      </c>
      <c r="G130" s="8">
        <v>5000</v>
      </c>
      <c r="H130" s="7">
        <v>46171</v>
      </c>
      <c r="I130" s="9">
        <v>210</v>
      </c>
    </row>
    <row r="131" spans="1:9" x14ac:dyDescent="0.3">
      <c r="A131" s="8" t="s">
        <v>25</v>
      </c>
      <c r="B131" s="8" t="s">
        <v>26</v>
      </c>
      <c r="C131" s="8" t="s">
        <v>27</v>
      </c>
      <c r="D131" s="8">
        <v>80</v>
      </c>
      <c r="E131" s="8" t="s">
        <v>28</v>
      </c>
      <c r="F131" t="s">
        <v>29</v>
      </c>
      <c r="G131" s="8">
        <v>5000</v>
      </c>
      <c r="H131" s="7">
        <v>46171</v>
      </c>
      <c r="I131" s="9">
        <v>270</v>
      </c>
    </row>
    <row r="132" spans="1:9" x14ac:dyDescent="0.3">
      <c r="A132" s="8" t="s">
        <v>25</v>
      </c>
      <c r="B132" s="8" t="s">
        <v>26</v>
      </c>
      <c r="C132" s="8" t="s">
        <v>27</v>
      </c>
      <c r="D132" s="8">
        <v>80</v>
      </c>
      <c r="E132" s="8" t="s">
        <v>28</v>
      </c>
      <c r="F132" t="s">
        <v>29</v>
      </c>
      <c r="G132" s="8">
        <v>5000</v>
      </c>
      <c r="H132" s="7">
        <v>46171</v>
      </c>
      <c r="I132" s="9">
        <v>270</v>
      </c>
    </row>
    <row r="133" spans="1:9" x14ac:dyDescent="0.3">
      <c r="A133" s="8" t="s">
        <v>25</v>
      </c>
      <c r="B133" s="8" t="s">
        <v>26</v>
      </c>
      <c r="C133" s="8" t="s">
        <v>27</v>
      </c>
      <c r="D133" s="8">
        <v>80</v>
      </c>
      <c r="E133" s="8" t="s">
        <v>28</v>
      </c>
      <c r="F133" t="s">
        <v>29</v>
      </c>
      <c r="G133" s="8">
        <v>5000</v>
      </c>
      <c r="H133" s="7">
        <v>46171</v>
      </c>
      <c r="I133" s="9">
        <v>270</v>
      </c>
    </row>
    <row r="134" spans="1:9" x14ac:dyDescent="0.3">
      <c r="A134" s="8" t="s">
        <v>25</v>
      </c>
      <c r="B134" s="8" t="s">
        <v>26</v>
      </c>
      <c r="C134" s="8" t="s">
        <v>27</v>
      </c>
      <c r="D134" s="8">
        <v>80</v>
      </c>
      <c r="E134" s="8" t="s">
        <v>28</v>
      </c>
      <c r="F134" t="s">
        <v>29</v>
      </c>
      <c r="G134" s="8">
        <v>5000</v>
      </c>
      <c r="H134" s="7">
        <v>46171</v>
      </c>
      <c r="I134" s="9">
        <v>270</v>
      </c>
    </row>
    <row r="135" spans="1:9" x14ac:dyDescent="0.3">
      <c r="A135" s="8" t="s">
        <v>25</v>
      </c>
      <c r="B135" s="8" t="s">
        <v>26</v>
      </c>
      <c r="C135" s="8" t="s">
        <v>27</v>
      </c>
      <c r="D135" s="8">
        <v>80</v>
      </c>
      <c r="E135" s="8" t="s">
        <v>28</v>
      </c>
      <c r="F135" t="s">
        <v>29</v>
      </c>
      <c r="G135" s="8">
        <v>5000</v>
      </c>
      <c r="H135" s="7">
        <v>46171</v>
      </c>
      <c r="I135" s="9">
        <v>270</v>
      </c>
    </row>
    <row r="136" spans="1:9" x14ac:dyDescent="0.3">
      <c r="A136" s="8" t="s">
        <v>25</v>
      </c>
      <c r="B136" s="8" t="s">
        <v>26</v>
      </c>
      <c r="C136" s="8" t="s">
        <v>27</v>
      </c>
      <c r="D136" s="8">
        <v>80</v>
      </c>
      <c r="E136" s="8" t="s">
        <v>28</v>
      </c>
      <c r="F136" t="s">
        <v>29</v>
      </c>
      <c r="G136" s="8">
        <v>5000</v>
      </c>
      <c r="H136" s="7">
        <v>46171</v>
      </c>
      <c r="I136" s="9">
        <v>270</v>
      </c>
    </row>
    <row r="137" spans="1:9" x14ac:dyDescent="0.3">
      <c r="A137" s="8" t="s">
        <v>25</v>
      </c>
      <c r="B137" s="8" t="s">
        <v>26</v>
      </c>
      <c r="C137" s="8" t="s">
        <v>27</v>
      </c>
      <c r="D137" s="8">
        <v>80</v>
      </c>
      <c r="E137" s="8" t="s">
        <v>28</v>
      </c>
      <c r="F137" t="s">
        <v>29</v>
      </c>
      <c r="G137" s="8">
        <v>5000</v>
      </c>
      <c r="H137" s="7">
        <v>46171</v>
      </c>
      <c r="I137" s="9">
        <v>270</v>
      </c>
    </row>
    <row r="138" spans="1:9" x14ac:dyDescent="0.3">
      <c r="A138" s="8" t="s">
        <v>25</v>
      </c>
      <c r="B138" s="8" t="s">
        <v>26</v>
      </c>
      <c r="C138" s="8" t="s">
        <v>27</v>
      </c>
      <c r="D138" s="8">
        <v>80</v>
      </c>
      <c r="E138" s="8" t="s">
        <v>28</v>
      </c>
      <c r="F138" t="s">
        <v>29</v>
      </c>
      <c r="G138" s="8">
        <v>5000</v>
      </c>
      <c r="H138" s="7">
        <v>46171</v>
      </c>
      <c r="I138" s="9">
        <v>270</v>
      </c>
    </row>
    <row r="139" spans="1:9" x14ac:dyDescent="0.3">
      <c r="A139" s="8" t="s">
        <v>25</v>
      </c>
      <c r="B139" s="8" t="s">
        <v>26</v>
      </c>
      <c r="C139" s="8" t="s">
        <v>27</v>
      </c>
      <c r="D139" s="8">
        <v>80</v>
      </c>
      <c r="E139" s="8" t="s">
        <v>28</v>
      </c>
      <c r="F139" t="s">
        <v>29</v>
      </c>
      <c r="G139" s="8">
        <v>5000</v>
      </c>
      <c r="H139" s="7">
        <v>46171</v>
      </c>
      <c r="I139" s="9">
        <v>270</v>
      </c>
    </row>
    <row r="140" spans="1:9" x14ac:dyDescent="0.3">
      <c r="A140" s="8" t="s">
        <v>25</v>
      </c>
      <c r="B140" s="8" t="s">
        <v>26</v>
      </c>
      <c r="C140" s="8" t="s">
        <v>27</v>
      </c>
      <c r="D140" s="8">
        <v>80</v>
      </c>
      <c r="E140" s="8" t="s">
        <v>28</v>
      </c>
      <c r="F140" t="s">
        <v>29</v>
      </c>
      <c r="G140" s="8">
        <v>5000</v>
      </c>
      <c r="H140" s="7">
        <v>46171</v>
      </c>
      <c r="I140" s="9">
        <v>270</v>
      </c>
    </row>
    <row r="141" spans="1:9" x14ac:dyDescent="0.3">
      <c r="A141" s="8" t="s">
        <v>25</v>
      </c>
      <c r="B141" s="8" t="s">
        <v>26</v>
      </c>
      <c r="C141" s="8" t="s">
        <v>27</v>
      </c>
      <c r="D141" s="8">
        <v>80</v>
      </c>
      <c r="E141" s="8" t="s">
        <v>28</v>
      </c>
      <c r="F141" t="s">
        <v>29</v>
      </c>
      <c r="G141" s="8">
        <v>5000</v>
      </c>
      <c r="H141" s="7">
        <v>46171</v>
      </c>
      <c r="I141" s="9">
        <v>270</v>
      </c>
    </row>
    <row r="142" spans="1:9" x14ac:dyDescent="0.3">
      <c r="A142" s="8" t="s">
        <v>25</v>
      </c>
      <c r="B142" s="8" t="s">
        <v>26</v>
      </c>
      <c r="C142" s="8" t="s">
        <v>27</v>
      </c>
      <c r="D142" s="8">
        <v>80</v>
      </c>
      <c r="E142" s="8" t="s">
        <v>28</v>
      </c>
      <c r="F142" t="s">
        <v>29</v>
      </c>
      <c r="G142" s="8">
        <v>5000</v>
      </c>
      <c r="H142" s="7">
        <v>46171</v>
      </c>
      <c r="I142" s="9">
        <v>270</v>
      </c>
    </row>
    <row r="143" spans="1:9" x14ac:dyDescent="0.3">
      <c r="A143" s="8" t="s">
        <v>25</v>
      </c>
      <c r="B143" s="8" t="s">
        <v>26</v>
      </c>
      <c r="C143" s="8" t="s">
        <v>27</v>
      </c>
      <c r="D143" s="8">
        <v>80</v>
      </c>
      <c r="E143" s="8" t="s">
        <v>28</v>
      </c>
      <c r="F143" t="s">
        <v>29</v>
      </c>
      <c r="G143" s="8">
        <v>5000</v>
      </c>
      <c r="H143" s="7">
        <v>46171</v>
      </c>
      <c r="I143" s="9">
        <v>270</v>
      </c>
    </row>
    <row r="144" spans="1:9" x14ac:dyDescent="0.3">
      <c r="A144" s="8" t="s">
        <v>25</v>
      </c>
      <c r="B144" s="8" t="s">
        <v>26</v>
      </c>
      <c r="C144" s="8" t="s">
        <v>27</v>
      </c>
      <c r="D144" s="8">
        <v>80</v>
      </c>
      <c r="E144" s="8" t="s">
        <v>28</v>
      </c>
      <c r="F144" t="s">
        <v>29</v>
      </c>
      <c r="G144" s="8">
        <v>5000</v>
      </c>
      <c r="H144" s="7">
        <v>46171</v>
      </c>
      <c r="I144" s="9">
        <v>270</v>
      </c>
    </row>
    <row r="145" spans="1:9" x14ac:dyDescent="0.3">
      <c r="A145" s="8" t="s">
        <v>25</v>
      </c>
      <c r="B145" s="8" t="s">
        <v>26</v>
      </c>
      <c r="C145" s="8" t="s">
        <v>27</v>
      </c>
      <c r="D145" s="8">
        <v>80</v>
      </c>
      <c r="E145" s="8" t="s">
        <v>28</v>
      </c>
      <c r="F145" t="s">
        <v>29</v>
      </c>
      <c r="G145" s="8">
        <v>5000</v>
      </c>
      <c r="H145" s="7">
        <v>46171</v>
      </c>
      <c r="I145" s="9">
        <v>270</v>
      </c>
    </row>
    <row r="146" spans="1:9" x14ac:dyDescent="0.3">
      <c r="A146" s="8" t="s">
        <v>25</v>
      </c>
      <c r="B146" s="8" t="s">
        <v>26</v>
      </c>
      <c r="C146" s="8" t="s">
        <v>27</v>
      </c>
      <c r="D146" s="8">
        <v>80</v>
      </c>
      <c r="E146" s="8" t="s">
        <v>28</v>
      </c>
      <c r="F146" t="s">
        <v>29</v>
      </c>
      <c r="G146" s="8">
        <v>5000</v>
      </c>
      <c r="H146" s="7">
        <v>46171</v>
      </c>
      <c r="I146" s="9">
        <v>270</v>
      </c>
    </row>
    <row r="147" spans="1:9" x14ac:dyDescent="0.3">
      <c r="A147" s="8" t="s">
        <v>25</v>
      </c>
      <c r="B147" s="8" t="s">
        <v>26</v>
      </c>
      <c r="C147" s="8" t="s">
        <v>27</v>
      </c>
      <c r="D147" s="8">
        <v>80</v>
      </c>
      <c r="E147" s="8" t="s">
        <v>28</v>
      </c>
      <c r="F147" t="s">
        <v>29</v>
      </c>
      <c r="G147" s="8">
        <v>5000</v>
      </c>
      <c r="H147" s="7">
        <v>46171</v>
      </c>
      <c r="I147" s="9">
        <v>270</v>
      </c>
    </row>
    <row r="148" spans="1:9" x14ac:dyDescent="0.3">
      <c r="A148" s="8" t="s">
        <v>25</v>
      </c>
      <c r="B148" s="8" t="s">
        <v>26</v>
      </c>
      <c r="C148" s="8" t="s">
        <v>27</v>
      </c>
      <c r="D148" s="8">
        <v>80</v>
      </c>
      <c r="E148" s="8" t="s">
        <v>28</v>
      </c>
      <c r="F148" t="s">
        <v>29</v>
      </c>
      <c r="G148" s="8">
        <v>5000</v>
      </c>
      <c r="H148" s="7">
        <v>46171</v>
      </c>
      <c r="I148" s="9">
        <v>270</v>
      </c>
    </row>
    <row r="149" spans="1:9" x14ac:dyDescent="0.3">
      <c r="A149" s="8" t="s">
        <v>25</v>
      </c>
      <c r="B149" s="8" t="s">
        <v>26</v>
      </c>
      <c r="C149" s="8" t="s">
        <v>27</v>
      </c>
      <c r="D149" s="8">
        <v>80</v>
      </c>
      <c r="E149" s="8" t="s">
        <v>28</v>
      </c>
      <c r="F149" t="s">
        <v>29</v>
      </c>
      <c r="G149" s="8">
        <v>5000</v>
      </c>
      <c r="H149" s="7">
        <v>46171</v>
      </c>
      <c r="I149" s="9">
        <v>270</v>
      </c>
    </row>
    <row r="150" spans="1:9" x14ac:dyDescent="0.3">
      <c r="A150" s="8" t="s">
        <v>25</v>
      </c>
      <c r="B150" s="8" t="s">
        <v>26</v>
      </c>
      <c r="C150" s="8" t="s">
        <v>27</v>
      </c>
      <c r="D150" s="8">
        <v>80</v>
      </c>
      <c r="E150" s="8" t="s">
        <v>28</v>
      </c>
      <c r="F150" t="s">
        <v>29</v>
      </c>
      <c r="G150" s="8">
        <v>5000</v>
      </c>
      <c r="H150" s="7">
        <v>46171</v>
      </c>
      <c r="I150" s="9">
        <v>270</v>
      </c>
    </row>
    <row r="151" spans="1:9" x14ac:dyDescent="0.3">
      <c r="A151" s="8" t="s">
        <v>25</v>
      </c>
      <c r="B151" s="8" t="s">
        <v>26</v>
      </c>
      <c r="C151" s="8" t="s">
        <v>27</v>
      </c>
      <c r="D151" s="8">
        <v>80</v>
      </c>
      <c r="E151" s="8" t="s">
        <v>28</v>
      </c>
      <c r="F151" t="s">
        <v>29</v>
      </c>
      <c r="G151" s="8">
        <v>5000</v>
      </c>
      <c r="H151" s="7">
        <v>46171</v>
      </c>
      <c r="I151" s="9">
        <v>270</v>
      </c>
    </row>
    <row r="152" spans="1:9" x14ac:dyDescent="0.3">
      <c r="A152" s="8" t="s">
        <v>25</v>
      </c>
      <c r="B152" s="8" t="s">
        <v>26</v>
      </c>
      <c r="C152" s="8" t="s">
        <v>27</v>
      </c>
      <c r="D152" s="8">
        <v>80</v>
      </c>
      <c r="E152" s="8" t="s">
        <v>28</v>
      </c>
      <c r="F152" t="s">
        <v>29</v>
      </c>
      <c r="G152" s="8">
        <v>5000</v>
      </c>
      <c r="H152" s="7">
        <v>46171</v>
      </c>
      <c r="I152" s="9">
        <v>270</v>
      </c>
    </row>
    <row r="153" spans="1:9" x14ac:dyDescent="0.3">
      <c r="A153" s="8" t="s">
        <v>25</v>
      </c>
      <c r="B153" s="8" t="s">
        <v>26</v>
      </c>
      <c r="C153" s="8" t="s">
        <v>27</v>
      </c>
      <c r="D153" s="8">
        <v>80</v>
      </c>
      <c r="E153" s="8" t="s">
        <v>28</v>
      </c>
      <c r="F153" t="s">
        <v>29</v>
      </c>
      <c r="G153" s="8">
        <v>5000</v>
      </c>
      <c r="H153" s="7">
        <v>46171</v>
      </c>
      <c r="I153" s="9">
        <v>270</v>
      </c>
    </row>
    <row r="154" spans="1:9" x14ac:dyDescent="0.3">
      <c r="A154" s="8" t="s">
        <v>25</v>
      </c>
      <c r="B154" s="8" t="s">
        <v>26</v>
      </c>
      <c r="C154" s="8" t="s">
        <v>27</v>
      </c>
      <c r="D154" s="8">
        <v>80</v>
      </c>
      <c r="E154" s="8" t="s">
        <v>28</v>
      </c>
      <c r="F154" t="s">
        <v>29</v>
      </c>
      <c r="G154" s="8">
        <v>5000</v>
      </c>
      <c r="H154" s="7">
        <v>46171</v>
      </c>
      <c r="I154" s="9">
        <v>270</v>
      </c>
    </row>
    <row r="155" spans="1:9" x14ac:dyDescent="0.3">
      <c r="A155" s="8" t="s">
        <v>25</v>
      </c>
      <c r="B155" s="8" t="s">
        <v>26</v>
      </c>
      <c r="C155" s="8" t="s">
        <v>27</v>
      </c>
      <c r="D155" s="8">
        <v>80</v>
      </c>
      <c r="E155" s="8" t="s">
        <v>28</v>
      </c>
      <c r="F155" t="s">
        <v>29</v>
      </c>
      <c r="G155" s="8">
        <v>5000</v>
      </c>
      <c r="H155" s="7">
        <v>46171</v>
      </c>
      <c r="I155" s="9">
        <v>270</v>
      </c>
    </row>
    <row r="156" spans="1:9" x14ac:dyDescent="0.3">
      <c r="A156" s="8" t="s">
        <v>25</v>
      </c>
      <c r="B156" s="8" t="s">
        <v>26</v>
      </c>
      <c r="C156" s="8" t="s">
        <v>27</v>
      </c>
      <c r="D156" s="8">
        <v>80</v>
      </c>
      <c r="E156" s="8" t="s">
        <v>28</v>
      </c>
      <c r="F156" t="s">
        <v>29</v>
      </c>
      <c r="G156" s="8">
        <v>5000</v>
      </c>
      <c r="H156" s="7">
        <v>46171</v>
      </c>
      <c r="I156" s="9">
        <v>270</v>
      </c>
    </row>
    <row r="157" spans="1:9" x14ac:dyDescent="0.3">
      <c r="A157" s="8" t="s">
        <v>25</v>
      </c>
      <c r="B157" s="8" t="s">
        <v>26</v>
      </c>
      <c r="C157" s="8" t="s">
        <v>27</v>
      </c>
      <c r="D157" s="8">
        <v>80</v>
      </c>
      <c r="E157" s="8" t="s">
        <v>28</v>
      </c>
      <c r="F157" t="s">
        <v>29</v>
      </c>
      <c r="G157" s="8">
        <v>5000</v>
      </c>
      <c r="H157" s="7">
        <v>46171</v>
      </c>
      <c r="I157" s="9">
        <v>270</v>
      </c>
    </row>
    <row r="158" spans="1:9" x14ac:dyDescent="0.3">
      <c r="A158" s="8" t="s">
        <v>25</v>
      </c>
      <c r="B158" s="8" t="s">
        <v>26</v>
      </c>
      <c r="C158" s="8" t="s">
        <v>27</v>
      </c>
      <c r="D158" s="8">
        <v>80</v>
      </c>
      <c r="E158" s="8" t="s">
        <v>28</v>
      </c>
      <c r="F158" t="s">
        <v>29</v>
      </c>
      <c r="G158" s="8">
        <v>5000</v>
      </c>
      <c r="H158" s="7">
        <v>46171</v>
      </c>
      <c r="I158" s="9">
        <v>270</v>
      </c>
    </row>
    <row r="159" spans="1:9" x14ac:dyDescent="0.3">
      <c r="A159" s="8" t="s">
        <v>25</v>
      </c>
      <c r="B159" s="8" t="s">
        <v>26</v>
      </c>
      <c r="C159" s="8" t="s">
        <v>27</v>
      </c>
      <c r="D159" s="8">
        <v>80</v>
      </c>
      <c r="E159" s="8" t="s">
        <v>28</v>
      </c>
      <c r="F159" t="s">
        <v>29</v>
      </c>
      <c r="G159" s="8">
        <v>5000</v>
      </c>
      <c r="H159" s="7">
        <v>46171</v>
      </c>
      <c r="I159" s="9">
        <v>263</v>
      </c>
    </row>
    <row r="160" spans="1:9" x14ac:dyDescent="0.3">
      <c r="A160" s="8" t="s">
        <v>25</v>
      </c>
      <c r="B160" s="8" t="s">
        <v>26</v>
      </c>
      <c r="C160" s="8" t="s">
        <v>27</v>
      </c>
      <c r="D160" s="8">
        <v>80</v>
      </c>
      <c r="E160" s="8" t="s">
        <v>28</v>
      </c>
      <c r="F160" t="s">
        <v>29</v>
      </c>
      <c r="G160" s="8">
        <v>5000</v>
      </c>
      <c r="H160" s="7">
        <v>46171</v>
      </c>
      <c r="I160" s="9">
        <v>220</v>
      </c>
    </row>
    <row r="161" spans="1:9" x14ac:dyDescent="0.3">
      <c r="A161" s="8" t="s">
        <v>25</v>
      </c>
      <c r="B161" s="8" t="s">
        <v>26</v>
      </c>
      <c r="C161" s="8" t="s">
        <v>27</v>
      </c>
      <c r="D161" s="8">
        <v>80</v>
      </c>
      <c r="E161" s="8" t="s">
        <v>28</v>
      </c>
      <c r="F161" t="s">
        <v>29</v>
      </c>
      <c r="G161" s="8">
        <v>5000</v>
      </c>
      <c r="H161" s="7">
        <v>46171</v>
      </c>
      <c r="I161" s="9">
        <v>270</v>
      </c>
    </row>
    <row r="162" spans="1:9" x14ac:dyDescent="0.3">
      <c r="A162" s="8" t="s">
        <v>25</v>
      </c>
      <c r="B162" s="8" t="s">
        <v>26</v>
      </c>
      <c r="C162" s="8" t="s">
        <v>27</v>
      </c>
      <c r="D162" s="8">
        <v>80</v>
      </c>
      <c r="E162" s="8" t="s">
        <v>28</v>
      </c>
      <c r="F162" t="s">
        <v>29</v>
      </c>
      <c r="G162" s="8">
        <v>5000</v>
      </c>
      <c r="H162" s="7">
        <v>46171</v>
      </c>
      <c r="I162" s="9">
        <v>270</v>
      </c>
    </row>
    <row r="163" spans="1:9" x14ac:dyDescent="0.3">
      <c r="A163" s="8" t="s">
        <v>25</v>
      </c>
      <c r="B163" s="8" t="s">
        <v>26</v>
      </c>
      <c r="C163" s="8" t="s">
        <v>27</v>
      </c>
      <c r="D163" s="8">
        <v>80</v>
      </c>
      <c r="E163" s="8" t="s">
        <v>28</v>
      </c>
      <c r="F163" t="s">
        <v>29</v>
      </c>
      <c r="G163" s="8">
        <v>5000</v>
      </c>
      <c r="H163" s="7">
        <v>46171</v>
      </c>
      <c r="I163" s="9">
        <v>246</v>
      </c>
    </row>
    <row r="164" spans="1:9" x14ac:dyDescent="0.3">
      <c r="A164" s="8" t="s">
        <v>25</v>
      </c>
      <c r="B164" s="8" t="s">
        <v>26</v>
      </c>
      <c r="C164" s="8" t="s">
        <v>27</v>
      </c>
      <c r="D164" s="8">
        <v>80</v>
      </c>
      <c r="E164" s="8" t="s">
        <v>28</v>
      </c>
      <c r="F164" t="s">
        <v>29</v>
      </c>
      <c r="G164" s="8">
        <v>5000</v>
      </c>
      <c r="H164" s="7">
        <v>46171</v>
      </c>
      <c r="I164" s="9">
        <v>246</v>
      </c>
    </row>
    <row r="165" spans="1:9" x14ac:dyDescent="0.3">
      <c r="A165" s="8" t="s">
        <v>25</v>
      </c>
      <c r="B165" s="8" t="s">
        <v>26</v>
      </c>
      <c r="C165" s="8" t="s">
        <v>27</v>
      </c>
      <c r="D165" s="8">
        <v>80</v>
      </c>
      <c r="E165" s="8" t="s">
        <v>28</v>
      </c>
      <c r="F165" t="s">
        <v>29</v>
      </c>
      <c r="G165" s="8">
        <v>5000</v>
      </c>
      <c r="H165" s="7">
        <v>46171</v>
      </c>
      <c r="I165" s="9">
        <v>270</v>
      </c>
    </row>
    <row r="166" spans="1:9" x14ac:dyDescent="0.3">
      <c r="A166" s="8" t="s">
        <v>30</v>
      </c>
      <c r="B166" s="8" t="s">
        <v>31</v>
      </c>
      <c r="C166" s="8" t="s">
        <v>27</v>
      </c>
      <c r="D166" s="8">
        <v>40</v>
      </c>
      <c r="E166" s="8" t="s">
        <v>32</v>
      </c>
      <c r="F166" t="s">
        <v>29</v>
      </c>
      <c r="G166" s="8">
        <v>5000</v>
      </c>
      <c r="H166" s="7">
        <v>46171</v>
      </c>
      <c r="I166" s="9">
        <v>222</v>
      </c>
    </row>
    <row r="167" spans="1:9" x14ac:dyDescent="0.3">
      <c r="A167" s="8" t="s">
        <v>30</v>
      </c>
      <c r="B167" s="8" t="s">
        <v>31</v>
      </c>
      <c r="C167" s="8" t="s">
        <v>27</v>
      </c>
      <c r="D167" s="8">
        <v>40</v>
      </c>
      <c r="E167" s="8" t="s">
        <v>32</v>
      </c>
      <c r="F167" t="s">
        <v>29</v>
      </c>
      <c r="G167" s="8">
        <v>5000</v>
      </c>
      <c r="H167" s="7">
        <v>46171</v>
      </c>
      <c r="I167" s="9">
        <v>171</v>
      </c>
    </row>
    <row r="168" spans="1:9" x14ac:dyDescent="0.3">
      <c r="A168" s="8" t="s">
        <v>30</v>
      </c>
      <c r="B168" s="8" t="s">
        <v>31</v>
      </c>
      <c r="C168" s="8" t="s">
        <v>27</v>
      </c>
      <c r="D168" s="8">
        <v>40</v>
      </c>
      <c r="E168" s="8" t="s">
        <v>32</v>
      </c>
      <c r="F168" t="s">
        <v>29</v>
      </c>
      <c r="G168" s="8">
        <v>5000</v>
      </c>
      <c r="H168" s="7">
        <v>46171</v>
      </c>
      <c r="I168" s="9">
        <v>270</v>
      </c>
    </row>
    <row r="169" spans="1:9" x14ac:dyDescent="0.3">
      <c r="A169" s="8" t="s">
        <v>30</v>
      </c>
      <c r="B169" s="8" t="s">
        <v>31</v>
      </c>
      <c r="C169" s="8" t="s">
        <v>27</v>
      </c>
      <c r="D169" s="8">
        <v>40</v>
      </c>
      <c r="E169" s="8" t="s">
        <v>32</v>
      </c>
      <c r="F169" t="s">
        <v>29</v>
      </c>
      <c r="G169" s="8">
        <v>5000</v>
      </c>
      <c r="H169" s="7">
        <v>46171</v>
      </c>
      <c r="I169" s="9">
        <v>270</v>
      </c>
    </row>
    <row r="170" spans="1:9" x14ac:dyDescent="0.3">
      <c r="A170" s="8" t="s">
        <v>30</v>
      </c>
      <c r="B170" s="8" t="s">
        <v>31</v>
      </c>
      <c r="C170" s="8" t="s">
        <v>27</v>
      </c>
      <c r="D170" s="8">
        <v>40</v>
      </c>
      <c r="E170" s="8" t="s">
        <v>32</v>
      </c>
      <c r="F170" t="s">
        <v>29</v>
      </c>
      <c r="G170" s="8">
        <v>5000</v>
      </c>
      <c r="H170" s="7">
        <v>46171</v>
      </c>
      <c r="I170" s="9">
        <v>270</v>
      </c>
    </row>
    <row r="171" spans="1:9" x14ac:dyDescent="0.3">
      <c r="A171" s="8" t="s">
        <v>30</v>
      </c>
      <c r="B171" s="8" t="s">
        <v>31</v>
      </c>
      <c r="C171" s="8" t="s">
        <v>27</v>
      </c>
      <c r="D171" s="8">
        <v>40</v>
      </c>
      <c r="E171" s="8" t="s">
        <v>32</v>
      </c>
      <c r="F171" t="s">
        <v>29</v>
      </c>
      <c r="G171" s="8">
        <v>5000</v>
      </c>
      <c r="H171" s="7">
        <v>46171</v>
      </c>
      <c r="I171" s="9">
        <v>270</v>
      </c>
    </row>
    <row r="172" spans="1:9" x14ac:dyDescent="0.3">
      <c r="A172" s="8" t="s">
        <v>30</v>
      </c>
      <c r="B172" s="8" t="s">
        <v>31</v>
      </c>
      <c r="C172" s="8" t="s">
        <v>27</v>
      </c>
      <c r="D172" s="8">
        <v>40</v>
      </c>
      <c r="E172" s="8" t="s">
        <v>32</v>
      </c>
      <c r="F172" t="s">
        <v>29</v>
      </c>
      <c r="G172" s="8">
        <v>5000</v>
      </c>
      <c r="H172" s="7">
        <v>46171</v>
      </c>
      <c r="I172" s="9">
        <v>270</v>
      </c>
    </row>
    <row r="173" spans="1:9" x14ac:dyDescent="0.3">
      <c r="A173" s="8" t="s">
        <v>30</v>
      </c>
      <c r="B173" s="8" t="s">
        <v>31</v>
      </c>
      <c r="C173" s="8" t="s">
        <v>27</v>
      </c>
      <c r="D173" s="8">
        <v>40</v>
      </c>
      <c r="E173" s="8" t="s">
        <v>32</v>
      </c>
      <c r="F173" t="s">
        <v>29</v>
      </c>
      <c r="G173" s="8">
        <v>5000</v>
      </c>
      <c r="H173" s="7">
        <v>46171</v>
      </c>
      <c r="I173" s="9">
        <v>270</v>
      </c>
    </row>
    <row r="174" spans="1:9" x14ac:dyDescent="0.3">
      <c r="A174" s="8" t="s">
        <v>30</v>
      </c>
      <c r="B174" s="8" t="s">
        <v>31</v>
      </c>
      <c r="C174" s="8" t="s">
        <v>27</v>
      </c>
      <c r="D174" s="8">
        <v>40</v>
      </c>
      <c r="E174" s="8" t="s">
        <v>32</v>
      </c>
      <c r="F174" t="s">
        <v>29</v>
      </c>
      <c r="G174" s="8">
        <v>5000</v>
      </c>
      <c r="H174" s="7">
        <v>46171</v>
      </c>
      <c r="I174" s="9">
        <v>269</v>
      </c>
    </row>
    <row r="175" spans="1:9" x14ac:dyDescent="0.3">
      <c r="A175" s="8" t="s">
        <v>30</v>
      </c>
      <c r="B175" s="8" t="s">
        <v>31</v>
      </c>
      <c r="C175" s="8" t="s">
        <v>27</v>
      </c>
      <c r="D175" s="8">
        <v>40</v>
      </c>
      <c r="E175" s="8" t="s">
        <v>32</v>
      </c>
      <c r="F175" t="s">
        <v>29</v>
      </c>
      <c r="G175" s="8">
        <v>5000</v>
      </c>
      <c r="H175" s="7">
        <v>46171</v>
      </c>
      <c r="I175" s="9">
        <v>270</v>
      </c>
    </row>
    <row r="176" spans="1:9" x14ac:dyDescent="0.3">
      <c r="A176" s="8" t="s">
        <v>30</v>
      </c>
      <c r="B176" s="8" t="s">
        <v>31</v>
      </c>
      <c r="C176" s="8" t="s">
        <v>27</v>
      </c>
      <c r="D176" s="8">
        <v>40</v>
      </c>
      <c r="E176" s="8" t="s">
        <v>32</v>
      </c>
      <c r="F176" t="s">
        <v>29</v>
      </c>
      <c r="G176" s="8">
        <v>5000</v>
      </c>
      <c r="H176" s="7">
        <v>46171</v>
      </c>
      <c r="I176" s="9">
        <v>270</v>
      </c>
    </row>
    <row r="177" spans="1:9" x14ac:dyDescent="0.3">
      <c r="A177" s="8" t="s">
        <v>30</v>
      </c>
      <c r="B177" s="8" t="s">
        <v>31</v>
      </c>
      <c r="C177" s="8" t="s">
        <v>27</v>
      </c>
      <c r="D177" s="8">
        <v>40</v>
      </c>
      <c r="E177" s="8" t="s">
        <v>32</v>
      </c>
      <c r="F177" t="s">
        <v>29</v>
      </c>
      <c r="G177" s="8">
        <v>5000</v>
      </c>
      <c r="H177" s="7">
        <v>46171</v>
      </c>
      <c r="I177" s="9">
        <v>227</v>
      </c>
    </row>
    <row r="178" spans="1:9" x14ac:dyDescent="0.3">
      <c r="A178" s="8" t="s">
        <v>30</v>
      </c>
      <c r="B178" s="8" t="s">
        <v>31</v>
      </c>
      <c r="C178" s="8" t="s">
        <v>27</v>
      </c>
      <c r="D178" s="8">
        <v>40</v>
      </c>
      <c r="E178" s="8" t="s">
        <v>32</v>
      </c>
      <c r="F178" t="s">
        <v>29</v>
      </c>
      <c r="G178" s="8">
        <v>5000</v>
      </c>
      <c r="H178" s="7">
        <v>46171</v>
      </c>
      <c r="I178" s="9">
        <v>264</v>
      </c>
    </row>
    <row r="179" spans="1:9" x14ac:dyDescent="0.3">
      <c r="A179" s="8" t="s">
        <v>30</v>
      </c>
      <c r="B179" s="8" t="s">
        <v>31</v>
      </c>
      <c r="C179" s="8" t="s">
        <v>27</v>
      </c>
      <c r="D179" s="8">
        <v>40</v>
      </c>
      <c r="E179" s="8" t="s">
        <v>32</v>
      </c>
      <c r="F179" t="s">
        <v>29</v>
      </c>
      <c r="G179" s="8">
        <v>5000</v>
      </c>
      <c r="H179" s="7">
        <v>46171</v>
      </c>
      <c r="I179" s="9">
        <v>270</v>
      </c>
    </row>
    <row r="180" spans="1:9" x14ac:dyDescent="0.3">
      <c r="A180" s="8" t="s">
        <v>30</v>
      </c>
      <c r="B180" s="8" t="s">
        <v>31</v>
      </c>
      <c r="C180" s="8" t="s">
        <v>27</v>
      </c>
      <c r="D180" s="8">
        <v>40</v>
      </c>
      <c r="E180" s="8" t="s">
        <v>32</v>
      </c>
      <c r="F180" t="s">
        <v>29</v>
      </c>
      <c r="G180" s="8">
        <v>5000</v>
      </c>
      <c r="H180" s="7">
        <v>46171</v>
      </c>
      <c r="I180" s="9">
        <v>270</v>
      </c>
    </row>
    <row r="181" spans="1:9" x14ac:dyDescent="0.3">
      <c r="A181" s="8" t="s">
        <v>30</v>
      </c>
      <c r="B181" s="8" t="s">
        <v>31</v>
      </c>
      <c r="C181" s="8" t="s">
        <v>27</v>
      </c>
      <c r="D181" s="8">
        <v>40</v>
      </c>
      <c r="E181" s="8" t="s">
        <v>32</v>
      </c>
      <c r="F181" t="s">
        <v>29</v>
      </c>
      <c r="G181" s="8">
        <v>5000</v>
      </c>
      <c r="H181" s="7">
        <v>46171</v>
      </c>
      <c r="I181" s="9">
        <v>270</v>
      </c>
    </row>
    <row r="182" spans="1:9" x14ac:dyDescent="0.3">
      <c r="A182" s="8" t="s">
        <v>30</v>
      </c>
      <c r="B182" s="8" t="s">
        <v>31</v>
      </c>
      <c r="C182" s="8" t="s">
        <v>27</v>
      </c>
      <c r="D182" s="8">
        <v>40</v>
      </c>
      <c r="E182" s="8" t="s">
        <v>32</v>
      </c>
      <c r="F182" t="s">
        <v>29</v>
      </c>
      <c r="G182" s="8">
        <v>5000</v>
      </c>
      <c r="H182" s="7">
        <v>46171</v>
      </c>
      <c r="I182" s="9">
        <v>270</v>
      </c>
    </row>
    <row r="183" spans="1:9" x14ac:dyDescent="0.3">
      <c r="A183" s="8" t="s">
        <v>30</v>
      </c>
      <c r="B183" s="8" t="s">
        <v>31</v>
      </c>
      <c r="C183" s="8" t="s">
        <v>27</v>
      </c>
      <c r="D183" s="8">
        <v>40</v>
      </c>
      <c r="E183" s="8" t="s">
        <v>32</v>
      </c>
      <c r="F183" t="s">
        <v>29</v>
      </c>
      <c r="G183" s="8">
        <v>5000</v>
      </c>
      <c r="H183" s="7">
        <v>46171</v>
      </c>
      <c r="I183" s="9">
        <v>270</v>
      </c>
    </row>
    <row r="184" spans="1:9" x14ac:dyDescent="0.3">
      <c r="A184" s="8" t="s">
        <v>30</v>
      </c>
      <c r="B184" s="8" t="s">
        <v>31</v>
      </c>
      <c r="C184" s="8" t="s">
        <v>27</v>
      </c>
      <c r="D184" s="8">
        <v>40</v>
      </c>
      <c r="E184" s="8" t="s">
        <v>32</v>
      </c>
      <c r="F184" t="s">
        <v>29</v>
      </c>
      <c r="G184" s="8">
        <v>5000</v>
      </c>
      <c r="H184" s="7">
        <v>46171</v>
      </c>
      <c r="I184" s="9">
        <v>207</v>
      </c>
    </row>
    <row r="185" spans="1:9" x14ac:dyDescent="0.3">
      <c r="A185" s="8" t="s">
        <v>30</v>
      </c>
      <c r="B185" s="8" t="s">
        <v>31</v>
      </c>
      <c r="C185" s="8" t="s">
        <v>27</v>
      </c>
      <c r="D185" s="8">
        <v>40</v>
      </c>
      <c r="E185" s="8" t="s">
        <v>32</v>
      </c>
      <c r="F185" t="s">
        <v>29</v>
      </c>
      <c r="G185" s="8">
        <v>5000</v>
      </c>
      <c r="H185" s="7">
        <v>46171</v>
      </c>
      <c r="I185" s="9">
        <v>270</v>
      </c>
    </row>
    <row r="186" spans="1:9" x14ac:dyDescent="0.3">
      <c r="A186" s="8" t="s">
        <v>30</v>
      </c>
      <c r="B186" s="8" t="s">
        <v>31</v>
      </c>
      <c r="C186" s="8" t="s">
        <v>27</v>
      </c>
      <c r="D186" s="8">
        <v>40</v>
      </c>
      <c r="E186" s="8" t="s">
        <v>32</v>
      </c>
      <c r="F186" t="s">
        <v>29</v>
      </c>
      <c r="G186" s="8">
        <v>5000</v>
      </c>
      <c r="H186" s="7">
        <v>46171</v>
      </c>
      <c r="I186" s="9">
        <v>160</v>
      </c>
    </row>
    <row r="187" spans="1:9" x14ac:dyDescent="0.3">
      <c r="A187" s="8" t="s">
        <v>30</v>
      </c>
      <c r="B187" s="8" t="s">
        <v>31</v>
      </c>
      <c r="C187" s="8" t="s">
        <v>27</v>
      </c>
      <c r="D187" s="8">
        <v>40</v>
      </c>
      <c r="E187" s="8" t="s">
        <v>32</v>
      </c>
      <c r="F187" t="s">
        <v>29</v>
      </c>
      <c r="G187" s="8">
        <v>5000</v>
      </c>
      <c r="H187" s="7">
        <v>46171</v>
      </c>
      <c r="I187" s="9">
        <v>270</v>
      </c>
    </row>
    <row r="188" spans="1:9" x14ac:dyDescent="0.3">
      <c r="A188" s="8" t="s">
        <v>30</v>
      </c>
      <c r="B188" s="8" t="s">
        <v>31</v>
      </c>
      <c r="C188" s="8" t="s">
        <v>27</v>
      </c>
      <c r="D188" s="8">
        <v>40</v>
      </c>
      <c r="E188" s="8" t="s">
        <v>32</v>
      </c>
      <c r="F188" t="s">
        <v>29</v>
      </c>
      <c r="G188" s="8">
        <v>5000</v>
      </c>
      <c r="H188" s="7">
        <v>46171</v>
      </c>
      <c r="I188" s="9">
        <v>270</v>
      </c>
    </row>
    <row r="189" spans="1:9" x14ac:dyDescent="0.3">
      <c r="A189" s="8" t="s">
        <v>9</v>
      </c>
      <c r="B189" s="8" t="s">
        <v>10</v>
      </c>
      <c r="C189" s="8" t="s">
        <v>11</v>
      </c>
      <c r="D189" s="8">
        <v>90</v>
      </c>
      <c r="E189" s="8" t="s">
        <v>12</v>
      </c>
      <c r="F189" t="s">
        <v>13</v>
      </c>
      <c r="G189" s="8">
        <v>3000</v>
      </c>
      <c r="H189" s="7">
        <v>46171</v>
      </c>
      <c r="I189" s="9">
        <v>4500</v>
      </c>
    </row>
    <row r="190" spans="1:9" x14ac:dyDescent="0.3">
      <c r="A190" s="8" t="s">
        <v>30</v>
      </c>
      <c r="B190" s="8" t="s">
        <v>31</v>
      </c>
      <c r="C190" s="8" t="s">
        <v>27</v>
      </c>
      <c r="D190" s="8">
        <v>40</v>
      </c>
      <c r="E190" s="8" t="s">
        <v>32</v>
      </c>
      <c r="F190" t="s">
        <v>29</v>
      </c>
      <c r="G190" s="8">
        <v>5000</v>
      </c>
      <c r="H190" s="7">
        <v>46175</v>
      </c>
      <c r="I190" s="9">
        <v>270</v>
      </c>
    </row>
    <row r="191" spans="1:9" x14ac:dyDescent="0.3">
      <c r="A191" s="8" t="s">
        <v>30</v>
      </c>
      <c r="B191" s="8" t="s">
        <v>31</v>
      </c>
      <c r="C191" s="8" t="s">
        <v>27</v>
      </c>
      <c r="D191" s="8">
        <v>40</v>
      </c>
      <c r="E191" s="8" t="s">
        <v>32</v>
      </c>
      <c r="F191" t="s">
        <v>29</v>
      </c>
      <c r="G191" s="8">
        <v>5000</v>
      </c>
      <c r="H191" s="7">
        <v>46175</v>
      </c>
      <c r="I191" s="9">
        <v>270</v>
      </c>
    </row>
    <row r="192" spans="1:9" x14ac:dyDescent="0.3">
      <c r="A192" s="8" t="s">
        <v>30</v>
      </c>
      <c r="B192" s="8" t="s">
        <v>31</v>
      </c>
      <c r="C192" s="8" t="s">
        <v>27</v>
      </c>
      <c r="D192" s="8">
        <v>40</v>
      </c>
      <c r="E192" s="8" t="s">
        <v>32</v>
      </c>
      <c r="F192" t="s">
        <v>29</v>
      </c>
      <c r="G192" s="8">
        <v>5000</v>
      </c>
      <c r="H192" s="7">
        <v>46175</v>
      </c>
      <c r="I192" s="9">
        <v>270</v>
      </c>
    </row>
    <row r="193" spans="1:9" x14ac:dyDescent="0.3">
      <c r="A193" s="8" t="s">
        <v>30</v>
      </c>
      <c r="B193" s="8" t="s">
        <v>31</v>
      </c>
      <c r="C193" s="8" t="s">
        <v>27</v>
      </c>
      <c r="D193" s="8">
        <v>40</v>
      </c>
      <c r="E193" s="8" t="s">
        <v>32</v>
      </c>
      <c r="F193" t="s">
        <v>29</v>
      </c>
      <c r="G193" s="8">
        <v>5000</v>
      </c>
      <c r="H193" s="7">
        <v>46175</v>
      </c>
      <c r="I193" s="9">
        <v>270</v>
      </c>
    </row>
    <row r="194" spans="1:9" x14ac:dyDescent="0.3">
      <c r="A194" s="8" t="s">
        <v>30</v>
      </c>
      <c r="B194" s="8" t="s">
        <v>31</v>
      </c>
      <c r="C194" s="8" t="s">
        <v>27</v>
      </c>
      <c r="D194" s="8">
        <v>40</v>
      </c>
      <c r="E194" s="8" t="s">
        <v>32</v>
      </c>
      <c r="F194" t="s">
        <v>29</v>
      </c>
      <c r="G194" s="8">
        <v>5000</v>
      </c>
      <c r="H194" s="7">
        <v>46175</v>
      </c>
      <c r="I194" s="9">
        <v>270</v>
      </c>
    </row>
    <row r="195" spans="1:9" x14ac:dyDescent="0.3">
      <c r="A195" s="8" t="s">
        <v>30</v>
      </c>
      <c r="B195" s="8" t="s">
        <v>31</v>
      </c>
      <c r="C195" s="8" t="s">
        <v>27</v>
      </c>
      <c r="D195" s="8">
        <v>40</v>
      </c>
      <c r="E195" s="8" t="s">
        <v>32</v>
      </c>
      <c r="F195" t="s">
        <v>29</v>
      </c>
      <c r="G195" s="8">
        <v>5000</v>
      </c>
      <c r="H195" s="7">
        <v>46175</v>
      </c>
      <c r="I195" s="9">
        <v>270</v>
      </c>
    </row>
    <row r="196" spans="1:9" x14ac:dyDescent="0.3">
      <c r="A196" s="8" t="s">
        <v>30</v>
      </c>
      <c r="B196" s="8" t="s">
        <v>31</v>
      </c>
      <c r="C196" s="8" t="s">
        <v>27</v>
      </c>
      <c r="D196" s="8">
        <v>40</v>
      </c>
      <c r="E196" s="8" t="s">
        <v>32</v>
      </c>
      <c r="F196" t="s">
        <v>29</v>
      </c>
      <c r="G196" s="8">
        <v>5000</v>
      </c>
      <c r="H196" s="7">
        <v>46175</v>
      </c>
      <c r="I196" s="9">
        <v>270</v>
      </c>
    </row>
    <row r="197" spans="1:9" x14ac:dyDescent="0.3">
      <c r="A197" s="8" t="s">
        <v>30</v>
      </c>
      <c r="B197" s="8" t="s">
        <v>31</v>
      </c>
      <c r="C197" s="8" t="s">
        <v>27</v>
      </c>
      <c r="D197" s="8">
        <v>40</v>
      </c>
      <c r="E197" s="8" t="s">
        <v>32</v>
      </c>
      <c r="F197" t="s">
        <v>29</v>
      </c>
      <c r="G197" s="8">
        <v>5000</v>
      </c>
      <c r="H197" s="7">
        <v>46175</v>
      </c>
      <c r="I197" s="9">
        <v>270</v>
      </c>
    </row>
    <row r="198" spans="1:9" x14ac:dyDescent="0.3">
      <c r="A198" s="8" t="s">
        <v>30</v>
      </c>
      <c r="B198" s="8" t="s">
        <v>31</v>
      </c>
      <c r="C198" s="8" t="s">
        <v>27</v>
      </c>
      <c r="D198" s="8">
        <v>40</v>
      </c>
      <c r="E198" s="8" t="s">
        <v>32</v>
      </c>
      <c r="F198" t="s">
        <v>29</v>
      </c>
      <c r="G198" s="8">
        <v>5000</v>
      </c>
      <c r="H198" s="7">
        <v>46175</v>
      </c>
      <c r="I198" s="9">
        <v>270</v>
      </c>
    </row>
    <row r="199" spans="1:9" x14ac:dyDescent="0.3">
      <c r="A199" s="8" t="s">
        <v>30</v>
      </c>
      <c r="B199" s="8" t="s">
        <v>31</v>
      </c>
      <c r="C199" s="8" t="s">
        <v>27</v>
      </c>
      <c r="D199" s="8">
        <v>40</v>
      </c>
      <c r="E199" s="8" t="s">
        <v>32</v>
      </c>
      <c r="F199" t="s">
        <v>29</v>
      </c>
      <c r="G199" s="8">
        <v>5000</v>
      </c>
      <c r="H199" s="7">
        <v>46175</v>
      </c>
      <c r="I199" s="9">
        <v>270</v>
      </c>
    </row>
    <row r="200" spans="1:9" x14ac:dyDescent="0.3">
      <c r="A200" s="8" t="s">
        <v>30</v>
      </c>
      <c r="B200" s="8" t="s">
        <v>31</v>
      </c>
      <c r="C200" s="8" t="s">
        <v>27</v>
      </c>
      <c r="D200" s="8">
        <v>40</v>
      </c>
      <c r="E200" s="8" t="s">
        <v>32</v>
      </c>
      <c r="F200" t="s">
        <v>29</v>
      </c>
      <c r="G200" s="8">
        <v>5000</v>
      </c>
      <c r="H200" s="7">
        <v>46175</v>
      </c>
      <c r="I200" s="9">
        <v>270</v>
      </c>
    </row>
    <row r="201" spans="1:9" x14ac:dyDescent="0.3">
      <c r="A201" s="8" t="s">
        <v>30</v>
      </c>
      <c r="B201" s="8" t="s">
        <v>31</v>
      </c>
      <c r="C201" s="8" t="s">
        <v>27</v>
      </c>
      <c r="D201" s="8">
        <v>40</v>
      </c>
      <c r="E201" s="8" t="s">
        <v>32</v>
      </c>
      <c r="F201" t="s">
        <v>29</v>
      </c>
      <c r="G201" s="8">
        <v>5000</v>
      </c>
      <c r="H201" s="7">
        <v>46175</v>
      </c>
      <c r="I201" s="9">
        <v>270</v>
      </c>
    </row>
    <row r="202" spans="1:9" x14ac:dyDescent="0.3">
      <c r="A202" s="8" t="s">
        <v>30</v>
      </c>
      <c r="B202" s="8" t="s">
        <v>31</v>
      </c>
      <c r="C202" s="8" t="s">
        <v>27</v>
      </c>
      <c r="D202" s="8">
        <v>40</v>
      </c>
      <c r="E202" s="8" t="s">
        <v>32</v>
      </c>
      <c r="F202" t="s">
        <v>29</v>
      </c>
      <c r="G202" s="8">
        <v>5000</v>
      </c>
      <c r="H202" s="7">
        <v>46175</v>
      </c>
      <c r="I202" s="9">
        <v>270</v>
      </c>
    </row>
    <row r="203" spans="1:9" x14ac:dyDescent="0.3">
      <c r="A203" s="8" t="s">
        <v>30</v>
      </c>
      <c r="B203" s="8" t="s">
        <v>31</v>
      </c>
      <c r="C203" s="8" t="s">
        <v>27</v>
      </c>
      <c r="D203" s="8">
        <v>40</v>
      </c>
      <c r="E203" s="8" t="s">
        <v>32</v>
      </c>
      <c r="F203" t="s">
        <v>29</v>
      </c>
      <c r="G203" s="8">
        <v>5000</v>
      </c>
      <c r="H203" s="7">
        <v>46175</v>
      </c>
      <c r="I203" s="9">
        <v>270</v>
      </c>
    </row>
    <row r="204" spans="1:9" x14ac:dyDescent="0.3">
      <c r="A204" s="8" t="s">
        <v>30</v>
      </c>
      <c r="B204" s="8" t="s">
        <v>31</v>
      </c>
      <c r="C204" s="8" t="s">
        <v>27</v>
      </c>
      <c r="D204" s="8">
        <v>40</v>
      </c>
      <c r="E204" s="8" t="s">
        <v>32</v>
      </c>
      <c r="F204" t="s">
        <v>29</v>
      </c>
      <c r="G204" s="8">
        <v>5000</v>
      </c>
      <c r="H204" s="7">
        <v>46175</v>
      </c>
      <c r="I204" s="9">
        <v>270</v>
      </c>
    </row>
    <row r="205" spans="1:9" x14ac:dyDescent="0.3">
      <c r="A205" s="8" t="s">
        <v>30</v>
      </c>
      <c r="B205" s="8" t="s">
        <v>31</v>
      </c>
      <c r="C205" s="8" t="s">
        <v>27</v>
      </c>
      <c r="D205" s="8">
        <v>40</v>
      </c>
      <c r="E205" s="8" t="s">
        <v>32</v>
      </c>
      <c r="F205" t="s">
        <v>29</v>
      </c>
      <c r="G205" s="8">
        <v>5000</v>
      </c>
      <c r="H205" s="7">
        <v>46175</v>
      </c>
      <c r="I205" s="9">
        <v>270</v>
      </c>
    </row>
    <row r="206" spans="1:9" x14ac:dyDescent="0.3">
      <c r="A206" s="8" t="s">
        <v>30</v>
      </c>
      <c r="B206" s="8" t="s">
        <v>31</v>
      </c>
      <c r="C206" s="8" t="s">
        <v>27</v>
      </c>
      <c r="D206" s="8">
        <v>40</v>
      </c>
      <c r="E206" s="8" t="s">
        <v>32</v>
      </c>
      <c r="F206" t="s">
        <v>29</v>
      </c>
      <c r="G206" s="8">
        <v>5000</v>
      </c>
      <c r="H206" s="7">
        <v>46175</v>
      </c>
      <c r="I206" s="9">
        <v>270</v>
      </c>
    </row>
    <row r="207" spans="1:9" x14ac:dyDescent="0.3">
      <c r="A207" s="8" t="s">
        <v>30</v>
      </c>
      <c r="B207" s="8" t="s">
        <v>31</v>
      </c>
      <c r="C207" s="8" t="s">
        <v>27</v>
      </c>
      <c r="D207" s="8">
        <v>40</v>
      </c>
      <c r="E207" s="8" t="s">
        <v>32</v>
      </c>
      <c r="F207" t="s">
        <v>29</v>
      </c>
      <c r="G207" s="8">
        <v>5000</v>
      </c>
      <c r="H207" s="7">
        <v>46175</v>
      </c>
      <c r="I207" s="9">
        <v>270</v>
      </c>
    </row>
    <row r="208" spans="1:9" x14ac:dyDescent="0.3">
      <c r="A208" s="8" t="s">
        <v>30</v>
      </c>
      <c r="B208" s="8" t="s">
        <v>31</v>
      </c>
      <c r="C208" s="8" t="s">
        <v>27</v>
      </c>
      <c r="D208" s="8">
        <v>40</v>
      </c>
      <c r="E208" s="8" t="s">
        <v>32</v>
      </c>
      <c r="F208" t="s">
        <v>29</v>
      </c>
      <c r="G208" s="8">
        <v>5000</v>
      </c>
      <c r="H208" s="7">
        <v>46175</v>
      </c>
      <c r="I208" s="9">
        <v>270</v>
      </c>
    </row>
    <row r="209" spans="1:9" x14ac:dyDescent="0.3">
      <c r="A209" s="8" t="s">
        <v>30</v>
      </c>
      <c r="B209" s="8" t="s">
        <v>31</v>
      </c>
      <c r="C209" s="8" t="s">
        <v>27</v>
      </c>
      <c r="D209" s="8">
        <v>40</v>
      </c>
      <c r="E209" s="8" t="s">
        <v>32</v>
      </c>
      <c r="F209" t="s">
        <v>29</v>
      </c>
      <c r="G209" s="8">
        <v>5000</v>
      </c>
      <c r="H209" s="7">
        <v>46175</v>
      </c>
      <c r="I209" s="9">
        <v>270</v>
      </c>
    </row>
    <row r="210" spans="1:9" x14ac:dyDescent="0.3">
      <c r="A210" s="8" t="s">
        <v>30</v>
      </c>
      <c r="B210" s="8" t="s">
        <v>31</v>
      </c>
      <c r="C210" s="8" t="s">
        <v>27</v>
      </c>
      <c r="D210" s="8">
        <v>40</v>
      </c>
      <c r="E210" s="8" t="s">
        <v>32</v>
      </c>
      <c r="F210" t="s">
        <v>29</v>
      </c>
      <c r="G210" s="8">
        <v>5000</v>
      </c>
      <c r="H210" s="7">
        <v>46175</v>
      </c>
      <c r="I210" s="9">
        <v>270</v>
      </c>
    </row>
    <row r="211" spans="1:9" x14ac:dyDescent="0.3">
      <c r="A211" s="8" t="s">
        <v>30</v>
      </c>
      <c r="B211" s="8" t="s">
        <v>31</v>
      </c>
      <c r="C211" s="8" t="s">
        <v>27</v>
      </c>
      <c r="D211" s="8">
        <v>40</v>
      </c>
      <c r="E211" s="8" t="s">
        <v>32</v>
      </c>
      <c r="F211" t="s">
        <v>29</v>
      </c>
      <c r="G211" s="8">
        <v>5000</v>
      </c>
      <c r="H211" s="7">
        <v>46175</v>
      </c>
      <c r="I211" s="9">
        <v>270</v>
      </c>
    </row>
    <row r="212" spans="1:9" x14ac:dyDescent="0.3">
      <c r="A212" s="8" t="s">
        <v>30</v>
      </c>
      <c r="B212" s="8" t="s">
        <v>31</v>
      </c>
      <c r="C212" s="8" t="s">
        <v>27</v>
      </c>
      <c r="D212" s="8">
        <v>40</v>
      </c>
      <c r="E212" s="8" t="s">
        <v>32</v>
      </c>
      <c r="F212" t="s">
        <v>29</v>
      </c>
      <c r="G212" s="8">
        <v>5000</v>
      </c>
      <c r="H212" s="7">
        <v>46175</v>
      </c>
      <c r="I212" s="9">
        <v>270</v>
      </c>
    </row>
    <row r="213" spans="1:9" x14ac:dyDescent="0.3">
      <c r="A213" s="8" t="s">
        <v>30</v>
      </c>
      <c r="B213" s="8" t="s">
        <v>31</v>
      </c>
      <c r="C213" s="8" t="s">
        <v>27</v>
      </c>
      <c r="D213" s="8">
        <v>40</v>
      </c>
      <c r="E213" s="8" t="s">
        <v>32</v>
      </c>
      <c r="F213" t="s">
        <v>29</v>
      </c>
      <c r="G213" s="8">
        <v>5000</v>
      </c>
      <c r="H213" s="7">
        <v>46175</v>
      </c>
      <c r="I213" s="9">
        <v>270</v>
      </c>
    </row>
    <row r="214" spans="1:9" x14ac:dyDescent="0.3">
      <c r="A214" s="8" t="s">
        <v>30</v>
      </c>
      <c r="B214" s="8" t="s">
        <v>31</v>
      </c>
      <c r="C214" s="8" t="s">
        <v>27</v>
      </c>
      <c r="D214" s="8">
        <v>40</v>
      </c>
      <c r="E214" s="8" t="s">
        <v>32</v>
      </c>
      <c r="F214" t="s">
        <v>29</v>
      </c>
      <c r="G214" s="8">
        <v>5000</v>
      </c>
      <c r="H214" s="7">
        <v>46175</v>
      </c>
      <c r="I214" s="9">
        <v>270</v>
      </c>
    </row>
    <row r="215" spans="1:9" x14ac:dyDescent="0.3">
      <c r="A215" s="8" t="s">
        <v>30</v>
      </c>
      <c r="B215" s="8" t="s">
        <v>31</v>
      </c>
      <c r="C215" s="8" t="s">
        <v>27</v>
      </c>
      <c r="D215" s="8">
        <v>40</v>
      </c>
      <c r="E215" s="8" t="s">
        <v>32</v>
      </c>
      <c r="F215" t="s">
        <v>29</v>
      </c>
      <c r="G215" s="8">
        <v>5000</v>
      </c>
      <c r="H215" s="7">
        <v>46175</v>
      </c>
      <c r="I215" s="9">
        <v>270</v>
      </c>
    </row>
    <row r="216" spans="1:9" x14ac:dyDescent="0.3">
      <c r="A216" s="8" t="s">
        <v>30</v>
      </c>
      <c r="B216" s="8" t="s">
        <v>31</v>
      </c>
      <c r="C216" s="8" t="s">
        <v>27</v>
      </c>
      <c r="D216" s="8">
        <v>40</v>
      </c>
      <c r="E216" s="8" t="s">
        <v>32</v>
      </c>
      <c r="F216" t="s">
        <v>29</v>
      </c>
      <c r="G216" s="8">
        <v>5000</v>
      </c>
      <c r="H216" s="7">
        <v>46175</v>
      </c>
      <c r="I216" s="9">
        <v>270</v>
      </c>
    </row>
    <row r="217" spans="1:9" x14ac:dyDescent="0.3">
      <c r="A217" s="8" t="s">
        <v>30</v>
      </c>
      <c r="B217" s="8" t="s">
        <v>31</v>
      </c>
      <c r="C217" s="8" t="s">
        <v>27</v>
      </c>
      <c r="D217" s="8">
        <v>40</v>
      </c>
      <c r="E217" s="8" t="s">
        <v>32</v>
      </c>
      <c r="F217" t="s">
        <v>29</v>
      </c>
      <c r="G217" s="8">
        <v>5000</v>
      </c>
      <c r="H217" s="7">
        <v>46175</v>
      </c>
      <c r="I217" s="9">
        <v>270</v>
      </c>
    </row>
    <row r="218" spans="1:9" x14ac:dyDescent="0.3">
      <c r="A218" s="8" t="s">
        <v>30</v>
      </c>
      <c r="B218" s="8" t="s">
        <v>31</v>
      </c>
      <c r="C218" s="8" t="s">
        <v>27</v>
      </c>
      <c r="D218" s="8">
        <v>40</v>
      </c>
      <c r="E218" s="8" t="s">
        <v>32</v>
      </c>
      <c r="F218" t="s">
        <v>29</v>
      </c>
      <c r="G218" s="8">
        <v>5000</v>
      </c>
      <c r="H218" s="7">
        <v>46175</v>
      </c>
      <c r="I218" s="9">
        <v>270</v>
      </c>
    </row>
    <row r="219" spans="1:9" x14ac:dyDescent="0.3">
      <c r="A219" s="8" t="s">
        <v>30</v>
      </c>
      <c r="B219" s="8" t="s">
        <v>31</v>
      </c>
      <c r="C219" s="8" t="s">
        <v>27</v>
      </c>
      <c r="D219" s="8">
        <v>40</v>
      </c>
      <c r="E219" s="8" t="s">
        <v>32</v>
      </c>
      <c r="F219" t="s">
        <v>29</v>
      </c>
      <c r="G219" s="8">
        <v>5000</v>
      </c>
      <c r="H219" s="7">
        <v>46175</v>
      </c>
      <c r="I219" s="9">
        <v>270</v>
      </c>
    </row>
    <row r="220" spans="1:9" x14ac:dyDescent="0.3">
      <c r="A220" s="8" t="s">
        <v>25</v>
      </c>
      <c r="B220" s="8" t="s">
        <v>26</v>
      </c>
      <c r="C220" s="8" t="s">
        <v>27</v>
      </c>
      <c r="D220" s="8">
        <v>80</v>
      </c>
      <c r="E220" s="8" t="s">
        <v>28</v>
      </c>
      <c r="F220" t="s">
        <v>29</v>
      </c>
      <c r="G220" s="8">
        <v>5000</v>
      </c>
      <c r="H220" s="7">
        <v>46176</v>
      </c>
      <c r="I220" s="9">
        <v>270</v>
      </c>
    </row>
    <row r="221" spans="1:9" x14ac:dyDescent="0.3">
      <c r="A221" s="8" t="s">
        <v>25</v>
      </c>
      <c r="B221" s="8" t="s">
        <v>26</v>
      </c>
      <c r="C221" s="8" t="s">
        <v>27</v>
      </c>
      <c r="D221" s="8">
        <v>80</v>
      </c>
      <c r="E221" s="8" t="s">
        <v>28</v>
      </c>
      <c r="F221" t="s">
        <v>29</v>
      </c>
      <c r="G221" s="8">
        <v>5000</v>
      </c>
      <c r="H221" s="7">
        <v>46176</v>
      </c>
      <c r="I221" s="9">
        <v>264</v>
      </c>
    </row>
    <row r="222" spans="1:9" x14ac:dyDescent="0.3">
      <c r="A222" s="8" t="s">
        <v>14</v>
      </c>
      <c r="B222" s="8" t="s">
        <v>15</v>
      </c>
      <c r="C222" s="8" t="s">
        <v>11</v>
      </c>
      <c r="D222" s="8">
        <v>105</v>
      </c>
      <c r="E222" s="8" t="s">
        <v>16</v>
      </c>
      <c r="F222" t="s">
        <v>17</v>
      </c>
      <c r="G222" s="9">
        <v>15000</v>
      </c>
      <c r="H222" s="7">
        <v>46178</v>
      </c>
      <c r="I222" s="9">
        <v>13000</v>
      </c>
    </row>
    <row r="223" spans="1:9" x14ac:dyDescent="0.3">
      <c r="A223" s="8" t="s">
        <v>22</v>
      </c>
      <c r="B223" s="8" t="s">
        <v>23</v>
      </c>
      <c r="C223" s="8" t="s">
        <v>11</v>
      </c>
      <c r="D223" s="8">
        <v>55</v>
      </c>
      <c r="E223" s="8" t="s">
        <v>24</v>
      </c>
      <c r="F223" t="s">
        <v>17</v>
      </c>
      <c r="G223" s="9">
        <v>15000</v>
      </c>
      <c r="H223" s="7">
        <v>46178</v>
      </c>
      <c r="I223" s="9">
        <v>2146</v>
      </c>
    </row>
    <row r="224" spans="1:9" x14ac:dyDescent="0.3">
      <c r="A224" s="8" t="s">
        <v>25</v>
      </c>
      <c r="B224" s="8" t="s">
        <v>26</v>
      </c>
      <c r="C224" s="8" t="s">
        <v>27</v>
      </c>
      <c r="D224" s="8">
        <v>80</v>
      </c>
      <c r="E224" s="8" t="s">
        <v>28</v>
      </c>
      <c r="F224" t="s">
        <v>29</v>
      </c>
      <c r="G224" s="8">
        <v>5000</v>
      </c>
      <c r="H224" s="7">
        <v>46178</v>
      </c>
      <c r="I224" s="9">
        <v>270</v>
      </c>
    </row>
    <row r="225" spans="1:9" x14ac:dyDescent="0.3">
      <c r="A225" s="8" t="s">
        <v>25</v>
      </c>
      <c r="B225" s="8" t="s">
        <v>26</v>
      </c>
      <c r="C225" s="8" t="s">
        <v>27</v>
      </c>
      <c r="D225" s="8">
        <v>80</v>
      </c>
      <c r="E225" s="8" t="s">
        <v>28</v>
      </c>
      <c r="F225" t="s">
        <v>29</v>
      </c>
      <c r="G225" s="8">
        <v>5000</v>
      </c>
      <c r="H225" s="7">
        <v>46178</v>
      </c>
      <c r="I225" s="9">
        <v>270</v>
      </c>
    </row>
    <row r="226" spans="1:9" x14ac:dyDescent="0.3">
      <c r="A226" s="8" t="s">
        <v>25</v>
      </c>
      <c r="B226" s="8" t="s">
        <v>26</v>
      </c>
      <c r="C226" s="8" t="s">
        <v>27</v>
      </c>
      <c r="D226" s="8">
        <v>80</v>
      </c>
      <c r="E226" s="8" t="s">
        <v>28</v>
      </c>
      <c r="F226" t="s">
        <v>29</v>
      </c>
      <c r="G226" s="8">
        <v>5000</v>
      </c>
      <c r="H226" s="7">
        <v>46178</v>
      </c>
      <c r="I226" s="9">
        <v>270</v>
      </c>
    </row>
    <row r="227" spans="1:9" x14ac:dyDescent="0.3">
      <c r="A227" s="8" t="s">
        <v>25</v>
      </c>
      <c r="B227" s="8" t="s">
        <v>26</v>
      </c>
      <c r="C227" s="8" t="s">
        <v>27</v>
      </c>
      <c r="D227" s="8">
        <v>80</v>
      </c>
      <c r="E227" s="8" t="s">
        <v>28</v>
      </c>
      <c r="F227" t="s">
        <v>29</v>
      </c>
      <c r="G227" s="8">
        <v>5000</v>
      </c>
      <c r="H227" s="7">
        <v>46178</v>
      </c>
      <c r="I227" s="9">
        <v>270</v>
      </c>
    </row>
    <row r="228" spans="1:9" x14ac:dyDescent="0.3">
      <c r="A228" s="8" t="s">
        <v>25</v>
      </c>
      <c r="B228" s="8" t="s">
        <v>26</v>
      </c>
      <c r="C228" s="8" t="s">
        <v>27</v>
      </c>
      <c r="D228" s="8">
        <v>80</v>
      </c>
      <c r="E228" s="8" t="s">
        <v>28</v>
      </c>
      <c r="F228" t="s">
        <v>29</v>
      </c>
      <c r="G228" s="8">
        <v>5000</v>
      </c>
      <c r="H228" s="7">
        <v>46178</v>
      </c>
      <c r="I228" s="9">
        <v>270</v>
      </c>
    </row>
    <row r="229" spans="1:9" x14ac:dyDescent="0.3">
      <c r="A229" s="8" t="s">
        <v>25</v>
      </c>
      <c r="B229" s="8" t="s">
        <v>26</v>
      </c>
      <c r="C229" s="8" t="s">
        <v>27</v>
      </c>
      <c r="D229" s="8">
        <v>80</v>
      </c>
      <c r="E229" s="8" t="s">
        <v>28</v>
      </c>
      <c r="F229" t="s">
        <v>29</v>
      </c>
      <c r="G229" s="8">
        <v>5000</v>
      </c>
      <c r="H229" s="7">
        <v>46178</v>
      </c>
      <c r="I229" s="9">
        <v>270</v>
      </c>
    </row>
    <row r="230" spans="1:9" x14ac:dyDescent="0.3">
      <c r="A230" s="8" t="s">
        <v>25</v>
      </c>
      <c r="B230" s="8" t="s">
        <v>26</v>
      </c>
      <c r="C230" s="8" t="s">
        <v>27</v>
      </c>
      <c r="D230" s="8">
        <v>80</v>
      </c>
      <c r="E230" s="8" t="s">
        <v>28</v>
      </c>
      <c r="F230" t="s">
        <v>29</v>
      </c>
      <c r="G230" s="8">
        <v>5000</v>
      </c>
      <c r="H230" s="7">
        <v>46178</v>
      </c>
      <c r="I230" s="9">
        <v>270</v>
      </c>
    </row>
    <row r="231" spans="1:9" x14ac:dyDescent="0.3">
      <c r="A231" s="8" t="s">
        <v>25</v>
      </c>
      <c r="B231" s="8" t="s">
        <v>26</v>
      </c>
      <c r="C231" s="8" t="s">
        <v>27</v>
      </c>
      <c r="D231" s="8">
        <v>80</v>
      </c>
      <c r="E231" s="8" t="s">
        <v>28</v>
      </c>
      <c r="F231" t="s">
        <v>29</v>
      </c>
      <c r="G231" s="8">
        <v>5000</v>
      </c>
      <c r="H231" s="7">
        <v>46178</v>
      </c>
      <c r="I231" s="9">
        <v>270</v>
      </c>
    </row>
    <row r="232" spans="1:9" x14ac:dyDescent="0.3">
      <c r="A232" s="8" t="s">
        <v>25</v>
      </c>
      <c r="B232" s="8" t="s">
        <v>26</v>
      </c>
      <c r="C232" s="8" t="s">
        <v>27</v>
      </c>
      <c r="D232" s="8">
        <v>80</v>
      </c>
      <c r="E232" s="8" t="s">
        <v>28</v>
      </c>
      <c r="F232" t="s">
        <v>29</v>
      </c>
      <c r="G232" s="8">
        <v>5000</v>
      </c>
      <c r="H232" s="7">
        <v>46178</v>
      </c>
      <c r="I232" s="9">
        <v>270</v>
      </c>
    </row>
    <row r="233" spans="1:9" x14ac:dyDescent="0.3">
      <c r="A233" s="8" t="s">
        <v>25</v>
      </c>
      <c r="B233" s="8" t="s">
        <v>26</v>
      </c>
      <c r="C233" s="8" t="s">
        <v>27</v>
      </c>
      <c r="D233" s="8">
        <v>80</v>
      </c>
      <c r="E233" s="8" t="s">
        <v>28</v>
      </c>
      <c r="F233" t="s">
        <v>29</v>
      </c>
      <c r="G233" s="8">
        <v>5000</v>
      </c>
      <c r="H233" s="7">
        <v>46178</v>
      </c>
      <c r="I233" s="9">
        <v>270</v>
      </c>
    </row>
    <row r="234" spans="1:9" x14ac:dyDescent="0.3">
      <c r="A234" s="8" t="s">
        <v>25</v>
      </c>
      <c r="B234" s="8" t="s">
        <v>26</v>
      </c>
      <c r="C234" s="8" t="s">
        <v>27</v>
      </c>
      <c r="D234" s="8">
        <v>80</v>
      </c>
      <c r="E234" s="8" t="s">
        <v>28</v>
      </c>
      <c r="F234" t="s">
        <v>29</v>
      </c>
      <c r="G234" s="8">
        <v>5000</v>
      </c>
      <c r="H234" s="7">
        <v>46178</v>
      </c>
      <c r="I234" s="9">
        <v>270</v>
      </c>
    </row>
    <row r="235" spans="1:9" x14ac:dyDescent="0.3">
      <c r="A235" s="8" t="s">
        <v>25</v>
      </c>
      <c r="B235" s="8" t="s">
        <v>26</v>
      </c>
      <c r="C235" s="8" t="s">
        <v>27</v>
      </c>
      <c r="D235" s="8">
        <v>80</v>
      </c>
      <c r="E235" s="8" t="s">
        <v>28</v>
      </c>
      <c r="F235" t="s">
        <v>29</v>
      </c>
      <c r="G235" s="8">
        <v>5000</v>
      </c>
      <c r="H235" s="7">
        <v>46178</v>
      </c>
      <c r="I235" s="9">
        <v>270</v>
      </c>
    </row>
    <row r="236" spans="1:9" x14ac:dyDescent="0.3">
      <c r="A236" s="8" t="s">
        <v>25</v>
      </c>
      <c r="B236" s="8" t="s">
        <v>26</v>
      </c>
      <c r="C236" s="8" t="s">
        <v>27</v>
      </c>
      <c r="D236" s="8">
        <v>80</v>
      </c>
      <c r="E236" s="8" t="s">
        <v>28</v>
      </c>
      <c r="F236" t="s">
        <v>29</v>
      </c>
      <c r="G236" s="8">
        <v>5000</v>
      </c>
      <c r="H236" s="7">
        <v>46178</v>
      </c>
      <c r="I236" s="9">
        <v>270</v>
      </c>
    </row>
    <row r="237" spans="1:9" x14ac:dyDescent="0.3">
      <c r="A237" s="8" t="s">
        <v>25</v>
      </c>
      <c r="B237" s="8" t="s">
        <v>26</v>
      </c>
      <c r="C237" s="8" t="s">
        <v>27</v>
      </c>
      <c r="D237" s="8">
        <v>80</v>
      </c>
      <c r="E237" s="8" t="s">
        <v>28</v>
      </c>
      <c r="F237" t="s">
        <v>29</v>
      </c>
      <c r="G237" s="8">
        <v>5000</v>
      </c>
      <c r="H237" s="7">
        <v>46178</v>
      </c>
      <c r="I237" s="9">
        <v>270</v>
      </c>
    </row>
    <row r="238" spans="1:9" x14ac:dyDescent="0.3">
      <c r="A238" s="8" t="s">
        <v>25</v>
      </c>
      <c r="B238" s="8" t="s">
        <v>26</v>
      </c>
      <c r="C238" s="8" t="s">
        <v>27</v>
      </c>
      <c r="D238" s="8">
        <v>80</v>
      </c>
      <c r="E238" s="8" t="s">
        <v>28</v>
      </c>
      <c r="F238" t="s">
        <v>29</v>
      </c>
      <c r="G238" s="8">
        <v>5000</v>
      </c>
      <c r="H238" s="7">
        <v>46178</v>
      </c>
      <c r="I238" s="9">
        <v>270</v>
      </c>
    </row>
    <row r="239" spans="1:9" x14ac:dyDescent="0.3">
      <c r="A239" s="8" t="s">
        <v>25</v>
      </c>
      <c r="B239" s="8" t="s">
        <v>26</v>
      </c>
      <c r="C239" s="8" t="s">
        <v>27</v>
      </c>
      <c r="D239" s="8">
        <v>80</v>
      </c>
      <c r="E239" s="8" t="s">
        <v>28</v>
      </c>
      <c r="F239" t="s">
        <v>29</v>
      </c>
      <c r="G239" s="8">
        <v>5000</v>
      </c>
      <c r="H239" s="7">
        <v>46178</v>
      </c>
      <c r="I239" s="9">
        <v>270</v>
      </c>
    </row>
    <row r="240" spans="1:9" x14ac:dyDescent="0.3">
      <c r="A240" s="8" t="s">
        <v>25</v>
      </c>
      <c r="B240" s="8" t="s">
        <v>26</v>
      </c>
      <c r="C240" s="8" t="s">
        <v>27</v>
      </c>
      <c r="D240" s="8">
        <v>80</v>
      </c>
      <c r="E240" s="8" t="s">
        <v>28</v>
      </c>
      <c r="F240" t="s">
        <v>29</v>
      </c>
      <c r="G240" s="8">
        <v>5000</v>
      </c>
      <c r="H240" s="7">
        <v>46178</v>
      </c>
      <c r="I240" s="9">
        <v>270</v>
      </c>
    </row>
    <row r="241" spans="1:9" x14ac:dyDescent="0.3">
      <c r="A241" s="8" t="s">
        <v>25</v>
      </c>
      <c r="B241" s="8" t="s">
        <v>26</v>
      </c>
      <c r="C241" s="8" t="s">
        <v>27</v>
      </c>
      <c r="D241" s="8">
        <v>80</v>
      </c>
      <c r="E241" s="8" t="s">
        <v>28</v>
      </c>
      <c r="F241" t="s">
        <v>29</v>
      </c>
      <c r="G241" s="8">
        <v>5000</v>
      </c>
      <c r="H241" s="7">
        <v>46178</v>
      </c>
      <c r="I241" s="9">
        <v>270</v>
      </c>
    </row>
    <row r="242" spans="1:9" x14ac:dyDescent="0.3">
      <c r="A242" s="8" t="s">
        <v>25</v>
      </c>
      <c r="B242" s="8" t="s">
        <v>26</v>
      </c>
      <c r="C242" s="8" t="s">
        <v>27</v>
      </c>
      <c r="D242" s="8">
        <v>80</v>
      </c>
      <c r="E242" s="8" t="s">
        <v>28</v>
      </c>
      <c r="F242" t="s">
        <v>29</v>
      </c>
      <c r="G242" s="8">
        <v>5000</v>
      </c>
      <c r="H242" s="7">
        <v>46178</v>
      </c>
      <c r="I242" s="9">
        <v>270</v>
      </c>
    </row>
    <row r="243" spans="1:9" x14ac:dyDescent="0.3">
      <c r="A243" s="8" t="s">
        <v>25</v>
      </c>
      <c r="B243" s="8" t="s">
        <v>26</v>
      </c>
      <c r="C243" s="8" t="s">
        <v>27</v>
      </c>
      <c r="D243" s="8">
        <v>80</v>
      </c>
      <c r="E243" s="8" t="s">
        <v>28</v>
      </c>
      <c r="F243" t="s">
        <v>29</v>
      </c>
      <c r="G243" s="8">
        <v>5000</v>
      </c>
      <c r="H243" s="7">
        <v>46178</v>
      </c>
      <c r="I243" s="9">
        <v>270</v>
      </c>
    </row>
    <row r="244" spans="1:9" x14ac:dyDescent="0.3">
      <c r="A244" s="8" t="s">
        <v>25</v>
      </c>
      <c r="B244" s="8" t="s">
        <v>26</v>
      </c>
      <c r="C244" s="8" t="s">
        <v>27</v>
      </c>
      <c r="D244" s="8">
        <v>80</v>
      </c>
      <c r="E244" s="8" t="s">
        <v>28</v>
      </c>
      <c r="F244" t="s">
        <v>29</v>
      </c>
      <c r="G244" s="8">
        <v>5000</v>
      </c>
      <c r="H244" s="7">
        <v>46178</v>
      </c>
      <c r="I244" s="9">
        <v>270</v>
      </c>
    </row>
    <row r="245" spans="1:9" x14ac:dyDescent="0.3">
      <c r="A245" s="8" t="s">
        <v>25</v>
      </c>
      <c r="B245" s="8" t="s">
        <v>26</v>
      </c>
      <c r="C245" s="8" t="s">
        <v>27</v>
      </c>
      <c r="D245" s="8">
        <v>80</v>
      </c>
      <c r="E245" s="8" t="s">
        <v>28</v>
      </c>
      <c r="F245" t="s">
        <v>29</v>
      </c>
      <c r="G245" s="8">
        <v>5000</v>
      </c>
      <c r="H245" s="7">
        <v>46178</v>
      </c>
      <c r="I245" s="9">
        <v>270</v>
      </c>
    </row>
    <row r="246" spans="1:9" x14ac:dyDescent="0.3">
      <c r="A246" s="8" t="s">
        <v>25</v>
      </c>
      <c r="B246" s="8" t="s">
        <v>26</v>
      </c>
      <c r="C246" s="8" t="s">
        <v>27</v>
      </c>
      <c r="D246" s="8">
        <v>80</v>
      </c>
      <c r="E246" s="8" t="s">
        <v>28</v>
      </c>
      <c r="F246" t="s">
        <v>29</v>
      </c>
      <c r="G246" s="8">
        <v>5000</v>
      </c>
      <c r="H246" s="7">
        <v>46178</v>
      </c>
      <c r="I246" s="9">
        <v>270</v>
      </c>
    </row>
    <row r="247" spans="1:9" x14ac:dyDescent="0.3">
      <c r="A247" s="8" t="s">
        <v>25</v>
      </c>
      <c r="B247" s="8" t="s">
        <v>26</v>
      </c>
      <c r="C247" s="8" t="s">
        <v>27</v>
      </c>
      <c r="D247" s="8">
        <v>80</v>
      </c>
      <c r="E247" s="8" t="s">
        <v>28</v>
      </c>
      <c r="F247" t="s">
        <v>29</v>
      </c>
      <c r="G247" s="8">
        <v>5000</v>
      </c>
      <c r="H247" s="7">
        <v>46178</v>
      </c>
      <c r="I247" s="9">
        <v>270</v>
      </c>
    </row>
    <row r="248" spans="1:9" x14ac:dyDescent="0.3">
      <c r="A248" s="8" t="s">
        <v>25</v>
      </c>
      <c r="B248" s="8" t="s">
        <v>26</v>
      </c>
      <c r="C248" s="8" t="s">
        <v>27</v>
      </c>
      <c r="D248" s="8">
        <v>80</v>
      </c>
      <c r="E248" s="8" t="s">
        <v>28</v>
      </c>
      <c r="F248" t="s">
        <v>29</v>
      </c>
      <c r="G248" s="8">
        <v>5000</v>
      </c>
      <c r="H248" s="7">
        <v>46178</v>
      </c>
      <c r="I248" s="9">
        <v>270</v>
      </c>
    </row>
    <row r="249" spans="1:9" x14ac:dyDescent="0.3">
      <c r="A249" s="8" t="s">
        <v>25</v>
      </c>
      <c r="B249" s="8" t="s">
        <v>26</v>
      </c>
      <c r="C249" s="8" t="s">
        <v>27</v>
      </c>
      <c r="D249" s="8">
        <v>80</v>
      </c>
      <c r="E249" s="8" t="s">
        <v>28</v>
      </c>
      <c r="F249" t="s">
        <v>29</v>
      </c>
      <c r="G249" s="8">
        <v>5000</v>
      </c>
      <c r="H249" s="7">
        <v>46178</v>
      </c>
      <c r="I249" s="9">
        <v>270</v>
      </c>
    </row>
    <row r="250" spans="1:9" x14ac:dyDescent="0.3">
      <c r="A250" s="8" t="s">
        <v>25</v>
      </c>
      <c r="B250" s="8" t="s">
        <v>26</v>
      </c>
      <c r="C250" s="8" t="s">
        <v>27</v>
      </c>
      <c r="D250" s="8">
        <v>80</v>
      </c>
      <c r="E250" s="8" t="s">
        <v>28</v>
      </c>
      <c r="F250" t="s">
        <v>29</v>
      </c>
      <c r="G250" s="8">
        <v>5000</v>
      </c>
      <c r="H250" s="7">
        <v>46178</v>
      </c>
      <c r="I250" s="9">
        <v>270</v>
      </c>
    </row>
    <row r="251" spans="1:9" x14ac:dyDescent="0.3">
      <c r="A251" s="8" t="s">
        <v>25</v>
      </c>
      <c r="B251" s="8" t="s">
        <v>26</v>
      </c>
      <c r="C251" s="8" t="s">
        <v>27</v>
      </c>
      <c r="D251" s="8">
        <v>80</v>
      </c>
      <c r="E251" s="8" t="s">
        <v>28</v>
      </c>
      <c r="F251" t="s">
        <v>29</v>
      </c>
      <c r="G251" s="8">
        <v>5000</v>
      </c>
      <c r="H251" s="7">
        <v>46178</v>
      </c>
      <c r="I251" s="9">
        <v>270</v>
      </c>
    </row>
    <row r="252" spans="1:9" x14ac:dyDescent="0.3">
      <c r="A252" s="8" t="s">
        <v>25</v>
      </c>
      <c r="B252" s="8" t="s">
        <v>26</v>
      </c>
      <c r="C252" s="8" t="s">
        <v>27</v>
      </c>
      <c r="D252" s="8">
        <v>80</v>
      </c>
      <c r="E252" s="8" t="s">
        <v>28</v>
      </c>
      <c r="F252" t="s">
        <v>29</v>
      </c>
      <c r="G252" s="8">
        <v>5000</v>
      </c>
      <c r="H252" s="7">
        <v>46178</v>
      </c>
      <c r="I252" s="9">
        <v>270</v>
      </c>
    </row>
    <row r="253" spans="1:9" x14ac:dyDescent="0.3">
      <c r="A253" s="8" t="s">
        <v>25</v>
      </c>
      <c r="B253" s="8" t="s">
        <v>26</v>
      </c>
      <c r="C253" s="8" t="s">
        <v>27</v>
      </c>
      <c r="D253" s="8">
        <v>80</v>
      </c>
      <c r="E253" s="8" t="s">
        <v>28</v>
      </c>
      <c r="F253" t="s">
        <v>29</v>
      </c>
      <c r="G253" s="8">
        <v>5000</v>
      </c>
      <c r="H253" s="7">
        <v>46178</v>
      </c>
      <c r="I253" s="9">
        <v>270</v>
      </c>
    </row>
    <row r="254" spans="1:9" x14ac:dyDescent="0.3">
      <c r="A254" s="8" t="s">
        <v>25</v>
      </c>
      <c r="B254" s="8" t="s">
        <v>26</v>
      </c>
      <c r="C254" s="8" t="s">
        <v>27</v>
      </c>
      <c r="D254" s="8">
        <v>80</v>
      </c>
      <c r="E254" s="8" t="s">
        <v>28</v>
      </c>
      <c r="F254" t="s">
        <v>29</v>
      </c>
      <c r="G254" s="8">
        <v>5000</v>
      </c>
      <c r="H254" s="7">
        <v>46178</v>
      </c>
      <c r="I254" s="9">
        <v>270</v>
      </c>
    </row>
    <row r="255" spans="1:9" x14ac:dyDescent="0.3">
      <c r="A255" s="8" t="s">
        <v>25</v>
      </c>
      <c r="B255" s="8" t="s">
        <v>26</v>
      </c>
      <c r="C255" s="8" t="s">
        <v>27</v>
      </c>
      <c r="D255" s="8">
        <v>80</v>
      </c>
      <c r="E255" s="8" t="s">
        <v>28</v>
      </c>
      <c r="F255" t="s">
        <v>29</v>
      </c>
      <c r="G255" s="8">
        <v>5000</v>
      </c>
      <c r="H255" s="7">
        <v>46178</v>
      </c>
      <c r="I255" s="9">
        <v>270</v>
      </c>
    </row>
    <row r="256" spans="1:9" x14ac:dyDescent="0.3">
      <c r="A256" s="8" t="s">
        <v>25</v>
      </c>
      <c r="B256" s="8" t="s">
        <v>26</v>
      </c>
      <c r="C256" s="8" t="s">
        <v>27</v>
      </c>
      <c r="D256" s="8">
        <v>80</v>
      </c>
      <c r="E256" s="8" t="s">
        <v>28</v>
      </c>
      <c r="F256" t="s">
        <v>29</v>
      </c>
      <c r="G256" s="8">
        <v>5000</v>
      </c>
      <c r="H256" s="7">
        <v>46178</v>
      </c>
      <c r="I256" s="9">
        <v>270</v>
      </c>
    </row>
    <row r="257" spans="1:9" x14ac:dyDescent="0.3">
      <c r="A257" s="8" t="s">
        <v>25</v>
      </c>
      <c r="B257" s="8" t="s">
        <v>26</v>
      </c>
      <c r="C257" s="8" t="s">
        <v>27</v>
      </c>
      <c r="D257" s="8">
        <v>80</v>
      </c>
      <c r="E257" s="8" t="s">
        <v>28</v>
      </c>
      <c r="F257" t="s">
        <v>29</v>
      </c>
      <c r="G257" s="8">
        <v>5000</v>
      </c>
      <c r="H257" s="7">
        <v>46178</v>
      </c>
      <c r="I257" s="9">
        <v>270</v>
      </c>
    </row>
    <row r="258" spans="1:9" x14ac:dyDescent="0.3">
      <c r="A258" s="8" t="s">
        <v>25</v>
      </c>
      <c r="B258" s="8" t="s">
        <v>26</v>
      </c>
      <c r="C258" s="8" t="s">
        <v>27</v>
      </c>
      <c r="D258" s="8">
        <v>80</v>
      </c>
      <c r="E258" s="8" t="s">
        <v>28</v>
      </c>
      <c r="F258" t="s">
        <v>29</v>
      </c>
      <c r="G258" s="8">
        <v>5000</v>
      </c>
      <c r="H258" s="7">
        <v>46178</v>
      </c>
      <c r="I258" s="9">
        <v>270</v>
      </c>
    </row>
    <row r="259" spans="1:9" x14ac:dyDescent="0.3">
      <c r="A259" s="8" t="s">
        <v>25</v>
      </c>
      <c r="B259" s="8" t="s">
        <v>26</v>
      </c>
      <c r="C259" s="8" t="s">
        <v>27</v>
      </c>
      <c r="D259" s="8">
        <v>80</v>
      </c>
      <c r="E259" s="8" t="s">
        <v>28</v>
      </c>
      <c r="F259" t="s">
        <v>29</v>
      </c>
      <c r="G259" s="8">
        <v>5000</v>
      </c>
      <c r="H259" s="7">
        <v>46178</v>
      </c>
      <c r="I259" s="9">
        <v>270</v>
      </c>
    </row>
    <row r="260" spans="1:9" x14ac:dyDescent="0.3">
      <c r="A260" s="8" t="s">
        <v>25</v>
      </c>
      <c r="B260" s="8" t="s">
        <v>26</v>
      </c>
      <c r="C260" s="8" t="s">
        <v>27</v>
      </c>
      <c r="D260" s="8">
        <v>80</v>
      </c>
      <c r="E260" s="8" t="s">
        <v>28</v>
      </c>
      <c r="F260" t="s">
        <v>29</v>
      </c>
      <c r="G260" s="8">
        <v>5000</v>
      </c>
      <c r="H260" s="7">
        <v>46178</v>
      </c>
      <c r="I260" s="9">
        <v>270</v>
      </c>
    </row>
    <row r="261" spans="1:9" x14ac:dyDescent="0.3">
      <c r="A261" s="8" t="s">
        <v>18</v>
      </c>
      <c r="B261" s="8" t="s">
        <v>19</v>
      </c>
      <c r="C261" s="8" t="s">
        <v>20</v>
      </c>
      <c r="D261" s="8">
        <v>30</v>
      </c>
      <c r="E261" s="8" t="s">
        <v>21</v>
      </c>
      <c r="F261" t="s">
        <v>13</v>
      </c>
      <c r="G261" s="8">
        <v>3000</v>
      </c>
      <c r="H261" s="7">
        <v>46178</v>
      </c>
      <c r="I261" s="9">
        <v>300</v>
      </c>
    </row>
    <row r="262" spans="1:9" x14ac:dyDescent="0.3">
      <c r="A262" s="8" t="s">
        <v>9</v>
      </c>
      <c r="B262" s="8" t="s">
        <v>10</v>
      </c>
      <c r="C262" s="8" t="s">
        <v>11</v>
      </c>
      <c r="D262" s="8">
        <v>90</v>
      </c>
      <c r="E262" s="8" t="s">
        <v>12</v>
      </c>
      <c r="F262" t="s">
        <v>13</v>
      </c>
      <c r="G262" s="8">
        <v>3000</v>
      </c>
      <c r="H262" s="7">
        <v>46178</v>
      </c>
      <c r="I262" s="9">
        <v>4200</v>
      </c>
    </row>
    <row r="263" spans="1:9" x14ac:dyDescent="0.3">
      <c r="A263" s="8" t="s">
        <v>25</v>
      </c>
      <c r="B263" s="8" t="s">
        <v>26</v>
      </c>
      <c r="C263" s="8" t="s">
        <v>27</v>
      </c>
      <c r="D263" s="8">
        <v>80</v>
      </c>
      <c r="E263" s="8" t="s">
        <v>28</v>
      </c>
      <c r="F263" t="s">
        <v>29</v>
      </c>
      <c r="G263" s="8">
        <v>5000</v>
      </c>
      <c r="H263" s="7">
        <v>46183</v>
      </c>
      <c r="I263" s="9">
        <v>270</v>
      </c>
    </row>
    <row r="264" spans="1:9" x14ac:dyDescent="0.3">
      <c r="A264" s="8" t="s">
        <v>25</v>
      </c>
      <c r="B264" s="8" t="s">
        <v>26</v>
      </c>
      <c r="C264" s="8" t="s">
        <v>27</v>
      </c>
      <c r="D264" s="8">
        <v>80</v>
      </c>
      <c r="E264" s="8" t="s">
        <v>28</v>
      </c>
      <c r="F264" t="s">
        <v>29</v>
      </c>
      <c r="G264" s="8">
        <v>5000</v>
      </c>
      <c r="H264" s="7">
        <v>46183</v>
      </c>
      <c r="I264" s="9">
        <v>270</v>
      </c>
    </row>
    <row r="265" spans="1:9" x14ac:dyDescent="0.3">
      <c r="A265" s="8" t="s">
        <v>25</v>
      </c>
      <c r="B265" s="8" t="s">
        <v>26</v>
      </c>
      <c r="C265" s="8" t="s">
        <v>27</v>
      </c>
      <c r="D265" s="8">
        <v>80</v>
      </c>
      <c r="E265" s="8" t="s">
        <v>28</v>
      </c>
      <c r="F265" t="s">
        <v>29</v>
      </c>
      <c r="G265" s="8">
        <v>5000</v>
      </c>
      <c r="H265" s="7">
        <v>46183</v>
      </c>
      <c r="I265" s="9">
        <v>270</v>
      </c>
    </row>
    <row r="266" spans="1:9" x14ac:dyDescent="0.3">
      <c r="A266" s="8" t="s">
        <v>25</v>
      </c>
      <c r="B266" s="8" t="s">
        <v>26</v>
      </c>
      <c r="C266" s="8" t="s">
        <v>27</v>
      </c>
      <c r="D266" s="8">
        <v>80</v>
      </c>
      <c r="E266" s="8" t="s">
        <v>28</v>
      </c>
      <c r="F266" t="s">
        <v>29</v>
      </c>
      <c r="G266" s="8">
        <v>5000</v>
      </c>
      <c r="H266" s="7">
        <v>46183</v>
      </c>
      <c r="I266" s="9">
        <v>270</v>
      </c>
    </row>
    <row r="267" spans="1:9" x14ac:dyDescent="0.3">
      <c r="A267" s="8" t="s">
        <v>30</v>
      </c>
      <c r="B267" s="8" t="s">
        <v>31</v>
      </c>
      <c r="C267" s="8" t="s">
        <v>27</v>
      </c>
      <c r="D267" s="8">
        <v>40</v>
      </c>
      <c r="E267" s="8" t="s">
        <v>32</v>
      </c>
      <c r="F267" t="s">
        <v>29</v>
      </c>
      <c r="G267" s="8">
        <v>5000</v>
      </c>
      <c r="H267" s="7">
        <v>46183</v>
      </c>
      <c r="I267" s="9">
        <v>228</v>
      </c>
    </row>
    <row r="268" spans="1:9" x14ac:dyDescent="0.3">
      <c r="A268" s="8" t="s">
        <v>30</v>
      </c>
      <c r="B268" s="8" t="s">
        <v>31</v>
      </c>
      <c r="C268" s="8" t="s">
        <v>27</v>
      </c>
      <c r="D268" s="8">
        <v>40</v>
      </c>
      <c r="E268" s="8" t="s">
        <v>32</v>
      </c>
      <c r="F268" t="s">
        <v>29</v>
      </c>
      <c r="G268" s="8">
        <v>5000</v>
      </c>
      <c r="H268" s="7">
        <v>46183</v>
      </c>
      <c r="I268" s="9">
        <v>270</v>
      </c>
    </row>
    <row r="269" spans="1:9" x14ac:dyDescent="0.3">
      <c r="A269" s="8" t="s">
        <v>30</v>
      </c>
      <c r="B269" s="8" t="s">
        <v>31</v>
      </c>
      <c r="C269" s="8" t="s">
        <v>27</v>
      </c>
      <c r="D269" s="8">
        <v>40</v>
      </c>
      <c r="E269" s="8" t="s">
        <v>32</v>
      </c>
      <c r="F269" t="s">
        <v>29</v>
      </c>
      <c r="G269" s="8">
        <v>5000</v>
      </c>
      <c r="H269" s="7">
        <v>46183</v>
      </c>
      <c r="I269" s="9">
        <v>270</v>
      </c>
    </row>
    <row r="270" spans="1:9" x14ac:dyDescent="0.3">
      <c r="A270" s="8" t="s">
        <v>30</v>
      </c>
      <c r="B270" s="8" t="s">
        <v>31</v>
      </c>
      <c r="C270" s="8" t="s">
        <v>27</v>
      </c>
      <c r="D270" s="8">
        <v>40</v>
      </c>
      <c r="E270" s="8" t="s">
        <v>32</v>
      </c>
      <c r="F270" t="s">
        <v>29</v>
      </c>
      <c r="G270" s="8">
        <v>5000</v>
      </c>
      <c r="H270" s="7">
        <v>46183</v>
      </c>
      <c r="I270" s="9">
        <v>233</v>
      </c>
    </row>
    <row r="271" spans="1:9" x14ac:dyDescent="0.3">
      <c r="A271" s="8" t="s">
        <v>14</v>
      </c>
      <c r="B271" s="8" t="s">
        <v>15</v>
      </c>
      <c r="C271" s="8" t="s">
        <v>11</v>
      </c>
      <c r="D271" s="8">
        <v>105</v>
      </c>
      <c r="E271" s="8" t="s">
        <v>16</v>
      </c>
      <c r="F271" t="s">
        <v>17</v>
      </c>
      <c r="G271" s="9">
        <v>15000</v>
      </c>
      <c r="H271" s="7">
        <v>46185</v>
      </c>
      <c r="I271" s="9">
        <v>13773</v>
      </c>
    </row>
    <row r="272" spans="1:9" x14ac:dyDescent="0.3">
      <c r="A272" s="8" t="s">
        <v>22</v>
      </c>
      <c r="B272" s="8" t="s">
        <v>23</v>
      </c>
      <c r="C272" s="8" t="s">
        <v>11</v>
      </c>
      <c r="D272" s="8">
        <v>55</v>
      </c>
      <c r="E272" s="8" t="s">
        <v>24</v>
      </c>
      <c r="F272" t="s">
        <v>17</v>
      </c>
      <c r="G272" s="9">
        <v>15000</v>
      </c>
      <c r="H272" s="7">
        <v>46185</v>
      </c>
      <c r="I272" s="9">
        <v>7123</v>
      </c>
    </row>
    <row r="273" spans="1:9" x14ac:dyDescent="0.3">
      <c r="A273" s="8" t="s">
        <v>9</v>
      </c>
      <c r="B273" s="8" t="s">
        <v>10</v>
      </c>
      <c r="C273" s="8" t="s">
        <v>11</v>
      </c>
      <c r="D273" s="8">
        <v>90</v>
      </c>
      <c r="E273" s="8" t="s">
        <v>12</v>
      </c>
      <c r="F273" t="s">
        <v>13</v>
      </c>
      <c r="G273" s="8">
        <v>3000</v>
      </c>
      <c r="H273" s="7">
        <v>46185</v>
      </c>
      <c r="I273" s="9">
        <v>4500</v>
      </c>
    </row>
    <row r="274" spans="1:9" x14ac:dyDescent="0.3">
      <c r="A274" s="8" t="s">
        <v>25</v>
      </c>
      <c r="B274" s="8" t="s">
        <v>26</v>
      </c>
      <c r="C274" s="8" t="s">
        <v>27</v>
      </c>
      <c r="D274" s="8">
        <v>80</v>
      </c>
      <c r="E274" s="8" t="s">
        <v>28</v>
      </c>
      <c r="F274" t="s">
        <v>29</v>
      </c>
      <c r="G274" s="8">
        <v>5000</v>
      </c>
      <c r="H274" s="7">
        <v>46186</v>
      </c>
      <c r="I274" s="9">
        <v>270</v>
      </c>
    </row>
    <row r="275" spans="1:9" x14ac:dyDescent="0.3">
      <c r="A275" s="8" t="s">
        <v>25</v>
      </c>
      <c r="B275" s="8" t="s">
        <v>26</v>
      </c>
      <c r="C275" s="8" t="s">
        <v>27</v>
      </c>
      <c r="D275" s="8">
        <v>80</v>
      </c>
      <c r="E275" s="8" t="s">
        <v>28</v>
      </c>
      <c r="F275" t="s">
        <v>29</v>
      </c>
      <c r="G275" s="8">
        <v>5000</v>
      </c>
      <c r="H275" s="7">
        <v>46186</v>
      </c>
      <c r="I275" s="9">
        <v>270</v>
      </c>
    </row>
    <row r="276" spans="1:9" x14ac:dyDescent="0.3">
      <c r="A276" s="8" t="s">
        <v>25</v>
      </c>
      <c r="B276" s="8" t="s">
        <v>26</v>
      </c>
      <c r="C276" s="8" t="s">
        <v>27</v>
      </c>
      <c r="D276" s="8">
        <v>80</v>
      </c>
      <c r="E276" s="8" t="s">
        <v>28</v>
      </c>
      <c r="F276" t="s">
        <v>29</v>
      </c>
      <c r="G276" s="8">
        <v>5000</v>
      </c>
      <c r="H276" s="7">
        <v>46186</v>
      </c>
      <c r="I276" s="9">
        <v>270</v>
      </c>
    </row>
    <row r="277" spans="1:9" x14ac:dyDescent="0.3">
      <c r="A277" s="8" t="s">
        <v>25</v>
      </c>
      <c r="B277" s="8" t="s">
        <v>26</v>
      </c>
      <c r="C277" s="8" t="s">
        <v>27</v>
      </c>
      <c r="D277" s="8">
        <v>80</v>
      </c>
      <c r="E277" s="8" t="s">
        <v>28</v>
      </c>
      <c r="F277" t="s">
        <v>29</v>
      </c>
      <c r="G277" s="8">
        <v>5000</v>
      </c>
      <c r="H277" s="7">
        <v>46186</v>
      </c>
      <c r="I277" s="9">
        <v>270</v>
      </c>
    </row>
    <row r="278" spans="1:9" x14ac:dyDescent="0.3">
      <c r="A278" s="8" t="s">
        <v>25</v>
      </c>
      <c r="B278" s="8" t="s">
        <v>26</v>
      </c>
      <c r="C278" s="8" t="s">
        <v>27</v>
      </c>
      <c r="D278" s="8">
        <v>80</v>
      </c>
      <c r="E278" s="8" t="s">
        <v>28</v>
      </c>
      <c r="F278" t="s">
        <v>29</v>
      </c>
      <c r="G278" s="8">
        <v>5000</v>
      </c>
      <c r="H278" s="7">
        <v>46186</v>
      </c>
      <c r="I278" s="9">
        <v>270</v>
      </c>
    </row>
    <row r="279" spans="1:9" x14ac:dyDescent="0.3">
      <c r="A279" s="8" t="s">
        <v>25</v>
      </c>
      <c r="B279" s="8" t="s">
        <v>26</v>
      </c>
      <c r="C279" s="8" t="s">
        <v>27</v>
      </c>
      <c r="D279" s="8">
        <v>80</v>
      </c>
      <c r="E279" s="8" t="s">
        <v>28</v>
      </c>
      <c r="F279" t="s">
        <v>29</v>
      </c>
      <c r="G279" s="8">
        <v>5000</v>
      </c>
      <c r="H279" s="7">
        <v>46186</v>
      </c>
      <c r="I279" s="9">
        <v>270</v>
      </c>
    </row>
    <row r="280" spans="1:9" x14ac:dyDescent="0.3">
      <c r="A280" s="8" t="s">
        <v>25</v>
      </c>
      <c r="B280" s="8" t="s">
        <v>26</v>
      </c>
      <c r="C280" s="8" t="s">
        <v>27</v>
      </c>
      <c r="D280" s="8">
        <v>80</v>
      </c>
      <c r="E280" s="8" t="s">
        <v>28</v>
      </c>
      <c r="F280" t="s">
        <v>29</v>
      </c>
      <c r="G280" s="8">
        <v>5000</v>
      </c>
      <c r="H280" s="7">
        <v>46186</v>
      </c>
      <c r="I280" s="9">
        <v>270</v>
      </c>
    </row>
    <row r="281" spans="1:9" x14ac:dyDescent="0.3">
      <c r="A281" s="8" t="s">
        <v>25</v>
      </c>
      <c r="B281" s="8" t="s">
        <v>26</v>
      </c>
      <c r="C281" s="8" t="s">
        <v>27</v>
      </c>
      <c r="D281" s="8">
        <v>80</v>
      </c>
      <c r="E281" s="8" t="s">
        <v>28</v>
      </c>
      <c r="F281" t="s">
        <v>29</v>
      </c>
      <c r="G281" s="8">
        <v>5000</v>
      </c>
      <c r="H281" s="7">
        <v>46186</v>
      </c>
      <c r="I281" s="9">
        <v>270</v>
      </c>
    </row>
    <row r="282" spans="1:9" x14ac:dyDescent="0.3">
      <c r="A282" s="8" t="s">
        <v>25</v>
      </c>
      <c r="B282" s="8" t="s">
        <v>26</v>
      </c>
      <c r="C282" s="8" t="s">
        <v>27</v>
      </c>
      <c r="D282" s="8">
        <v>80</v>
      </c>
      <c r="E282" s="8" t="s">
        <v>28</v>
      </c>
      <c r="F282" t="s">
        <v>29</v>
      </c>
      <c r="G282" s="8">
        <v>5000</v>
      </c>
      <c r="H282" s="7">
        <v>46190</v>
      </c>
      <c r="I282" s="9">
        <v>270</v>
      </c>
    </row>
    <row r="283" spans="1:9" x14ac:dyDescent="0.3">
      <c r="A283" s="8" t="s">
        <v>25</v>
      </c>
      <c r="B283" s="8" t="s">
        <v>26</v>
      </c>
      <c r="C283" s="8" t="s">
        <v>27</v>
      </c>
      <c r="D283" s="8">
        <v>80</v>
      </c>
      <c r="E283" s="8" t="s">
        <v>28</v>
      </c>
      <c r="F283" t="s">
        <v>29</v>
      </c>
      <c r="G283" s="8">
        <v>5000</v>
      </c>
      <c r="H283" s="7">
        <v>46190</v>
      </c>
      <c r="I283" s="9">
        <v>270</v>
      </c>
    </row>
    <row r="284" spans="1:9" x14ac:dyDescent="0.3">
      <c r="A284" s="8" t="s">
        <v>25</v>
      </c>
      <c r="B284" s="8" t="s">
        <v>26</v>
      </c>
      <c r="C284" s="8" t="s">
        <v>27</v>
      </c>
      <c r="D284" s="8">
        <v>80</v>
      </c>
      <c r="E284" s="8" t="s">
        <v>28</v>
      </c>
      <c r="F284" t="s">
        <v>29</v>
      </c>
      <c r="G284" s="8">
        <v>5000</v>
      </c>
      <c r="H284" s="7">
        <v>46190</v>
      </c>
      <c r="I284" s="9">
        <v>270</v>
      </c>
    </row>
    <row r="285" spans="1:9" x14ac:dyDescent="0.3">
      <c r="A285" s="8" t="s">
        <v>25</v>
      </c>
      <c r="B285" s="8" t="s">
        <v>26</v>
      </c>
      <c r="C285" s="8" t="s">
        <v>27</v>
      </c>
      <c r="D285" s="8">
        <v>80</v>
      </c>
      <c r="E285" s="8" t="s">
        <v>28</v>
      </c>
      <c r="F285" t="s">
        <v>29</v>
      </c>
      <c r="G285" s="8">
        <v>5000</v>
      </c>
      <c r="H285" s="7">
        <v>46190</v>
      </c>
      <c r="I285" s="9">
        <v>270</v>
      </c>
    </row>
    <row r="286" spans="1:9" x14ac:dyDescent="0.3">
      <c r="A286" s="8" t="s">
        <v>25</v>
      </c>
      <c r="B286" s="8" t="s">
        <v>26</v>
      </c>
      <c r="C286" s="8" t="s">
        <v>27</v>
      </c>
      <c r="D286" s="8">
        <v>80</v>
      </c>
      <c r="E286" s="8" t="s">
        <v>28</v>
      </c>
      <c r="F286" t="s">
        <v>29</v>
      </c>
      <c r="G286" s="8">
        <v>5000</v>
      </c>
      <c r="H286" s="7">
        <v>46190</v>
      </c>
      <c r="I286" s="9">
        <v>270</v>
      </c>
    </row>
    <row r="287" spans="1:9" x14ac:dyDescent="0.3">
      <c r="A287" s="8" t="s">
        <v>25</v>
      </c>
      <c r="B287" s="8" t="s">
        <v>26</v>
      </c>
      <c r="C287" s="8" t="s">
        <v>27</v>
      </c>
      <c r="D287" s="8">
        <v>80</v>
      </c>
      <c r="E287" s="8" t="s">
        <v>28</v>
      </c>
      <c r="F287" t="s">
        <v>29</v>
      </c>
      <c r="G287" s="8">
        <v>5000</v>
      </c>
      <c r="H287" s="7">
        <v>46190</v>
      </c>
      <c r="I287" s="9">
        <v>270</v>
      </c>
    </row>
    <row r="288" spans="1:9" x14ac:dyDescent="0.3">
      <c r="A288" s="8" t="s">
        <v>25</v>
      </c>
      <c r="B288" s="8" t="s">
        <v>26</v>
      </c>
      <c r="C288" s="8" t="s">
        <v>27</v>
      </c>
      <c r="D288" s="8">
        <v>80</v>
      </c>
      <c r="E288" s="8" t="s">
        <v>28</v>
      </c>
      <c r="F288" t="s">
        <v>29</v>
      </c>
      <c r="G288" s="8">
        <v>5000</v>
      </c>
      <c r="H288" s="7">
        <v>46190</v>
      </c>
      <c r="I288" s="9">
        <v>270</v>
      </c>
    </row>
    <row r="289" spans="1:9" x14ac:dyDescent="0.3">
      <c r="A289" s="8" t="s">
        <v>25</v>
      </c>
      <c r="B289" s="8" t="s">
        <v>26</v>
      </c>
      <c r="C289" s="8" t="s">
        <v>27</v>
      </c>
      <c r="D289" s="8">
        <v>80</v>
      </c>
      <c r="E289" s="8" t="s">
        <v>28</v>
      </c>
      <c r="F289" t="s">
        <v>29</v>
      </c>
      <c r="G289" s="8">
        <v>5000</v>
      </c>
      <c r="H289" s="7">
        <v>46190</v>
      </c>
      <c r="I289" s="9">
        <v>270</v>
      </c>
    </row>
    <row r="290" spans="1:9" x14ac:dyDescent="0.3">
      <c r="A290" s="8" t="s">
        <v>25</v>
      </c>
      <c r="B290" s="8" t="s">
        <v>26</v>
      </c>
      <c r="C290" s="8" t="s">
        <v>27</v>
      </c>
      <c r="D290" s="8">
        <v>80</v>
      </c>
      <c r="E290" s="8" t="s">
        <v>28</v>
      </c>
      <c r="F290" t="s">
        <v>29</v>
      </c>
      <c r="G290" s="8">
        <v>5000</v>
      </c>
      <c r="H290" s="7">
        <v>46190</v>
      </c>
      <c r="I290" s="9">
        <v>270</v>
      </c>
    </row>
    <row r="291" spans="1:9" x14ac:dyDescent="0.3">
      <c r="A291" s="8" t="s">
        <v>25</v>
      </c>
      <c r="B291" s="8" t="s">
        <v>26</v>
      </c>
      <c r="C291" s="8" t="s">
        <v>27</v>
      </c>
      <c r="D291" s="8">
        <v>80</v>
      </c>
      <c r="E291" s="8" t="s">
        <v>28</v>
      </c>
      <c r="F291" t="s">
        <v>29</v>
      </c>
      <c r="G291" s="8">
        <v>5000</v>
      </c>
      <c r="H291" s="7">
        <v>46190</v>
      </c>
      <c r="I291" s="9">
        <v>270</v>
      </c>
    </row>
    <row r="292" spans="1:9" x14ac:dyDescent="0.3">
      <c r="A292" s="8" t="s">
        <v>30</v>
      </c>
      <c r="B292" s="8" t="s">
        <v>31</v>
      </c>
      <c r="C292" s="8" t="s">
        <v>27</v>
      </c>
      <c r="D292" s="8">
        <v>40</v>
      </c>
      <c r="E292" s="8" t="s">
        <v>32</v>
      </c>
      <c r="F292" t="s">
        <v>29</v>
      </c>
      <c r="G292" s="8">
        <v>5000</v>
      </c>
      <c r="H292" s="7">
        <v>46190</v>
      </c>
      <c r="I292" s="9">
        <v>270</v>
      </c>
    </row>
    <row r="293" spans="1:9" x14ac:dyDescent="0.3">
      <c r="A293" s="8" t="s">
        <v>30</v>
      </c>
      <c r="B293" s="8" t="s">
        <v>31</v>
      </c>
      <c r="C293" s="8" t="s">
        <v>27</v>
      </c>
      <c r="D293" s="8">
        <v>40</v>
      </c>
      <c r="E293" s="8" t="s">
        <v>32</v>
      </c>
      <c r="F293" t="s">
        <v>29</v>
      </c>
      <c r="G293" s="8">
        <v>5000</v>
      </c>
      <c r="H293" s="7">
        <v>46190</v>
      </c>
      <c r="I293" s="9">
        <v>192</v>
      </c>
    </row>
    <row r="294" spans="1:9" x14ac:dyDescent="0.3">
      <c r="A294" s="8" t="s">
        <v>30</v>
      </c>
      <c r="B294" s="8" t="s">
        <v>31</v>
      </c>
      <c r="C294" s="8" t="s">
        <v>27</v>
      </c>
      <c r="D294" s="8">
        <v>40</v>
      </c>
      <c r="E294" s="8" t="s">
        <v>32</v>
      </c>
      <c r="F294" t="s">
        <v>29</v>
      </c>
      <c r="G294" s="8">
        <v>5000</v>
      </c>
      <c r="H294" s="7">
        <v>46190</v>
      </c>
      <c r="I294" s="9">
        <v>204</v>
      </c>
    </row>
    <row r="295" spans="1:9" x14ac:dyDescent="0.3">
      <c r="A295" s="8" t="s">
        <v>30</v>
      </c>
      <c r="B295" s="8" t="s">
        <v>31</v>
      </c>
      <c r="C295" s="8" t="s">
        <v>27</v>
      </c>
      <c r="D295" s="8">
        <v>40</v>
      </c>
      <c r="E295" s="8" t="s">
        <v>32</v>
      </c>
      <c r="F295" t="s">
        <v>29</v>
      </c>
      <c r="G295" s="8">
        <v>5000</v>
      </c>
      <c r="H295" s="7">
        <v>46190</v>
      </c>
      <c r="I295" s="9">
        <v>270</v>
      </c>
    </row>
    <row r="296" spans="1:9" x14ac:dyDescent="0.3">
      <c r="A296" s="8" t="s">
        <v>30</v>
      </c>
      <c r="B296" s="8" t="s">
        <v>31</v>
      </c>
      <c r="C296" s="8" t="s">
        <v>27</v>
      </c>
      <c r="D296" s="8">
        <v>40</v>
      </c>
      <c r="E296" s="8" t="s">
        <v>32</v>
      </c>
      <c r="F296" t="s">
        <v>29</v>
      </c>
      <c r="G296" s="8">
        <v>5000</v>
      </c>
      <c r="H296" s="7">
        <v>46190</v>
      </c>
      <c r="I296" s="9">
        <v>234</v>
      </c>
    </row>
    <row r="297" spans="1:9" x14ac:dyDescent="0.3">
      <c r="A297" s="8" t="s">
        <v>30</v>
      </c>
      <c r="B297" s="8" t="s">
        <v>31</v>
      </c>
      <c r="C297" s="8" t="s">
        <v>27</v>
      </c>
      <c r="D297" s="8">
        <v>40</v>
      </c>
      <c r="E297" s="8" t="s">
        <v>32</v>
      </c>
      <c r="F297" t="s">
        <v>29</v>
      </c>
      <c r="G297" s="8">
        <v>5000</v>
      </c>
      <c r="H297" s="7">
        <v>46190</v>
      </c>
      <c r="I297" s="9">
        <v>270</v>
      </c>
    </row>
    <row r="298" spans="1:9" x14ac:dyDescent="0.3">
      <c r="A298" s="8" t="s">
        <v>30</v>
      </c>
      <c r="B298" s="8" t="s">
        <v>31</v>
      </c>
      <c r="C298" s="8" t="s">
        <v>27</v>
      </c>
      <c r="D298" s="8">
        <v>40</v>
      </c>
      <c r="E298" s="8" t="s">
        <v>32</v>
      </c>
      <c r="F298" t="s">
        <v>29</v>
      </c>
      <c r="G298" s="8">
        <v>5000</v>
      </c>
      <c r="H298" s="7">
        <v>46190</v>
      </c>
      <c r="I298" s="9">
        <v>179</v>
      </c>
    </row>
    <row r="299" spans="1:9" x14ac:dyDescent="0.3">
      <c r="A299" s="8" t="s">
        <v>30</v>
      </c>
      <c r="B299" s="8" t="s">
        <v>31</v>
      </c>
      <c r="C299" s="8" t="s">
        <v>27</v>
      </c>
      <c r="D299" s="8">
        <v>40</v>
      </c>
      <c r="E299" s="8" t="s">
        <v>32</v>
      </c>
      <c r="F299" t="s">
        <v>29</v>
      </c>
      <c r="G299" s="8">
        <v>5000</v>
      </c>
      <c r="H299" s="7">
        <v>46190</v>
      </c>
      <c r="I299" s="9">
        <v>270</v>
      </c>
    </row>
    <row r="300" spans="1:9" x14ac:dyDescent="0.3">
      <c r="A300" s="8" t="s">
        <v>14</v>
      </c>
      <c r="B300" s="8" t="s">
        <v>15</v>
      </c>
      <c r="C300" s="8" t="s">
        <v>11</v>
      </c>
      <c r="D300" s="8">
        <v>105</v>
      </c>
      <c r="E300" s="8" t="s">
        <v>16</v>
      </c>
      <c r="F300" t="s">
        <v>17</v>
      </c>
      <c r="G300" s="9">
        <v>15000</v>
      </c>
      <c r="H300" s="7">
        <v>46192</v>
      </c>
      <c r="I300" s="9">
        <v>7058</v>
      </c>
    </row>
    <row r="301" spans="1:9" x14ac:dyDescent="0.3">
      <c r="A301" s="8" t="s">
        <v>22</v>
      </c>
      <c r="B301" s="8" t="s">
        <v>23</v>
      </c>
      <c r="C301" s="8" t="s">
        <v>11</v>
      </c>
      <c r="D301" s="8">
        <v>55</v>
      </c>
      <c r="E301" s="8" t="s">
        <v>24</v>
      </c>
      <c r="F301" t="s">
        <v>17</v>
      </c>
      <c r="G301" s="9">
        <v>15000</v>
      </c>
      <c r="H301" s="7">
        <v>46192</v>
      </c>
      <c r="I301" s="9">
        <v>5309</v>
      </c>
    </row>
    <row r="302" spans="1:9" x14ac:dyDescent="0.3">
      <c r="A302" s="8" t="s">
        <v>25</v>
      </c>
      <c r="B302" s="8" t="s">
        <v>26</v>
      </c>
      <c r="C302" s="8" t="s">
        <v>27</v>
      </c>
      <c r="D302" s="8">
        <v>80</v>
      </c>
      <c r="E302" s="8" t="s">
        <v>28</v>
      </c>
      <c r="F302" t="s">
        <v>29</v>
      </c>
      <c r="G302" s="8">
        <v>5000</v>
      </c>
      <c r="H302" s="7">
        <v>46192</v>
      </c>
      <c r="I302" s="9">
        <v>3202</v>
      </c>
    </row>
    <row r="303" spans="1:9" x14ac:dyDescent="0.3">
      <c r="A303" s="8" t="s">
        <v>25</v>
      </c>
      <c r="B303" s="8" t="s">
        <v>26</v>
      </c>
      <c r="C303" s="8" t="s">
        <v>27</v>
      </c>
      <c r="D303" s="8">
        <v>80</v>
      </c>
      <c r="E303" s="8" t="s">
        <v>28</v>
      </c>
      <c r="F303" t="s">
        <v>29</v>
      </c>
      <c r="G303" s="8">
        <v>5000</v>
      </c>
      <c r="H303" s="7">
        <v>46192</v>
      </c>
      <c r="I303" s="9">
        <v>540</v>
      </c>
    </row>
    <row r="304" spans="1:9" x14ac:dyDescent="0.3">
      <c r="A304" s="8" t="s">
        <v>30</v>
      </c>
      <c r="B304" s="8" t="s">
        <v>31</v>
      </c>
      <c r="C304" s="8" t="s">
        <v>27</v>
      </c>
      <c r="D304" s="8">
        <v>40</v>
      </c>
      <c r="E304" s="8" t="s">
        <v>32</v>
      </c>
      <c r="F304" t="s">
        <v>29</v>
      </c>
      <c r="G304" s="8">
        <v>5000</v>
      </c>
      <c r="H304" s="7">
        <v>46192</v>
      </c>
      <c r="I304" s="9">
        <v>582</v>
      </c>
    </row>
    <row r="305" spans="1:9" x14ac:dyDescent="0.3">
      <c r="A305" s="8" t="s">
        <v>9</v>
      </c>
      <c r="B305" s="8" t="s">
        <v>10</v>
      </c>
      <c r="C305" s="8" t="s">
        <v>11</v>
      </c>
      <c r="D305" s="8">
        <v>90</v>
      </c>
      <c r="E305" s="8" t="s">
        <v>12</v>
      </c>
      <c r="F305" t="s">
        <v>13</v>
      </c>
      <c r="G305" s="8">
        <v>3000</v>
      </c>
      <c r="H305" s="7">
        <v>46192</v>
      </c>
      <c r="I305" s="9">
        <v>4500</v>
      </c>
    </row>
    <row r="306" spans="1:9" x14ac:dyDescent="0.3">
      <c r="A306" s="8" t="s">
        <v>25</v>
      </c>
      <c r="B306" s="8" t="s">
        <v>26</v>
      </c>
      <c r="C306" s="8" t="s">
        <v>27</v>
      </c>
      <c r="D306" s="8">
        <v>80</v>
      </c>
      <c r="E306" s="8" t="s">
        <v>28</v>
      </c>
      <c r="F306" t="s">
        <v>29</v>
      </c>
      <c r="G306" s="8">
        <v>5000</v>
      </c>
      <c r="H306" s="7">
        <v>46197</v>
      </c>
      <c r="I306" s="9">
        <v>270</v>
      </c>
    </row>
    <row r="307" spans="1:9" x14ac:dyDescent="0.3">
      <c r="A307" s="8" t="s">
        <v>25</v>
      </c>
      <c r="B307" s="8" t="s">
        <v>26</v>
      </c>
      <c r="C307" s="8" t="s">
        <v>27</v>
      </c>
      <c r="D307" s="8">
        <v>80</v>
      </c>
      <c r="E307" s="8" t="s">
        <v>28</v>
      </c>
      <c r="F307" t="s">
        <v>29</v>
      </c>
      <c r="G307" s="8">
        <v>5000</v>
      </c>
      <c r="H307" s="7">
        <v>46197</v>
      </c>
      <c r="I307" s="9">
        <v>270</v>
      </c>
    </row>
    <row r="308" spans="1:9" x14ac:dyDescent="0.3">
      <c r="A308" s="8" t="s">
        <v>25</v>
      </c>
      <c r="B308" s="8" t="s">
        <v>26</v>
      </c>
      <c r="C308" s="8" t="s">
        <v>27</v>
      </c>
      <c r="D308" s="8">
        <v>80</v>
      </c>
      <c r="E308" s="8" t="s">
        <v>28</v>
      </c>
      <c r="F308" t="s">
        <v>29</v>
      </c>
      <c r="G308" s="8">
        <v>5000</v>
      </c>
      <c r="H308" s="7">
        <v>46197</v>
      </c>
      <c r="I308" s="9">
        <v>270</v>
      </c>
    </row>
    <row r="309" spans="1:9" x14ac:dyDescent="0.3">
      <c r="A309" s="8" t="s">
        <v>25</v>
      </c>
      <c r="B309" s="8" t="s">
        <v>26</v>
      </c>
      <c r="C309" s="8" t="s">
        <v>27</v>
      </c>
      <c r="D309" s="8">
        <v>80</v>
      </c>
      <c r="E309" s="8" t="s">
        <v>28</v>
      </c>
      <c r="F309" t="s">
        <v>29</v>
      </c>
      <c r="G309" s="8">
        <v>5000</v>
      </c>
      <c r="H309" s="7">
        <v>46197</v>
      </c>
      <c r="I309" s="9">
        <v>270</v>
      </c>
    </row>
    <row r="310" spans="1:9" x14ac:dyDescent="0.3">
      <c r="A310" s="8" t="s">
        <v>25</v>
      </c>
      <c r="B310" s="8" t="s">
        <v>26</v>
      </c>
      <c r="C310" s="8" t="s">
        <v>27</v>
      </c>
      <c r="D310" s="8">
        <v>80</v>
      </c>
      <c r="E310" s="8" t="s">
        <v>28</v>
      </c>
      <c r="F310" t="s">
        <v>29</v>
      </c>
      <c r="G310" s="8">
        <v>5000</v>
      </c>
      <c r="H310" s="7">
        <v>46197</v>
      </c>
      <c r="I310" s="9">
        <v>270</v>
      </c>
    </row>
    <row r="311" spans="1:9" x14ac:dyDescent="0.3">
      <c r="A311" s="8" t="s">
        <v>25</v>
      </c>
      <c r="B311" s="8" t="s">
        <v>26</v>
      </c>
      <c r="C311" s="8" t="s">
        <v>27</v>
      </c>
      <c r="D311" s="8">
        <v>80</v>
      </c>
      <c r="E311" s="8" t="s">
        <v>28</v>
      </c>
      <c r="F311" t="s">
        <v>29</v>
      </c>
      <c r="G311" s="8">
        <v>5000</v>
      </c>
      <c r="H311" s="7">
        <v>46197</v>
      </c>
      <c r="I311" s="9">
        <v>270</v>
      </c>
    </row>
    <row r="312" spans="1:9" x14ac:dyDescent="0.3">
      <c r="A312" s="8" t="s">
        <v>25</v>
      </c>
      <c r="B312" s="8" t="s">
        <v>26</v>
      </c>
      <c r="C312" s="8" t="s">
        <v>27</v>
      </c>
      <c r="D312" s="8">
        <v>80</v>
      </c>
      <c r="E312" s="8" t="s">
        <v>28</v>
      </c>
      <c r="F312" t="s">
        <v>29</v>
      </c>
      <c r="G312" s="8">
        <v>5000</v>
      </c>
      <c r="H312" s="7">
        <v>46197</v>
      </c>
      <c r="I312" s="9">
        <v>228</v>
      </c>
    </row>
    <row r="313" spans="1:9" x14ac:dyDescent="0.3">
      <c r="A313" s="8" t="s">
        <v>25</v>
      </c>
      <c r="B313" s="8" t="s">
        <v>26</v>
      </c>
      <c r="C313" s="8" t="s">
        <v>27</v>
      </c>
      <c r="D313" s="8">
        <v>80</v>
      </c>
      <c r="E313" s="8" t="s">
        <v>28</v>
      </c>
      <c r="F313" t="s">
        <v>29</v>
      </c>
      <c r="G313" s="8">
        <v>5000</v>
      </c>
      <c r="H313" s="7">
        <v>46197</v>
      </c>
      <c r="I313" s="9">
        <v>170</v>
      </c>
    </row>
    <row r="314" spans="1:9" x14ac:dyDescent="0.3">
      <c r="A314" s="8" t="s">
        <v>25</v>
      </c>
      <c r="B314" s="8" t="s">
        <v>26</v>
      </c>
      <c r="C314" s="8" t="s">
        <v>27</v>
      </c>
      <c r="D314" s="8">
        <v>80</v>
      </c>
      <c r="E314" s="8" t="s">
        <v>28</v>
      </c>
      <c r="F314" t="s">
        <v>29</v>
      </c>
      <c r="G314" s="8">
        <v>5000</v>
      </c>
      <c r="H314" s="7">
        <v>46197</v>
      </c>
      <c r="I314" s="9">
        <v>270</v>
      </c>
    </row>
    <row r="315" spans="1:9" x14ac:dyDescent="0.3">
      <c r="A315" s="8" t="s">
        <v>25</v>
      </c>
      <c r="B315" s="8" t="s">
        <v>26</v>
      </c>
      <c r="C315" s="8" t="s">
        <v>27</v>
      </c>
      <c r="D315" s="8">
        <v>80</v>
      </c>
      <c r="E315" s="8" t="s">
        <v>28</v>
      </c>
      <c r="F315" t="s">
        <v>29</v>
      </c>
      <c r="G315" s="8">
        <v>5000</v>
      </c>
      <c r="H315" s="7">
        <v>46197</v>
      </c>
      <c r="I315" s="9">
        <v>270</v>
      </c>
    </row>
    <row r="316" spans="1:9" x14ac:dyDescent="0.3">
      <c r="A316" s="8" t="s">
        <v>25</v>
      </c>
      <c r="B316" s="8" t="s">
        <v>26</v>
      </c>
      <c r="C316" s="8" t="s">
        <v>27</v>
      </c>
      <c r="D316" s="8">
        <v>80</v>
      </c>
      <c r="E316" s="8" t="s">
        <v>28</v>
      </c>
      <c r="F316" t="s">
        <v>29</v>
      </c>
      <c r="G316" s="8">
        <v>5000</v>
      </c>
      <c r="H316" s="7">
        <v>46197</v>
      </c>
      <c r="I316" s="9">
        <v>270</v>
      </c>
    </row>
    <row r="317" spans="1:9" x14ac:dyDescent="0.3">
      <c r="A317" s="8" t="s">
        <v>25</v>
      </c>
      <c r="B317" s="8" t="s">
        <v>26</v>
      </c>
      <c r="C317" s="8" t="s">
        <v>27</v>
      </c>
      <c r="D317" s="8">
        <v>80</v>
      </c>
      <c r="E317" s="8" t="s">
        <v>28</v>
      </c>
      <c r="F317" t="s">
        <v>29</v>
      </c>
      <c r="G317" s="8">
        <v>5000</v>
      </c>
      <c r="H317" s="7">
        <v>46197</v>
      </c>
      <c r="I317" s="9">
        <v>270</v>
      </c>
    </row>
    <row r="318" spans="1:9" x14ac:dyDescent="0.3">
      <c r="A318" s="8" t="s">
        <v>30</v>
      </c>
      <c r="B318" s="8" t="s">
        <v>31</v>
      </c>
      <c r="C318" s="8" t="s">
        <v>27</v>
      </c>
      <c r="D318" s="8">
        <v>40</v>
      </c>
      <c r="E318" s="8" t="s">
        <v>32</v>
      </c>
      <c r="F318" t="s">
        <v>29</v>
      </c>
      <c r="G318" s="8">
        <v>5000</v>
      </c>
      <c r="H318" s="7">
        <v>46197</v>
      </c>
      <c r="I318" s="9">
        <v>228</v>
      </c>
    </row>
    <row r="319" spans="1:9" x14ac:dyDescent="0.3">
      <c r="A319" s="8" t="s">
        <v>30</v>
      </c>
      <c r="B319" s="8" t="s">
        <v>31</v>
      </c>
      <c r="C319" s="8" t="s">
        <v>27</v>
      </c>
      <c r="D319" s="8">
        <v>40</v>
      </c>
      <c r="E319" s="8" t="s">
        <v>32</v>
      </c>
      <c r="F319" t="s">
        <v>29</v>
      </c>
      <c r="G319" s="8">
        <v>5000</v>
      </c>
      <c r="H319" s="7">
        <v>46197</v>
      </c>
      <c r="I319" s="9">
        <v>234</v>
      </c>
    </row>
    <row r="320" spans="1:9" x14ac:dyDescent="0.3">
      <c r="A320" s="8" t="s">
        <v>30</v>
      </c>
      <c r="B320" s="8" t="s">
        <v>31</v>
      </c>
      <c r="C320" s="8" t="s">
        <v>27</v>
      </c>
      <c r="D320" s="8">
        <v>40</v>
      </c>
      <c r="E320" s="8" t="s">
        <v>32</v>
      </c>
      <c r="F320" t="s">
        <v>29</v>
      </c>
      <c r="G320" s="8">
        <v>5000</v>
      </c>
      <c r="H320" s="7">
        <v>46197</v>
      </c>
      <c r="I320" s="9">
        <v>228</v>
      </c>
    </row>
    <row r="321" spans="1:9" x14ac:dyDescent="0.3">
      <c r="A321" s="8" t="s">
        <v>30</v>
      </c>
      <c r="B321" s="8" t="s">
        <v>31</v>
      </c>
      <c r="C321" s="8" t="s">
        <v>27</v>
      </c>
      <c r="D321" s="8">
        <v>40</v>
      </c>
      <c r="E321" s="8" t="s">
        <v>32</v>
      </c>
      <c r="F321" t="s">
        <v>29</v>
      </c>
      <c r="G321" s="8">
        <v>5000</v>
      </c>
      <c r="H321" s="7">
        <v>46197</v>
      </c>
      <c r="I321" s="9">
        <v>228</v>
      </c>
    </row>
    <row r="322" spans="1:9" x14ac:dyDescent="0.3">
      <c r="A322" s="8" t="s">
        <v>14</v>
      </c>
      <c r="B322" s="8" t="s">
        <v>15</v>
      </c>
      <c r="C322" s="8" t="s">
        <v>11</v>
      </c>
      <c r="D322" s="8">
        <v>105</v>
      </c>
      <c r="E322" s="8" t="s">
        <v>16</v>
      </c>
      <c r="F322" t="s">
        <v>17</v>
      </c>
      <c r="G322" s="9">
        <v>15000</v>
      </c>
      <c r="H322" s="7">
        <v>46199</v>
      </c>
      <c r="I322" s="9">
        <v>2040</v>
      </c>
    </row>
    <row r="323" spans="1:9" x14ac:dyDescent="0.3">
      <c r="A323" s="8" t="s">
        <v>22</v>
      </c>
      <c r="B323" s="8" t="s">
        <v>23</v>
      </c>
      <c r="C323" s="8" t="s">
        <v>11</v>
      </c>
      <c r="D323" s="8">
        <v>55</v>
      </c>
      <c r="E323" s="8" t="s">
        <v>24</v>
      </c>
      <c r="F323" t="s">
        <v>17</v>
      </c>
      <c r="G323" s="9">
        <v>15000</v>
      </c>
      <c r="H323" s="7">
        <v>46199</v>
      </c>
      <c r="I323" s="9">
        <v>5309</v>
      </c>
    </row>
    <row r="324" spans="1:9" x14ac:dyDescent="0.3">
      <c r="A324" s="8" t="s">
        <v>25</v>
      </c>
      <c r="B324" s="8" t="s">
        <v>26</v>
      </c>
      <c r="C324" s="8" t="s">
        <v>27</v>
      </c>
      <c r="D324" s="8">
        <v>80</v>
      </c>
      <c r="E324" s="8" t="s">
        <v>28</v>
      </c>
      <c r="F324" t="s">
        <v>29</v>
      </c>
      <c r="G324" s="8">
        <v>5000</v>
      </c>
      <c r="H324" s="7">
        <v>46199</v>
      </c>
      <c r="I324" s="9">
        <v>5704</v>
      </c>
    </row>
    <row r="325" spans="1:9" x14ac:dyDescent="0.3">
      <c r="A325" s="8" t="s">
        <v>30</v>
      </c>
      <c r="B325" s="8" t="s">
        <v>31</v>
      </c>
      <c r="C325" s="8" t="s">
        <v>27</v>
      </c>
      <c r="D325" s="8">
        <v>40</v>
      </c>
      <c r="E325" s="8" t="s">
        <v>32</v>
      </c>
      <c r="F325" t="s">
        <v>29</v>
      </c>
      <c r="G325" s="8">
        <v>5000</v>
      </c>
      <c r="H325" s="7">
        <v>46199</v>
      </c>
      <c r="I325" s="9">
        <v>2540</v>
      </c>
    </row>
    <row r="326" spans="1:9" x14ac:dyDescent="0.3">
      <c r="A326" s="8" t="s">
        <v>18</v>
      </c>
      <c r="B326" s="8" t="s">
        <v>19</v>
      </c>
      <c r="C326" s="8" t="s">
        <v>20</v>
      </c>
      <c r="D326" s="8">
        <v>30</v>
      </c>
      <c r="E326" s="8" t="s">
        <v>21</v>
      </c>
      <c r="F326" t="s">
        <v>13</v>
      </c>
      <c r="G326" s="8">
        <v>3000</v>
      </c>
      <c r="H326" s="7">
        <v>46199</v>
      </c>
      <c r="I326" s="9">
        <v>300</v>
      </c>
    </row>
    <row r="327" spans="1:9" x14ac:dyDescent="0.3">
      <c r="A327" s="8" t="s">
        <v>9</v>
      </c>
      <c r="B327" s="8" t="s">
        <v>10</v>
      </c>
      <c r="C327" s="8" t="s">
        <v>11</v>
      </c>
      <c r="D327" s="8">
        <v>90</v>
      </c>
      <c r="E327" s="8" t="s">
        <v>12</v>
      </c>
      <c r="F327" t="s">
        <v>13</v>
      </c>
      <c r="G327" s="8">
        <v>3000</v>
      </c>
      <c r="H327" s="7">
        <v>46199</v>
      </c>
      <c r="I327" s="9">
        <v>2200</v>
      </c>
    </row>
    <row r="328" spans="1:9" x14ac:dyDescent="0.3">
      <c r="A328" s="8" t="s">
        <v>14</v>
      </c>
      <c r="B328" s="8" t="s">
        <v>15</v>
      </c>
      <c r="C328" s="8" t="s">
        <v>11</v>
      </c>
      <c r="D328" s="8">
        <v>105</v>
      </c>
      <c r="E328" s="8" t="s">
        <v>16</v>
      </c>
      <c r="F328" t="s">
        <v>17</v>
      </c>
      <c r="G328" s="9">
        <v>15000</v>
      </c>
      <c r="H328" s="7">
        <v>46206</v>
      </c>
      <c r="I328" s="9">
        <v>1500</v>
      </c>
    </row>
    <row r="329" spans="1:9" x14ac:dyDescent="0.3">
      <c r="A329" s="8" t="s">
        <v>14</v>
      </c>
      <c r="B329" s="8" t="s">
        <v>15</v>
      </c>
      <c r="C329" s="8" t="s">
        <v>11</v>
      </c>
      <c r="D329" s="8">
        <v>105</v>
      </c>
      <c r="E329" s="8" t="s">
        <v>16</v>
      </c>
      <c r="F329" t="s">
        <v>17</v>
      </c>
      <c r="G329" s="9">
        <v>15000</v>
      </c>
      <c r="H329" s="7">
        <v>46206</v>
      </c>
      <c r="I329" s="9">
        <v>2041</v>
      </c>
    </row>
    <row r="330" spans="1:9" x14ac:dyDescent="0.3">
      <c r="A330" s="8" t="s">
        <v>22</v>
      </c>
      <c r="B330" s="8" t="s">
        <v>23</v>
      </c>
      <c r="C330" s="8" t="s">
        <v>11</v>
      </c>
      <c r="D330" s="8">
        <v>55</v>
      </c>
      <c r="E330" s="8" t="s">
        <v>24</v>
      </c>
      <c r="F330" t="s">
        <v>17</v>
      </c>
      <c r="G330" s="9">
        <v>15000</v>
      </c>
      <c r="H330" s="7">
        <v>46206</v>
      </c>
      <c r="I330" s="9">
        <v>3000</v>
      </c>
    </row>
    <row r="331" spans="1:9" x14ac:dyDescent="0.3">
      <c r="A331" s="8" t="s">
        <v>25</v>
      </c>
      <c r="B331" s="8" t="s">
        <v>26</v>
      </c>
      <c r="C331" s="8" t="s">
        <v>27</v>
      </c>
      <c r="D331" s="8">
        <v>80</v>
      </c>
      <c r="E331" s="8" t="s">
        <v>28</v>
      </c>
      <c r="F331" t="s">
        <v>29</v>
      </c>
      <c r="G331" s="8">
        <v>5000</v>
      </c>
      <c r="H331" s="7">
        <v>46206</v>
      </c>
      <c r="I331" s="9">
        <v>2500</v>
      </c>
    </row>
    <row r="332" spans="1:9" x14ac:dyDescent="0.3">
      <c r="A332" s="8" t="s">
        <v>25</v>
      </c>
      <c r="B332" s="8" t="s">
        <v>26</v>
      </c>
      <c r="C332" s="8" t="s">
        <v>27</v>
      </c>
      <c r="D332" s="8">
        <v>80</v>
      </c>
      <c r="E332" s="8" t="s">
        <v>28</v>
      </c>
      <c r="F332" t="s">
        <v>29</v>
      </c>
      <c r="G332" s="8">
        <v>5000</v>
      </c>
      <c r="H332" s="7">
        <v>46206</v>
      </c>
      <c r="I332" s="9">
        <v>4655</v>
      </c>
    </row>
    <row r="333" spans="1:9" x14ac:dyDescent="0.3">
      <c r="A333" s="8" t="s">
        <v>25</v>
      </c>
      <c r="B333" s="8" t="s">
        <v>26</v>
      </c>
      <c r="C333" s="8" t="s">
        <v>27</v>
      </c>
      <c r="D333" s="8">
        <v>80</v>
      </c>
      <c r="E333" s="8" t="s">
        <v>28</v>
      </c>
      <c r="F333" t="s">
        <v>29</v>
      </c>
      <c r="G333" s="8">
        <v>5000</v>
      </c>
      <c r="H333" s="7">
        <v>46206</v>
      </c>
      <c r="I333" s="9">
        <v>540</v>
      </c>
    </row>
    <row r="334" spans="1:9" x14ac:dyDescent="0.3">
      <c r="A334" s="8" t="s">
        <v>30</v>
      </c>
      <c r="B334" s="8" t="s">
        <v>31</v>
      </c>
      <c r="C334" s="8" t="s">
        <v>27</v>
      </c>
      <c r="D334" s="8">
        <v>40</v>
      </c>
      <c r="E334" s="8" t="s">
        <v>32</v>
      </c>
      <c r="F334" t="s">
        <v>29</v>
      </c>
      <c r="G334" s="8">
        <v>5000</v>
      </c>
      <c r="H334" s="7">
        <v>46206</v>
      </c>
      <c r="I334" s="9">
        <v>500</v>
      </c>
    </row>
    <row r="335" spans="1:9" x14ac:dyDescent="0.3">
      <c r="A335" s="8" t="s">
        <v>9</v>
      </c>
      <c r="B335" s="8" t="s">
        <v>10</v>
      </c>
      <c r="C335" s="8" t="s">
        <v>11</v>
      </c>
      <c r="D335" s="8">
        <v>90</v>
      </c>
      <c r="E335" s="8" t="s">
        <v>12</v>
      </c>
      <c r="F335" t="s">
        <v>13</v>
      </c>
      <c r="G335" s="8">
        <v>3000</v>
      </c>
      <c r="H335" s="7">
        <v>46206</v>
      </c>
      <c r="I335" s="9">
        <v>5000</v>
      </c>
    </row>
    <row r="336" spans="1:9" x14ac:dyDescent="0.3">
      <c r="A336" s="8" t="s">
        <v>14</v>
      </c>
      <c r="B336" s="8" t="s">
        <v>15</v>
      </c>
      <c r="C336" s="8" t="s">
        <v>11</v>
      </c>
      <c r="D336" s="8">
        <v>105</v>
      </c>
      <c r="E336" s="8" t="s">
        <v>16</v>
      </c>
      <c r="F336" t="s">
        <v>17</v>
      </c>
      <c r="G336" s="9">
        <v>15000</v>
      </c>
      <c r="H336" s="7">
        <v>46213</v>
      </c>
      <c r="I336" s="9">
        <v>2041</v>
      </c>
    </row>
    <row r="337" spans="1:9" x14ac:dyDescent="0.3">
      <c r="A337" s="8" t="s">
        <v>14</v>
      </c>
      <c r="B337" s="8" t="s">
        <v>15</v>
      </c>
      <c r="C337" s="8" t="s">
        <v>11</v>
      </c>
      <c r="D337" s="8">
        <v>105</v>
      </c>
      <c r="E337" s="8" t="s">
        <v>16</v>
      </c>
      <c r="F337" t="s">
        <v>17</v>
      </c>
      <c r="G337" s="9">
        <v>15000</v>
      </c>
      <c r="H337" s="7">
        <v>46213</v>
      </c>
      <c r="I337" s="9">
        <v>10000</v>
      </c>
    </row>
    <row r="338" spans="1:9" x14ac:dyDescent="0.3">
      <c r="A338" s="8" t="s">
        <v>22</v>
      </c>
      <c r="B338" s="8" t="s">
        <v>23</v>
      </c>
      <c r="C338" s="8" t="s">
        <v>11</v>
      </c>
      <c r="D338" s="8">
        <v>55</v>
      </c>
      <c r="E338" s="8" t="s">
        <v>24</v>
      </c>
      <c r="F338" t="s">
        <v>17</v>
      </c>
      <c r="G338" s="9">
        <v>15000</v>
      </c>
      <c r="H338" s="7">
        <v>46213</v>
      </c>
      <c r="I338" s="9">
        <v>3000</v>
      </c>
    </row>
    <row r="339" spans="1:9" x14ac:dyDescent="0.3">
      <c r="A339" s="8" t="s">
        <v>25</v>
      </c>
      <c r="B339" s="8" t="s">
        <v>26</v>
      </c>
      <c r="C339" s="8" t="s">
        <v>27</v>
      </c>
      <c r="D339" s="8">
        <v>80</v>
      </c>
      <c r="E339" s="8" t="s">
        <v>28</v>
      </c>
      <c r="F339" t="s">
        <v>29</v>
      </c>
      <c r="G339" s="8">
        <v>5000</v>
      </c>
      <c r="H339" s="7">
        <v>46213</v>
      </c>
      <c r="I339" s="9">
        <v>2500</v>
      </c>
    </row>
    <row r="340" spans="1:9" x14ac:dyDescent="0.3">
      <c r="A340" s="8" t="s">
        <v>30</v>
      </c>
      <c r="B340" s="8" t="s">
        <v>31</v>
      </c>
      <c r="C340" s="8" t="s">
        <v>27</v>
      </c>
      <c r="D340" s="8">
        <v>40</v>
      </c>
      <c r="E340" s="8" t="s">
        <v>32</v>
      </c>
      <c r="F340" t="s">
        <v>29</v>
      </c>
      <c r="G340" s="8">
        <v>5000</v>
      </c>
      <c r="H340" s="7">
        <v>46213</v>
      </c>
      <c r="I340" s="9">
        <v>500</v>
      </c>
    </row>
    <row r="341" spans="1:9" x14ac:dyDescent="0.3">
      <c r="A341" s="8" t="s">
        <v>18</v>
      </c>
      <c r="B341" s="8" t="s">
        <v>19</v>
      </c>
      <c r="C341" s="8" t="s">
        <v>20</v>
      </c>
      <c r="D341" s="8">
        <v>30</v>
      </c>
      <c r="E341" s="8" t="s">
        <v>21</v>
      </c>
      <c r="F341" t="s">
        <v>13</v>
      </c>
      <c r="G341" s="8">
        <v>3000</v>
      </c>
      <c r="H341" s="7">
        <v>46213</v>
      </c>
      <c r="I341" s="9">
        <v>700</v>
      </c>
    </row>
    <row r="342" spans="1:9" x14ac:dyDescent="0.3">
      <c r="A342" s="8" t="s">
        <v>9</v>
      </c>
      <c r="B342" s="8" t="s">
        <v>10</v>
      </c>
      <c r="C342" s="8" t="s">
        <v>11</v>
      </c>
      <c r="D342" s="8">
        <v>90</v>
      </c>
      <c r="E342" s="8" t="s">
        <v>12</v>
      </c>
      <c r="F342" t="s">
        <v>13</v>
      </c>
      <c r="G342" s="8">
        <v>3000</v>
      </c>
      <c r="H342" s="7">
        <v>46213</v>
      </c>
      <c r="I342" s="9">
        <v>4300</v>
      </c>
    </row>
    <row r="343" spans="1:9" x14ac:dyDescent="0.3">
      <c r="A343" s="8" t="s">
        <v>14</v>
      </c>
      <c r="B343" s="8" t="s">
        <v>15</v>
      </c>
      <c r="C343" s="8" t="s">
        <v>11</v>
      </c>
      <c r="D343" s="8">
        <v>105</v>
      </c>
      <c r="E343" s="8" t="s">
        <v>16</v>
      </c>
      <c r="F343" t="s">
        <v>17</v>
      </c>
      <c r="G343" s="9">
        <v>15000</v>
      </c>
      <c r="H343" s="7">
        <v>46220</v>
      </c>
      <c r="I343" s="9">
        <v>2040</v>
      </c>
    </row>
    <row r="344" spans="1:9" x14ac:dyDescent="0.3">
      <c r="A344" s="8" t="s">
        <v>14</v>
      </c>
      <c r="B344" s="8" t="s">
        <v>15</v>
      </c>
      <c r="C344" s="8" t="s">
        <v>11</v>
      </c>
      <c r="D344" s="8">
        <v>105</v>
      </c>
      <c r="E344" s="8" t="s">
        <v>16</v>
      </c>
      <c r="F344" t="s">
        <v>17</v>
      </c>
      <c r="G344" s="9">
        <v>15000</v>
      </c>
      <c r="H344" s="7">
        <v>46220</v>
      </c>
      <c r="I344" s="9">
        <v>10000</v>
      </c>
    </row>
    <row r="345" spans="1:9" x14ac:dyDescent="0.3">
      <c r="A345" s="8" t="s">
        <v>22</v>
      </c>
      <c r="B345" s="8" t="s">
        <v>23</v>
      </c>
      <c r="C345" s="8" t="s">
        <v>11</v>
      </c>
      <c r="D345" s="8">
        <v>55</v>
      </c>
      <c r="E345" s="8" t="s">
        <v>24</v>
      </c>
      <c r="F345" t="s">
        <v>17</v>
      </c>
      <c r="G345" s="9">
        <v>15000</v>
      </c>
      <c r="H345" s="7">
        <v>46220</v>
      </c>
      <c r="I345" s="9">
        <v>3000</v>
      </c>
    </row>
    <row r="346" spans="1:9" x14ac:dyDescent="0.3">
      <c r="A346" s="8" t="s">
        <v>25</v>
      </c>
      <c r="B346" s="8" t="s">
        <v>26</v>
      </c>
      <c r="C346" s="8" t="s">
        <v>27</v>
      </c>
      <c r="D346" s="8">
        <v>80</v>
      </c>
      <c r="E346" s="8" t="s">
        <v>28</v>
      </c>
      <c r="F346" t="s">
        <v>29</v>
      </c>
      <c r="G346" s="8">
        <v>5000</v>
      </c>
      <c r="H346" s="7">
        <v>46220</v>
      </c>
      <c r="I346" s="9">
        <v>2500</v>
      </c>
    </row>
    <row r="347" spans="1:9" x14ac:dyDescent="0.3">
      <c r="A347" s="8" t="s">
        <v>30</v>
      </c>
      <c r="B347" s="8" t="s">
        <v>31</v>
      </c>
      <c r="C347" s="8" t="s">
        <v>27</v>
      </c>
      <c r="D347" s="8">
        <v>40</v>
      </c>
      <c r="E347" s="8" t="s">
        <v>32</v>
      </c>
      <c r="F347" t="s">
        <v>29</v>
      </c>
      <c r="G347" s="8">
        <v>5000</v>
      </c>
      <c r="H347" s="7">
        <v>46220</v>
      </c>
      <c r="I347" s="9">
        <v>500</v>
      </c>
    </row>
    <row r="348" spans="1:9" x14ac:dyDescent="0.3">
      <c r="A348" s="8" t="s">
        <v>18</v>
      </c>
      <c r="B348" s="8" t="s">
        <v>19</v>
      </c>
      <c r="C348" s="8" t="s">
        <v>20</v>
      </c>
      <c r="D348" s="8">
        <v>30</v>
      </c>
      <c r="E348" s="8" t="s">
        <v>21</v>
      </c>
      <c r="F348" t="s">
        <v>13</v>
      </c>
      <c r="G348" s="8">
        <v>3000</v>
      </c>
      <c r="H348" s="7">
        <v>46220</v>
      </c>
      <c r="I348" s="9">
        <v>300</v>
      </c>
    </row>
    <row r="349" spans="1:9" x14ac:dyDescent="0.3">
      <c r="A349" s="8" t="s">
        <v>9</v>
      </c>
      <c r="B349" s="8" t="s">
        <v>10</v>
      </c>
      <c r="C349" s="8" t="s">
        <v>11</v>
      </c>
      <c r="D349" s="8">
        <v>90</v>
      </c>
      <c r="E349" s="8" t="s">
        <v>12</v>
      </c>
      <c r="F349" t="s">
        <v>13</v>
      </c>
      <c r="G349" s="8">
        <v>3000</v>
      </c>
      <c r="H349" s="7">
        <v>46220</v>
      </c>
      <c r="I349" s="9">
        <v>4700</v>
      </c>
    </row>
    <row r="350" spans="1:9" x14ac:dyDescent="0.3">
      <c r="A350" s="8" t="s">
        <v>22</v>
      </c>
      <c r="B350" s="8" t="s">
        <v>23</v>
      </c>
      <c r="C350" s="8" t="s">
        <v>11</v>
      </c>
      <c r="D350" s="8">
        <v>55</v>
      </c>
      <c r="E350" s="8" t="s">
        <v>24</v>
      </c>
      <c r="F350" t="s">
        <v>17</v>
      </c>
      <c r="G350" s="9">
        <v>15000</v>
      </c>
      <c r="H350" s="7">
        <v>46227</v>
      </c>
      <c r="I350" s="9">
        <v>3000</v>
      </c>
    </row>
    <row r="351" spans="1:9" x14ac:dyDescent="0.3">
      <c r="A351" s="8" t="s">
        <v>25</v>
      </c>
      <c r="B351" s="8" t="s">
        <v>26</v>
      </c>
      <c r="C351" s="8" t="s">
        <v>27</v>
      </c>
      <c r="D351" s="8">
        <v>80</v>
      </c>
      <c r="E351" s="8" t="s">
        <v>28</v>
      </c>
      <c r="F351" t="s">
        <v>29</v>
      </c>
      <c r="G351" s="8">
        <v>5000</v>
      </c>
      <c r="H351" s="7">
        <v>46227</v>
      </c>
      <c r="I351" s="9">
        <v>2500</v>
      </c>
    </row>
    <row r="352" spans="1:9" x14ac:dyDescent="0.3">
      <c r="A352" s="8" t="s">
        <v>30</v>
      </c>
      <c r="B352" s="8" t="s">
        <v>31</v>
      </c>
      <c r="C352" s="8" t="s">
        <v>27</v>
      </c>
      <c r="D352" s="8">
        <v>40</v>
      </c>
      <c r="E352" s="8" t="s">
        <v>32</v>
      </c>
      <c r="F352" t="s">
        <v>29</v>
      </c>
      <c r="G352" s="8">
        <v>5000</v>
      </c>
      <c r="H352" s="7">
        <v>46227</v>
      </c>
      <c r="I352" s="9">
        <v>500</v>
      </c>
    </row>
    <row r="353" spans="1:9" x14ac:dyDescent="0.3">
      <c r="A353" s="8" t="s">
        <v>18</v>
      </c>
      <c r="B353" s="8" t="s">
        <v>19</v>
      </c>
      <c r="C353" s="8" t="s">
        <v>20</v>
      </c>
      <c r="D353" s="8">
        <v>30</v>
      </c>
      <c r="E353" s="8" t="s">
        <v>21</v>
      </c>
      <c r="F353" t="s">
        <v>13</v>
      </c>
      <c r="G353" s="8">
        <v>3000</v>
      </c>
      <c r="H353" s="7">
        <v>46227</v>
      </c>
      <c r="I353" s="9">
        <v>300</v>
      </c>
    </row>
    <row r="354" spans="1:9" x14ac:dyDescent="0.3">
      <c r="A354" s="8" t="s">
        <v>9</v>
      </c>
      <c r="B354" s="8" t="s">
        <v>10</v>
      </c>
      <c r="C354" s="8" t="s">
        <v>11</v>
      </c>
      <c r="D354" s="8">
        <v>90</v>
      </c>
      <c r="E354" s="8" t="s">
        <v>12</v>
      </c>
      <c r="F354" t="s">
        <v>13</v>
      </c>
      <c r="G354" s="8">
        <v>3000</v>
      </c>
      <c r="H354" s="7">
        <v>46227</v>
      </c>
      <c r="I354" s="9">
        <v>900</v>
      </c>
    </row>
    <row r="355" spans="1:9" x14ac:dyDescent="0.3">
      <c r="A355" s="8" t="s">
        <v>9</v>
      </c>
      <c r="B355" s="8" t="s">
        <v>10</v>
      </c>
      <c r="C355" s="8" t="s">
        <v>11</v>
      </c>
      <c r="D355" s="8">
        <v>90</v>
      </c>
      <c r="E355" s="8" t="s">
        <v>12</v>
      </c>
      <c r="F355" t="s">
        <v>13</v>
      </c>
      <c r="G355" s="8">
        <v>3000</v>
      </c>
      <c r="H355" s="7">
        <v>46227</v>
      </c>
      <c r="I355" s="9">
        <v>3846</v>
      </c>
    </row>
    <row r="356" spans="1:9" x14ac:dyDescent="0.3">
      <c r="A356" s="8" t="s">
        <v>22</v>
      </c>
      <c r="B356" s="8" t="s">
        <v>23</v>
      </c>
      <c r="C356" s="8" t="s">
        <v>11</v>
      </c>
      <c r="D356" s="8">
        <v>55</v>
      </c>
      <c r="E356" s="8" t="s">
        <v>24</v>
      </c>
      <c r="F356" t="s">
        <v>17</v>
      </c>
      <c r="G356" s="9">
        <v>15000</v>
      </c>
      <c r="H356" s="7">
        <v>46234</v>
      </c>
      <c r="I356" s="9">
        <v>2400</v>
      </c>
    </row>
    <row r="357" spans="1:9" x14ac:dyDescent="0.3">
      <c r="A357" s="8" t="s">
        <v>25</v>
      </c>
      <c r="B357" s="8" t="s">
        <v>26</v>
      </c>
      <c r="C357" s="8" t="s">
        <v>27</v>
      </c>
      <c r="D357" s="8">
        <v>80</v>
      </c>
      <c r="E357" s="8" t="s">
        <v>28</v>
      </c>
      <c r="F357" t="s">
        <v>29</v>
      </c>
      <c r="G357" s="8">
        <v>5000</v>
      </c>
      <c r="H357" s="7">
        <v>46234</v>
      </c>
      <c r="I357" s="9">
        <v>1000</v>
      </c>
    </row>
    <row r="358" spans="1:9" x14ac:dyDescent="0.3">
      <c r="A358" s="8" t="s">
        <v>18</v>
      </c>
      <c r="B358" s="8" t="s">
        <v>19</v>
      </c>
      <c r="C358" s="8" t="s">
        <v>20</v>
      </c>
      <c r="D358" s="8">
        <v>30</v>
      </c>
      <c r="E358" s="8" t="s">
        <v>21</v>
      </c>
      <c r="F358" t="s">
        <v>13</v>
      </c>
      <c r="G358" s="8">
        <v>3000</v>
      </c>
      <c r="H358" s="7">
        <v>46234</v>
      </c>
      <c r="I358" s="9">
        <v>300</v>
      </c>
    </row>
    <row r="359" spans="1:9" x14ac:dyDescent="0.3">
      <c r="A359" s="8" t="s">
        <v>9</v>
      </c>
      <c r="B359" s="8" t="s">
        <v>10</v>
      </c>
      <c r="C359" s="8" t="s">
        <v>11</v>
      </c>
      <c r="D359" s="8">
        <v>90</v>
      </c>
      <c r="E359" s="8" t="s">
        <v>12</v>
      </c>
      <c r="F359" t="s">
        <v>13</v>
      </c>
      <c r="G359" s="8">
        <v>3000</v>
      </c>
      <c r="H359" s="7">
        <v>46234</v>
      </c>
      <c r="I359" s="9">
        <v>4300</v>
      </c>
    </row>
    <row r="360" spans="1:9" x14ac:dyDescent="0.3">
      <c r="A360" s="8" t="s">
        <v>14</v>
      </c>
      <c r="B360" s="8" t="s">
        <v>15</v>
      </c>
      <c r="C360" s="8" t="s">
        <v>11</v>
      </c>
      <c r="D360" s="8">
        <v>105</v>
      </c>
      <c r="E360" s="8" t="s">
        <v>16</v>
      </c>
      <c r="F360" t="s">
        <v>17</v>
      </c>
      <c r="G360" s="9">
        <v>15000</v>
      </c>
      <c r="H360" s="7">
        <v>46241</v>
      </c>
      <c r="I360" s="9">
        <v>15023</v>
      </c>
    </row>
    <row r="361" spans="1:9" x14ac:dyDescent="0.3">
      <c r="A361" s="8" t="s">
        <v>14</v>
      </c>
      <c r="B361" s="8" t="s">
        <v>15</v>
      </c>
      <c r="C361" s="8" t="s">
        <v>11</v>
      </c>
      <c r="D361" s="8">
        <v>105</v>
      </c>
      <c r="E361" s="8" t="s">
        <v>16</v>
      </c>
      <c r="F361" t="s">
        <v>17</v>
      </c>
      <c r="G361" s="9">
        <v>15000</v>
      </c>
      <c r="H361" s="7">
        <v>46241</v>
      </c>
      <c r="I361" s="9">
        <v>1737</v>
      </c>
    </row>
    <row r="362" spans="1:9" x14ac:dyDescent="0.3">
      <c r="A362" s="8" t="s">
        <v>14</v>
      </c>
      <c r="B362" s="8" t="s">
        <v>15</v>
      </c>
      <c r="C362" s="8" t="s">
        <v>11</v>
      </c>
      <c r="D362" s="8">
        <v>105</v>
      </c>
      <c r="E362" s="8" t="s">
        <v>16</v>
      </c>
      <c r="F362" t="s">
        <v>17</v>
      </c>
      <c r="G362" s="9">
        <v>15000</v>
      </c>
      <c r="H362" s="7">
        <v>46241</v>
      </c>
      <c r="I362" s="9">
        <v>11000</v>
      </c>
    </row>
    <row r="363" spans="1:9" x14ac:dyDescent="0.3">
      <c r="A363" s="8" t="s">
        <v>22</v>
      </c>
      <c r="B363" s="8" t="s">
        <v>23</v>
      </c>
      <c r="C363" s="8" t="s">
        <v>11</v>
      </c>
      <c r="D363" s="8">
        <v>55</v>
      </c>
      <c r="E363" s="8" t="s">
        <v>24</v>
      </c>
      <c r="F363" t="s">
        <v>17</v>
      </c>
      <c r="G363" s="9">
        <v>15000</v>
      </c>
      <c r="H363" s="7">
        <v>46241</v>
      </c>
      <c r="I363" s="9">
        <v>2400</v>
      </c>
    </row>
    <row r="364" spans="1:9" x14ac:dyDescent="0.3">
      <c r="A364" s="8" t="s">
        <v>25</v>
      </c>
      <c r="B364" s="8" t="s">
        <v>26</v>
      </c>
      <c r="C364" s="8" t="s">
        <v>27</v>
      </c>
      <c r="D364" s="8">
        <v>80</v>
      </c>
      <c r="E364" s="8" t="s">
        <v>28</v>
      </c>
      <c r="F364" t="s">
        <v>29</v>
      </c>
      <c r="G364" s="8">
        <v>5000</v>
      </c>
      <c r="H364" s="7">
        <v>46241</v>
      </c>
      <c r="I364" s="9">
        <v>1000</v>
      </c>
    </row>
    <row r="365" spans="1:9" x14ac:dyDescent="0.3">
      <c r="A365" s="8" t="s">
        <v>9</v>
      </c>
      <c r="B365" s="8" t="s">
        <v>10</v>
      </c>
      <c r="C365" s="8" t="s">
        <v>11</v>
      </c>
      <c r="D365" s="8">
        <v>90</v>
      </c>
      <c r="E365" s="8" t="s">
        <v>12</v>
      </c>
      <c r="F365" t="s">
        <v>13</v>
      </c>
      <c r="G365" s="8">
        <v>3000</v>
      </c>
      <c r="H365" s="7">
        <v>46241</v>
      </c>
      <c r="I365" s="9">
        <v>476</v>
      </c>
    </row>
    <row r="366" spans="1:9" x14ac:dyDescent="0.3">
      <c r="A366" s="8" t="s">
        <v>14</v>
      </c>
      <c r="B366" s="8" t="s">
        <v>15</v>
      </c>
      <c r="C366" s="8" t="s">
        <v>11</v>
      </c>
      <c r="D366" s="8">
        <v>105</v>
      </c>
      <c r="E366" s="8" t="s">
        <v>16</v>
      </c>
      <c r="F366" t="s">
        <v>17</v>
      </c>
      <c r="G366" s="9">
        <v>15000</v>
      </c>
      <c r="H366" s="7">
        <v>46248</v>
      </c>
      <c r="I366" s="9">
        <v>5629</v>
      </c>
    </row>
    <row r="367" spans="1:9" x14ac:dyDescent="0.3">
      <c r="A367" s="8" t="s">
        <v>14</v>
      </c>
      <c r="B367" s="8" t="s">
        <v>15</v>
      </c>
      <c r="C367" s="8" t="s">
        <v>11</v>
      </c>
      <c r="D367" s="8">
        <v>105</v>
      </c>
      <c r="E367" s="8" t="s">
        <v>16</v>
      </c>
      <c r="F367" t="s">
        <v>17</v>
      </c>
      <c r="G367" s="9">
        <v>15000</v>
      </c>
      <c r="H367" s="7">
        <v>46248</v>
      </c>
      <c r="I367" s="9">
        <v>1857</v>
      </c>
    </row>
    <row r="368" spans="1:9" x14ac:dyDescent="0.3">
      <c r="A368" s="8" t="s">
        <v>14</v>
      </c>
      <c r="B368" s="8" t="s">
        <v>15</v>
      </c>
      <c r="C368" s="8" t="s">
        <v>11</v>
      </c>
      <c r="D368" s="8">
        <v>105</v>
      </c>
      <c r="E368" s="8" t="s">
        <v>16</v>
      </c>
      <c r="F368" t="s">
        <v>17</v>
      </c>
      <c r="G368" s="9">
        <v>15000</v>
      </c>
      <c r="H368" s="7">
        <v>46248</v>
      </c>
      <c r="I368" s="9">
        <v>19000</v>
      </c>
    </row>
    <row r="369" spans="1:9" x14ac:dyDescent="0.3">
      <c r="A369" s="8" t="s">
        <v>25</v>
      </c>
      <c r="B369" s="8" t="s">
        <v>26</v>
      </c>
      <c r="C369" s="8" t="s">
        <v>27</v>
      </c>
      <c r="D369" s="8">
        <v>80</v>
      </c>
      <c r="E369" s="8" t="s">
        <v>28</v>
      </c>
      <c r="F369" t="s">
        <v>29</v>
      </c>
      <c r="G369" s="8">
        <v>5000</v>
      </c>
      <c r="H369" s="7">
        <v>46248</v>
      </c>
      <c r="I369" s="9">
        <v>1000</v>
      </c>
    </row>
    <row r="370" spans="1:9" x14ac:dyDescent="0.3">
      <c r="A370" s="8" t="s">
        <v>30</v>
      </c>
      <c r="B370" s="8" t="s">
        <v>31</v>
      </c>
      <c r="C370" s="8" t="s">
        <v>27</v>
      </c>
      <c r="D370" s="8">
        <v>40</v>
      </c>
      <c r="E370" s="8" t="s">
        <v>32</v>
      </c>
      <c r="F370" t="s">
        <v>29</v>
      </c>
      <c r="G370" s="8">
        <v>5000</v>
      </c>
      <c r="H370" s="7">
        <v>46248</v>
      </c>
      <c r="I370" s="9">
        <v>400</v>
      </c>
    </row>
    <row r="371" spans="1:9" x14ac:dyDescent="0.3">
      <c r="A371" s="8" t="s">
        <v>9</v>
      </c>
      <c r="B371" s="8" t="s">
        <v>10</v>
      </c>
      <c r="C371" s="8" t="s">
        <v>11</v>
      </c>
      <c r="D371" s="8">
        <v>90</v>
      </c>
      <c r="E371" s="8" t="s">
        <v>12</v>
      </c>
      <c r="F371" t="s">
        <v>13</v>
      </c>
      <c r="G371" s="8">
        <v>3000</v>
      </c>
      <c r="H371" s="7">
        <v>46248</v>
      </c>
      <c r="I371" s="9">
        <v>1298</v>
      </c>
    </row>
    <row r="372" spans="1:9" x14ac:dyDescent="0.3">
      <c r="A372" s="8" t="s">
        <v>14</v>
      </c>
      <c r="B372" s="8" t="s">
        <v>15</v>
      </c>
      <c r="C372" s="8" t="s">
        <v>11</v>
      </c>
      <c r="D372" s="8">
        <v>105</v>
      </c>
      <c r="E372" s="8" t="s">
        <v>16</v>
      </c>
      <c r="F372" t="s">
        <v>17</v>
      </c>
      <c r="G372" s="9">
        <v>15000</v>
      </c>
      <c r="H372" s="7">
        <v>46255</v>
      </c>
      <c r="I372" s="9">
        <v>2072</v>
      </c>
    </row>
    <row r="373" spans="1:9" x14ac:dyDescent="0.3">
      <c r="A373" s="8" t="s">
        <v>14</v>
      </c>
      <c r="B373" s="8" t="s">
        <v>15</v>
      </c>
      <c r="C373" s="8" t="s">
        <v>11</v>
      </c>
      <c r="D373" s="8">
        <v>105</v>
      </c>
      <c r="E373" s="8" t="s">
        <v>16</v>
      </c>
      <c r="F373" t="s">
        <v>17</v>
      </c>
      <c r="G373" s="9">
        <v>15000</v>
      </c>
      <c r="H373" s="7">
        <v>46255</v>
      </c>
      <c r="I373" s="9">
        <v>2176</v>
      </c>
    </row>
    <row r="374" spans="1:9" x14ac:dyDescent="0.3">
      <c r="A374" s="8" t="s">
        <v>22</v>
      </c>
      <c r="B374" s="8" t="s">
        <v>23</v>
      </c>
      <c r="C374" s="8" t="s">
        <v>11</v>
      </c>
      <c r="D374" s="8">
        <v>55</v>
      </c>
      <c r="E374" s="8" t="s">
        <v>24</v>
      </c>
      <c r="F374" t="s">
        <v>17</v>
      </c>
      <c r="G374" s="9">
        <v>15000</v>
      </c>
      <c r="H374" s="7">
        <v>46255</v>
      </c>
      <c r="I374" s="9">
        <v>2400</v>
      </c>
    </row>
    <row r="375" spans="1:9" x14ac:dyDescent="0.3">
      <c r="A375" s="8" t="s">
        <v>25</v>
      </c>
      <c r="B375" s="8" t="s">
        <v>26</v>
      </c>
      <c r="C375" s="8" t="s">
        <v>27</v>
      </c>
      <c r="D375" s="8">
        <v>80</v>
      </c>
      <c r="E375" s="8" t="s">
        <v>28</v>
      </c>
      <c r="F375" t="s">
        <v>29</v>
      </c>
      <c r="G375" s="8">
        <v>5000</v>
      </c>
      <c r="H375" s="7">
        <v>46255</v>
      </c>
      <c r="I375" s="9">
        <v>1000</v>
      </c>
    </row>
    <row r="376" spans="1:9" x14ac:dyDescent="0.3">
      <c r="A376" s="8" t="s">
        <v>18</v>
      </c>
      <c r="B376" s="8" t="s">
        <v>19</v>
      </c>
      <c r="C376" s="8" t="s">
        <v>20</v>
      </c>
      <c r="D376" s="8">
        <v>30</v>
      </c>
      <c r="E376" s="8" t="s">
        <v>21</v>
      </c>
      <c r="F376" t="s">
        <v>13</v>
      </c>
      <c r="G376" s="8">
        <v>3000</v>
      </c>
      <c r="H376" s="7">
        <v>46255</v>
      </c>
      <c r="I376" s="9">
        <v>300</v>
      </c>
    </row>
    <row r="377" spans="1:9" x14ac:dyDescent="0.3">
      <c r="A377" s="8" t="s">
        <v>9</v>
      </c>
      <c r="B377" s="8" t="s">
        <v>10</v>
      </c>
      <c r="C377" s="8" t="s">
        <v>11</v>
      </c>
      <c r="D377" s="8">
        <v>90</v>
      </c>
      <c r="E377" s="8" t="s">
        <v>12</v>
      </c>
      <c r="F377" t="s">
        <v>13</v>
      </c>
      <c r="G377" s="8">
        <v>3000</v>
      </c>
      <c r="H377" s="7">
        <v>46255</v>
      </c>
      <c r="I377" s="9">
        <v>1300</v>
      </c>
    </row>
    <row r="378" spans="1:9" x14ac:dyDescent="0.3">
      <c r="A378" s="8" t="s">
        <v>14</v>
      </c>
      <c r="B378" s="8" t="s">
        <v>15</v>
      </c>
      <c r="C378" s="8" t="s">
        <v>11</v>
      </c>
      <c r="D378" s="8">
        <v>105</v>
      </c>
      <c r="E378" s="8" t="s">
        <v>16</v>
      </c>
      <c r="F378" t="s">
        <v>17</v>
      </c>
      <c r="G378" s="9">
        <v>15000</v>
      </c>
      <c r="H378" s="7">
        <v>46262</v>
      </c>
      <c r="I378" s="9">
        <v>4248</v>
      </c>
    </row>
    <row r="379" spans="1:9" x14ac:dyDescent="0.3">
      <c r="A379" s="8" t="s">
        <v>22</v>
      </c>
      <c r="B379" s="8" t="s">
        <v>23</v>
      </c>
      <c r="C379" s="8" t="s">
        <v>11</v>
      </c>
      <c r="D379" s="8">
        <v>55</v>
      </c>
      <c r="E379" s="8" t="s">
        <v>24</v>
      </c>
      <c r="F379" t="s">
        <v>17</v>
      </c>
      <c r="G379" s="9">
        <v>15000</v>
      </c>
      <c r="H379" s="7">
        <v>46262</v>
      </c>
      <c r="I379" s="9">
        <v>2400</v>
      </c>
    </row>
    <row r="380" spans="1:9" x14ac:dyDescent="0.3">
      <c r="A380" s="8" t="s">
        <v>25</v>
      </c>
      <c r="B380" s="8" t="s">
        <v>26</v>
      </c>
      <c r="C380" s="8" t="s">
        <v>27</v>
      </c>
      <c r="D380" s="8">
        <v>80</v>
      </c>
      <c r="E380" s="8" t="s">
        <v>28</v>
      </c>
      <c r="F380" t="s">
        <v>29</v>
      </c>
      <c r="G380" s="8">
        <v>5000</v>
      </c>
      <c r="H380" s="7">
        <v>46262</v>
      </c>
      <c r="I380" s="9">
        <v>1000</v>
      </c>
    </row>
    <row r="381" spans="1:9" x14ac:dyDescent="0.3">
      <c r="A381" s="8" t="s">
        <v>9</v>
      </c>
      <c r="B381" s="8" t="s">
        <v>10</v>
      </c>
      <c r="C381" s="8" t="s">
        <v>11</v>
      </c>
      <c r="D381" s="8">
        <v>90</v>
      </c>
      <c r="E381" s="8" t="s">
        <v>12</v>
      </c>
      <c r="F381" t="s">
        <v>13</v>
      </c>
      <c r="G381" s="8">
        <v>3000</v>
      </c>
      <c r="H381" s="7">
        <v>46262</v>
      </c>
      <c r="I381" s="9">
        <v>1298</v>
      </c>
    </row>
    <row r="382" spans="1:9" x14ac:dyDescent="0.3">
      <c r="A382" s="8" t="s">
        <v>14</v>
      </c>
      <c r="B382" s="8" t="s">
        <v>15</v>
      </c>
      <c r="C382" s="8" t="s">
        <v>11</v>
      </c>
      <c r="D382" s="8">
        <v>105</v>
      </c>
      <c r="E382" s="8" t="s">
        <v>16</v>
      </c>
      <c r="F382" t="s">
        <v>17</v>
      </c>
      <c r="G382" s="9">
        <v>15000</v>
      </c>
      <c r="H382" s="7">
        <v>46269</v>
      </c>
      <c r="I382" s="9">
        <v>4249</v>
      </c>
    </row>
    <row r="383" spans="1:9" x14ac:dyDescent="0.3">
      <c r="A383" s="8" t="s">
        <v>22</v>
      </c>
      <c r="B383" s="8" t="s">
        <v>23</v>
      </c>
      <c r="C383" s="8" t="s">
        <v>11</v>
      </c>
      <c r="D383" s="8">
        <v>55</v>
      </c>
      <c r="E383" s="8" t="s">
        <v>24</v>
      </c>
      <c r="F383" t="s">
        <v>17</v>
      </c>
      <c r="G383" s="9">
        <v>15000</v>
      </c>
      <c r="H383" s="7">
        <v>46269</v>
      </c>
      <c r="I383" s="9">
        <v>3750</v>
      </c>
    </row>
    <row r="384" spans="1:9" x14ac:dyDescent="0.3">
      <c r="A384" s="8" t="s">
        <v>25</v>
      </c>
      <c r="B384" s="8" t="s">
        <v>26</v>
      </c>
      <c r="C384" s="8" t="s">
        <v>27</v>
      </c>
      <c r="D384" s="8">
        <v>80</v>
      </c>
      <c r="E384" s="8" t="s">
        <v>28</v>
      </c>
      <c r="F384" t="s">
        <v>29</v>
      </c>
      <c r="G384" s="8">
        <v>5000</v>
      </c>
      <c r="H384" s="7">
        <v>46269</v>
      </c>
      <c r="I384" s="9">
        <v>750</v>
      </c>
    </row>
    <row r="385" spans="1:9" x14ac:dyDescent="0.3">
      <c r="A385" s="8" t="s">
        <v>30</v>
      </c>
      <c r="B385" s="8" t="s">
        <v>31</v>
      </c>
      <c r="C385" s="8" t="s">
        <v>27</v>
      </c>
      <c r="D385" s="8">
        <v>40</v>
      </c>
      <c r="E385" s="8" t="s">
        <v>32</v>
      </c>
      <c r="F385" t="s">
        <v>29</v>
      </c>
      <c r="G385" s="8">
        <v>5000</v>
      </c>
      <c r="H385" s="7">
        <v>46269</v>
      </c>
      <c r="I385" s="9">
        <v>400</v>
      </c>
    </row>
    <row r="386" spans="1:9" x14ac:dyDescent="0.3">
      <c r="A386" s="8" t="s">
        <v>9</v>
      </c>
      <c r="B386" s="8" t="s">
        <v>10</v>
      </c>
      <c r="C386" s="8" t="s">
        <v>11</v>
      </c>
      <c r="D386" s="8">
        <v>90</v>
      </c>
      <c r="E386" s="8" t="s">
        <v>12</v>
      </c>
      <c r="F386" t="s">
        <v>13</v>
      </c>
      <c r="G386" s="8">
        <v>3000</v>
      </c>
      <c r="H386" s="7">
        <v>46269</v>
      </c>
      <c r="I386" s="9">
        <v>1506</v>
      </c>
    </row>
    <row r="387" spans="1:9" x14ac:dyDescent="0.3">
      <c r="A387" s="8" t="s">
        <v>14</v>
      </c>
      <c r="B387" s="8" t="s">
        <v>15</v>
      </c>
      <c r="C387" s="8" t="s">
        <v>11</v>
      </c>
      <c r="D387" s="8">
        <v>105</v>
      </c>
      <c r="E387" s="8" t="s">
        <v>16</v>
      </c>
      <c r="F387" t="s">
        <v>17</v>
      </c>
      <c r="G387" s="9">
        <v>15000</v>
      </c>
      <c r="H387" s="7">
        <v>46276</v>
      </c>
      <c r="I387" s="9">
        <v>4248</v>
      </c>
    </row>
    <row r="388" spans="1:9" x14ac:dyDescent="0.3">
      <c r="A388" s="8" t="s">
        <v>22</v>
      </c>
      <c r="B388" s="8" t="s">
        <v>23</v>
      </c>
      <c r="C388" s="8" t="s">
        <v>11</v>
      </c>
      <c r="D388" s="8">
        <v>55</v>
      </c>
      <c r="E388" s="8" t="s">
        <v>24</v>
      </c>
      <c r="F388" t="s">
        <v>17</v>
      </c>
      <c r="G388" s="9">
        <v>15000</v>
      </c>
      <c r="H388" s="7">
        <v>46276</v>
      </c>
      <c r="I388" s="9">
        <v>3750</v>
      </c>
    </row>
    <row r="389" spans="1:9" x14ac:dyDescent="0.3">
      <c r="A389" s="8" t="s">
        <v>25</v>
      </c>
      <c r="B389" s="8" t="s">
        <v>26</v>
      </c>
      <c r="C389" s="8" t="s">
        <v>27</v>
      </c>
      <c r="D389" s="8">
        <v>80</v>
      </c>
      <c r="E389" s="8" t="s">
        <v>28</v>
      </c>
      <c r="F389" t="s">
        <v>29</v>
      </c>
      <c r="G389" s="8">
        <v>5000</v>
      </c>
      <c r="H389" s="7">
        <v>46276</v>
      </c>
      <c r="I389" s="9">
        <v>750</v>
      </c>
    </row>
    <row r="390" spans="1:9" x14ac:dyDescent="0.3">
      <c r="A390" s="8" t="s">
        <v>18</v>
      </c>
      <c r="B390" s="8" t="s">
        <v>19</v>
      </c>
      <c r="C390" s="8" t="s">
        <v>20</v>
      </c>
      <c r="D390" s="8">
        <v>30</v>
      </c>
      <c r="E390" s="8" t="s">
        <v>21</v>
      </c>
      <c r="F390" t="s">
        <v>13</v>
      </c>
      <c r="G390" s="8">
        <v>3000</v>
      </c>
      <c r="H390" s="7">
        <v>46276</v>
      </c>
      <c r="I390" s="9">
        <v>300</v>
      </c>
    </row>
    <row r="391" spans="1:9" x14ac:dyDescent="0.3">
      <c r="A391" s="8" t="s">
        <v>9</v>
      </c>
      <c r="B391" s="8" t="s">
        <v>10</v>
      </c>
      <c r="C391" s="8" t="s">
        <v>11</v>
      </c>
      <c r="D391" s="8">
        <v>90</v>
      </c>
      <c r="E391" s="8" t="s">
        <v>12</v>
      </c>
      <c r="F391" t="s">
        <v>13</v>
      </c>
      <c r="G391" s="8">
        <v>3000</v>
      </c>
      <c r="H391" s="7">
        <v>46276</v>
      </c>
      <c r="I391" s="9">
        <v>1506</v>
      </c>
    </row>
    <row r="392" spans="1:9" x14ac:dyDescent="0.3">
      <c r="A392" s="8" t="s">
        <v>14</v>
      </c>
      <c r="B392" s="8" t="s">
        <v>15</v>
      </c>
      <c r="C392" s="8" t="s">
        <v>11</v>
      </c>
      <c r="D392" s="8">
        <v>105</v>
      </c>
      <c r="E392" s="8" t="s">
        <v>16</v>
      </c>
      <c r="F392" t="s">
        <v>17</v>
      </c>
      <c r="G392" s="9">
        <v>15000</v>
      </c>
      <c r="H392" s="7">
        <v>46283</v>
      </c>
      <c r="I392" s="9">
        <v>2391</v>
      </c>
    </row>
    <row r="393" spans="1:9" x14ac:dyDescent="0.3">
      <c r="A393" s="8" t="s">
        <v>22</v>
      </c>
      <c r="B393" s="8" t="s">
        <v>23</v>
      </c>
      <c r="C393" s="8" t="s">
        <v>11</v>
      </c>
      <c r="D393" s="8">
        <v>55</v>
      </c>
      <c r="E393" s="8" t="s">
        <v>24</v>
      </c>
      <c r="F393" t="s">
        <v>17</v>
      </c>
      <c r="G393" s="9">
        <v>15000</v>
      </c>
      <c r="H393" s="7">
        <v>46283</v>
      </c>
      <c r="I393" s="9">
        <v>3750</v>
      </c>
    </row>
    <row r="394" spans="1:9" x14ac:dyDescent="0.3">
      <c r="A394" s="8" t="s">
        <v>25</v>
      </c>
      <c r="B394" s="8" t="s">
        <v>26</v>
      </c>
      <c r="C394" s="8" t="s">
        <v>27</v>
      </c>
      <c r="D394" s="8">
        <v>80</v>
      </c>
      <c r="E394" s="8" t="s">
        <v>28</v>
      </c>
      <c r="F394" t="s">
        <v>29</v>
      </c>
      <c r="G394" s="8">
        <v>5000</v>
      </c>
      <c r="H394" s="7">
        <v>46283</v>
      </c>
      <c r="I394" s="9">
        <v>750</v>
      </c>
    </row>
    <row r="395" spans="1:9" x14ac:dyDescent="0.3">
      <c r="A395" s="8" t="s">
        <v>30</v>
      </c>
      <c r="B395" s="8" t="s">
        <v>31</v>
      </c>
      <c r="C395" s="8" t="s">
        <v>27</v>
      </c>
      <c r="D395" s="8">
        <v>40</v>
      </c>
      <c r="E395" s="8" t="s">
        <v>32</v>
      </c>
      <c r="F395" t="s">
        <v>29</v>
      </c>
      <c r="G395" s="8">
        <v>5000</v>
      </c>
      <c r="H395" s="7">
        <v>46283</v>
      </c>
      <c r="I395" s="9">
        <v>400</v>
      </c>
    </row>
    <row r="396" spans="1:9" x14ac:dyDescent="0.3">
      <c r="A396" s="8" t="s">
        <v>9</v>
      </c>
      <c r="B396" s="8" t="s">
        <v>10</v>
      </c>
      <c r="C396" s="8" t="s">
        <v>11</v>
      </c>
      <c r="D396" s="8">
        <v>90</v>
      </c>
      <c r="E396" s="8" t="s">
        <v>12</v>
      </c>
      <c r="F396" t="s">
        <v>13</v>
      </c>
      <c r="G396" s="8">
        <v>3000</v>
      </c>
      <c r="H396" s="7">
        <v>46283</v>
      </c>
      <c r="I396" s="9">
        <v>1506</v>
      </c>
    </row>
    <row r="397" spans="1:9" x14ac:dyDescent="0.3">
      <c r="A397" s="8" t="s">
        <v>14</v>
      </c>
      <c r="B397" s="8" t="s">
        <v>15</v>
      </c>
      <c r="C397" s="8" t="s">
        <v>11</v>
      </c>
      <c r="D397" s="8">
        <v>105</v>
      </c>
      <c r="E397" s="8" t="s">
        <v>16</v>
      </c>
      <c r="F397" t="s">
        <v>17</v>
      </c>
      <c r="G397" s="9">
        <v>15000</v>
      </c>
      <c r="H397" s="7">
        <v>46290</v>
      </c>
      <c r="I397" s="9">
        <v>2392</v>
      </c>
    </row>
    <row r="398" spans="1:9" x14ac:dyDescent="0.3">
      <c r="A398" s="8" t="s">
        <v>22</v>
      </c>
      <c r="B398" s="8" t="s">
        <v>23</v>
      </c>
      <c r="C398" s="8" t="s">
        <v>11</v>
      </c>
      <c r="D398" s="8">
        <v>55</v>
      </c>
      <c r="E398" s="8" t="s">
        <v>24</v>
      </c>
      <c r="F398" t="s">
        <v>17</v>
      </c>
      <c r="G398" s="9">
        <v>15000</v>
      </c>
      <c r="H398" s="7">
        <v>46290</v>
      </c>
      <c r="I398" s="9">
        <v>3750</v>
      </c>
    </row>
    <row r="399" spans="1:9" x14ac:dyDescent="0.3">
      <c r="A399" s="8" t="s">
        <v>25</v>
      </c>
      <c r="B399" s="8" t="s">
        <v>26</v>
      </c>
      <c r="C399" s="8" t="s">
        <v>27</v>
      </c>
      <c r="D399" s="8">
        <v>80</v>
      </c>
      <c r="E399" s="8" t="s">
        <v>28</v>
      </c>
      <c r="F399" t="s">
        <v>29</v>
      </c>
      <c r="G399" s="8">
        <v>5000</v>
      </c>
      <c r="H399" s="7">
        <v>46290</v>
      </c>
      <c r="I399" s="9">
        <v>750</v>
      </c>
    </row>
    <row r="400" spans="1:9" x14ac:dyDescent="0.3">
      <c r="A400" s="8" t="s">
        <v>9</v>
      </c>
      <c r="B400" s="8" t="s">
        <v>10</v>
      </c>
      <c r="C400" s="8" t="s">
        <v>11</v>
      </c>
      <c r="D400" s="8">
        <v>90</v>
      </c>
      <c r="E400" s="8" t="s">
        <v>12</v>
      </c>
      <c r="F400" t="s">
        <v>13</v>
      </c>
      <c r="G400" s="8">
        <v>3000</v>
      </c>
      <c r="H400" s="7">
        <v>46290</v>
      </c>
      <c r="I400" s="9">
        <v>1506</v>
      </c>
    </row>
    <row r="401" spans="1:9" x14ac:dyDescent="0.3">
      <c r="A401" s="8" t="s">
        <v>14</v>
      </c>
      <c r="B401" s="8" t="s">
        <v>15</v>
      </c>
      <c r="C401" s="8" t="s">
        <v>11</v>
      </c>
      <c r="D401" s="8">
        <v>105</v>
      </c>
      <c r="E401" s="8" t="s">
        <v>16</v>
      </c>
      <c r="F401" t="s">
        <v>17</v>
      </c>
      <c r="G401" s="9">
        <v>15000</v>
      </c>
      <c r="H401" s="7">
        <v>46297</v>
      </c>
      <c r="I401" s="9">
        <v>2391</v>
      </c>
    </row>
    <row r="402" spans="1:9" x14ac:dyDescent="0.3">
      <c r="A402" s="8" t="s">
        <v>22</v>
      </c>
      <c r="B402" s="8" t="s">
        <v>23</v>
      </c>
      <c r="C402" s="8" t="s">
        <v>11</v>
      </c>
      <c r="D402" s="8">
        <v>55</v>
      </c>
      <c r="E402" s="8" t="s">
        <v>24</v>
      </c>
      <c r="F402" t="s">
        <v>17</v>
      </c>
      <c r="G402" s="9">
        <v>15000</v>
      </c>
      <c r="H402" s="7">
        <v>46297</v>
      </c>
      <c r="I402" s="9">
        <v>3000</v>
      </c>
    </row>
    <row r="403" spans="1:9" x14ac:dyDescent="0.3">
      <c r="A403" s="8" t="s">
        <v>25</v>
      </c>
      <c r="B403" s="8" t="s">
        <v>26</v>
      </c>
      <c r="C403" s="8" t="s">
        <v>27</v>
      </c>
      <c r="D403" s="8">
        <v>80</v>
      </c>
      <c r="E403" s="8" t="s">
        <v>28</v>
      </c>
      <c r="F403" t="s">
        <v>29</v>
      </c>
      <c r="G403" s="8">
        <v>5000</v>
      </c>
      <c r="H403" s="7">
        <v>46297</v>
      </c>
      <c r="I403" s="9">
        <v>600</v>
      </c>
    </row>
    <row r="404" spans="1:9" x14ac:dyDescent="0.3">
      <c r="A404" s="8" t="s">
        <v>30</v>
      </c>
      <c r="B404" s="8" t="s">
        <v>31</v>
      </c>
      <c r="C404" s="8" t="s">
        <v>27</v>
      </c>
      <c r="D404" s="8">
        <v>40</v>
      </c>
      <c r="E404" s="8" t="s">
        <v>32</v>
      </c>
      <c r="F404" t="s">
        <v>29</v>
      </c>
      <c r="G404" s="8">
        <v>5000</v>
      </c>
      <c r="H404" s="7">
        <v>46297</v>
      </c>
      <c r="I404" s="9">
        <v>360</v>
      </c>
    </row>
    <row r="405" spans="1:9" x14ac:dyDescent="0.3">
      <c r="A405" s="8" t="s">
        <v>9</v>
      </c>
      <c r="B405" s="8" t="s">
        <v>10</v>
      </c>
      <c r="C405" s="8" t="s">
        <v>11</v>
      </c>
      <c r="D405" s="8">
        <v>90</v>
      </c>
      <c r="E405" s="8" t="s">
        <v>12</v>
      </c>
      <c r="F405" t="s">
        <v>13</v>
      </c>
      <c r="G405" s="8">
        <v>3000</v>
      </c>
      <c r="H405" s="7">
        <v>46297</v>
      </c>
      <c r="I405" s="9">
        <v>1446</v>
      </c>
    </row>
    <row r="406" spans="1:9" x14ac:dyDescent="0.3">
      <c r="A406" s="8" t="s">
        <v>14</v>
      </c>
      <c r="B406" s="8" t="s">
        <v>15</v>
      </c>
      <c r="C406" s="8" t="s">
        <v>11</v>
      </c>
      <c r="D406" s="8">
        <v>105</v>
      </c>
      <c r="E406" s="8" t="s">
        <v>16</v>
      </c>
      <c r="F406" t="s">
        <v>17</v>
      </c>
      <c r="G406" s="9">
        <v>15000</v>
      </c>
      <c r="H406" s="7">
        <v>46304</v>
      </c>
      <c r="I406" s="9">
        <v>2392</v>
      </c>
    </row>
    <row r="407" spans="1:9" x14ac:dyDescent="0.3">
      <c r="A407" s="8" t="s">
        <v>22</v>
      </c>
      <c r="B407" s="8" t="s">
        <v>23</v>
      </c>
      <c r="C407" s="8" t="s">
        <v>11</v>
      </c>
      <c r="D407" s="8">
        <v>55</v>
      </c>
      <c r="E407" s="8" t="s">
        <v>24</v>
      </c>
      <c r="F407" t="s">
        <v>17</v>
      </c>
      <c r="G407" s="9">
        <v>15000</v>
      </c>
      <c r="H407" s="7">
        <v>46304</v>
      </c>
      <c r="I407" s="9">
        <v>3000</v>
      </c>
    </row>
    <row r="408" spans="1:9" x14ac:dyDescent="0.3">
      <c r="A408" s="8" t="s">
        <v>25</v>
      </c>
      <c r="B408" s="8" t="s">
        <v>26</v>
      </c>
      <c r="C408" s="8" t="s">
        <v>27</v>
      </c>
      <c r="D408" s="8">
        <v>80</v>
      </c>
      <c r="E408" s="8" t="s">
        <v>28</v>
      </c>
      <c r="F408" t="s">
        <v>29</v>
      </c>
      <c r="G408" s="8">
        <v>5000</v>
      </c>
      <c r="H408" s="7">
        <v>46304</v>
      </c>
      <c r="I408" s="9">
        <v>600</v>
      </c>
    </row>
    <row r="409" spans="1:9" x14ac:dyDescent="0.3">
      <c r="A409" s="8" t="s">
        <v>30</v>
      </c>
      <c r="B409" s="8" t="s">
        <v>31</v>
      </c>
      <c r="C409" s="8" t="s">
        <v>27</v>
      </c>
      <c r="D409" s="8">
        <v>40</v>
      </c>
      <c r="E409" s="8" t="s">
        <v>32</v>
      </c>
      <c r="F409" t="s">
        <v>29</v>
      </c>
      <c r="G409" s="8">
        <v>5000</v>
      </c>
      <c r="H409" s="7">
        <v>46304</v>
      </c>
      <c r="I409" s="9">
        <v>360</v>
      </c>
    </row>
    <row r="410" spans="1:9" x14ac:dyDescent="0.3">
      <c r="A410" s="8" t="s">
        <v>18</v>
      </c>
      <c r="B410" s="8" t="s">
        <v>19</v>
      </c>
      <c r="C410" s="8" t="s">
        <v>20</v>
      </c>
      <c r="D410" s="8">
        <v>30</v>
      </c>
      <c r="E410" s="8" t="s">
        <v>21</v>
      </c>
      <c r="F410" t="s">
        <v>13</v>
      </c>
      <c r="G410" s="8">
        <v>3000</v>
      </c>
      <c r="H410" s="7">
        <v>46304</v>
      </c>
      <c r="I410" s="9">
        <v>300</v>
      </c>
    </row>
    <row r="411" spans="1:9" x14ac:dyDescent="0.3">
      <c r="A411" s="8" t="s">
        <v>14</v>
      </c>
      <c r="B411" s="8" t="s">
        <v>15</v>
      </c>
      <c r="C411" s="8" t="s">
        <v>11</v>
      </c>
      <c r="D411" s="8">
        <v>105</v>
      </c>
      <c r="E411" s="8" t="s">
        <v>16</v>
      </c>
      <c r="F411" t="s">
        <v>17</v>
      </c>
      <c r="G411" s="9">
        <v>15000</v>
      </c>
      <c r="H411" s="7">
        <v>46311</v>
      </c>
      <c r="I411" s="9">
        <v>16017</v>
      </c>
    </row>
    <row r="412" spans="1:9" x14ac:dyDescent="0.3">
      <c r="A412" s="8" t="s">
        <v>22</v>
      </c>
      <c r="B412" s="8" t="s">
        <v>23</v>
      </c>
      <c r="C412" s="8" t="s">
        <v>11</v>
      </c>
      <c r="D412" s="8">
        <v>55</v>
      </c>
      <c r="E412" s="8" t="s">
        <v>24</v>
      </c>
      <c r="F412" t="s">
        <v>17</v>
      </c>
      <c r="G412" s="9">
        <v>15000</v>
      </c>
      <c r="H412" s="7">
        <v>46311</v>
      </c>
      <c r="I412" s="9">
        <v>3000</v>
      </c>
    </row>
    <row r="413" spans="1:9" x14ac:dyDescent="0.3">
      <c r="A413" s="8" t="s">
        <v>25</v>
      </c>
      <c r="B413" s="8" t="s">
        <v>26</v>
      </c>
      <c r="C413" s="8" t="s">
        <v>27</v>
      </c>
      <c r="D413" s="8">
        <v>80</v>
      </c>
      <c r="E413" s="8" t="s">
        <v>28</v>
      </c>
      <c r="F413" t="s">
        <v>29</v>
      </c>
      <c r="G413" s="8">
        <v>5000</v>
      </c>
      <c r="H413" s="7">
        <v>46311</v>
      </c>
      <c r="I413" s="9">
        <v>600</v>
      </c>
    </row>
    <row r="414" spans="1:9" x14ac:dyDescent="0.3">
      <c r="A414" s="8" t="s">
        <v>30</v>
      </c>
      <c r="B414" s="8" t="s">
        <v>31</v>
      </c>
      <c r="C414" s="8" t="s">
        <v>27</v>
      </c>
      <c r="D414" s="8">
        <v>40</v>
      </c>
      <c r="E414" s="8" t="s">
        <v>32</v>
      </c>
      <c r="F414" t="s">
        <v>29</v>
      </c>
      <c r="G414" s="8">
        <v>5000</v>
      </c>
      <c r="H414" s="7">
        <v>46311</v>
      </c>
      <c r="I414" s="9">
        <v>360</v>
      </c>
    </row>
    <row r="415" spans="1:9" x14ac:dyDescent="0.3">
      <c r="A415" s="8" t="s">
        <v>14</v>
      </c>
      <c r="B415" s="8" t="s">
        <v>15</v>
      </c>
      <c r="C415" s="8" t="s">
        <v>11</v>
      </c>
      <c r="D415" s="8">
        <v>105</v>
      </c>
      <c r="E415" s="8" t="s">
        <v>16</v>
      </c>
      <c r="F415" t="s">
        <v>17</v>
      </c>
      <c r="G415" s="9">
        <v>15000</v>
      </c>
      <c r="H415" s="7">
        <v>46318</v>
      </c>
      <c r="I415" s="9">
        <v>16017</v>
      </c>
    </row>
    <row r="416" spans="1:9" x14ac:dyDescent="0.3">
      <c r="A416" s="8" t="s">
        <v>22</v>
      </c>
      <c r="B416" s="8" t="s">
        <v>23</v>
      </c>
      <c r="C416" s="8" t="s">
        <v>11</v>
      </c>
      <c r="D416" s="8">
        <v>55</v>
      </c>
      <c r="E416" s="8" t="s">
        <v>24</v>
      </c>
      <c r="F416" t="s">
        <v>17</v>
      </c>
      <c r="G416" s="9">
        <v>15000</v>
      </c>
      <c r="H416" s="7">
        <v>46318</v>
      </c>
      <c r="I416" s="9">
        <v>3000</v>
      </c>
    </row>
    <row r="417" spans="1:9" x14ac:dyDescent="0.3">
      <c r="A417" s="8" t="s">
        <v>25</v>
      </c>
      <c r="B417" s="8" t="s">
        <v>26</v>
      </c>
      <c r="C417" s="8" t="s">
        <v>27</v>
      </c>
      <c r="D417" s="8">
        <v>80</v>
      </c>
      <c r="E417" s="8" t="s">
        <v>28</v>
      </c>
      <c r="F417" t="s">
        <v>29</v>
      </c>
      <c r="G417" s="8">
        <v>5000</v>
      </c>
      <c r="H417" s="7">
        <v>46318</v>
      </c>
      <c r="I417" s="9">
        <v>600</v>
      </c>
    </row>
    <row r="418" spans="1:9" x14ac:dyDescent="0.3">
      <c r="A418" s="8" t="s">
        <v>30</v>
      </c>
      <c r="B418" s="8" t="s">
        <v>31</v>
      </c>
      <c r="C418" s="8" t="s">
        <v>27</v>
      </c>
      <c r="D418" s="8">
        <v>40</v>
      </c>
      <c r="E418" s="8" t="s">
        <v>32</v>
      </c>
      <c r="F418" t="s">
        <v>29</v>
      </c>
      <c r="G418" s="8">
        <v>5000</v>
      </c>
      <c r="H418" s="7">
        <v>46318</v>
      </c>
      <c r="I418" s="9">
        <v>360</v>
      </c>
    </row>
    <row r="419" spans="1:9" x14ac:dyDescent="0.3">
      <c r="A419" s="8" t="s">
        <v>9</v>
      </c>
      <c r="B419" s="8" t="s">
        <v>10</v>
      </c>
      <c r="C419" s="8" t="s">
        <v>11</v>
      </c>
      <c r="D419" s="8">
        <v>90</v>
      </c>
      <c r="E419" s="8" t="s">
        <v>12</v>
      </c>
      <c r="F419" t="s">
        <v>13</v>
      </c>
      <c r="G419" s="8">
        <v>3000</v>
      </c>
      <c r="H419" s="7">
        <v>46318</v>
      </c>
      <c r="I419" s="9">
        <v>1448</v>
      </c>
    </row>
    <row r="420" spans="1:9" x14ac:dyDescent="0.3">
      <c r="A420" s="8" t="s">
        <v>14</v>
      </c>
      <c r="B420" s="8" t="s">
        <v>15</v>
      </c>
      <c r="C420" s="8" t="s">
        <v>11</v>
      </c>
      <c r="D420" s="8">
        <v>105</v>
      </c>
      <c r="E420" s="8" t="s">
        <v>16</v>
      </c>
      <c r="F420" t="s">
        <v>17</v>
      </c>
      <c r="G420" s="9">
        <v>15000</v>
      </c>
      <c r="H420" s="7">
        <v>46325</v>
      </c>
      <c r="I420" s="9">
        <v>16016</v>
      </c>
    </row>
    <row r="421" spans="1:9" x14ac:dyDescent="0.3">
      <c r="A421" s="8" t="s">
        <v>22</v>
      </c>
      <c r="B421" s="8" t="s">
        <v>23</v>
      </c>
      <c r="C421" s="8" t="s">
        <v>11</v>
      </c>
      <c r="D421" s="8">
        <v>55</v>
      </c>
      <c r="E421" s="8" t="s">
        <v>24</v>
      </c>
      <c r="F421" t="s">
        <v>17</v>
      </c>
      <c r="G421" s="9">
        <v>15000</v>
      </c>
      <c r="H421" s="7">
        <v>46325</v>
      </c>
      <c r="I421" s="9">
        <v>3000</v>
      </c>
    </row>
    <row r="422" spans="1:9" x14ac:dyDescent="0.3">
      <c r="A422" s="8" t="s">
        <v>25</v>
      </c>
      <c r="B422" s="8" t="s">
        <v>26</v>
      </c>
      <c r="C422" s="8" t="s">
        <v>27</v>
      </c>
      <c r="D422" s="8">
        <v>80</v>
      </c>
      <c r="E422" s="8" t="s">
        <v>28</v>
      </c>
      <c r="F422" t="s">
        <v>29</v>
      </c>
      <c r="G422" s="8">
        <v>5000</v>
      </c>
      <c r="H422" s="7">
        <v>46325</v>
      </c>
      <c r="I422" s="9">
        <v>600</v>
      </c>
    </row>
    <row r="423" spans="1:9" x14ac:dyDescent="0.3">
      <c r="A423" s="8" t="s">
        <v>30</v>
      </c>
      <c r="B423" s="8" t="s">
        <v>31</v>
      </c>
      <c r="C423" s="8" t="s">
        <v>27</v>
      </c>
      <c r="D423" s="8">
        <v>40</v>
      </c>
      <c r="E423" s="8" t="s">
        <v>32</v>
      </c>
      <c r="F423" t="s">
        <v>29</v>
      </c>
      <c r="G423" s="8">
        <v>5000</v>
      </c>
      <c r="H423" s="7">
        <v>46325</v>
      </c>
      <c r="I423" s="9">
        <v>360</v>
      </c>
    </row>
    <row r="424" spans="1:9" x14ac:dyDescent="0.3">
      <c r="A424" s="8" t="s">
        <v>9</v>
      </c>
      <c r="B424" s="8" t="s">
        <v>10</v>
      </c>
      <c r="C424" s="8" t="s">
        <v>11</v>
      </c>
      <c r="D424" s="8">
        <v>90</v>
      </c>
      <c r="E424" s="8" t="s">
        <v>12</v>
      </c>
      <c r="F424" t="s">
        <v>13</v>
      </c>
      <c r="G424" s="8">
        <v>3000</v>
      </c>
      <c r="H424" s="7">
        <v>46325</v>
      </c>
      <c r="I424" s="9">
        <v>1448</v>
      </c>
    </row>
    <row r="425" spans="1:9" x14ac:dyDescent="0.3">
      <c r="A425" s="8" t="s">
        <v>14</v>
      </c>
      <c r="B425" s="8" t="s">
        <v>15</v>
      </c>
      <c r="C425" s="8" t="s">
        <v>11</v>
      </c>
      <c r="D425" s="8">
        <v>105</v>
      </c>
      <c r="E425" s="8" t="s">
        <v>16</v>
      </c>
      <c r="F425" t="s">
        <v>17</v>
      </c>
      <c r="G425" s="9">
        <v>15000</v>
      </c>
      <c r="H425" s="7">
        <v>46332</v>
      </c>
      <c r="I425" s="9">
        <v>16017</v>
      </c>
    </row>
    <row r="426" spans="1:9" x14ac:dyDescent="0.3">
      <c r="A426" s="8" t="s">
        <v>22</v>
      </c>
      <c r="B426" s="8" t="s">
        <v>23</v>
      </c>
      <c r="C426" s="8" t="s">
        <v>11</v>
      </c>
      <c r="D426" s="8">
        <v>55</v>
      </c>
      <c r="E426" s="8" t="s">
        <v>24</v>
      </c>
      <c r="F426" t="s">
        <v>17</v>
      </c>
      <c r="G426" s="9">
        <v>15000</v>
      </c>
      <c r="H426" s="7">
        <v>46332</v>
      </c>
      <c r="I426" s="9">
        <v>6250</v>
      </c>
    </row>
    <row r="427" spans="1:9" x14ac:dyDescent="0.3">
      <c r="A427" s="8" t="s">
        <v>25</v>
      </c>
      <c r="B427" s="8" t="s">
        <v>26</v>
      </c>
      <c r="C427" s="8" t="s">
        <v>27</v>
      </c>
      <c r="D427" s="8">
        <v>80</v>
      </c>
      <c r="E427" s="8" t="s">
        <v>28</v>
      </c>
      <c r="F427" t="s">
        <v>29</v>
      </c>
      <c r="G427" s="8">
        <v>5000</v>
      </c>
      <c r="H427" s="7">
        <v>46332</v>
      </c>
      <c r="I427" s="9">
        <v>500</v>
      </c>
    </row>
    <row r="428" spans="1:9" x14ac:dyDescent="0.3">
      <c r="A428" s="8" t="s">
        <v>30</v>
      </c>
      <c r="B428" s="8" t="s">
        <v>31</v>
      </c>
      <c r="C428" s="8" t="s">
        <v>27</v>
      </c>
      <c r="D428" s="8">
        <v>40</v>
      </c>
      <c r="E428" s="8" t="s">
        <v>32</v>
      </c>
      <c r="F428" t="s">
        <v>29</v>
      </c>
      <c r="G428" s="8">
        <v>5000</v>
      </c>
      <c r="H428" s="7">
        <v>46332</v>
      </c>
      <c r="I428" s="9">
        <v>1000</v>
      </c>
    </row>
    <row r="429" spans="1:9" x14ac:dyDescent="0.3">
      <c r="A429" s="8" t="s">
        <v>9</v>
      </c>
      <c r="B429" s="8" t="s">
        <v>10</v>
      </c>
      <c r="C429" s="8" t="s">
        <v>11</v>
      </c>
      <c r="D429" s="8">
        <v>90</v>
      </c>
      <c r="E429" s="8" t="s">
        <v>12</v>
      </c>
      <c r="F429" t="s">
        <v>13</v>
      </c>
      <c r="G429" s="8">
        <v>3000</v>
      </c>
      <c r="H429" s="7">
        <v>46332</v>
      </c>
      <c r="I429" s="9">
        <v>1448</v>
      </c>
    </row>
    <row r="430" spans="1:9" x14ac:dyDescent="0.3">
      <c r="A430" s="8" t="s">
        <v>14</v>
      </c>
      <c r="B430" s="8" t="s">
        <v>15</v>
      </c>
      <c r="C430" s="8" t="s">
        <v>11</v>
      </c>
      <c r="D430" s="8">
        <v>105</v>
      </c>
      <c r="E430" s="8" t="s">
        <v>16</v>
      </c>
      <c r="F430" t="s">
        <v>17</v>
      </c>
      <c r="G430" s="9">
        <v>15000</v>
      </c>
      <c r="H430" s="7">
        <v>46339</v>
      </c>
      <c r="I430" s="9">
        <v>4281</v>
      </c>
    </row>
    <row r="431" spans="1:9" x14ac:dyDescent="0.3">
      <c r="A431" s="8" t="s">
        <v>22</v>
      </c>
      <c r="B431" s="8" t="s">
        <v>23</v>
      </c>
      <c r="C431" s="8" t="s">
        <v>11</v>
      </c>
      <c r="D431" s="8">
        <v>55</v>
      </c>
      <c r="E431" s="8" t="s">
        <v>24</v>
      </c>
      <c r="F431" t="s">
        <v>17</v>
      </c>
      <c r="G431" s="9">
        <v>15000</v>
      </c>
      <c r="H431" s="7">
        <v>46339</v>
      </c>
      <c r="I431" s="9">
        <v>6250</v>
      </c>
    </row>
    <row r="432" spans="1:9" x14ac:dyDescent="0.3">
      <c r="A432" s="8" t="s">
        <v>25</v>
      </c>
      <c r="B432" s="8" t="s">
        <v>26</v>
      </c>
      <c r="C432" s="8" t="s">
        <v>27</v>
      </c>
      <c r="D432" s="8">
        <v>80</v>
      </c>
      <c r="E432" s="8" t="s">
        <v>28</v>
      </c>
      <c r="F432" t="s">
        <v>29</v>
      </c>
      <c r="G432" s="8">
        <v>5000</v>
      </c>
      <c r="H432" s="7">
        <v>46339</v>
      </c>
      <c r="I432" s="9">
        <v>500</v>
      </c>
    </row>
    <row r="433" spans="1:9" x14ac:dyDescent="0.3">
      <c r="A433" s="8" t="s">
        <v>30</v>
      </c>
      <c r="B433" s="8" t="s">
        <v>31</v>
      </c>
      <c r="C433" s="8" t="s">
        <v>27</v>
      </c>
      <c r="D433" s="8">
        <v>40</v>
      </c>
      <c r="E433" s="8" t="s">
        <v>32</v>
      </c>
      <c r="F433" t="s">
        <v>29</v>
      </c>
      <c r="G433" s="8">
        <v>5000</v>
      </c>
      <c r="H433" s="7">
        <v>46339</v>
      </c>
      <c r="I433" s="9">
        <v>1000</v>
      </c>
    </row>
    <row r="434" spans="1:9" x14ac:dyDescent="0.3">
      <c r="A434" s="8" t="s">
        <v>18</v>
      </c>
      <c r="B434" s="8" t="s">
        <v>19</v>
      </c>
      <c r="C434" s="8" t="s">
        <v>20</v>
      </c>
      <c r="D434" s="8">
        <v>30</v>
      </c>
      <c r="E434" s="8" t="s">
        <v>21</v>
      </c>
      <c r="F434" t="s">
        <v>13</v>
      </c>
      <c r="G434" s="8">
        <v>3000</v>
      </c>
      <c r="H434" s="7">
        <v>46339</v>
      </c>
      <c r="I434" s="9">
        <v>300</v>
      </c>
    </row>
    <row r="435" spans="1:9" x14ac:dyDescent="0.3">
      <c r="A435" s="8" t="s">
        <v>9</v>
      </c>
      <c r="B435" s="8" t="s">
        <v>10</v>
      </c>
      <c r="C435" s="8" t="s">
        <v>11</v>
      </c>
      <c r="D435" s="8">
        <v>90</v>
      </c>
      <c r="E435" s="8" t="s">
        <v>12</v>
      </c>
      <c r="F435" t="s">
        <v>13</v>
      </c>
      <c r="G435" s="8">
        <v>3000</v>
      </c>
      <c r="H435" s="7">
        <v>46339</v>
      </c>
      <c r="I435" s="9">
        <v>1754</v>
      </c>
    </row>
    <row r="436" spans="1:9" x14ac:dyDescent="0.3">
      <c r="A436" s="8" t="s">
        <v>14</v>
      </c>
      <c r="B436" s="8" t="s">
        <v>15</v>
      </c>
      <c r="C436" s="8" t="s">
        <v>11</v>
      </c>
      <c r="D436" s="8">
        <v>105</v>
      </c>
      <c r="E436" s="8" t="s">
        <v>16</v>
      </c>
      <c r="F436" t="s">
        <v>17</v>
      </c>
      <c r="G436" s="9">
        <v>15000</v>
      </c>
      <c r="H436" s="7">
        <v>46346</v>
      </c>
      <c r="I436" s="9">
        <v>4282</v>
      </c>
    </row>
    <row r="437" spans="1:9" x14ac:dyDescent="0.3">
      <c r="A437" s="8" t="s">
        <v>22</v>
      </c>
      <c r="B437" s="8" t="s">
        <v>23</v>
      </c>
      <c r="C437" s="8" t="s">
        <v>11</v>
      </c>
      <c r="D437" s="8">
        <v>55</v>
      </c>
      <c r="E437" s="8" t="s">
        <v>24</v>
      </c>
      <c r="F437" t="s">
        <v>17</v>
      </c>
      <c r="G437" s="9">
        <v>15000</v>
      </c>
      <c r="H437" s="7">
        <v>46346</v>
      </c>
      <c r="I437" s="9">
        <v>6250</v>
      </c>
    </row>
    <row r="438" spans="1:9" x14ac:dyDescent="0.3">
      <c r="A438" s="8" t="s">
        <v>25</v>
      </c>
      <c r="B438" s="8" t="s">
        <v>26</v>
      </c>
      <c r="C438" s="8" t="s">
        <v>27</v>
      </c>
      <c r="D438" s="8">
        <v>80</v>
      </c>
      <c r="E438" s="8" t="s">
        <v>28</v>
      </c>
      <c r="F438" t="s">
        <v>29</v>
      </c>
      <c r="G438" s="8">
        <v>5000</v>
      </c>
      <c r="H438" s="7">
        <v>46346</v>
      </c>
      <c r="I438" s="9">
        <v>500</v>
      </c>
    </row>
    <row r="439" spans="1:9" x14ac:dyDescent="0.3">
      <c r="A439" s="8" t="s">
        <v>30</v>
      </c>
      <c r="B439" s="8" t="s">
        <v>31</v>
      </c>
      <c r="C439" s="8" t="s">
        <v>27</v>
      </c>
      <c r="D439" s="8">
        <v>40</v>
      </c>
      <c r="E439" s="8" t="s">
        <v>32</v>
      </c>
      <c r="F439" t="s">
        <v>29</v>
      </c>
      <c r="G439" s="8">
        <v>5000</v>
      </c>
      <c r="H439" s="7">
        <v>46346</v>
      </c>
      <c r="I439" s="9">
        <v>1000</v>
      </c>
    </row>
    <row r="440" spans="1:9" x14ac:dyDescent="0.3">
      <c r="A440" s="8" t="s">
        <v>9</v>
      </c>
      <c r="B440" s="8" t="s">
        <v>10</v>
      </c>
      <c r="C440" s="8" t="s">
        <v>11</v>
      </c>
      <c r="D440" s="8">
        <v>90</v>
      </c>
      <c r="E440" s="8" t="s">
        <v>12</v>
      </c>
      <c r="F440" t="s">
        <v>13</v>
      </c>
      <c r="G440" s="8">
        <v>3000</v>
      </c>
      <c r="H440" s="7">
        <v>46346</v>
      </c>
      <c r="I440" s="9">
        <v>1756</v>
      </c>
    </row>
    <row r="441" spans="1:9" x14ac:dyDescent="0.3">
      <c r="A441" s="8" t="s">
        <v>14</v>
      </c>
      <c r="B441" s="8" t="s">
        <v>15</v>
      </c>
      <c r="C441" s="8" t="s">
        <v>11</v>
      </c>
      <c r="D441" s="8">
        <v>105</v>
      </c>
      <c r="E441" s="8" t="s">
        <v>16</v>
      </c>
      <c r="F441" t="s">
        <v>17</v>
      </c>
      <c r="G441" s="9">
        <v>15000</v>
      </c>
      <c r="H441" s="7">
        <v>46353</v>
      </c>
      <c r="I441" s="9">
        <v>4281</v>
      </c>
    </row>
    <row r="442" spans="1:9" x14ac:dyDescent="0.3">
      <c r="A442" s="8" t="s">
        <v>22</v>
      </c>
      <c r="B442" s="8" t="s">
        <v>23</v>
      </c>
      <c r="C442" s="8" t="s">
        <v>11</v>
      </c>
      <c r="D442" s="8">
        <v>55</v>
      </c>
      <c r="E442" s="8" t="s">
        <v>24</v>
      </c>
      <c r="F442" t="s">
        <v>17</v>
      </c>
      <c r="G442" s="9">
        <v>15000</v>
      </c>
      <c r="H442" s="7">
        <v>46353</v>
      </c>
      <c r="I442" s="9">
        <v>6250</v>
      </c>
    </row>
    <row r="443" spans="1:9" x14ac:dyDescent="0.3">
      <c r="A443" s="8" t="s">
        <v>25</v>
      </c>
      <c r="B443" s="8" t="s">
        <v>26</v>
      </c>
      <c r="C443" s="8" t="s">
        <v>27</v>
      </c>
      <c r="D443" s="8">
        <v>80</v>
      </c>
      <c r="E443" s="8" t="s">
        <v>28</v>
      </c>
      <c r="F443" t="s">
        <v>29</v>
      </c>
      <c r="G443" s="8">
        <v>5000</v>
      </c>
      <c r="H443" s="7">
        <v>46353</v>
      </c>
      <c r="I443" s="9">
        <v>500</v>
      </c>
    </row>
    <row r="444" spans="1:9" x14ac:dyDescent="0.3">
      <c r="A444" s="8" t="s">
        <v>30</v>
      </c>
      <c r="B444" s="8" t="s">
        <v>31</v>
      </c>
      <c r="C444" s="8" t="s">
        <v>27</v>
      </c>
      <c r="D444" s="8">
        <v>40</v>
      </c>
      <c r="E444" s="8" t="s">
        <v>32</v>
      </c>
      <c r="F444" t="s">
        <v>29</v>
      </c>
      <c r="G444" s="8">
        <v>5000</v>
      </c>
      <c r="H444" s="7">
        <v>46353</v>
      </c>
      <c r="I444" s="9">
        <v>1000</v>
      </c>
    </row>
    <row r="445" spans="1:9" x14ac:dyDescent="0.3">
      <c r="A445" s="8" t="s">
        <v>9</v>
      </c>
      <c r="B445" s="8" t="s">
        <v>10</v>
      </c>
      <c r="C445" s="8" t="s">
        <v>11</v>
      </c>
      <c r="D445" s="8">
        <v>90</v>
      </c>
      <c r="E445" s="8" t="s">
        <v>12</v>
      </c>
      <c r="F445" t="s">
        <v>13</v>
      </c>
      <c r="G445" s="8">
        <v>3000</v>
      </c>
      <c r="H445" s="7">
        <v>46353</v>
      </c>
      <c r="I445" s="9">
        <v>1756</v>
      </c>
    </row>
    <row r="446" spans="1:9" x14ac:dyDescent="0.3">
      <c r="A446" s="8" t="s">
        <v>14</v>
      </c>
      <c r="B446" s="8" t="s">
        <v>15</v>
      </c>
      <c r="C446" s="8" t="s">
        <v>11</v>
      </c>
      <c r="D446" s="8">
        <v>105</v>
      </c>
      <c r="E446" s="8" t="s">
        <v>16</v>
      </c>
      <c r="F446" t="s">
        <v>17</v>
      </c>
      <c r="G446" s="9">
        <v>15000</v>
      </c>
      <c r="H446" s="7">
        <v>46360</v>
      </c>
      <c r="I446" s="9">
        <v>4282</v>
      </c>
    </row>
    <row r="447" spans="1:9" x14ac:dyDescent="0.3">
      <c r="A447" s="8" t="s">
        <v>22</v>
      </c>
      <c r="B447" s="8" t="s">
        <v>23</v>
      </c>
      <c r="C447" s="8" t="s">
        <v>11</v>
      </c>
      <c r="D447" s="8">
        <v>55</v>
      </c>
      <c r="E447" s="8" t="s">
        <v>24</v>
      </c>
      <c r="F447" t="s">
        <v>17</v>
      </c>
      <c r="G447" s="9">
        <v>15000</v>
      </c>
      <c r="H447" s="7">
        <v>46360</v>
      </c>
      <c r="I447" s="9">
        <v>6250</v>
      </c>
    </row>
    <row r="448" spans="1:9" x14ac:dyDescent="0.3">
      <c r="A448" s="8" t="s">
        <v>25</v>
      </c>
      <c r="B448" s="8" t="s">
        <v>26</v>
      </c>
      <c r="C448" s="8" t="s">
        <v>27</v>
      </c>
      <c r="D448" s="8">
        <v>80</v>
      </c>
      <c r="E448" s="8" t="s">
        <v>28</v>
      </c>
      <c r="F448" t="s">
        <v>29</v>
      </c>
      <c r="G448" s="8">
        <v>5000</v>
      </c>
      <c r="H448" s="7">
        <v>46360</v>
      </c>
      <c r="I448" s="9">
        <v>3000</v>
      </c>
    </row>
    <row r="449" spans="1:9" x14ac:dyDescent="0.3">
      <c r="A449" s="8" t="s">
        <v>30</v>
      </c>
      <c r="B449" s="8" t="s">
        <v>31</v>
      </c>
      <c r="C449" s="8" t="s">
        <v>27</v>
      </c>
      <c r="D449" s="8">
        <v>40</v>
      </c>
      <c r="E449" s="8" t="s">
        <v>32</v>
      </c>
      <c r="F449" t="s">
        <v>29</v>
      </c>
      <c r="G449" s="8">
        <v>5000</v>
      </c>
      <c r="H449" s="7">
        <v>46360</v>
      </c>
      <c r="I449" s="9">
        <v>1250</v>
      </c>
    </row>
    <row r="450" spans="1:9" x14ac:dyDescent="0.3">
      <c r="A450" s="8" t="s">
        <v>9</v>
      </c>
      <c r="B450" s="8" t="s">
        <v>10</v>
      </c>
      <c r="C450" s="8" t="s">
        <v>11</v>
      </c>
      <c r="D450" s="8">
        <v>90</v>
      </c>
      <c r="E450" s="8" t="s">
        <v>12</v>
      </c>
      <c r="F450" t="s">
        <v>13</v>
      </c>
      <c r="G450" s="8">
        <v>3000</v>
      </c>
      <c r="H450" s="7">
        <v>46360</v>
      </c>
      <c r="I450" s="9">
        <v>1756</v>
      </c>
    </row>
    <row r="451" spans="1:9" x14ac:dyDescent="0.3">
      <c r="A451" s="8" t="s">
        <v>14</v>
      </c>
      <c r="B451" s="8" t="s">
        <v>15</v>
      </c>
      <c r="C451" s="8" t="s">
        <v>11</v>
      </c>
      <c r="D451" s="8">
        <v>105</v>
      </c>
      <c r="E451" s="8" t="s">
        <v>16</v>
      </c>
      <c r="F451" t="s">
        <v>17</v>
      </c>
      <c r="G451" s="9">
        <v>15000</v>
      </c>
      <c r="H451" s="7">
        <v>46367</v>
      </c>
      <c r="I451" s="9">
        <v>4281</v>
      </c>
    </row>
    <row r="452" spans="1:9" x14ac:dyDescent="0.3">
      <c r="A452" s="8" t="s">
        <v>22</v>
      </c>
      <c r="B452" s="8" t="s">
        <v>23</v>
      </c>
      <c r="C452" s="8" t="s">
        <v>11</v>
      </c>
      <c r="D452" s="8">
        <v>55</v>
      </c>
      <c r="E452" s="8" t="s">
        <v>24</v>
      </c>
      <c r="F452" t="s">
        <v>17</v>
      </c>
      <c r="G452" s="9">
        <v>15000</v>
      </c>
      <c r="H452" s="7">
        <v>46367</v>
      </c>
      <c r="I452" s="9">
        <v>6250</v>
      </c>
    </row>
    <row r="453" spans="1:9" x14ac:dyDescent="0.3">
      <c r="A453" s="8" t="s">
        <v>25</v>
      </c>
      <c r="B453" s="8" t="s">
        <v>26</v>
      </c>
      <c r="C453" s="8" t="s">
        <v>27</v>
      </c>
      <c r="D453" s="8">
        <v>80</v>
      </c>
      <c r="E453" s="8" t="s">
        <v>28</v>
      </c>
      <c r="F453" t="s">
        <v>29</v>
      </c>
      <c r="G453" s="8">
        <v>5000</v>
      </c>
      <c r="H453" s="7">
        <v>46367</v>
      </c>
      <c r="I453" s="9">
        <v>3000</v>
      </c>
    </row>
    <row r="454" spans="1:9" x14ac:dyDescent="0.3">
      <c r="A454" s="8" t="s">
        <v>30</v>
      </c>
      <c r="B454" s="8" t="s">
        <v>31</v>
      </c>
      <c r="C454" s="8" t="s">
        <v>27</v>
      </c>
      <c r="D454" s="8">
        <v>40</v>
      </c>
      <c r="E454" s="8" t="s">
        <v>32</v>
      </c>
      <c r="F454" t="s">
        <v>29</v>
      </c>
      <c r="G454" s="8">
        <v>5000</v>
      </c>
      <c r="H454" s="7">
        <v>46367</v>
      </c>
      <c r="I454" s="9">
        <v>1250</v>
      </c>
    </row>
    <row r="455" spans="1:9" x14ac:dyDescent="0.3">
      <c r="A455" s="8" t="s">
        <v>18</v>
      </c>
      <c r="B455" s="8" t="s">
        <v>19</v>
      </c>
      <c r="C455" s="8" t="s">
        <v>20</v>
      </c>
      <c r="D455" s="8">
        <v>30</v>
      </c>
      <c r="E455" s="8" t="s">
        <v>21</v>
      </c>
      <c r="F455" t="s">
        <v>13</v>
      </c>
      <c r="G455" s="8">
        <v>3000</v>
      </c>
      <c r="H455" s="7">
        <v>46367</v>
      </c>
      <c r="I455" s="9">
        <v>300</v>
      </c>
    </row>
    <row r="456" spans="1:9" x14ac:dyDescent="0.3">
      <c r="A456" s="8" t="s">
        <v>9</v>
      </c>
      <c r="B456" s="8" t="s">
        <v>10</v>
      </c>
      <c r="C456" s="8" t="s">
        <v>11</v>
      </c>
      <c r="D456" s="8">
        <v>90</v>
      </c>
      <c r="E456" s="8" t="s">
        <v>12</v>
      </c>
      <c r="F456" t="s">
        <v>13</v>
      </c>
      <c r="G456" s="8">
        <v>3000</v>
      </c>
      <c r="H456" s="7">
        <v>46367</v>
      </c>
      <c r="I456" s="9">
        <v>1928</v>
      </c>
    </row>
    <row r="457" spans="1:9" x14ac:dyDescent="0.3">
      <c r="A457" s="8" t="s">
        <v>14</v>
      </c>
      <c r="B457" s="8" t="s">
        <v>15</v>
      </c>
      <c r="C457" s="8" t="s">
        <v>11</v>
      </c>
      <c r="D457" s="8">
        <v>105</v>
      </c>
      <c r="E457" s="8" t="s">
        <v>16</v>
      </c>
      <c r="F457" t="s">
        <v>17</v>
      </c>
      <c r="G457" s="9">
        <v>15000</v>
      </c>
      <c r="H457" s="7">
        <v>46374</v>
      </c>
      <c r="I457" s="9">
        <v>8326</v>
      </c>
    </row>
    <row r="458" spans="1:9" x14ac:dyDescent="0.3">
      <c r="A458" s="8" t="s">
        <v>22</v>
      </c>
      <c r="B458" s="8" t="s">
        <v>23</v>
      </c>
      <c r="C458" s="8" t="s">
        <v>11</v>
      </c>
      <c r="D458" s="8">
        <v>55</v>
      </c>
      <c r="E458" s="8" t="s">
        <v>24</v>
      </c>
      <c r="F458" t="s">
        <v>17</v>
      </c>
      <c r="G458" s="9">
        <v>15000</v>
      </c>
      <c r="H458" s="7">
        <v>46374</v>
      </c>
      <c r="I458" s="9">
        <v>6250</v>
      </c>
    </row>
    <row r="459" spans="1:9" x14ac:dyDescent="0.3">
      <c r="A459" s="8" t="s">
        <v>25</v>
      </c>
      <c r="B459" s="8" t="s">
        <v>26</v>
      </c>
      <c r="C459" s="8" t="s">
        <v>27</v>
      </c>
      <c r="D459" s="8">
        <v>80</v>
      </c>
      <c r="E459" s="8" t="s">
        <v>28</v>
      </c>
      <c r="F459" t="s">
        <v>29</v>
      </c>
      <c r="G459" s="8">
        <v>5000</v>
      </c>
      <c r="H459" s="7">
        <v>46374</v>
      </c>
      <c r="I459" s="9">
        <v>3000</v>
      </c>
    </row>
    <row r="460" spans="1:9" x14ac:dyDescent="0.3">
      <c r="A460" s="8" t="s">
        <v>30</v>
      </c>
      <c r="B460" s="8" t="s">
        <v>31</v>
      </c>
      <c r="C460" s="8" t="s">
        <v>27</v>
      </c>
      <c r="D460" s="8">
        <v>40</v>
      </c>
      <c r="E460" s="8" t="s">
        <v>32</v>
      </c>
      <c r="F460" t="s">
        <v>29</v>
      </c>
      <c r="G460" s="8">
        <v>5000</v>
      </c>
      <c r="H460" s="7">
        <v>46374</v>
      </c>
      <c r="I460" s="9">
        <v>1250</v>
      </c>
    </row>
    <row r="461" spans="1:9" x14ac:dyDescent="0.3">
      <c r="A461" s="8" t="s">
        <v>9</v>
      </c>
      <c r="B461" s="8" t="s">
        <v>10</v>
      </c>
      <c r="C461" s="8" t="s">
        <v>11</v>
      </c>
      <c r="D461" s="8">
        <v>90</v>
      </c>
      <c r="E461" s="8" t="s">
        <v>12</v>
      </c>
      <c r="F461" t="s">
        <v>13</v>
      </c>
      <c r="G461" s="8">
        <v>3000</v>
      </c>
      <c r="H461" s="7">
        <v>46374</v>
      </c>
      <c r="I461" s="9">
        <v>1930</v>
      </c>
    </row>
    <row r="462" spans="1:9" x14ac:dyDescent="0.3">
      <c r="A462" s="8" t="s">
        <v>14</v>
      </c>
      <c r="B462" s="8" t="s">
        <v>15</v>
      </c>
      <c r="C462" s="8" t="s">
        <v>11</v>
      </c>
      <c r="D462" s="8">
        <v>105</v>
      </c>
      <c r="E462" s="8" t="s">
        <v>16</v>
      </c>
      <c r="F462" t="s">
        <v>17</v>
      </c>
      <c r="G462" s="9">
        <v>15000</v>
      </c>
      <c r="H462" s="7">
        <v>46381</v>
      </c>
      <c r="I462" s="9">
        <v>8325</v>
      </c>
    </row>
    <row r="463" spans="1:9" x14ac:dyDescent="0.3">
      <c r="A463" s="8" t="s">
        <v>22</v>
      </c>
      <c r="B463" s="8" t="s">
        <v>23</v>
      </c>
      <c r="C463" s="8" t="s">
        <v>11</v>
      </c>
      <c r="D463" s="8">
        <v>55</v>
      </c>
      <c r="E463" s="8" t="s">
        <v>24</v>
      </c>
      <c r="F463" t="s">
        <v>17</v>
      </c>
      <c r="G463" s="9">
        <v>15000</v>
      </c>
      <c r="H463" s="7">
        <v>46381</v>
      </c>
      <c r="I463" s="9">
        <v>6250</v>
      </c>
    </row>
    <row r="464" spans="1:9" x14ac:dyDescent="0.3">
      <c r="A464" s="8" t="s">
        <v>25</v>
      </c>
      <c r="B464" s="8" t="s">
        <v>26</v>
      </c>
      <c r="C464" s="8" t="s">
        <v>27</v>
      </c>
      <c r="D464" s="8">
        <v>80</v>
      </c>
      <c r="E464" s="8" t="s">
        <v>28</v>
      </c>
      <c r="F464" t="s">
        <v>29</v>
      </c>
      <c r="G464" s="8">
        <v>5000</v>
      </c>
      <c r="H464" s="7">
        <v>46381</v>
      </c>
      <c r="I464" s="9">
        <v>3000</v>
      </c>
    </row>
    <row r="465" spans="1:9" x14ac:dyDescent="0.3">
      <c r="A465" s="8" t="s">
        <v>30</v>
      </c>
      <c r="B465" s="8" t="s">
        <v>31</v>
      </c>
      <c r="C465" s="8" t="s">
        <v>27</v>
      </c>
      <c r="D465" s="8">
        <v>40</v>
      </c>
      <c r="E465" s="8" t="s">
        <v>32</v>
      </c>
      <c r="F465" t="s">
        <v>29</v>
      </c>
      <c r="G465" s="8">
        <v>5000</v>
      </c>
      <c r="H465" s="7">
        <v>46381</v>
      </c>
      <c r="I465" s="9">
        <v>1250</v>
      </c>
    </row>
    <row r="466" spans="1:9" x14ac:dyDescent="0.3">
      <c r="A466" s="8" t="s">
        <v>9</v>
      </c>
      <c r="B466" s="8" t="s">
        <v>10</v>
      </c>
      <c r="C466" s="8" t="s">
        <v>11</v>
      </c>
      <c r="D466" s="8">
        <v>90</v>
      </c>
      <c r="E466" s="8" t="s">
        <v>12</v>
      </c>
      <c r="F466" t="s">
        <v>13</v>
      </c>
      <c r="G466" s="8">
        <v>3000</v>
      </c>
      <c r="H466" s="12">
        <v>46381</v>
      </c>
      <c r="I466" s="13">
        <v>1928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2"/>
  <sheetViews>
    <sheetView zoomScale="58" workbookViewId="0">
      <selection activeCell="E5" sqref="E5"/>
    </sheetView>
  </sheetViews>
  <sheetFormatPr defaultRowHeight="14.4" x14ac:dyDescent="0.3"/>
  <cols>
    <col min="1" max="1" width="11.44140625" bestFit="1" customWidth="1"/>
    <col min="2" max="2" width="32.109375" style="31" customWidth="1"/>
    <col min="3" max="3" width="23.21875" style="31" bestFit="1" customWidth="1"/>
    <col min="4" max="4" width="23.77734375" bestFit="1" customWidth="1"/>
    <col min="5" max="5" width="22.88671875" customWidth="1"/>
    <col min="6" max="6" width="8.88671875" customWidth="1"/>
    <col min="7" max="7" width="13.21875" bestFit="1" customWidth="1"/>
    <col min="8" max="8" width="15.5546875" style="31" bestFit="1" customWidth="1"/>
    <col min="9" max="9" width="14.88671875" bestFit="1" customWidth="1"/>
    <col min="10" max="10" width="9.6640625" style="31" bestFit="1" customWidth="1"/>
    <col min="11" max="11" width="9.88671875" customWidth="1"/>
    <col min="12" max="12" width="21.88671875" bestFit="1" customWidth="1"/>
    <col min="15" max="15" width="8.44140625" bestFit="1" customWidth="1"/>
    <col min="16" max="16" width="2.21875" bestFit="1" customWidth="1"/>
    <col min="17" max="17" width="2" bestFit="1" customWidth="1"/>
  </cols>
  <sheetData>
    <row r="1" spans="1:14" x14ac:dyDescent="0.3">
      <c r="A1" s="33" t="s">
        <v>0</v>
      </c>
      <c r="B1" s="34" t="s">
        <v>57</v>
      </c>
      <c r="C1" s="35" t="s">
        <v>54</v>
      </c>
      <c r="D1" s="36" t="s">
        <v>56</v>
      </c>
      <c r="E1" s="36" t="s">
        <v>58</v>
      </c>
      <c r="F1" s="36" t="s">
        <v>59</v>
      </c>
    </row>
    <row r="2" spans="1:14" x14ac:dyDescent="0.3">
      <c r="A2" t="str">
        <f t="array" ref="A2:D172">_xlfn.UNIQUE(_xlfn.CHOOSECOLS(Sheet1!A2:L466,1,3,11,12))</f>
        <v>A</v>
      </c>
      <c r="B2" s="31" t="str">
        <v>US</v>
      </c>
      <c r="C2" s="31">
        <v>46137</v>
      </c>
      <c r="D2">
        <v>684</v>
      </c>
      <c r="E2">
        <f t="shared" ref="E2:E33" si="0">ROUNDUP(D2/_xlfn.XLOOKUP(A2,$J$3:$J$8,$L$3:$L$8),0)</f>
        <v>171</v>
      </c>
      <c r="F2">
        <f t="shared" ref="F2:F33" si="1">E2/100*_xlfn.XLOOKUP(A2,$J$3:$J$8,$M$3:$M$8)</f>
        <v>1.71</v>
      </c>
      <c r="J2" s="19" t="s">
        <v>0</v>
      </c>
      <c r="K2" s="19" t="s">
        <v>1</v>
      </c>
      <c r="L2" s="19" t="s">
        <v>60</v>
      </c>
      <c r="M2" s="19" t="s">
        <v>61</v>
      </c>
      <c r="N2" s="20"/>
    </row>
    <row r="3" spans="1:14" x14ac:dyDescent="0.3">
      <c r="A3" t="str">
        <v>A</v>
      </c>
      <c r="B3" s="31" t="str">
        <v>US</v>
      </c>
      <c r="C3" s="31">
        <v>46144</v>
      </c>
      <c r="D3">
        <v>20000</v>
      </c>
      <c r="E3">
        <f t="shared" si="0"/>
        <v>5000</v>
      </c>
      <c r="F3">
        <f t="shared" si="1"/>
        <v>50</v>
      </c>
      <c r="J3" s="18" t="s">
        <v>14</v>
      </c>
      <c r="K3" t="s">
        <v>15</v>
      </c>
      <c r="L3">
        <v>4</v>
      </c>
      <c r="M3" s="17">
        <v>1</v>
      </c>
    </row>
    <row r="4" spans="1:14" x14ac:dyDescent="0.3">
      <c r="A4" t="str">
        <v>A</v>
      </c>
      <c r="B4" s="31" t="str">
        <v>US</v>
      </c>
      <c r="C4" s="31">
        <v>46151</v>
      </c>
      <c r="D4">
        <v>20000</v>
      </c>
      <c r="E4">
        <f t="shared" si="0"/>
        <v>5000</v>
      </c>
      <c r="F4">
        <f t="shared" si="1"/>
        <v>50</v>
      </c>
      <c r="J4" s="18" t="s">
        <v>22</v>
      </c>
      <c r="K4" t="s">
        <v>23</v>
      </c>
      <c r="L4">
        <v>4</v>
      </c>
      <c r="M4" s="17">
        <v>0.625</v>
      </c>
    </row>
    <row r="5" spans="1:14" x14ac:dyDescent="0.3">
      <c r="A5" t="str">
        <v>A</v>
      </c>
      <c r="B5" s="31" t="str">
        <v>US</v>
      </c>
      <c r="C5" s="31">
        <v>46158</v>
      </c>
      <c r="D5">
        <v>11000</v>
      </c>
      <c r="E5">
        <f t="shared" si="0"/>
        <v>2750</v>
      </c>
      <c r="F5">
        <f t="shared" si="1"/>
        <v>27.5</v>
      </c>
      <c r="J5" s="18" t="s">
        <v>25</v>
      </c>
      <c r="K5" t="s">
        <v>26</v>
      </c>
      <c r="L5">
        <v>2</v>
      </c>
      <c r="M5" s="17">
        <v>1</v>
      </c>
    </row>
    <row r="6" spans="1:14" x14ac:dyDescent="0.3">
      <c r="A6" t="str">
        <v>A</v>
      </c>
      <c r="B6" s="31" t="str">
        <v>US</v>
      </c>
      <c r="C6" s="31">
        <v>46165</v>
      </c>
      <c r="D6">
        <v>13000</v>
      </c>
      <c r="E6">
        <f t="shared" si="0"/>
        <v>3250</v>
      </c>
      <c r="F6">
        <f t="shared" si="1"/>
        <v>32.5</v>
      </c>
      <c r="J6" s="18" t="s">
        <v>30</v>
      </c>
      <c r="K6" t="s">
        <v>31</v>
      </c>
      <c r="L6">
        <v>4</v>
      </c>
      <c r="M6" s="17">
        <v>0.625</v>
      </c>
    </row>
    <row r="7" spans="1:14" x14ac:dyDescent="0.3">
      <c r="A7" t="str">
        <v>A</v>
      </c>
      <c r="B7" s="31" t="str">
        <v>US</v>
      </c>
      <c r="C7" s="31">
        <v>46172</v>
      </c>
      <c r="D7">
        <v>13773</v>
      </c>
      <c r="E7">
        <f t="shared" si="0"/>
        <v>3444</v>
      </c>
      <c r="F7">
        <f t="shared" si="1"/>
        <v>34.44</v>
      </c>
      <c r="J7" s="18" t="s">
        <v>18</v>
      </c>
      <c r="K7" t="s">
        <v>19</v>
      </c>
      <c r="L7">
        <v>2</v>
      </c>
      <c r="M7" s="17">
        <v>0.625</v>
      </c>
    </row>
    <row r="8" spans="1:14" x14ac:dyDescent="0.3">
      <c r="A8" t="str">
        <v>A</v>
      </c>
      <c r="B8" s="31" t="str">
        <v>US</v>
      </c>
      <c r="C8" s="31">
        <v>46179</v>
      </c>
      <c r="D8">
        <v>7058</v>
      </c>
      <c r="E8">
        <f t="shared" si="0"/>
        <v>1765</v>
      </c>
      <c r="F8">
        <f t="shared" si="1"/>
        <v>17.649999999999999</v>
      </c>
      <c r="J8" s="18" t="s">
        <v>9</v>
      </c>
      <c r="K8" t="s">
        <v>10</v>
      </c>
      <c r="L8">
        <v>8</v>
      </c>
      <c r="M8" s="17">
        <v>0.78125</v>
      </c>
    </row>
    <row r="9" spans="1:14" x14ac:dyDescent="0.3">
      <c r="A9" t="str">
        <v>A</v>
      </c>
      <c r="B9" s="31" t="str">
        <v>US</v>
      </c>
      <c r="C9" s="31">
        <v>46186</v>
      </c>
      <c r="D9">
        <v>2040</v>
      </c>
      <c r="E9">
        <f t="shared" si="0"/>
        <v>510</v>
      </c>
      <c r="F9">
        <f t="shared" si="1"/>
        <v>5.0999999999999996</v>
      </c>
    </row>
    <row r="10" spans="1:14" x14ac:dyDescent="0.3">
      <c r="A10" t="str">
        <v>A</v>
      </c>
      <c r="B10" s="31" t="str">
        <v>US</v>
      </c>
      <c r="C10" s="31">
        <v>46193</v>
      </c>
      <c r="D10">
        <v>3541</v>
      </c>
      <c r="E10">
        <f t="shared" si="0"/>
        <v>886</v>
      </c>
      <c r="F10">
        <f t="shared" si="1"/>
        <v>8.86</v>
      </c>
    </row>
    <row r="11" spans="1:14" x14ac:dyDescent="0.3">
      <c r="A11" t="str">
        <v>A</v>
      </c>
      <c r="B11" s="31" t="str">
        <v>US</v>
      </c>
      <c r="C11" s="31">
        <v>46200</v>
      </c>
      <c r="D11">
        <v>12041</v>
      </c>
      <c r="E11">
        <f t="shared" si="0"/>
        <v>3011</v>
      </c>
      <c r="F11">
        <f t="shared" si="1"/>
        <v>30.11</v>
      </c>
    </row>
    <row r="12" spans="1:14" x14ac:dyDescent="0.3">
      <c r="A12" t="str">
        <v>A</v>
      </c>
      <c r="B12" s="31" t="str">
        <v>US</v>
      </c>
      <c r="C12" s="31">
        <v>46207</v>
      </c>
      <c r="D12">
        <v>12040</v>
      </c>
      <c r="E12">
        <f t="shared" si="0"/>
        <v>3010</v>
      </c>
      <c r="F12">
        <f t="shared" si="1"/>
        <v>30.1</v>
      </c>
    </row>
    <row r="13" spans="1:14" x14ac:dyDescent="0.3">
      <c r="A13" t="str">
        <v>A</v>
      </c>
      <c r="B13" s="31" t="str">
        <v>US</v>
      </c>
      <c r="C13" s="31">
        <v>46228</v>
      </c>
      <c r="D13">
        <v>27760</v>
      </c>
      <c r="E13">
        <f t="shared" si="0"/>
        <v>6940</v>
      </c>
      <c r="F13">
        <f t="shared" si="1"/>
        <v>69.400000000000006</v>
      </c>
    </row>
    <row r="14" spans="1:14" x14ac:dyDescent="0.3">
      <c r="A14" t="str">
        <v>A</v>
      </c>
      <c r="B14" s="31" t="str">
        <v>US</v>
      </c>
      <c r="C14" s="31">
        <v>46235</v>
      </c>
      <c r="D14">
        <v>26486</v>
      </c>
      <c r="E14">
        <f t="shared" si="0"/>
        <v>6622</v>
      </c>
      <c r="F14">
        <f t="shared" si="1"/>
        <v>66.22</v>
      </c>
    </row>
    <row r="15" spans="1:14" x14ac:dyDescent="0.3">
      <c r="A15" t="str">
        <v>A</v>
      </c>
      <c r="B15" s="31" t="str">
        <v>US</v>
      </c>
      <c r="C15" s="31">
        <v>46242</v>
      </c>
      <c r="D15">
        <v>4248</v>
      </c>
      <c r="E15">
        <f t="shared" si="0"/>
        <v>1062</v>
      </c>
      <c r="F15">
        <f t="shared" si="1"/>
        <v>10.62</v>
      </c>
    </row>
    <row r="16" spans="1:14" x14ac:dyDescent="0.3">
      <c r="A16" t="str">
        <v>A</v>
      </c>
      <c r="B16" s="31" t="str">
        <v>US</v>
      </c>
      <c r="C16" s="31">
        <v>46249</v>
      </c>
      <c r="D16">
        <v>4248</v>
      </c>
      <c r="E16">
        <f t="shared" si="0"/>
        <v>1062</v>
      </c>
      <c r="F16">
        <f t="shared" si="1"/>
        <v>10.62</v>
      </c>
    </row>
    <row r="17" spans="1:6" x14ac:dyDescent="0.3">
      <c r="A17" t="str">
        <v>A</v>
      </c>
      <c r="B17" s="31" t="str">
        <v>US</v>
      </c>
      <c r="C17" s="31">
        <v>46256</v>
      </c>
      <c r="D17">
        <v>4249</v>
      </c>
      <c r="E17">
        <f t="shared" si="0"/>
        <v>1063</v>
      </c>
      <c r="F17">
        <f t="shared" si="1"/>
        <v>10.63</v>
      </c>
    </row>
    <row r="18" spans="1:6" x14ac:dyDescent="0.3">
      <c r="A18" t="str">
        <v>A</v>
      </c>
      <c r="B18" s="31" t="str">
        <v>US</v>
      </c>
      <c r="C18" s="31">
        <v>46263</v>
      </c>
      <c r="D18">
        <v>4248</v>
      </c>
      <c r="E18">
        <f t="shared" si="0"/>
        <v>1062</v>
      </c>
      <c r="F18">
        <f t="shared" si="1"/>
        <v>10.62</v>
      </c>
    </row>
    <row r="19" spans="1:6" x14ac:dyDescent="0.3">
      <c r="A19" t="str">
        <v>A</v>
      </c>
      <c r="B19" s="31" t="str">
        <v>US</v>
      </c>
      <c r="C19" s="31">
        <v>46270</v>
      </c>
      <c r="D19">
        <v>2391</v>
      </c>
      <c r="E19">
        <f t="shared" si="0"/>
        <v>598</v>
      </c>
      <c r="F19">
        <f t="shared" si="1"/>
        <v>5.98</v>
      </c>
    </row>
    <row r="20" spans="1:6" x14ac:dyDescent="0.3">
      <c r="A20" t="str">
        <v>A</v>
      </c>
      <c r="B20" s="31" t="str">
        <v>US</v>
      </c>
      <c r="C20" s="31">
        <v>46277</v>
      </c>
      <c r="D20">
        <v>2392</v>
      </c>
      <c r="E20">
        <f t="shared" si="0"/>
        <v>598</v>
      </c>
      <c r="F20">
        <f t="shared" si="1"/>
        <v>5.98</v>
      </c>
    </row>
    <row r="21" spans="1:6" x14ac:dyDescent="0.3">
      <c r="A21" t="str">
        <v>A</v>
      </c>
      <c r="B21" s="31" t="str">
        <v>US</v>
      </c>
      <c r="C21" s="31">
        <v>46284</v>
      </c>
      <c r="D21">
        <v>2391</v>
      </c>
      <c r="E21">
        <f t="shared" si="0"/>
        <v>598</v>
      </c>
      <c r="F21">
        <f t="shared" si="1"/>
        <v>5.98</v>
      </c>
    </row>
    <row r="22" spans="1:6" x14ac:dyDescent="0.3">
      <c r="A22" t="str">
        <v>A</v>
      </c>
      <c r="B22" s="31" t="str">
        <v>US</v>
      </c>
      <c r="C22" s="31">
        <v>46291</v>
      </c>
      <c r="D22">
        <v>2392</v>
      </c>
      <c r="E22">
        <f t="shared" si="0"/>
        <v>598</v>
      </c>
      <c r="F22">
        <f t="shared" si="1"/>
        <v>5.98</v>
      </c>
    </row>
    <row r="23" spans="1:6" x14ac:dyDescent="0.3">
      <c r="A23" t="str">
        <v>A</v>
      </c>
      <c r="B23" s="31" t="str">
        <v>US</v>
      </c>
      <c r="C23" s="31">
        <v>46298</v>
      </c>
      <c r="D23">
        <v>16017</v>
      </c>
      <c r="E23">
        <f t="shared" si="0"/>
        <v>4005</v>
      </c>
      <c r="F23">
        <f t="shared" si="1"/>
        <v>40.049999999999997</v>
      </c>
    </row>
    <row r="24" spans="1:6" x14ac:dyDescent="0.3">
      <c r="A24" t="str">
        <v>A</v>
      </c>
      <c r="B24" s="31" t="str">
        <v>US</v>
      </c>
      <c r="C24" s="31">
        <v>46305</v>
      </c>
      <c r="D24">
        <v>16017</v>
      </c>
      <c r="E24">
        <f t="shared" si="0"/>
        <v>4005</v>
      </c>
      <c r="F24">
        <f t="shared" si="1"/>
        <v>40.049999999999997</v>
      </c>
    </row>
    <row r="25" spans="1:6" x14ac:dyDescent="0.3">
      <c r="A25" t="str">
        <v>A</v>
      </c>
      <c r="B25" s="31" t="str">
        <v>US</v>
      </c>
      <c r="C25" s="31">
        <v>46312</v>
      </c>
      <c r="D25">
        <v>16016</v>
      </c>
      <c r="E25">
        <f t="shared" si="0"/>
        <v>4004</v>
      </c>
      <c r="F25">
        <f t="shared" si="1"/>
        <v>40.04</v>
      </c>
    </row>
    <row r="26" spans="1:6" x14ac:dyDescent="0.3">
      <c r="A26" t="str">
        <v>A</v>
      </c>
      <c r="B26" s="31" t="str">
        <v>US</v>
      </c>
      <c r="C26" s="31">
        <v>46319</v>
      </c>
      <c r="D26">
        <v>16017</v>
      </c>
      <c r="E26">
        <f t="shared" si="0"/>
        <v>4005</v>
      </c>
      <c r="F26">
        <f t="shared" si="1"/>
        <v>40.049999999999997</v>
      </c>
    </row>
    <row r="27" spans="1:6" x14ac:dyDescent="0.3">
      <c r="A27" t="str">
        <v>A</v>
      </c>
      <c r="B27" s="31" t="str">
        <v>US</v>
      </c>
      <c r="C27" s="31">
        <v>46326</v>
      </c>
      <c r="D27">
        <v>4281</v>
      </c>
      <c r="E27">
        <f t="shared" si="0"/>
        <v>1071</v>
      </c>
      <c r="F27">
        <f t="shared" si="1"/>
        <v>10.71</v>
      </c>
    </row>
    <row r="28" spans="1:6" x14ac:dyDescent="0.3">
      <c r="A28" t="str">
        <v>A</v>
      </c>
      <c r="B28" s="31" t="str">
        <v>US</v>
      </c>
      <c r="C28" s="31">
        <v>46333</v>
      </c>
      <c r="D28">
        <v>4282</v>
      </c>
      <c r="E28">
        <f t="shared" si="0"/>
        <v>1071</v>
      </c>
      <c r="F28">
        <f t="shared" si="1"/>
        <v>10.71</v>
      </c>
    </row>
    <row r="29" spans="1:6" x14ac:dyDescent="0.3">
      <c r="A29" t="str">
        <v>A</v>
      </c>
      <c r="B29" s="31" t="str">
        <v>US</v>
      </c>
      <c r="C29" s="31">
        <v>46340</v>
      </c>
      <c r="D29">
        <v>4281</v>
      </c>
      <c r="E29">
        <f t="shared" si="0"/>
        <v>1071</v>
      </c>
      <c r="F29">
        <f t="shared" si="1"/>
        <v>10.71</v>
      </c>
    </row>
    <row r="30" spans="1:6" x14ac:dyDescent="0.3">
      <c r="A30" t="str">
        <v>A</v>
      </c>
      <c r="B30" s="31" t="str">
        <v>US</v>
      </c>
      <c r="C30" s="31">
        <v>46347</v>
      </c>
      <c r="D30">
        <v>4282</v>
      </c>
      <c r="E30">
        <f t="shared" si="0"/>
        <v>1071</v>
      </c>
      <c r="F30">
        <f t="shared" si="1"/>
        <v>10.71</v>
      </c>
    </row>
    <row r="31" spans="1:6" x14ac:dyDescent="0.3">
      <c r="A31" t="str">
        <v>A</v>
      </c>
      <c r="B31" s="31" t="str">
        <v>US</v>
      </c>
      <c r="C31" s="31">
        <v>46354</v>
      </c>
      <c r="D31">
        <v>4281</v>
      </c>
      <c r="E31">
        <f t="shared" si="0"/>
        <v>1071</v>
      </c>
      <c r="F31">
        <f t="shared" si="1"/>
        <v>10.71</v>
      </c>
    </row>
    <row r="32" spans="1:6" x14ac:dyDescent="0.3">
      <c r="A32" t="str">
        <v>A</v>
      </c>
      <c r="B32" s="31" t="str">
        <v>US</v>
      </c>
      <c r="C32" s="31">
        <v>46361</v>
      </c>
      <c r="D32">
        <v>8326</v>
      </c>
      <c r="E32">
        <f t="shared" si="0"/>
        <v>2082</v>
      </c>
      <c r="F32">
        <f t="shared" si="1"/>
        <v>20.82</v>
      </c>
    </row>
    <row r="33" spans="1:6" x14ac:dyDescent="0.3">
      <c r="A33" t="str">
        <v>A</v>
      </c>
      <c r="B33" s="31" t="str">
        <v>US</v>
      </c>
      <c r="C33" s="31">
        <v>46368</v>
      </c>
      <c r="D33">
        <v>8325</v>
      </c>
      <c r="E33">
        <f t="shared" si="0"/>
        <v>2082</v>
      </c>
      <c r="F33">
        <f t="shared" si="1"/>
        <v>20.82</v>
      </c>
    </row>
    <row r="34" spans="1:6" x14ac:dyDescent="0.3">
      <c r="A34" t="str">
        <v>B</v>
      </c>
      <c r="B34" s="31" t="str">
        <v>US</v>
      </c>
      <c r="C34" s="31">
        <v>46144</v>
      </c>
      <c r="D34">
        <v>5502</v>
      </c>
      <c r="E34">
        <f t="shared" ref="E34:E65" si="2">ROUNDUP(D34/_xlfn.XLOOKUP(A34,$J$3:$J$8,$L$3:$L$8),0)</f>
        <v>1376</v>
      </c>
      <c r="F34">
        <f t="shared" ref="F34:F65" si="3">E34/100*_xlfn.XLOOKUP(A34,$J$3:$J$8,$M$3:$M$8)</f>
        <v>8.6</v>
      </c>
    </row>
    <row r="35" spans="1:6" x14ac:dyDescent="0.3">
      <c r="A35" t="str">
        <v>B</v>
      </c>
      <c r="B35" s="31" t="str">
        <v>US</v>
      </c>
      <c r="C35" s="31">
        <v>46151</v>
      </c>
      <c r="D35">
        <v>15658</v>
      </c>
      <c r="E35">
        <f t="shared" si="2"/>
        <v>3915</v>
      </c>
      <c r="F35">
        <f t="shared" si="3"/>
        <v>24.46875</v>
      </c>
    </row>
    <row r="36" spans="1:6" x14ac:dyDescent="0.3">
      <c r="A36" t="str">
        <v>B</v>
      </c>
      <c r="B36" s="31" t="str">
        <v>US</v>
      </c>
      <c r="C36" s="31">
        <v>46158</v>
      </c>
      <c r="D36">
        <v>8865</v>
      </c>
      <c r="E36">
        <f t="shared" si="2"/>
        <v>2217</v>
      </c>
      <c r="F36">
        <f t="shared" si="3"/>
        <v>13.856250000000001</v>
      </c>
    </row>
    <row r="37" spans="1:6" x14ac:dyDescent="0.3">
      <c r="A37" t="str">
        <v>B</v>
      </c>
      <c r="B37" s="31" t="str">
        <v>US</v>
      </c>
      <c r="C37" s="31">
        <v>46165</v>
      </c>
      <c r="D37">
        <v>2146</v>
      </c>
      <c r="E37">
        <f t="shared" si="2"/>
        <v>537</v>
      </c>
      <c r="F37">
        <f t="shared" si="3"/>
        <v>3.3562500000000002</v>
      </c>
    </row>
    <row r="38" spans="1:6" x14ac:dyDescent="0.3">
      <c r="A38" t="str">
        <v>B</v>
      </c>
      <c r="B38" s="31" t="str">
        <v>US</v>
      </c>
      <c r="C38" s="31">
        <v>46172</v>
      </c>
      <c r="D38">
        <v>7123</v>
      </c>
      <c r="E38">
        <f t="shared" si="2"/>
        <v>1781</v>
      </c>
      <c r="F38">
        <f t="shared" si="3"/>
        <v>11.13125</v>
      </c>
    </row>
    <row r="39" spans="1:6" x14ac:dyDescent="0.3">
      <c r="A39" t="str">
        <v>B</v>
      </c>
      <c r="B39" s="31" t="str">
        <v>US</v>
      </c>
      <c r="C39" s="31">
        <v>46179</v>
      </c>
      <c r="D39">
        <v>5309</v>
      </c>
      <c r="E39">
        <f t="shared" si="2"/>
        <v>1328</v>
      </c>
      <c r="F39">
        <f t="shared" si="3"/>
        <v>8.2999999999999989</v>
      </c>
    </row>
    <row r="40" spans="1:6" x14ac:dyDescent="0.3">
      <c r="A40" t="str">
        <v>B</v>
      </c>
      <c r="B40" s="31" t="str">
        <v>US</v>
      </c>
      <c r="C40" s="31">
        <v>46186</v>
      </c>
      <c r="D40">
        <v>5309</v>
      </c>
      <c r="E40">
        <f t="shared" si="2"/>
        <v>1328</v>
      </c>
      <c r="F40">
        <f t="shared" si="3"/>
        <v>8.2999999999999989</v>
      </c>
    </row>
    <row r="41" spans="1:6" x14ac:dyDescent="0.3">
      <c r="A41" t="str">
        <v>B</v>
      </c>
      <c r="B41" s="31" t="str">
        <v>US</v>
      </c>
      <c r="C41" s="31">
        <v>46193</v>
      </c>
      <c r="D41">
        <v>3000</v>
      </c>
      <c r="E41">
        <f t="shared" si="2"/>
        <v>750</v>
      </c>
      <c r="F41">
        <f t="shared" si="3"/>
        <v>4.6875</v>
      </c>
    </row>
    <row r="42" spans="1:6" x14ac:dyDescent="0.3">
      <c r="A42" t="str">
        <v>B</v>
      </c>
      <c r="B42" s="31" t="str">
        <v>US</v>
      </c>
      <c r="C42" s="31">
        <v>46200</v>
      </c>
      <c r="D42">
        <v>3000</v>
      </c>
      <c r="E42">
        <f t="shared" si="2"/>
        <v>750</v>
      </c>
      <c r="F42">
        <f t="shared" si="3"/>
        <v>4.6875</v>
      </c>
    </row>
    <row r="43" spans="1:6" x14ac:dyDescent="0.3">
      <c r="A43" t="str">
        <v>B</v>
      </c>
      <c r="B43" s="31" t="str">
        <v>US</v>
      </c>
      <c r="C43" s="31">
        <v>46207</v>
      </c>
      <c r="D43">
        <v>3000</v>
      </c>
      <c r="E43">
        <f t="shared" si="2"/>
        <v>750</v>
      </c>
      <c r="F43">
        <f t="shared" si="3"/>
        <v>4.6875</v>
      </c>
    </row>
    <row r="44" spans="1:6" x14ac:dyDescent="0.3">
      <c r="A44" t="str">
        <v>B</v>
      </c>
      <c r="B44" s="31" t="str">
        <v>US</v>
      </c>
      <c r="C44" s="31">
        <v>46214</v>
      </c>
      <c r="D44">
        <v>3000</v>
      </c>
      <c r="E44">
        <f t="shared" si="2"/>
        <v>750</v>
      </c>
      <c r="F44">
        <f t="shared" si="3"/>
        <v>4.6875</v>
      </c>
    </row>
    <row r="45" spans="1:6" x14ac:dyDescent="0.3">
      <c r="A45" t="str">
        <v>B</v>
      </c>
      <c r="B45" s="31" t="str">
        <v>US</v>
      </c>
      <c r="C45" s="31">
        <v>46221</v>
      </c>
      <c r="D45">
        <v>2400</v>
      </c>
      <c r="E45">
        <f t="shared" si="2"/>
        <v>600</v>
      </c>
      <c r="F45">
        <f t="shared" si="3"/>
        <v>3.75</v>
      </c>
    </row>
    <row r="46" spans="1:6" x14ac:dyDescent="0.3">
      <c r="A46" t="str">
        <v>B</v>
      </c>
      <c r="B46" s="31" t="str">
        <v>US</v>
      </c>
      <c r="C46" s="31">
        <v>46228</v>
      </c>
      <c r="D46">
        <v>2400</v>
      </c>
      <c r="E46">
        <f t="shared" si="2"/>
        <v>600</v>
      </c>
      <c r="F46">
        <f t="shared" si="3"/>
        <v>3.75</v>
      </c>
    </row>
    <row r="47" spans="1:6" x14ac:dyDescent="0.3">
      <c r="A47" t="str">
        <v>B</v>
      </c>
      <c r="B47" s="31" t="str">
        <v>US</v>
      </c>
      <c r="C47" s="31">
        <v>46242</v>
      </c>
      <c r="D47">
        <v>2400</v>
      </c>
      <c r="E47">
        <f t="shared" si="2"/>
        <v>600</v>
      </c>
      <c r="F47">
        <f t="shared" si="3"/>
        <v>3.75</v>
      </c>
    </row>
    <row r="48" spans="1:6" x14ac:dyDescent="0.3">
      <c r="A48" t="str">
        <v>B</v>
      </c>
      <c r="B48" s="31" t="str">
        <v>US</v>
      </c>
      <c r="C48" s="31">
        <v>46249</v>
      </c>
      <c r="D48">
        <v>2400</v>
      </c>
      <c r="E48">
        <f t="shared" si="2"/>
        <v>600</v>
      </c>
      <c r="F48">
        <f t="shared" si="3"/>
        <v>3.75</v>
      </c>
    </row>
    <row r="49" spans="1:6" x14ac:dyDescent="0.3">
      <c r="A49" t="str">
        <v>B</v>
      </c>
      <c r="B49" s="31" t="str">
        <v>US</v>
      </c>
      <c r="C49" s="31">
        <v>46256</v>
      </c>
      <c r="D49">
        <v>3750</v>
      </c>
      <c r="E49">
        <f t="shared" si="2"/>
        <v>938</v>
      </c>
      <c r="F49">
        <f t="shared" si="3"/>
        <v>5.8625000000000007</v>
      </c>
    </row>
    <row r="50" spans="1:6" x14ac:dyDescent="0.3">
      <c r="A50" t="str">
        <v>B</v>
      </c>
      <c r="B50" s="31" t="str">
        <v>US</v>
      </c>
      <c r="C50" s="31">
        <v>46263</v>
      </c>
      <c r="D50">
        <v>3750</v>
      </c>
      <c r="E50">
        <f t="shared" si="2"/>
        <v>938</v>
      </c>
      <c r="F50">
        <f t="shared" si="3"/>
        <v>5.8625000000000007</v>
      </c>
    </row>
    <row r="51" spans="1:6" x14ac:dyDescent="0.3">
      <c r="A51" t="str">
        <v>B</v>
      </c>
      <c r="B51" s="31" t="str">
        <v>US</v>
      </c>
      <c r="C51" s="31">
        <v>46270</v>
      </c>
      <c r="D51">
        <v>3750</v>
      </c>
      <c r="E51">
        <f t="shared" si="2"/>
        <v>938</v>
      </c>
      <c r="F51">
        <f t="shared" si="3"/>
        <v>5.8625000000000007</v>
      </c>
    </row>
    <row r="52" spans="1:6" x14ac:dyDescent="0.3">
      <c r="A52" t="str">
        <v>B</v>
      </c>
      <c r="B52" s="31" t="str">
        <v>US</v>
      </c>
      <c r="C52" s="31">
        <v>46277</v>
      </c>
      <c r="D52">
        <v>3750</v>
      </c>
      <c r="E52">
        <f t="shared" si="2"/>
        <v>938</v>
      </c>
      <c r="F52">
        <f t="shared" si="3"/>
        <v>5.8625000000000007</v>
      </c>
    </row>
    <row r="53" spans="1:6" x14ac:dyDescent="0.3">
      <c r="A53" t="str">
        <v>B</v>
      </c>
      <c r="B53" s="31" t="str">
        <v>US</v>
      </c>
      <c r="C53" s="31">
        <v>46284</v>
      </c>
      <c r="D53">
        <v>3000</v>
      </c>
      <c r="E53">
        <f t="shared" si="2"/>
        <v>750</v>
      </c>
      <c r="F53">
        <f t="shared" si="3"/>
        <v>4.6875</v>
      </c>
    </row>
    <row r="54" spans="1:6" x14ac:dyDescent="0.3">
      <c r="A54" t="str">
        <v>B</v>
      </c>
      <c r="B54" s="31" t="str">
        <v>US</v>
      </c>
      <c r="C54" s="31">
        <v>46291</v>
      </c>
      <c r="D54">
        <v>3000</v>
      </c>
      <c r="E54">
        <f t="shared" si="2"/>
        <v>750</v>
      </c>
      <c r="F54">
        <f t="shared" si="3"/>
        <v>4.6875</v>
      </c>
    </row>
    <row r="55" spans="1:6" x14ac:dyDescent="0.3">
      <c r="A55" t="str">
        <v>B</v>
      </c>
      <c r="B55" s="31" t="str">
        <v>US</v>
      </c>
      <c r="C55" s="31">
        <v>46298</v>
      </c>
      <c r="D55">
        <v>3000</v>
      </c>
      <c r="E55">
        <f t="shared" si="2"/>
        <v>750</v>
      </c>
      <c r="F55">
        <f t="shared" si="3"/>
        <v>4.6875</v>
      </c>
    </row>
    <row r="56" spans="1:6" x14ac:dyDescent="0.3">
      <c r="A56" t="str">
        <v>B</v>
      </c>
      <c r="B56" s="31" t="str">
        <v>US</v>
      </c>
      <c r="C56" s="31">
        <v>46305</v>
      </c>
      <c r="D56">
        <v>3000</v>
      </c>
      <c r="E56">
        <f t="shared" si="2"/>
        <v>750</v>
      </c>
      <c r="F56">
        <f t="shared" si="3"/>
        <v>4.6875</v>
      </c>
    </row>
    <row r="57" spans="1:6" x14ac:dyDescent="0.3">
      <c r="A57" t="str">
        <v>B</v>
      </c>
      <c r="B57" s="31" t="str">
        <v>US</v>
      </c>
      <c r="C57" s="31">
        <v>46312</v>
      </c>
      <c r="D57">
        <v>3000</v>
      </c>
      <c r="E57">
        <f t="shared" si="2"/>
        <v>750</v>
      </c>
      <c r="F57">
        <f t="shared" si="3"/>
        <v>4.6875</v>
      </c>
    </row>
    <row r="58" spans="1:6" x14ac:dyDescent="0.3">
      <c r="A58" t="str">
        <v>B</v>
      </c>
      <c r="B58" s="31" t="str">
        <v>US</v>
      </c>
      <c r="C58" s="31">
        <v>46319</v>
      </c>
      <c r="D58">
        <v>6250</v>
      </c>
      <c r="E58">
        <f t="shared" si="2"/>
        <v>1563</v>
      </c>
      <c r="F58">
        <f t="shared" si="3"/>
        <v>9.7687500000000007</v>
      </c>
    </row>
    <row r="59" spans="1:6" x14ac:dyDescent="0.3">
      <c r="A59" t="str">
        <v>B</v>
      </c>
      <c r="B59" s="31" t="str">
        <v>US</v>
      </c>
      <c r="C59" s="31">
        <v>46326</v>
      </c>
      <c r="D59">
        <v>6250</v>
      </c>
      <c r="E59">
        <f t="shared" si="2"/>
        <v>1563</v>
      </c>
      <c r="F59">
        <f t="shared" si="3"/>
        <v>9.7687500000000007</v>
      </c>
    </row>
    <row r="60" spans="1:6" x14ac:dyDescent="0.3">
      <c r="A60" t="str">
        <v>B</v>
      </c>
      <c r="B60" s="31" t="str">
        <v>US</v>
      </c>
      <c r="C60" s="31">
        <v>46333</v>
      </c>
      <c r="D60">
        <v>6250</v>
      </c>
      <c r="E60">
        <f t="shared" si="2"/>
        <v>1563</v>
      </c>
      <c r="F60">
        <f t="shared" si="3"/>
        <v>9.7687500000000007</v>
      </c>
    </row>
    <row r="61" spans="1:6" x14ac:dyDescent="0.3">
      <c r="A61" t="str">
        <v>B</v>
      </c>
      <c r="B61" s="31" t="str">
        <v>US</v>
      </c>
      <c r="C61" s="31">
        <v>46340</v>
      </c>
      <c r="D61">
        <v>6250</v>
      </c>
      <c r="E61">
        <f t="shared" si="2"/>
        <v>1563</v>
      </c>
      <c r="F61">
        <f t="shared" si="3"/>
        <v>9.7687500000000007</v>
      </c>
    </row>
    <row r="62" spans="1:6" x14ac:dyDescent="0.3">
      <c r="A62" t="str">
        <v>B</v>
      </c>
      <c r="B62" s="31" t="str">
        <v>US</v>
      </c>
      <c r="C62" s="31">
        <v>46347</v>
      </c>
      <c r="D62">
        <v>6250</v>
      </c>
      <c r="E62">
        <f t="shared" si="2"/>
        <v>1563</v>
      </c>
      <c r="F62">
        <f t="shared" si="3"/>
        <v>9.7687500000000007</v>
      </c>
    </row>
    <row r="63" spans="1:6" x14ac:dyDescent="0.3">
      <c r="A63" t="str">
        <v>B</v>
      </c>
      <c r="B63" s="31" t="str">
        <v>US</v>
      </c>
      <c r="C63" s="31">
        <v>46354</v>
      </c>
      <c r="D63">
        <v>6250</v>
      </c>
      <c r="E63">
        <f t="shared" si="2"/>
        <v>1563</v>
      </c>
      <c r="F63">
        <f t="shared" si="3"/>
        <v>9.7687500000000007</v>
      </c>
    </row>
    <row r="64" spans="1:6" x14ac:dyDescent="0.3">
      <c r="A64" t="str">
        <v>B</v>
      </c>
      <c r="B64" s="31" t="str">
        <v>US</v>
      </c>
      <c r="C64" s="31">
        <v>46361</v>
      </c>
      <c r="D64">
        <v>6250</v>
      </c>
      <c r="E64">
        <f t="shared" si="2"/>
        <v>1563</v>
      </c>
      <c r="F64">
        <f t="shared" si="3"/>
        <v>9.7687500000000007</v>
      </c>
    </row>
    <row r="65" spans="1:6" x14ac:dyDescent="0.3">
      <c r="A65" t="str">
        <v>B</v>
      </c>
      <c r="B65" s="31" t="str">
        <v>US</v>
      </c>
      <c r="C65" s="31">
        <v>46368</v>
      </c>
      <c r="D65">
        <v>6250</v>
      </c>
      <c r="E65">
        <f t="shared" si="2"/>
        <v>1563</v>
      </c>
      <c r="F65">
        <f t="shared" si="3"/>
        <v>9.7687500000000007</v>
      </c>
    </row>
    <row r="66" spans="1:6" x14ac:dyDescent="0.3">
      <c r="A66" t="str">
        <v>C</v>
      </c>
      <c r="B66" s="31" t="str">
        <v>UK</v>
      </c>
      <c r="C66" s="31">
        <v>46144</v>
      </c>
      <c r="D66">
        <v>4320</v>
      </c>
      <c r="E66">
        <f t="shared" ref="E66:E97" si="4">ROUNDUP(D66/_xlfn.XLOOKUP(A66,$J$3:$J$8,$L$3:$L$8),0)</f>
        <v>2160</v>
      </c>
      <c r="F66">
        <f t="shared" ref="F66:F97" si="5">E66/100*_xlfn.XLOOKUP(A66,$J$3:$J$8,$M$3:$M$8)</f>
        <v>21.6</v>
      </c>
    </row>
    <row r="67" spans="1:6" x14ac:dyDescent="0.3">
      <c r="A67" t="str">
        <v>C</v>
      </c>
      <c r="B67" s="31" t="str">
        <v>UK</v>
      </c>
      <c r="C67" s="31">
        <v>46151</v>
      </c>
      <c r="D67">
        <v>8370</v>
      </c>
      <c r="E67">
        <f t="shared" si="4"/>
        <v>4185</v>
      </c>
      <c r="F67">
        <f t="shared" si="5"/>
        <v>41.85</v>
      </c>
    </row>
    <row r="68" spans="1:6" x14ac:dyDescent="0.3">
      <c r="A68" t="str">
        <v>C</v>
      </c>
      <c r="B68" s="31" t="str">
        <v>UK</v>
      </c>
      <c r="C68" s="31">
        <v>46158</v>
      </c>
      <c r="D68">
        <v>11782</v>
      </c>
      <c r="E68">
        <f t="shared" si="4"/>
        <v>5891</v>
      </c>
      <c r="F68">
        <f t="shared" si="5"/>
        <v>58.91</v>
      </c>
    </row>
    <row r="69" spans="1:6" x14ac:dyDescent="0.3">
      <c r="A69" t="str">
        <v>C</v>
      </c>
      <c r="B69" s="31" t="str">
        <v>UK</v>
      </c>
      <c r="C69" s="31">
        <v>46165</v>
      </c>
      <c r="D69">
        <v>10524</v>
      </c>
      <c r="E69">
        <f t="shared" si="4"/>
        <v>5262</v>
      </c>
      <c r="F69">
        <f t="shared" si="5"/>
        <v>52.62</v>
      </c>
    </row>
    <row r="70" spans="1:6" x14ac:dyDescent="0.3">
      <c r="A70" t="str">
        <v>C</v>
      </c>
      <c r="B70" s="31" t="str">
        <v>UK</v>
      </c>
      <c r="C70" s="31">
        <v>46172</v>
      </c>
      <c r="D70">
        <v>1080</v>
      </c>
      <c r="E70">
        <f t="shared" si="4"/>
        <v>540</v>
      </c>
      <c r="F70">
        <f t="shared" si="5"/>
        <v>5.4</v>
      </c>
    </row>
    <row r="71" spans="1:6" x14ac:dyDescent="0.3">
      <c r="A71" t="str">
        <v>C</v>
      </c>
      <c r="B71" s="31" t="str">
        <v>UK</v>
      </c>
      <c r="C71" s="31">
        <v>46179</v>
      </c>
      <c r="D71">
        <v>8602</v>
      </c>
      <c r="E71">
        <f t="shared" si="4"/>
        <v>4301</v>
      </c>
      <c r="F71">
        <f t="shared" si="5"/>
        <v>43.01</v>
      </c>
    </row>
    <row r="72" spans="1:6" x14ac:dyDescent="0.3">
      <c r="A72" t="str">
        <v>C</v>
      </c>
      <c r="B72" s="31" t="str">
        <v>UK</v>
      </c>
      <c r="C72" s="31">
        <v>46186</v>
      </c>
      <c r="D72">
        <v>8802</v>
      </c>
      <c r="E72">
        <f t="shared" si="4"/>
        <v>4401</v>
      </c>
      <c r="F72">
        <f t="shared" si="5"/>
        <v>44.01</v>
      </c>
    </row>
    <row r="73" spans="1:6" x14ac:dyDescent="0.3">
      <c r="A73" t="str">
        <v>C</v>
      </c>
      <c r="B73" s="31" t="str">
        <v>UK</v>
      </c>
      <c r="C73" s="31">
        <v>46193</v>
      </c>
      <c r="D73">
        <v>7695</v>
      </c>
      <c r="E73">
        <f t="shared" si="4"/>
        <v>3848</v>
      </c>
      <c r="F73">
        <f t="shared" si="5"/>
        <v>38.479999999999997</v>
      </c>
    </row>
    <row r="74" spans="1:6" x14ac:dyDescent="0.3">
      <c r="A74" t="str">
        <v>C</v>
      </c>
      <c r="B74" s="31" t="str">
        <v>UK</v>
      </c>
      <c r="C74" s="31">
        <v>46200</v>
      </c>
      <c r="D74">
        <v>2500</v>
      </c>
      <c r="E74">
        <f t="shared" si="4"/>
        <v>1250</v>
      </c>
      <c r="F74">
        <f t="shared" si="5"/>
        <v>12.5</v>
      </c>
    </row>
    <row r="75" spans="1:6" x14ac:dyDescent="0.3">
      <c r="A75" t="str">
        <v>C</v>
      </c>
      <c r="B75" s="31" t="str">
        <v>UK</v>
      </c>
      <c r="C75" s="31">
        <v>46207</v>
      </c>
      <c r="D75">
        <v>2500</v>
      </c>
      <c r="E75">
        <f t="shared" si="4"/>
        <v>1250</v>
      </c>
      <c r="F75">
        <f t="shared" si="5"/>
        <v>12.5</v>
      </c>
    </row>
    <row r="76" spans="1:6" x14ac:dyDescent="0.3">
      <c r="A76" t="str">
        <v>C</v>
      </c>
      <c r="B76" s="31" t="str">
        <v>UK</v>
      </c>
      <c r="C76" s="31">
        <v>46214</v>
      </c>
      <c r="D76">
        <v>2500</v>
      </c>
      <c r="E76">
        <f t="shared" si="4"/>
        <v>1250</v>
      </c>
      <c r="F76">
        <f t="shared" si="5"/>
        <v>12.5</v>
      </c>
    </row>
    <row r="77" spans="1:6" x14ac:dyDescent="0.3">
      <c r="A77" t="str">
        <v>C</v>
      </c>
      <c r="B77" s="31" t="str">
        <v>UK</v>
      </c>
      <c r="C77" s="31">
        <v>46221</v>
      </c>
      <c r="D77">
        <v>1000</v>
      </c>
      <c r="E77">
        <f t="shared" si="4"/>
        <v>500</v>
      </c>
      <c r="F77">
        <f t="shared" si="5"/>
        <v>5</v>
      </c>
    </row>
    <row r="78" spans="1:6" x14ac:dyDescent="0.3">
      <c r="A78" t="str">
        <v>C</v>
      </c>
      <c r="B78" s="31" t="str">
        <v>UK</v>
      </c>
      <c r="C78" s="31">
        <v>46228</v>
      </c>
      <c r="D78">
        <v>1000</v>
      </c>
      <c r="E78">
        <f t="shared" si="4"/>
        <v>500</v>
      </c>
      <c r="F78">
        <f t="shared" si="5"/>
        <v>5</v>
      </c>
    </row>
    <row r="79" spans="1:6" x14ac:dyDescent="0.3">
      <c r="A79" t="str">
        <v>C</v>
      </c>
      <c r="B79" s="31" t="str">
        <v>UK</v>
      </c>
      <c r="C79" s="31">
        <v>46235</v>
      </c>
      <c r="D79">
        <v>1000</v>
      </c>
      <c r="E79">
        <f t="shared" si="4"/>
        <v>500</v>
      </c>
      <c r="F79">
        <f t="shared" si="5"/>
        <v>5</v>
      </c>
    </row>
    <row r="80" spans="1:6" x14ac:dyDescent="0.3">
      <c r="A80" t="str">
        <v>C</v>
      </c>
      <c r="B80" s="31" t="str">
        <v>UK</v>
      </c>
      <c r="C80" s="31">
        <v>46242</v>
      </c>
      <c r="D80">
        <v>1000</v>
      </c>
      <c r="E80">
        <f t="shared" si="4"/>
        <v>500</v>
      </c>
      <c r="F80">
        <f t="shared" si="5"/>
        <v>5</v>
      </c>
    </row>
    <row r="81" spans="1:6" x14ac:dyDescent="0.3">
      <c r="A81" t="str">
        <v>C</v>
      </c>
      <c r="B81" s="31" t="str">
        <v>UK</v>
      </c>
      <c r="C81" s="31">
        <v>46249</v>
      </c>
      <c r="D81">
        <v>1000</v>
      </c>
      <c r="E81">
        <f t="shared" si="4"/>
        <v>500</v>
      </c>
      <c r="F81">
        <f t="shared" si="5"/>
        <v>5</v>
      </c>
    </row>
    <row r="82" spans="1:6" x14ac:dyDescent="0.3">
      <c r="A82" t="str">
        <v>C</v>
      </c>
      <c r="B82" s="31" t="str">
        <v>UK</v>
      </c>
      <c r="C82" s="31">
        <v>46256</v>
      </c>
      <c r="D82">
        <v>750</v>
      </c>
      <c r="E82">
        <f t="shared" si="4"/>
        <v>375</v>
      </c>
      <c r="F82">
        <f t="shared" si="5"/>
        <v>3.75</v>
      </c>
    </row>
    <row r="83" spans="1:6" x14ac:dyDescent="0.3">
      <c r="A83" t="str">
        <v>C</v>
      </c>
      <c r="B83" s="31" t="str">
        <v>UK</v>
      </c>
      <c r="C83" s="31">
        <v>46263</v>
      </c>
      <c r="D83">
        <v>750</v>
      </c>
      <c r="E83">
        <f t="shared" si="4"/>
        <v>375</v>
      </c>
      <c r="F83">
        <f t="shared" si="5"/>
        <v>3.75</v>
      </c>
    </row>
    <row r="84" spans="1:6" x14ac:dyDescent="0.3">
      <c r="A84" t="str">
        <v>C</v>
      </c>
      <c r="B84" s="31" t="str">
        <v>UK</v>
      </c>
      <c r="C84" s="31">
        <v>46270</v>
      </c>
      <c r="D84">
        <v>750</v>
      </c>
      <c r="E84">
        <f t="shared" si="4"/>
        <v>375</v>
      </c>
      <c r="F84">
        <f t="shared" si="5"/>
        <v>3.75</v>
      </c>
    </row>
    <row r="85" spans="1:6" x14ac:dyDescent="0.3">
      <c r="A85" t="str">
        <v>C</v>
      </c>
      <c r="B85" s="31" t="str">
        <v>UK</v>
      </c>
      <c r="C85" s="31">
        <v>46277</v>
      </c>
      <c r="D85">
        <v>750</v>
      </c>
      <c r="E85">
        <f t="shared" si="4"/>
        <v>375</v>
      </c>
      <c r="F85">
        <f t="shared" si="5"/>
        <v>3.75</v>
      </c>
    </row>
    <row r="86" spans="1:6" x14ac:dyDescent="0.3">
      <c r="A86" t="str">
        <v>C</v>
      </c>
      <c r="B86" s="31" t="str">
        <v>UK</v>
      </c>
      <c r="C86" s="31">
        <v>46284</v>
      </c>
      <c r="D86">
        <v>600</v>
      </c>
      <c r="E86">
        <f t="shared" si="4"/>
        <v>300</v>
      </c>
      <c r="F86">
        <f t="shared" si="5"/>
        <v>3</v>
      </c>
    </row>
    <row r="87" spans="1:6" x14ac:dyDescent="0.3">
      <c r="A87" t="str">
        <v>C</v>
      </c>
      <c r="B87" s="31" t="str">
        <v>UK</v>
      </c>
      <c r="C87" s="31">
        <v>46291</v>
      </c>
      <c r="D87">
        <v>600</v>
      </c>
      <c r="E87">
        <f t="shared" si="4"/>
        <v>300</v>
      </c>
      <c r="F87">
        <f t="shared" si="5"/>
        <v>3</v>
      </c>
    </row>
    <row r="88" spans="1:6" x14ac:dyDescent="0.3">
      <c r="A88" t="str">
        <v>C</v>
      </c>
      <c r="B88" s="31" t="str">
        <v>UK</v>
      </c>
      <c r="C88" s="31">
        <v>46298</v>
      </c>
      <c r="D88">
        <v>600</v>
      </c>
      <c r="E88">
        <f t="shared" si="4"/>
        <v>300</v>
      </c>
      <c r="F88">
        <f t="shared" si="5"/>
        <v>3</v>
      </c>
    </row>
    <row r="89" spans="1:6" x14ac:dyDescent="0.3">
      <c r="A89" t="str">
        <v>C</v>
      </c>
      <c r="B89" s="31" t="str">
        <v>UK</v>
      </c>
      <c r="C89" s="31">
        <v>46305</v>
      </c>
      <c r="D89">
        <v>600</v>
      </c>
      <c r="E89">
        <f t="shared" si="4"/>
        <v>300</v>
      </c>
      <c r="F89">
        <f t="shared" si="5"/>
        <v>3</v>
      </c>
    </row>
    <row r="90" spans="1:6" x14ac:dyDescent="0.3">
      <c r="A90" t="str">
        <v>C</v>
      </c>
      <c r="B90" s="31" t="str">
        <v>UK</v>
      </c>
      <c r="C90" s="31">
        <v>46312</v>
      </c>
      <c r="D90">
        <v>600</v>
      </c>
      <c r="E90">
        <f t="shared" si="4"/>
        <v>300</v>
      </c>
      <c r="F90">
        <f t="shared" si="5"/>
        <v>3</v>
      </c>
    </row>
    <row r="91" spans="1:6" x14ac:dyDescent="0.3">
      <c r="A91" t="str">
        <v>C</v>
      </c>
      <c r="B91" s="31" t="str">
        <v>UK</v>
      </c>
      <c r="C91" s="31">
        <v>46319</v>
      </c>
      <c r="D91">
        <v>500</v>
      </c>
      <c r="E91">
        <f t="shared" si="4"/>
        <v>250</v>
      </c>
      <c r="F91">
        <f t="shared" si="5"/>
        <v>2.5</v>
      </c>
    </row>
    <row r="92" spans="1:6" x14ac:dyDescent="0.3">
      <c r="A92" t="str">
        <v>C</v>
      </c>
      <c r="B92" s="31" t="str">
        <v>UK</v>
      </c>
      <c r="C92" s="31">
        <v>46326</v>
      </c>
      <c r="D92">
        <v>500</v>
      </c>
      <c r="E92">
        <f t="shared" si="4"/>
        <v>250</v>
      </c>
      <c r="F92">
        <f t="shared" si="5"/>
        <v>2.5</v>
      </c>
    </row>
    <row r="93" spans="1:6" x14ac:dyDescent="0.3">
      <c r="A93" t="str">
        <v>C</v>
      </c>
      <c r="B93" s="31" t="str">
        <v>UK</v>
      </c>
      <c r="C93" s="31">
        <v>46333</v>
      </c>
      <c r="D93">
        <v>500</v>
      </c>
      <c r="E93">
        <f t="shared" si="4"/>
        <v>250</v>
      </c>
      <c r="F93">
        <f t="shared" si="5"/>
        <v>2.5</v>
      </c>
    </row>
    <row r="94" spans="1:6" x14ac:dyDescent="0.3">
      <c r="A94" t="str">
        <v>C</v>
      </c>
      <c r="B94" s="31" t="str">
        <v>UK</v>
      </c>
      <c r="C94" s="31">
        <v>46340</v>
      </c>
      <c r="D94">
        <v>500</v>
      </c>
      <c r="E94">
        <f t="shared" si="4"/>
        <v>250</v>
      </c>
      <c r="F94">
        <f t="shared" si="5"/>
        <v>2.5</v>
      </c>
    </row>
    <row r="95" spans="1:6" x14ac:dyDescent="0.3">
      <c r="A95" t="str">
        <v>C</v>
      </c>
      <c r="B95" s="31" t="str">
        <v>UK</v>
      </c>
      <c r="C95" s="31">
        <v>46347</v>
      </c>
      <c r="D95">
        <v>3000</v>
      </c>
      <c r="E95">
        <f t="shared" si="4"/>
        <v>1500</v>
      </c>
      <c r="F95">
        <f t="shared" si="5"/>
        <v>15</v>
      </c>
    </row>
    <row r="96" spans="1:6" x14ac:dyDescent="0.3">
      <c r="A96" t="str">
        <v>C</v>
      </c>
      <c r="B96" s="31" t="str">
        <v>UK</v>
      </c>
      <c r="C96" s="31">
        <v>46354</v>
      </c>
      <c r="D96">
        <v>3000</v>
      </c>
      <c r="E96">
        <f t="shared" si="4"/>
        <v>1500</v>
      </c>
      <c r="F96">
        <f t="shared" si="5"/>
        <v>15</v>
      </c>
    </row>
    <row r="97" spans="1:6" x14ac:dyDescent="0.3">
      <c r="A97" t="str">
        <v>C</v>
      </c>
      <c r="B97" s="31" t="str">
        <v>UK</v>
      </c>
      <c r="C97" s="31">
        <v>46361</v>
      </c>
      <c r="D97">
        <v>3000</v>
      </c>
      <c r="E97">
        <f t="shared" si="4"/>
        <v>1500</v>
      </c>
      <c r="F97">
        <f t="shared" si="5"/>
        <v>15</v>
      </c>
    </row>
    <row r="98" spans="1:6" x14ac:dyDescent="0.3">
      <c r="A98" t="str">
        <v>C</v>
      </c>
      <c r="B98" s="31" t="str">
        <v>UK</v>
      </c>
      <c r="C98" s="31">
        <v>46368</v>
      </c>
      <c r="D98">
        <v>3000</v>
      </c>
      <c r="E98">
        <f t="shared" ref="E98:E129" si="6">ROUNDUP(D98/_xlfn.XLOOKUP(A98,$J$3:$J$8,$L$3:$L$8),0)</f>
        <v>1500</v>
      </c>
      <c r="F98">
        <f t="shared" ref="F98:F129" si="7">E98/100*_xlfn.XLOOKUP(A98,$J$3:$J$8,$M$3:$M$8)</f>
        <v>15</v>
      </c>
    </row>
    <row r="99" spans="1:6" x14ac:dyDescent="0.3">
      <c r="A99" t="str">
        <v>D</v>
      </c>
      <c r="B99" s="31" t="str">
        <v>UK</v>
      </c>
      <c r="C99" s="31">
        <v>46144</v>
      </c>
      <c r="D99">
        <v>2430</v>
      </c>
      <c r="E99">
        <f t="shared" si="6"/>
        <v>608</v>
      </c>
      <c r="F99">
        <f t="shared" si="7"/>
        <v>3.8</v>
      </c>
    </row>
    <row r="100" spans="1:6" x14ac:dyDescent="0.3">
      <c r="A100" t="str">
        <v>D</v>
      </c>
      <c r="B100" s="31" t="str">
        <v>UK</v>
      </c>
      <c r="C100" s="31">
        <v>46151</v>
      </c>
      <c r="D100">
        <v>9990</v>
      </c>
      <c r="E100">
        <f t="shared" si="6"/>
        <v>2498</v>
      </c>
      <c r="F100">
        <f t="shared" si="7"/>
        <v>15.612500000000001</v>
      </c>
    </row>
    <row r="101" spans="1:6" x14ac:dyDescent="0.3">
      <c r="A101" t="str">
        <v>D</v>
      </c>
      <c r="B101" s="31" t="str">
        <v>UK</v>
      </c>
      <c r="C101" s="31">
        <v>46158</v>
      </c>
      <c r="D101">
        <v>5840</v>
      </c>
      <c r="E101">
        <f t="shared" si="6"/>
        <v>1460</v>
      </c>
      <c r="F101">
        <f t="shared" si="7"/>
        <v>9.125</v>
      </c>
    </row>
    <row r="102" spans="1:6" x14ac:dyDescent="0.3">
      <c r="A102" t="str">
        <v>D</v>
      </c>
      <c r="B102" s="31" t="str">
        <v>UK</v>
      </c>
      <c r="C102" s="31">
        <v>46165</v>
      </c>
      <c r="D102">
        <v>8100</v>
      </c>
      <c r="E102">
        <f t="shared" si="6"/>
        <v>2025</v>
      </c>
      <c r="F102">
        <f t="shared" si="7"/>
        <v>12.65625</v>
      </c>
    </row>
    <row r="103" spans="1:6" x14ac:dyDescent="0.3">
      <c r="A103" t="str">
        <v>D</v>
      </c>
      <c r="B103" s="31" t="str">
        <v>UK</v>
      </c>
      <c r="C103" s="31">
        <v>46172</v>
      </c>
      <c r="D103">
        <v>1001</v>
      </c>
      <c r="E103">
        <f t="shared" si="6"/>
        <v>251</v>
      </c>
      <c r="F103">
        <f t="shared" si="7"/>
        <v>1.5687499999999999</v>
      </c>
    </row>
    <row r="104" spans="1:6" x14ac:dyDescent="0.3">
      <c r="A104" t="str">
        <v>D</v>
      </c>
      <c r="B104" s="31" t="str">
        <v>UK</v>
      </c>
      <c r="C104" s="31">
        <v>46179</v>
      </c>
      <c r="D104">
        <v>2471</v>
      </c>
      <c r="E104">
        <f t="shared" si="6"/>
        <v>618</v>
      </c>
      <c r="F104">
        <f t="shared" si="7"/>
        <v>3.8624999999999998</v>
      </c>
    </row>
    <row r="105" spans="1:6" x14ac:dyDescent="0.3">
      <c r="A105" t="str">
        <v>D</v>
      </c>
      <c r="B105" s="31" t="str">
        <v>UK</v>
      </c>
      <c r="C105" s="31">
        <v>46186</v>
      </c>
      <c r="D105">
        <v>3458</v>
      </c>
      <c r="E105">
        <f t="shared" si="6"/>
        <v>865</v>
      </c>
      <c r="F105">
        <f t="shared" si="7"/>
        <v>5.40625</v>
      </c>
    </row>
    <row r="106" spans="1:6" x14ac:dyDescent="0.3">
      <c r="A106" t="str">
        <v>D</v>
      </c>
      <c r="B106" s="31" t="str">
        <v>UK</v>
      </c>
      <c r="C106" s="31">
        <v>46193</v>
      </c>
      <c r="D106">
        <v>500</v>
      </c>
      <c r="E106">
        <f t="shared" si="6"/>
        <v>125</v>
      </c>
      <c r="F106">
        <f t="shared" si="7"/>
        <v>0.78125</v>
      </c>
    </row>
    <row r="107" spans="1:6" x14ac:dyDescent="0.3">
      <c r="A107" t="str">
        <v>D</v>
      </c>
      <c r="B107" s="31" t="str">
        <v>UK</v>
      </c>
      <c r="C107" s="31">
        <v>46200</v>
      </c>
      <c r="D107">
        <v>500</v>
      </c>
      <c r="E107">
        <f t="shared" si="6"/>
        <v>125</v>
      </c>
      <c r="F107">
        <f t="shared" si="7"/>
        <v>0.78125</v>
      </c>
    </row>
    <row r="108" spans="1:6" x14ac:dyDescent="0.3">
      <c r="A108" t="str">
        <v>D</v>
      </c>
      <c r="B108" s="31" t="str">
        <v>UK</v>
      </c>
      <c r="C108" s="31">
        <v>46207</v>
      </c>
      <c r="D108">
        <v>500</v>
      </c>
      <c r="E108">
        <f t="shared" si="6"/>
        <v>125</v>
      </c>
      <c r="F108">
        <f t="shared" si="7"/>
        <v>0.78125</v>
      </c>
    </row>
    <row r="109" spans="1:6" x14ac:dyDescent="0.3">
      <c r="A109" t="str">
        <v>D</v>
      </c>
      <c r="B109" s="31" t="str">
        <v>UK</v>
      </c>
      <c r="C109" s="31">
        <v>46214</v>
      </c>
      <c r="D109">
        <v>500</v>
      </c>
      <c r="E109">
        <f t="shared" si="6"/>
        <v>125</v>
      </c>
      <c r="F109">
        <f t="shared" si="7"/>
        <v>0.78125</v>
      </c>
    </row>
    <row r="110" spans="1:6" x14ac:dyDescent="0.3">
      <c r="A110" t="str">
        <v>D</v>
      </c>
      <c r="B110" s="31" t="str">
        <v>UK</v>
      </c>
      <c r="C110" s="31">
        <v>46235</v>
      </c>
      <c r="D110">
        <v>400</v>
      </c>
      <c r="E110">
        <f t="shared" si="6"/>
        <v>100</v>
      </c>
      <c r="F110">
        <f t="shared" si="7"/>
        <v>0.625</v>
      </c>
    </row>
    <row r="111" spans="1:6" x14ac:dyDescent="0.3">
      <c r="A111" t="str">
        <v>D</v>
      </c>
      <c r="B111" s="31" t="str">
        <v>UK</v>
      </c>
      <c r="C111" s="31">
        <v>46256</v>
      </c>
      <c r="D111">
        <v>400</v>
      </c>
      <c r="E111">
        <f t="shared" si="6"/>
        <v>100</v>
      </c>
      <c r="F111">
        <f t="shared" si="7"/>
        <v>0.625</v>
      </c>
    </row>
    <row r="112" spans="1:6" x14ac:dyDescent="0.3">
      <c r="A112" t="str">
        <v>D</v>
      </c>
      <c r="B112" s="31" t="str">
        <v>UK</v>
      </c>
      <c r="C112" s="31">
        <v>46270</v>
      </c>
      <c r="D112">
        <v>400</v>
      </c>
      <c r="E112">
        <f t="shared" si="6"/>
        <v>100</v>
      </c>
      <c r="F112">
        <f t="shared" si="7"/>
        <v>0.625</v>
      </c>
    </row>
    <row r="113" spans="1:6" x14ac:dyDescent="0.3">
      <c r="A113" t="str">
        <v>D</v>
      </c>
      <c r="B113" s="31" t="str">
        <v>UK</v>
      </c>
      <c r="C113" s="31">
        <v>46284</v>
      </c>
      <c r="D113">
        <v>360</v>
      </c>
      <c r="E113">
        <f t="shared" si="6"/>
        <v>90</v>
      </c>
      <c r="F113">
        <f t="shared" si="7"/>
        <v>0.5625</v>
      </c>
    </row>
    <row r="114" spans="1:6" x14ac:dyDescent="0.3">
      <c r="A114" t="str">
        <v>D</v>
      </c>
      <c r="B114" s="31" t="str">
        <v>UK</v>
      </c>
      <c r="C114" s="31">
        <v>46291</v>
      </c>
      <c r="D114">
        <v>360</v>
      </c>
      <c r="E114">
        <f t="shared" si="6"/>
        <v>90</v>
      </c>
      <c r="F114">
        <f t="shared" si="7"/>
        <v>0.5625</v>
      </c>
    </row>
    <row r="115" spans="1:6" x14ac:dyDescent="0.3">
      <c r="A115" t="str">
        <v>D</v>
      </c>
      <c r="B115" s="31" t="str">
        <v>UK</v>
      </c>
      <c r="C115" s="31">
        <v>46298</v>
      </c>
      <c r="D115">
        <v>360</v>
      </c>
      <c r="E115">
        <f t="shared" si="6"/>
        <v>90</v>
      </c>
      <c r="F115">
        <f t="shared" si="7"/>
        <v>0.5625</v>
      </c>
    </row>
    <row r="116" spans="1:6" x14ac:dyDescent="0.3">
      <c r="A116" t="str">
        <v>D</v>
      </c>
      <c r="B116" s="31" t="str">
        <v>UK</v>
      </c>
      <c r="C116" s="31">
        <v>46305</v>
      </c>
      <c r="D116">
        <v>360</v>
      </c>
      <c r="E116">
        <f t="shared" si="6"/>
        <v>90</v>
      </c>
      <c r="F116">
        <f t="shared" si="7"/>
        <v>0.5625</v>
      </c>
    </row>
    <row r="117" spans="1:6" x14ac:dyDescent="0.3">
      <c r="A117" t="str">
        <v>D</v>
      </c>
      <c r="B117" s="31" t="str">
        <v>UK</v>
      </c>
      <c r="C117" s="31">
        <v>46312</v>
      </c>
      <c r="D117">
        <v>360</v>
      </c>
      <c r="E117">
        <f t="shared" si="6"/>
        <v>90</v>
      </c>
      <c r="F117">
        <f t="shared" si="7"/>
        <v>0.5625</v>
      </c>
    </row>
    <row r="118" spans="1:6" x14ac:dyDescent="0.3">
      <c r="A118" t="str">
        <v>D</v>
      </c>
      <c r="B118" s="31" t="str">
        <v>UK</v>
      </c>
      <c r="C118" s="31">
        <v>46319</v>
      </c>
      <c r="D118">
        <v>1000</v>
      </c>
      <c r="E118">
        <f t="shared" si="6"/>
        <v>250</v>
      </c>
      <c r="F118">
        <f t="shared" si="7"/>
        <v>1.5625</v>
      </c>
    </row>
    <row r="119" spans="1:6" x14ac:dyDescent="0.3">
      <c r="A119" t="str">
        <v>D</v>
      </c>
      <c r="B119" s="31" t="str">
        <v>UK</v>
      </c>
      <c r="C119" s="31">
        <v>46326</v>
      </c>
      <c r="D119">
        <v>1000</v>
      </c>
      <c r="E119">
        <f t="shared" si="6"/>
        <v>250</v>
      </c>
      <c r="F119">
        <f t="shared" si="7"/>
        <v>1.5625</v>
      </c>
    </row>
    <row r="120" spans="1:6" x14ac:dyDescent="0.3">
      <c r="A120" t="str">
        <v>D</v>
      </c>
      <c r="B120" s="31" t="str">
        <v>UK</v>
      </c>
      <c r="C120" s="31">
        <v>46333</v>
      </c>
      <c r="D120">
        <v>1000</v>
      </c>
      <c r="E120">
        <f t="shared" si="6"/>
        <v>250</v>
      </c>
      <c r="F120">
        <f t="shared" si="7"/>
        <v>1.5625</v>
      </c>
    </row>
    <row r="121" spans="1:6" x14ac:dyDescent="0.3">
      <c r="A121" t="str">
        <v>D</v>
      </c>
      <c r="B121" s="31" t="str">
        <v>UK</v>
      </c>
      <c r="C121" s="31">
        <v>46340</v>
      </c>
      <c r="D121">
        <v>1000</v>
      </c>
      <c r="E121">
        <f t="shared" si="6"/>
        <v>250</v>
      </c>
      <c r="F121">
        <f t="shared" si="7"/>
        <v>1.5625</v>
      </c>
    </row>
    <row r="122" spans="1:6" x14ac:dyDescent="0.3">
      <c r="A122" t="str">
        <v>D</v>
      </c>
      <c r="B122" s="31" t="str">
        <v>UK</v>
      </c>
      <c r="C122" s="31">
        <v>46347</v>
      </c>
      <c r="D122">
        <v>1250</v>
      </c>
      <c r="E122">
        <f t="shared" si="6"/>
        <v>313</v>
      </c>
      <c r="F122">
        <f t="shared" si="7"/>
        <v>1.9562499999999998</v>
      </c>
    </row>
    <row r="123" spans="1:6" x14ac:dyDescent="0.3">
      <c r="A123" t="str">
        <v>D</v>
      </c>
      <c r="B123" s="31" t="str">
        <v>UK</v>
      </c>
      <c r="C123" s="31">
        <v>46354</v>
      </c>
      <c r="D123">
        <v>1250</v>
      </c>
      <c r="E123">
        <f t="shared" si="6"/>
        <v>313</v>
      </c>
      <c r="F123">
        <f t="shared" si="7"/>
        <v>1.9562499999999998</v>
      </c>
    </row>
    <row r="124" spans="1:6" x14ac:dyDescent="0.3">
      <c r="A124" t="str">
        <v>D</v>
      </c>
      <c r="B124" s="31" t="str">
        <v>UK</v>
      </c>
      <c r="C124" s="31">
        <v>46361</v>
      </c>
      <c r="D124">
        <v>1250</v>
      </c>
      <c r="E124">
        <f t="shared" si="6"/>
        <v>313</v>
      </c>
      <c r="F124">
        <f t="shared" si="7"/>
        <v>1.9562499999999998</v>
      </c>
    </row>
    <row r="125" spans="1:6" x14ac:dyDescent="0.3">
      <c r="A125" t="str">
        <v>D</v>
      </c>
      <c r="B125" s="31" t="str">
        <v>UK</v>
      </c>
      <c r="C125" s="31">
        <v>46368</v>
      </c>
      <c r="D125">
        <v>1250</v>
      </c>
      <c r="E125">
        <f t="shared" si="6"/>
        <v>313</v>
      </c>
      <c r="F125">
        <f t="shared" si="7"/>
        <v>1.9562499999999998</v>
      </c>
    </row>
    <row r="126" spans="1:6" x14ac:dyDescent="0.3">
      <c r="A126" t="str">
        <v>E</v>
      </c>
      <c r="B126" s="31" t="str">
        <v>Australia</v>
      </c>
      <c r="C126" s="31">
        <v>46137</v>
      </c>
      <c r="D126">
        <v>472</v>
      </c>
      <c r="E126">
        <f t="shared" si="6"/>
        <v>236</v>
      </c>
      <c r="F126">
        <f t="shared" si="7"/>
        <v>1.4749999999999999</v>
      </c>
    </row>
    <row r="127" spans="1:6" x14ac:dyDescent="0.3">
      <c r="A127" t="str">
        <v>E</v>
      </c>
      <c r="B127" s="31" t="str">
        <v>Australia</v>
      </c>
      <c r="C127" s="31">
        <v>46144</v>
      </c>
      <c r="D127">
        <v>300</v>
      </c>
      <c r="E127">
        <f t="shared" si="6"/>
        <v>150</v>
      </c>
      <c r="F127">
        <f t="shared" si="7"/>
        <v>0.9375</v>
      </c>
    </row>
    <row r="128" spans="1:6" x14ac:dyDescent="0.3">
      <c r="A128" t="str">
        <v>E</v>
      </c>
      <c r="B128" s="31" t="str">
        <v>Australia</v>
      </c>
      <c r="C128" s="31">
        <v>46151</v>
      </c>
      <c r="D128">
        <v>698</v>
      </c>
      <c r="E128">
        <f t="shared" si="6"/>
        <v>349</v>
      </c>
      <c r="F128">
        <f t="shared" si="7"/>
        <v>2.1812500000000004</v>
      </c>
    </row>
    <row r="129" spans="1:6" x14ac:dyDescent="0.3">
      <c r="A129" t="str">
        <v>E</v>
      </c>
      <c r="B129" s="31" t="str">
        <v>Australia</v>
      </c>
      <c r="C129" s="31">
        <v>46165</v>
      </c>
      <c r="D129">
        <v>300</v>
      </c>
      <c r="E129">
        <f t="shared" si="6"/>
        <v>150</v>
      </c>
      <c r="F129">
        <f t="shared" si="7"/>
        <v>0.9375</v>
      </c>
    </row>
    <row r="130" spans="1:6" x14ac:dyDescent="0.3">
      <c r="A130" t="str">
        <v>E</v>
      </c>
      <c r="B130" s="31" t="str">
        <v>Australia</v>
      </c>
      <c r="C130" s="31">
        <v>46186</v>
      </c>
      <c r="D130">
        <v>300</v>
      </c>
      <c r="E130">
        <f t="shared" ref="E130:E161" si="8">ROUNDUP(D130/_xlfn.XLOOKUP(A130,$J$3:$J$8,$L$3:$L$8),0)</f>
        <v>150</v>
      </c>
      <c r="F130">
        <f t="shared" ref="F130:F161" si="9">E130/100*_xlfn.XLOOKUP(A130,$J$3:$J$8,$M$3:$M$8)</f>
        <v>0.9375</v>
      </c>
    </row>
    <row r="131" spans="1:6" x14ac:dyDescent="0.3">
      <c r="A131" t="str">
        <v>E</v>
      </c>
      <c r="B131" s="31" t="str">
        <v>Australia</v>
      </c>
      <c r="C131" s="31">
        <v>46200</v>
      </c>
      <c r="D131">
        <v>700</v>
      </c>
      <c r="E131">
        <f t="shared" si="8"/>
        <v>350</v>
      </c>
      <c r="F131">
        <f t="shared" si="9"/>
        <v>2.1875</v>
      </c>
    </row>
    <row r="132" spans="1:6" x14ac:dyDescent="0.3">
      <c r="A132" t="str">
        <v>E</v>
      </c>
      <c r="B132" s="31" t="str">
        <v>Australia</v>
      </c>
      <c r="C132" s="31">
        <v>46207</v>
      </c>
      <c r="D132">
        <v>300</v>
      </c>
      <c r="E132">
        <f t="shared" si="8"/>
        <v>150</v>
      </c>
      <c r="F132">
        <f t="shared" si="9"/>
        <v>0.9375</v>
      </c>
    </row>
    <row r="133" spans="1:6" x14ac:dyDescent="0.3">
      <c r="A133" t="str">
        <v>E</v>
      </c>
      <c r="B133" s="31" t="str">
        <v>Australia</v>
      </c>
      <c r="C133" s="31">
        <v>46214</v>
      </c>
      <c r="D133">
        <v>300</v>
      </c>
      <c r="E133">
        <f t="shared" si="8"/>
        <v>150</v>
      </c>
      <c r="F133">
        <f t="shared" si="9"/>
        <v>0.9375</v>
      </c>
    </row>
    <row r="134" spans="1:6" x14ac:dyDescent="0.3">
      <c r="A134" t="str">
        <v>E</v>
      </c>
      <c r="B134" s="31" t="str">
        <v>Australia</v>
      </c>
      <c r="C134" s="31">
        <v>46221</v>
      </c>
      <c r="D134">
        <v>300</v>
      </c>
      <c r="E134">
        <f t="shared" si="8"/>
        <v>150</v>
      </c>
      <c r="F134">
        <f t="shared" si="9"/>
        <v>0.9375</v>
      </c>
    </row>
    <row r="135" spans="1:6" x14ac:dyDescent="0.3">
      <c r="A135" t="str">
        <v>E</v>
      </c>
      <c r="B135" s="31" t="str">
        <v>Australia</v>
      </c>
      <c r="C135" s="31">
        <v>46242</v>
      </c>
      <c r="D135">
        <v>300</v>
      </c>
      <c r="E135">
        <f t="shared" si="8"/>
        <v>150</v>
      </c>
      <c r="F135">
        <f t="shared" si="9"/>
        <v>0.9375</v>
      </c>
    </row>
    <row r="136" spans="1:6" x14ac:dyDescent="0.3">
      <c r="A136" t="str">
        <v>E</v>
      </c>
      <c r="B136" s="31" t="str">
        <v>Australia</v>
      </c>
      <c r="C136" s="31">
        <v>46263</v>
      </c>
      <c r="D136">
        <v>300</v>
      </c>
      <c r="E136">
        <f t="shared" si="8"/>
        <v>150</v>
      </c>
      <c r="F136">
        <f t="shared" si="9"/>
        <v>0.9375</v>
      </c>
    </row>
    <row r="137" spans="1:6" x14ac:dyDescent="0.3">
      <c r="A137" t="str">
        <v>E</v>
      </c>
      <c r="B137" s="31" t="str">
        <v>Australia</v>
      </c>
      <c r="C137" s="31">
        <v>46291</v>
      </c>
      <c r="D137">
        <v>300</v>
      </c>
      <c r="E137">
        <f t="shared" si="8"/>
        <v>150</v>
      </c>
      <c r="F137">
        <f t="shared" si="9"/>
        <v>0.9375</v>
      </c>
    </row>
    <row r="138" spans="1:6" x14ac:dyDescent="0.3">
      <c r="A138" t="str">
        <v>E</v>
      </c>
      <c r="B138" s="31" t="str">
        <v>Australia</v>
      </c>
      <c r="C138" s="31">
        <v>46326</v>
      </c>
      <c r="D138">
        <v>300</v>
      </c>
      <c r="E138">
        <f t="shared" si="8"/>
        <v>150</v>
      </c>
      <c r="F138">
        <f t="shared" si="9"/>
        <v>0.9375</v>
      </c>
    </row>
    <row r="139" spans="1:6" x14ac:dyDescent="0.3">
      <c r="A139" t="str">
        <v>E</v>
      </c>
      <c r="B139" s="31" t="str">
        <v>Australia</v>
      </c>
      <c r="C139" s="31">
        <v>46354</v>
      </c>
      <c r="D139">
        <v>300</v>
      </c>
      <c r="E139">
        <f t="shared" si="8"/>
        <v>150</v>
      </c>
      <c r="F139">
        <f t="shared" si="9"/>
        <v>0.9375</v>
      </c>
    </row>
    <row r="140" spans="1:6" x14ac:dyDescent="0.3">
      <c r="A140" t="str">
        <v>F</v>
      </c>
      <c r="B140" s="31" t="str">
        <v>US</v>
      </c>
      <c r="C140" s="31">
        <v>46130</v>
      </c>
      <c r="D140">
        <v>588</v>
      </c>
      <c r="E140">
        <f t="shared" si="8"/>
        <v>74</v>
      </c>
      <c r="F140">
        <f t="shared" si="9"/>
        <v>0.578125</v>
      </c>
    </row>
    <row r="141" spans="1:6" x14ac:dyDescent="0.3">
      <c r="A141" t="str">
        <v>F</v>
      </c>
      <c r="B141" s="31" t="str">
        <v>US</v>
      </c>
      <c r="C141" s="31">
        <v>46137</v>
      </c>
      <c r="D141">
        <v>4028</v>
      </c>
      <c r="E141">
        <f t="shared" si="8"/>
        <v>504</v>
      </c>
      <c r="F141">
        <f t="shared" si="9"/>
        <v>3.9375</v>
      </c>
    </row>
    <row r="142" spans="1:6" x14ac:dyDescent="0.3">
      <c r="A142" t="str">
        <v>F</v>
      </c>
      <c r="B142" s="31" t="str">
        <v>US</v>
      </c>
      <c r="C142" s="31">
        <v>46144</v>
      </c>
      <c r="D142">
        <v>4200</v>
      </c>
      <c r="E142">
        <f t="shared" si="8"/>
        <v>525</v>
      </c>
      <c r="F142">
        <f t="shared" si="9"/>
        <v>4.1015625</v>
      </c>
    </row>
    <row r="143" spans="1:6" x14ac:dyDescent="0.3">
      <c r="A143" t="str">
        <v>F</v>
      </c>
      <c r="B143" s="31" t="str">
        <v>US</v>
      </c>
      <c r="C143" s="31">
        <v>46151</v>
      </c>
      <c r="D143">
        <v>3802</v>
      </c>
      <c r="E143">
        <f t="shared" si="8"/>
        <v>476</v>
      </c>
      <c r="F143">
        <f t="shared" si="9"/>
        <v>3.71875</v>
      </c>
    </row>
    <row r="144" spans="1:6" x14ac:dyDescent="0.3">
      <c r="A144" t="str">
        <v>F</v>
      </c>
      <c r="B144" s="31" t="str">
        <v>US</v>
      </c>
      <c r="C144" s="31">
        <v>46158</v>
      </c>
      <c r="D144">
        <v>4500</v>
      </c>
      <c r="E144">
        <f t="shared" si="8"/>
        <v>563</v>
      </c>
      <c r="F144">
        <f t="shared" si="9"/>
        <v>4.3984375</v>
      </c>
    </row>
    <row r="145" spans="1:6" x14ac:dyDescent="0.3">
      <c r="A145" t="str">
        <v>F</v>
      </c>
      <c r="B145" s="31" t="str">
        <v>US</v>
      </c>
      <c r="C145" s="31">
        <v>46165</v>
      </c>
      <c r="D145">
        <v>4200</v>
      </c>
      <c r="E145">
        <f t="shared" si="8"/>
        <v>525</v>
      </c>
      <c r="F145">
        <f t="shared" si="9"/>
        <v>4.1015625</v>
      </c>
    </row>
    <row r="146" spans="1:6" x14ac:dyDescent="0.3">
      <c r="A146" t="str">
        <v>F</v>
      </c>
      <c r="B146" s="31" t="str">
        <v>US</v>
      </c>
      <c r="C146" s="31">
        <v>46172</v>
      </c>
      <c r="D146">
        <v>4500</v>
      </c>
      <c r="E146">
        <f t="shared" si="8"/>
        <v>563</v>
      </c>
      <c r="F146">
        <f t="shared" si="9"/>
        <v>4.3984375</v>
      </c>
    </row>
    <row r="147" spans="1:6" x14ac:dyDescent="0.3">
      <c r="A147" t="str">
        <v>F</v>
      </c>
      <c r="B147" s="31" t="str">
        <v>US</v>
      </c>
      <c r="C147" s="31">
        <v>46179</v>
      </c>
      <c r="D147">
        <v>4500</v>
      </c>
      <c r="E147">
        <f t="shared" si="8"/>
        <v>563</v>
      </c>
      <c r="F147">
        <f t="shared" si="9"/>
        <v>4.3984375</v>
      </c>
    </row>
    <row r="148" spans="1:6" x14ac:dyDescent="0.3">
      <c r="A148" t="str">
        <v>F</v>
      </c>
      <c r="B148" s="31" t="str">
        <v>US</v>
      </c>
      <c r="C148" s="31">
        <v>46186</v>
      </c>
      <c r="D148">
        <v>2200</v>
      </c>
      <c r="E148">
        <f t="shared" si="8"/>
        <v>275</v>
      </c>
      <c r="F148">
        <f t="shared" si="9"/>
        <v>2.1484375</v>
      </c>
    </row>
    <row r="149" spans="1:6" x14ac:dyDescent="0.3">
      <c r="A149" t="str">
        <v>F</v>
      </c>
      <c r="B149" s="31" t="str">
        <v>US</v>
      </c>
      <c r="C149" s="31">
        <v>46193</v>
      </c>
      <c r="D149">
        <v>5000</v>
      </c>
      <c r="E149">
        <f t="shared" si="8"/>
        <v>625</v>
      </c>
      <c r="F149">
        <f t="shared" si="9"/>
        <v>4.8828125</v>
      </c>
    </row>
    <row r="150" spans="1:6" x14ac:dyDescent="0.3">
      <c r="A150" t="str">
        <v>F</v>
      </c>
      <c r="B150" s="31" t="str">
        <v>US</v>
      </c>
      <c r="C150" s="31">
        <v>46200</v>
      </c>
      <c r="D150">
        <v>4300</v>
      </c>
      <c r="E150">
        <f t="shared" si="8"/>
        <v>538</v>
      </c>
      <c r="F150">
        <f t="shared" si="9"/>
        <v>4.203125</v>
      </c>
    </row>
    <row r="151" spans="1:6" x14ac:dyDescent="0.3">
      <c r="A151" t="str">
        <v>F</v>
      </c>
      <c r="B151" s="31" t="str">
        <v>US</v>
      </c>
      <c r="C151" s="31">
        <v>46207</v>
      </c>
      <c r="D151">
        <v>4700</v>
      </c>
      <c r="E151">
        <f t="shared" si="8"/>
        <v>588</v>
      </c>
      <c r="F151">
        <f t="shared" si="9"/>
        <v>4.59375</v>
      </c>
    </row>
    <row r="152" spans="1:6" x14ac:dyDescent="0.3">
      <c r="A152" t="str">
        <v>F</v>
      </c>
      <c r="B152" s="31" t="str">
        <v>US</v>
      </c>
      <c r="C152" s="31">
        <v>46214</v>
      </c>
      <c r="D152">
        <v>4746</v>
      </c>
      <c r="E152">
        <f t="shared" si="8"/>
        <v>594</v>
      </c>
      <c r="F152">
        <f t="shared" si="9"/>
        <v>4.640625</v>
      </c>
    </row>
    <row r="153" spans="1:6" x14ac:dyDescent="0.3">
      <c r="A153" t="str">
        <v>F</v>
      </c>
      <c r="B153" s="31" t="str">
        <v>US</v>
      </c>
      <c r="C153" s="31">
        <v>46221</v>
      </c>
      <c r="D153">
        <v>4300</v>
      </c>
      <c r="E153">
        <f t="shared" si="8"/>
        <v>538</v>
      </c>
      <c r="F153">
        <f t="shared" si="9"/>
        <v>4.203125</v>
      </c>
    </row>
    <row r="154" spans="1:6" x14ac:dyDescent="0.3">
      <c r="A154" t="str">
        <v>F</v>
      </c>
      <c r="B154" s="31" t="str">
        <v>US</v>
      </c>
      <c r="C154" s="31">
        <v>46228</v>
      </c>
      <c r="D154">
        <v>476</v>
      </c>
      <c r="E154">
        <f t="shared" si="8"/>
        <v>60</v>
      </c>
      <c r="F154">
        <f t="shared" si="9"/>
        <v>0.46875</v>
      </c>
    </row>
    <row r="155" spans="1:6" x14ac:dyDescent="0.3">
      <c r="A155" t="str">
        <v>F</v>
      </c>
      <c r="B155" s="31" t="str">
        <v>US</v>
      </c>
      <c r="C155" s="31">
        <v>46235</v>
      </c>
      <c r="D155">
        <v>1298</v>
      </c>
      <c r="E155">
        <f t="shared" si="8"/>
        <v>163</v>
      </c>
      <c r="F155">
        <f t="shared" si="9"/>
        <v>1.2734375</v>
      </c>
    </row>
    <row r="156" spans="1:6" x14ac:dyDescent="0.3">
      <c r="A156" t="str">
        <v>F</v>
      </c>
      <c r="B156" s="31" t="str">
        <v>US</v>
      </c>
      <c r="C156" s="31">
        <v>46242</v>
      </c>
      <c r="D156">
        <v>1300</v>
      </c>
      <c r="E156">
        <f t="shared" si="8"/>
        <v>163</v>
      </c>
      <c r="F156">
        <f t="shared" si="9"/>
        <v>1.2734375</v>
      </c>
    </row>
    <row r="157" spans="1:6" x14ac:dyDescent="0.3">
      <c r="A157" t="str">
        <v>F</v>
      </c>
      <c r="B157" s="31" t="str">
        <v>US</v>
      </c>
      <c r="C157" s="31">
        <v>46249</v>
      </c>
      <c r="D157">
        <v>1298</v>
      </c>
      <c r="E157">
        <f t="shared" si="8"/>
        <v>163</v>
      </c>
      <c r="F157">
        <f t="shared" si="9"/>
        <v>1.2734375</v>
      </c>
    </row>
    <row r="158" spans="1:6" x14ac:dyDescent="0.3">
      <c r="A158" t="str">
        <v>F</v>
      </c>
      <c r="B158" s="31" t="str">
        <v>US</v>
      </c>
      <c r="C158" s="31">
        <v>46256</v>
      </c>
      <c r="D158">
        <v>1506</v>
      </c>
      <c r="E158">
        <f t="shared" si="8"/>
        <v>189</v>
      </c>
      <c r="F158">
        <f t="shared" si="9"/>
        <v>1.4765625</v>
      </c>
    </row>
    <row r="159" spans="1:6" x14ac:dyDescent="0.3">
      <c r="A159" t="str">
        <v>F</v>
      </c>
      <c r="B159" s="31" t="str">
        <v>US</v>
      </c>
      <c r="C159" s="31">
        <v>46263</v>
      </c>
      <c r="D159">
        <v>1506</v>
      </c>
      <c r="E159">
        <f t="shared" si="8"/>
        <v>189</v>
      </c>
      <c r="F159">
        <f t="shared" si="9"/>
        <v>1.4765625</v>
      </c>
    </row>
    <row r="160" spans="1:6" x14ac:dyDescent="0.3">
      <c r="A160" t="str">
        <v>F</v>
      </c>
      <c r="B160" s="31" t="str">
        <v>US</v>
      </c>
      <c r="C160" s="31">
        <v>46270</v>
      </c>
      <c r="D160">
        <v>1506</v>
      </c>
      <c r="E160">
        <f t="shared" si="8"/>
        <v>189</v>
      </c>
      <c r="F160">
        <f t="shared" si="9"/>
        <v>1.4765625</v>
      </c>
    </row>
    <row r="161" spans="1:6" x14ac:dyDescent="0.3">
      <c r="A161" t="str">
        <v>F</v>
      </c>
      <c r="B161" s="31" t="str">
        <v>US</v>
      </c>
      <c r="C161" s="31">
        <v>46277</v>
      </c>
      <c r="D161">
        <v>1506</v>
      </c>
      <c r="E161">
        <f t="shared" si="8"/>
        <v>189</v>
      </c>
      <c r="F161">
        <f t="shared" si="9"/>
        <v>1.4765625</v>
      </c>
    </row>
    <row r="162" spans="1:6" x14ac:dyDescent="0.3">
      <c r="A162" t="str">
        <v>F</v>
      </c>
      <c r="B162" s="31" t="str">
        <v>US</v>
      </c>
      <c r="C162" s="31">
        <v>46284</v>
      </c>
      <c r="D162">
        <v>1446</v>
      </c>
      <c r="E162">
        <f t="shared" ref="E162:E172" si="10">ROUNDUP(D162/_xlfn.XLOOKUP(A162,$J$3:$J$8,$L$3:$L$8),0)</f>
        <v>181</v>
      </c>
      <c r="F162">
        <f t="shared" ref="F162:F172" si="11">E162/100*_xlfn.XLOOKUP(A162,$J$3:$J$8,$M$3:$M$8)</f>
        <v>1.4140625</v>
      </c>
    </row>
    <row r="163" spans="1:6" x14ac:dyDescent="0.3">
      <c r="A163" t="str">
        <v>F</v>
      </c>
      <c r="B163" s="31" t="str">
        <v>US</v>
      </c>
      <c r="C163" s="31">
        <v>46305</v>
      </c>
      <c r="D163">
        <v>1448</v>
      </c>
      <c r="E163">
        <f t="shared" si="10"/>
        <v>181</v>
      </c>
      <c r="F163">
        <f t="shared" si="11"/>
        <v>1.4140625</v>
      </c>
    </row>
    <row r="164" spans="1:6" x14ac:dyDescent="0.3">
      <c r="A164" t="str">
        <v>F</v>
      </c>
      <c r="B164" s="31" t="str">
        <v>US</v>
      </c>
      <c r="C164" s="31">
        <v>46312</v>
      </c>
      <c r="D164">
        <v>1448</v>
      </c>
      <c r="E164">
        <f t="shared" si="10"/>
        <v>181</v>
      </c>
      <c r="F164">
        <f t="shared" si="11"/>
        <v>1.4140625</v>
      </c>
    </row>
    <row r="165" spans="1:6" x14ac:dyDescent="0.3">
      <c r="A165" t="str">
        <v>F</v>
      </c>
      <c r="B165" s="31" t="str">
        <v>US</v>
      </c>
      <c r="C165" s="31">
        <v>46319</v>
      </c>
      <c r="D165">
        <v>1448</v>
      </c>
      <c r="E165">
        <f t="shared" si="10"/>
        <v>181</v>
      </c>
      <c r="F165">
        <f t="shared" si="11"/>
        <v>1.4140625</v>
      </c>
    </row>
    <row r="166" spans="1:6" x14ac:dyDescent="0.3">
      <c r="A166" t="str">
        <v>F</v>
      </c>
      <c r="B166" s="31" t="str">
        <v>US</v>
      </c>
      <c r="C166" s="31">
        <v>46326</v>
      </c>
      <c r="D166">
        <v>1754</v>
      </c>
      <c r="E166">
        <f t="shared" si="10"/>
        <v>220</v>
      </c>
      <c r="F166">
        <f t="shared" si="11"/>
        <v>1.7187500000000002</v>
      </c>
    </row>
    <row r="167" spans="1:6" x14ac:dyDescent="0.3">
      <c r="A167" t="str">
        <v>F</v>
      </c>
      <c r="B167" s="31" t="str">
        <v>US</v>
      </c>
      <c r="C167" s="31">
        <v>46333</v>
      </c>
      <c r="D167">
        <v>1756</v>
      </c>
      <c r="E167">
        <f t="shared" si="10"/>
        <v>220</v>
      </c>
      <c r="F167">
        <f t="shared" si="11"/>
        <v>1.7187500000000002</v>
      </c>
    </row>
    <row r="168" spans="1:6" x14ac:dyDescent="0.3">
      <c r="A168" t="str">
        <v>F</v>
      </c>
      <c r="B168" s="31" t="str">
        <v>US</v>
      </c>
      <c r="C168" s="31">
        <v>46340</v>
      </c>
      <c r="D168">
        <v>1756</v>
      </c>
      <c r="E168">
        <f t="shared" si="10"/>
        <v>220</v>
      </c>
      <c r="F168">
        <f t="shared" si="11"/>
        <v>1.7187500000000002</v>
      </c>
    </row>
    <row r="169" spans="1:6" x14ac:dyDescent="0.3">
      <c r="A169" t="str">
        <v>F</v>
      </c>
      <c r="B169" s="31" t="str">
        <v>US</v>
      </c>
      <c r="C169" s="31">
        <v>46347</v>
      </c>
      <c r="D169">
        <v>1756</v>
      </c>
      <c r="E169">
        <f t="shared" si="10"/>
        <v>220</v>
      </c>
      <c r="F169">
        <f t="shared" si="11"/>
        <v>1.7187500000000002</v>
      </c>
    </row>
    <row r="170" spans="1:6" x14ac:dyDescent="0.3">
      <c r="A170" t="str">
        <v>F</v>
      </c>
      <c r="B170" s="31" t="str">
        <v>US</v>
      </c>
      <c r="C170" s="31">
        <v>46354</v>
      </c>
      <c r="D170">
        <v>1928</v>
      </c>
      <c r="E170">
        <f t="shared" si="10"/>
        <v>241</v>
      </c>
      <c r="F170">
        <f t="shared" si="11"/>
        <v>1.8828125</v>
      </c>
    </row>
    <row r="171" spans="1:6" x14ac:dyDescent="0.3">
      <c r="A171" t="str">
        <v>F</v>
      </c>
      <c r="B171" s="31" t="str">
        <v>US</v>
      </c>
      <c r="C171" s="31">
        <v>46361</v>
      </c>
      <c r="D171">
        <v>1930</v>
      </c>
      <c r="E171">
        <f t="shared" si="10"/>
        <v>242</v>
      </c>
      <c r="F171">
        <f t="shared" si="11"/>
        <v>1.890625</v>
      </c>
    </row>
    <row r="172" spans="1:6" x14ac:dyDescent="0.3">
      <c r="A172" t="str">
        <v>F</v>
      </c>
      <c r="B172" s="31" t="str">
        <v>US</v>
      </c>
      <c r="C172" s="31">
        <v>46368</v>
      </c>
      <c r="D172">
        <v>1928</v>
      </c>
      <c r="E172">
        <f t="shared" si="10"/>
        <v>241</v>
      </c>
      <c r="F172">
        <f t="shared" si="11"/>
        <v>1.8828125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99"/>
  <sheetViews>
    <sheetView topLeftCell="D49" zoomScale="98" workbookViewId="0">
      <selection activeCell="M66" sqref="M66"/>
    </sheetView>
  </sheetViews>
  <sheetFormatPr defaultRowHeight="14.4" x14ac:dyDescent="0.3"/>
  <cols>
    <col min="1" max="1" width="10" customWidth="1"/>
    <col min="2" max="2" width="12" customWidth="1"/>
    <col min="3" max="3" width="14" customWidth="1"/>
    <col min="4" max="4" width="16" customWidth="1"/>
    <col min="5" max="5" width="14" customWidth="1"/>
    <col min="6" max="7" width="16" customWidth="1"/>
    <col min="8" max="8" width="14" customWidth="1"/>
    <col min="9" max="9" width="18" customWidth="1"/>
    <col min="10" max="10" width="14" customWidth="1"/>
    <col min="11" max="12" width="12" customWidth="1"/>
    <col min="13" max="13" width="14" customWidth="1"/>
    <col min="14" max="14" width="22" customWidth="1"/>
    <col min="16" max="16" width="70" customWidth="1"/>
  </cols>
  <sheetData>
    <row r="1" spans="1:16" ht="28.8" customHeight="1" x14ac:dyDescent="0.3">
      <c r="A1" s="56" t="s">
        <v>62</v>
      </c>
      <c r="B1" s="56" t="s">
        <v>5</v>
      </c>
      <c r="C1" s="56" t="s">
        <v>63</v>
      </c>
      <c r="D1" s="56" t="s">
        <v>64</v>
      </c>
      <c r="E1" s="56" t="s">
        <v>65</v>
      </c>
      <c r="F1" s="56" t="s">
        <v>66</v>
      </c>
      <c r="G1" s="56" t="s">
        <v>67</v>
      </c>
      <c r="H1" s="56" t="s">
        <v>68</v>
      </c>
      <c r="I1" s="56" t="s">
        <v>69</v>
      </c>
      <c r="J1" s="56" t="s">
        <v>70</v>
      </c>
      <c r="K1" s="56" t="s">
        <v>71</v>
      </c>
      <c r="L1" s="56" t="s">
        <v>72</v>
      </c>
      <c r="M1" s="56" t="s">
        <v>73</v>
      </c>
      <c r="N1" s="56" t="s">
        <v>74</v>
      </c>
      <c r="P1" s="57" t="s">
        <v>75</v>
      </c>
    </row>
    <row r="2" spans="1:16" x14ac:dyDescent="0.3">
      <c r="A2" s="58" t="str">
        <f t="array" ref="A2:E172">_xlfn.UNIQUE(_xlfn.CHOOSECOLS(Sheet1!A2:L466,1,6,11,7,12))</f>
        <v>A</v>
      </c>
      <c r="B2" s="59" t="str">
        <v>123AB</v>
      </c>
      <c r="C2" s="60">
        <v>46137</v>
      </c>
      <c r="D2" s="61">
        <v>15000</v>
      </c>
      <c r="E2" s="62">
        <v>684</v>
      </c>
      <c r="F2" s="61">
        <f>IF($A2="","",IF($A2&lt;&gt;$A1,IFERROR(INDEX([1]FG_Begin_Inventory!$B:$B,MATCH($A2,[1]FG_Begin_Inventory!$A:$A,0)),0),J1))</f>
        <v>0</v>
      </c>
      <c r="G2" s="61">
        <f t="shared" ref="G2:G33" si="0">IF($A2="","",IF($A2&lt;&gt;$A3,0,MAX(0,G3+E3-D3)))</f>
        <v>10000</v>
      </c>
      <c r="H2" s="62">
        <f t="shared" ref="H2:H65" si="1">IF($A2="","",MAX(0,E2+G2-F2))</f>
        <v>10684</v>
      </c>
      <c r="I2" s="62">
        <f t="shared" ref="I2:I65" si="2">IF($A2="","",MIN(D2,H2))</f>
        <v>10684</v>
      </c>
      <c r="J2" s="62">
        <f t="shared" ref="J2:J65" si="3">IF($A2="","",MAX(0,F2+I2-E2))</f>
        <v>10000</v>
      </c>
      <c r="K2" s="62">
        <f t="shared" ref="K2:K65" si="4">IF($A2="","",MAX(0,E2-F2-I2))</f>
        <v>0</v>
      </c>
      <c r="L2" s="62">
        <f t="shared" ref="L2:L65" si="5">IF($A2="","",MAX(0,F2+I2-E2))</f>
        <v>10000</v>
      </c>
      <c r="M2" s="63">
        <f t="shared" ref="M2:M65" si="6">IF($A2="","",IFERROR(I2/D2,0))</f>
        <v>0.71226666666666671</v>
      </c>
      <c r="N2" s="64"/>
      <c r="P2" s="65" t="s">
        <v>76</v>
      </c>
    </row>
    <row r="3" spans="1:16" x14ac:dyDescent="0.3">
      <c r="A3" s="58" t="str">
        <v>A</v>
      </c>
      <c r="B3" s="59" t="str">
        <v>123AB</v>
      </c>
      <c r="C3" s="60">
        <v>46144</v>
      </c>
      <c r="D3" s="61">
        <v>15000</v>
      </c>
      <c r="E3" s="62">
        <v>20000</v>
      </c>
      <c r="F3" s="61">
        <f>IF($A3="","",IF($A3&lt;&gt;$A2,IFERROR(INDEX([1]FG_Begin_Inventory!$B:$B,MATCH($A3,[1]FG_Begin_Inventory!$A:$A,0)),0),J2))</f>
        <v>10000</v>
      </c>
      <c r="G3" s="61">
        <f t="shared" si="0"/>
        <v>5000</v>
      </c>
      <c r="H3" s="62">
        <f t="shared" si="1"/>
        <v>15000</v>
      </c>
      <c r="I3" s="62">
        <f t="shared" si="2"/>
        <v>15000</v>
      </c>
      <c r="J3" s="62">
        <f t="shared" si="3"/>
        <v>5000</v>
      </c>
      <c r="K3" s="62">
        <f t="shared" si="4"/>
        <v>0</v>
      </c>
      <c r="L3" s="62">
        <f t="shared" si="5"/>
        <v>5000</v>
      </c>
      <c r="M3" s="63">
        <f t="shared" si="6"/>
        <v>1</v>
      </c>
      <c r="N3" s="64"/>
      <c r="P3" s="65" t="s">
        <v>77</v>
      </c>
    </row>
    <row r="4" spans="1:16" x14ac:dyDescent="0.3">
      <c r="A4" s="58" t="str">
        <v>A</v>
      </c>
      <c r="B4" s="59" t="str">
        <v>123AB</v>
      </c>
      <c r="C4" s="60">
        <v>46151</v>
      </c>
      <c r="D4" s="61">
        <v>15000</v>
      </c>
      <c r="E4" s="62">
        <v>20000</v>
      </c>
      <c r="F4" s="61">
        <f>IF($A4="","",IF($A4&lt;&gt;$A3,IFERROR(INDEX([1]FG_Begin_Inventory!$B:$B,MATCH($A4,[1]FG_Begin_Inventory!$A:$A,0)),0),J3))</f>
        <v>5000</v>
      </c>
      <c r="G4" s="61">
        <f t="shared" si="0"/>
        <v>0</v>
      </c>
      <c r="H4" s="62">
        <f t="shared" si="1"/>
        <v>15000</v>
      </c>
      <c r="I4" s="62">
        <f t="shared" si="2"/>
        <v>15000</v>
      </c>
      <c r="J4" s="62">
        <f t="shared" si="3"/>
        <v>0</v>
      </c>
      <c r="K4" s="62">
        <f t="shared" si="4"/>
        <v>0</v>
      </c>
      <c r="L4" s="62">
        <f t="shared" si="5"/>
        <v>0</v>
      </c>
      <c r="M4" s="63">
        <f t="shared" si="6"/>
        <v>1</v>
      </c>
      <c r="N4" s="64"/>
      <c r="P4" s="65" t="s">
        <v>78</v>
      </c>
    </row>
    <row r="5" spans="1:16" x14ac:dyDescent="0.3">
      <c r="A5" s="58" t="str">
        <v>A</v>
      </c>
      <c r="B5" s="59" t="str">
        <v>123AB</v>
      </c>
      <c r="C5" s="60">
        <v>46158</v>
      </c>
      <c r="D5" s="61">
        <v>15000</v>
      </c>
      <c r="E5" s="62">
        <v>11000</v>
      </c>
      <c r="F5" s="61">
        <f>IF($A5="","",IF($A5&lt;&gt;$A4,IFERROR(INDEX([1]FG_Begin_Inventory!$B:$B,MATCH($A5,[1]FG_Begin_Inventory!$A:$A,0)),0),J4))</f>
        <v>0</v>
      </c>
      <c r="G5" s="61">
        <f t="shared" si="0"/>
        <v>0</v>
      </c>
      <c r="H5" s="62">
        <f t="shared" si="1"/>
        <v>11000</v>
      </c>
      <c r="I5" s="62">
        <f t="shared" si="2"/>
        <v>11000</v>
      </c>
      <c r="J5" s="62">
        <f t="shared" si="3"/>
        <v>0</v>
      </c>
      <c r="K5" s="62">
        <f t="shared" si="4"/>
        <v>0</v>
      </c>
      <c r="L5" s="62">
        <f t="shared" si="5"/>
        <v>0</v>
      </c>
      <c r="M5" s="63">
        <f t="shared" si="6"/>
        <v>0.73333333333333328</v>
      </c>
      <c r="N5" s="64"/>
    </row>
    <row r="6" spans="1:16" x14ac:dyDescent="0.3">
      <c r="A6" s="58" t="str">
        <v>A</v>
      </c>
      <c r="B6" s="59" t="str">
        <v>123AB</v>
      </c>
      <c r="C6" s="60">
        <v>46165</v>
      </c>
      <c r="D6" s="61">
        <v>15000</v>
      </c>
      <c r="E6" s="62">
        <v>13000</v>
      </c>
      <c r="F6" s="61">
        <f>IF($A6="","",IF($A6&lt;&gt;$A5,IFERROR(INDEX([1]FG_Begin_Inventory!$B:$B,MATCH($A6,[1]FG_Begin_Inventory!$A:$A,0)),0),J5))</f>
        <v>0</v>
      </c>
      <c r="G6" s="61">
        <f t="shared" si="0"/>
        <v>0</v>
      </c>
      <c r="H6" s="62">
        <f t="shared" si="1"/>
        <v>13000</v>
      </c>
      <c r="I6" s="62">
        <f t="shared" si="2"/>
        <v>13000</v>
      </c>
      <c r="J6" s="62">
        <f t="shared" si="3"/>
        <v>0</v>
      </c>
      <c r="K6" s="62">
        <f t="shared" si="4"/>
        <v>0</v>
      </c>
      <c r="L6" s="62">
        <f t="shared" si="5"/>
        <v>0</v>
      </c>
      <c r="M6" s="63">
        <f t="shared" si="6"/>
        <v>0.8666666666666667</v>
      </c>
      <c r="N6" s="64"/>
    </row>
    <row r="7" spans="1:16" x14ac:dyDescent="0.3">
      <c r="A7" s="58" t="str">
        <v>A</v>
      </c>
      <c r="B7" s="59" t="str">
        <v>123AB</v>
      </c>
      <c r="C7" s="60">
        <v>46172</v>
      </c>
      <c r="D7" s="61">
        <v>15000</v>
      </c>
      <c r="E7" s="62">
        <v>13773</v>
      </c>
      <c r="F7" s="61">
        <f>IF($A7="","",IF($A7&lt;&gt;$A6,IFERROR(INDEX([1]FG_Begin_Inventory!$B:$B,MATCH($A7,[1]FG_Begin_Inventory!$A:$A,0)),0),J6))</f>
        <v>0</v>
      </c>
      <c r="G7" s="61">
        <f t="shared" si="0"/>
        <v>0</v>
      </c>
      <c r="H7" s="62">
        <f t="shared" si="1"/>
        <v>13773</v>
      </c>
      <c r="I7" s="62">
        <f t="shared" si="2"/>
        <v>13773</v>
      </c>
      <c r="J7" s="62">
        <f t="shared" si="3"/>
        <v>0</v>
      </c>
      <c r="K7" s="62">
        <f t="shared" si="4"/>
        <v>0</v>
      </c>
      <c r="L7" s="62">
        <f t="shared" si="5"/>
        <v>0</v>
      </c>
      <c r="M7" s="63">
        <f t="shared" si="6"/>
        <v>0.91820000000000002</v>
      </c>
      <c r="N7" s="64"/>
    </row>
    <row r="8" spans="1:16" x14ac:dyDescent="0.3">
      <c r="A8" s="58" t="str">
        <v>A</v>
      </c>
      <c r="B8" s="59" t="str">
        <v>123AB</v>
      </c>
      <c r="C8" s="60">
        <v>46179</v>
      </c>
      <c r="D8" s="61">
        <v>15000</v>
      </c>
      <c r="E8" s="62">
        <v>7058</v>
      </c>
      <c r="F8" s="61">
        <f>IF($A8="","",IF($A8&lt;&gt;$A7,IFERROR(INDEX([1]FG_Begin_Inventory!$B:$B,MATCH($A8,[1]FG_Begin_Inventory!$A:$A,0)),0),J7))</f>
        <v>0</v>
      </c>
      <c r="G8" s="61">
        <f t="shared" si="0"/>
        <v>0</v>
      </c>
      <c r="H8" s="62">
        <f t="shared" si="1"/>
        <v>7058</v>
      </c>
      <c r="I8" s="62">
        <f t="shared" si="2"/>
        <v>7058</v>
      </c>
      <c r="J8" s="62">
        <f t="shared" si="3"/>
        <v>0</v>
      </c>
      <c r="K8" s="62">
        <f t="shared" si="4"/>
        <v>0</v>
      </c>
      <c r="L8" s="62">
        <f t="shared" si="5"/>
        <v>0</v>
      </c>
      <c r="M8" s="63">
        <f t="shared" si="6"/>
        <v>0.47053333333333336</v>
      </c>
      <c r="N8" s="64"/>
    </row>
    <row r="9" spans="1:16" x14ac:dyDescent="0.3">
      <c r="A9" s="58" t="str">
        <v>A</v>
      </c>
      <c r="B9" s="59" t="str">
        <v>123AB</v>
      </c>
      <c r="C9" s="60">
        <v>46186</v>
      </c>
      <c r="D9" s="61">
        <v>15000</v>
      </c>
      <c r="E9" s="62">
        <v>2040</v>
      </c>
      <c r="F9" s="61">
        <f>IF($A9="","",IF($A9&lt;&gt;$A8,IFERROR(INDEX([1]FG_Begin_Inventory!$B:$B,MATCH($A9,[1]FG_Begin_Inventory!$A:$A,0)),0),J8))</f>
        <v>0</v>
      </c>
      <c r="G9" s="61">
        <f t="shared" si="0"/>
        <v>6868</v>
      </c>
      <c r="H9" s="62">
        <f t="shared" si="1"/>
        <v>8908</v>
      </c>
      <c r="I9" s="62">
        <f t="shared" si="2"/>
        <v>8908</v>
      </c>
      <c r="J9" s="62">
        <f t="shared" si="3"/>
        <v>6868</v>
      </c>
      <c r="K9" s="62">
        <f t="shared" si="4"/>
        <v>0</v>
      </c>
      <c r="L9" s="62">
        <f t="shared" si="5"/>
        <v>6868</v>
      </c>
      <c r="M9" s="63">
        <f t="shared" si="6"/>
        <v>0.59386666666666665</v>
      </c>
      <c r="N9" s="64"/>
    </row>
    <row r="10" spans="1:16" x14ac:dyDescent="0.3">
      <c r="A10" s="58" t="str">
        <v>A</v>
      </c>
      <c r="B10" s="59" t="str">
        <v>123AB</v>
      </c>
      <c r="C10" s="60">
        <v>46193</v>
      </c>
      <c r="D10" s="61">
        <v>15000</v>
      </c>
      <c r="E10" s="62">
        <v>3541</v>
      </c>
      <c r="F10" s="61">
        <f>IF($A10="","",IF($A10&lt;&gt;$A9,IFERROR(INDEX([1]FG_Begin_Inventory!$B:$B,MATCH($A10,[1]FG_Begin_Inventory!$A:$A,0)),0),J9))</f>
        <v>6868</v>
      </c>
      <c r="G10" s="61">
        <f t="shared" si="0"/>
        <v>18327</v>
      </c>
      <c r="H10" s="62">
        <f t="shared" si="1"/>
        <v>15000</v>
      </c>
      <c r="I10" s="62">
        <f t="shared" si="2"/>
        <v>15000</v>
      </c>
      <c r="J10" s="62">
        <f t="shared" si="3"/>
        <v>18327</v>
      </c>
      <c r="K10" s="62">
        <f t="shared" si="4"/>
        <v>0</v>
      </c>
      <c r="L10" s="62">
        <f t="shared" si="5"/>
        <v>18327</v>
      </c>
      <c r="M10" s="63">
        <f t="shared" si="6"/>
        <v>1</v>
      </c>
      <c r="N10" s="64"/>
    </row>
    <row r="11" spans="1:16" x14ac:dyDescent="0.3">
      <c r="A11" s="58" t="str">
        <v>A</v>
      </c>
      <c r="B11" s="59" t="str">
        <v>123AB</v>
      </c>
      <c r="C11" s="60">
        <v>46200</v>
      </c>
      <c r="D11" s="61">
        <v>15000</v>
      </c>
      <c r="E11" s="62">
        <v>12041</v>
      </c>
      <c r="F11" s="61">
        <f>IF($A11="","",IF($A11&lt;&gt;$A10,IFERROR(INDEX([1]FG_Begin_Inventory!$B:$B,MATCH($A11,[1]FG_Begin_Inventory!$A:$A,0)),0),J10))</f>
        <v>18327</v>
      </c>
      <c r="G11" s="61">
        <f t="shared" si="0"/>
        <v>21286</v>
      </c>
      <c r="H11" s="62">
        <f t="shared" si="1"/>
        <v>15000</v>
      </c>
      <c r="I11" s="62">
        <f t="shared" si="2"/>
        <v>15000</v>
      </c>
      <c r="J11" s="62">
        <f t="shared" si="3"/>
        <v>21286</v>
      </c>
      <c r="K11" s="62">
        <f t="shared" si="4"/>
        <v>0</v>
      </c>
      <c r="L11" s="62">
        <f t="shared" si="5"/>
        <v>21286</v>
      </c>
      <c r="M11" s="63">
        <f t="shared" si="6"/>
        <v>1</v>
      </c>
      <c r="N11" s="64"/>
    </row>
    <row r="12" spans="1:16" x14ac:dyDescent="0.3">
      <c r="A12" s="58" t="str">
        <v>A</v>
      </c>
      <c r="B12" s="59" t="str">
        <v>123AB</v>
      </c>
      <c r="C12" s="60">
        <v>46207</v>
      </c>
      <c r="D12" s="61">
        <v>15000</v>
      </c>
      <c r="E12" s="62">
        <v>12040</v>
      </c>
      <c r="F12" s="61">
        <f>IF($A12="","",IF($A12&lt;&gt;$A11,IFERROR(INDEX([1]FG_Begin_Inventory!$B:$B,MATCH($A12,[1]FG_Begin_Inventory!$A:$A,0)),0),J11))</f>
        <v>21286</v>
      </c>
      <c r="G12" s="61">
        <f t="shared" si="0"/>
        <v>24246</v>
      </c>
      <c r="H12" s="62">
        <f t="shared" si="1"/>
        <v>15000</v>
      </c>
      <c r="I12" s="62">
        <f t="shared" si="2"/>
        <v>15000</v>
      </c>
      <c r="J12" s="62">
        <f t="shared" si="3"/>
        <v>24246</v>
      </c>
      <c r="K12" s="62">
        <f t="shared" si="4"/>
        <v>0</v>
      </c>
      <c r="L12" s="62">
        <f t="shared" si="5"/>
        <v>24246</v>
      </c>
      <c r="M12" s="63">
        <f t="shared" si="6"/>
        <v>1</v>
      </c>
      <c r="N12" s="64"/>
    </row>
    <row r="13" spans="1:16" x14ac:dyDescent="0.3">
      <c r="A13" s="58" t="str">
        <v>A</v>
      </c>
      <c r="B13" s="59" t="str">
        <v>123AB</v>
      </c>
      <c r="C13" s="60">
        <v>46228</v>
      </c>
      <c r="D13" s="61">
        <v>15000</v>
      </c>
      <c r="E13" s="62">
        <v>27760</v>
      </c>
      <c r="F13" s="61">
        <f>IF($A13="","",IF($A13&lt;&gt;$A12,IFERROR(INDEX([1]FG_Begin_Inventory!$B:$B,MATCH($A13,[1]FG_Begin_Inventory!$A:$A,0)),0),J12))</f>
        <v>24246</v>
      </c>
      <c r="G13" s="61">
        <f t="shared" si="0"/>
        <v>11486</v>
      </c>
      <c r="H13" s="62">
        <f t="shared" si="1"/>
        <v>15000</v>
      </c>
      <c r="I13" s="62">
        <f t="shared" si="2"/>
        <v>15000</v>
      </c>
      <c r="J13" s="62">
        <f t="shared" si="3"/>
        <v>11486</v>
      </c>
      <c r="K13" s="62">
        <f t="shared" si="4"/>
        <v>0</v>
      </c>
      <c r="L13" s="62">
        <f t="shared" si="5"/>
        <v>11486</v>
      </c>
      <c r="M13" s="63">
        <f t="shared" si="6"/>
        <v>1</v>
      </c>
      <c r="N13" s="64"/>
    </row>
    <row r="14" spans="1:16" x14ac:dyDescent="0.3">
      <c r="A14" s="58" t="str">
        <v>A</v>
      </c>
      <c r="B14" s="59" t="str">
        <v>123AB</v>
      </c>
      <c r="C14" s="60">
        <v>46235</v>
      </c>
      <c r="D14" s="61">
        <v>15000</v>
      </c>
      <c r="E14" s="62">
        <v>26486</v>
      </c>
      <c r="F14" s="61">
        <f>IF($A14="","",IF($A14&lt;&gt;$A13,IFERROR(INDEX([1]FG_Begin_Inventory!$B:$B,MATCH($A14,[1]FG_Begin_Inventory!$A:$A,0)),0),J13))</f>
        <v>11486</v>
      </c>
      <c r="G14" s="61">
        <f t="shared" si="0"/>
        <v>0</v>
      </c>
      <c r="H14" s="62">
        <f t="shared" si="1"/>
        <v>15000</v>
      </c>
      <c r="I14" s="62">
        <f t="shared" si="2"/>
        <v>15000</v>
      </c>
      <c r="J14" s="62">
        <f t="shared" si="3"/>
        <v>0</v>
      </c>
      <c r="K14" s="62">
        <f t="shared" si="4"/>
        <v>0</v>
      </c>
      <c r="L14" s="62">
        <f t="shared" si="5"/>
        <v>0</v>
      </c>
      <c r="M14" s="63">
        <f t="shared" si="6"/>
        <v>1</v>
      </c>
      <c r="N14" s="64"/>
    </row>
    <row r="15" spans="1:16" x14ac:dyDescent="0.3">
      <c r="A15" s="58" t="str">
        <v>A</v>
      </c>
      <c r="B15" s="59" t="str">
        <v>123AB</v>
      </c>
      <c r="C15" s="60">
        <v>46242</v>
      </c>
      <c r="D15" s="61">
        <v>15000</v>
      </c>
      <c r="E15" s="62">
        <v>4248</v>
      </c>
      <c r="F15" s="61">
        <f>IF($A15="","",IF($A15&lt;&gt;$A14,IFERROR(INDEX([1]FG_Begin_Inventory!$B:$B,MATCH($A15,[1]FG_Begin_Inventory!$A:$A,0)),0),J14))</f>
        <v>0</v>
      </c>
      <c r="G15" s="61">
        <f t="shared" si="0"/>
        <v>0</v>
      </c>
      <c r="H15" s="62">
        <f t="shared" si="1"/>
        <v>4248</v>
      </c>
      <c r="I15" s="62">
        <f t="shared" si="2"/>
        <v>4248</v>
      </c>
      <c r="J15" s="62">
        <f t="shared" si="3"/>
        <v>0</v>
      </c>
      <c r="K15" s="62">
        <f t="shared" si="4"/>
        <v>0</v>
      </c>
      <c r="L15" s="62">
        <f t="shared" si="5"/>
        <v>0</v>
      </c>
      <c r="M15" s="63">
        <f t="shared" si="6"/>
        <v>0.28320000000000001</v>
      </c>
      <c r="N15" s="64"/>
    </row>
    <row r="16" spans="1:16" x14ac:dyDescent="0.3">
      <c r="A16" s="58" t="str">
        <v>A</v>
      </c>
      <c r="B16" s="59" t="str">
        <v>123AB</v>
      </c>
      <c r="C16" s="60">
        <v>46249</v>
      </c>
      <c r="D16" s="61">
        <v>15000</v>
      </c>
      <c r="E16" s="62">
        <v>4248</v>
      </c>
      <c r="F16" s="61">
        <f>IF($A16="","",IF($A16&lt;&gt;$A15,IFERROR(INDEX([1]FG_Begin_Inventory!$B:$B,MATCH($A16,[1]FG_Begin_Inventory!$A:$A,0)),0),J15))</f>
        <v>0</v>
      </c>
      <c r="G16" s="61">
        <f t="shared" si="0"/>
        <v>0</v>
      </c>
      <c r="H16" s="62">
        <f t="shared" si="1"/>
        <v>4248</v>
      </c>
      <c r="I16" s="62">
        <f t="shared" si="2"/>
        <v>4248</v>
      </c>
      <c r="J16" s="62">
        <f t="shared" si="3"/>
        <v>0</v>
      </c>
      <c r="K16" s="62">
        <f t="shared" si="4"/>
        <v>0</v>
      </c>
      <c r="L16" s="62">
        <f t="shared" si="5"/>
        <v>0</v>
      </c>
      <c r="M16" s="63">
        <f t="shared" si="6"/>
        <v>0.28320000000000001</v>
      </c>
      <c r="N16" s="64"/>
    </row>
    <row r="17" spans="1:14" x14ac:dyDescent="0.3">
      <c r="A17" s="58" t="str">
        <v>A</v>
      </c>
      <c r="B17" s="59" t="str">
        <v>123AB</v>
      </c>
      <c r="C17" s="60">
        <v>46256</v>
      </c>
      <c r="D17" s="61">
        <v>15000</v>
      </c>
      <c r="E17" s="62">
        <v>4249</v>
      </c>
      <c r="F17" s="61">
        <f>IF($A17="","",IF($A17&lt;&gt;$A16,IFERROR(INDEX([1]FG_Begin_Inventory!$B:$B,MATCH($A17,[1]FG_Begin_Inventory!$A:$A,0)),0),J16))</f>
        <v>0</v>
      </c>
      <c r="G17" s="61">
        <f t="shared" si="0"/>
        <v>0</v>
      </c>
      <c r="H17" s="62">
        <f t="shared" si="1"/>
        <v>4249</v>
      </c>
      <c r="I17" s="62">
        <f t="shared" si="2"/>
        <v>4249</v>
      </c>
      <c r="J17" s="62">
        <f t="shared" si="3"/>
        <v>0</v>
      </c>
      <c r="K17" s="62">
        <f t="shared" si="4"/>
        <v>0</v>
      </c>
      <c r="L17" s="62">
        <f t="shared" si="5"/>
        <v>0</v>
      </c>
      <c r="M17" s="63">
        <f t="shared" si="6"/>
        <v>0.28326666666666667</v>
      </c>
      <c r="N17" s="64"/>
    </row>
    <row r="18" spans="1:14" x14ac:dyDescent="0.3">
      <c r="A18" s="58" t="str">
        <v>A</v>
      </c>
      <c r="B18" s="59" t="str">
        <v>123AB</v>
      </c>
      <c r="C18" s="60">
        <v>46263</v>
      </c>
      <c r="D18" s="61">
        <v>15000</v>
      </c>
      <c r="E18" s="62">
        <v>4248</v>
      </c>
      <c r="F18" s="61">
        <f>IF($A18="","",IF($A18&lt;&gt;$A17,IFERROR(INDEX([1]FG_Begin_Inventory!$B:$B,MATCH($A18,[1]FG_Begin_Inventory!$A:$A,0)),0),J17))</f>
        <v>0</v>
      </c>
      <c r="G18" s="61">
        <f t="shared" si="0"/>
        <v>0</v>
      </c>
      <c r="H18" s="62">
        <f t="shared" si="1"/>
        <v>4248</v>
      </c>
      <c r="I18" s="62">
        <f t="shared" si="2"/>
        <v>4248</v>
      </c>
      <c r="J18" s="62">
        <f t="shared" si="3"/>
        <v>0</v>
      </c>
      <c r="K18" s="62">
        <f t="shared" si="4"/>
        <v>0</v>
      </c>
      <c r="L18" s="62">
        <f t="shared" si="5"/>
        <v>0</v>
      </c>
      <c r="M18" s="63">
        <f t="shared" si="6"/>
        <v>0.28320000000000001</v>
      </c>
      <c r="N18" s="64"/>
    </row>
    <row r="19" spans="1:14" x14ac:dyDescent="0.3">
      <c r="A19" s="58" t="str">
        <v>A</v>
      </c>
      <c r="B19" s="59" t="str">
        <v>123AB</v>
      </c>
      <c r="C19" s="60">
        <v>46270</v>
      </c>
      <c r="D19" s="61">
        <v>15000</v>
      </c>
      <c r="E19" s="62">
        <v>2391</v>
      </c>
      <c r="F19" s="61">
        <f>IF($A19="","",IF($A19&lt;&gt;$A18,IFERROR(INDEX([1]FG_Begin_Inventory!$B:$B,MATCH($A19,[1]FG_Begin_Inventory!$A:$A,0)),0),J18))</f>
        <v>0</v>
      </c>
      <c r="G19" s="61">
        <f t="shared" si="0"/>
        <v>0</v>
      </c>
      <c r="H19" s="62">
        <f t="shared" si="1"/>
        <v>2391</v>
      </c>
      <c r="I19" s="62">
        <f t="shared" si="2"/>
        <v>2391</v>
      </c>
      <c r="J19" s="62">
        <f t="shared" si="3"/>
        <v>0</v>
      </c>
      <c r="K19" s="62">
        <f t="shared" si="4"/>
        <v>0</v>
      </c>
      <c r="L19" s="62">
        <f t="shared" si="5"/>
        <v>0</v>
      </c>
      <c r="M19" s="63">
        <f t="shared" si="6"/>
        <v>0.15939999999999999</v>
      </c>
      <c r="N19" s="64"/>
    </row>
    <row r="20" spans="1:14" x14ac:dyDescent="0.3">
      <c r="A20" s="58" t="str">
        <v>A</v>
      </c>
      <c r="B20" s="59" t="str">
        <v>123AB</v>
      </c>
      <c r="C20" s="60">
        <v>46277</v>
      </c>
      <c r="D20" s="61">
        <v>15000</v>
      </c>
      <c r="E20" s="62">
        <v>2392</v>
      </c>
      <c r="F20" s="61">
        <f>IF($A20="","",IF($A20&lt;&gt;$A19,IFERROR(INDEX([1]FG_Begin_Inventory!$B:$B,MATCH($A20,[1]FG_Begin_Inventory!$A:$A,0)),0),J19))</f>
        <v>0</v>
      </c>
      <c r="G20" s="61">
        <f t="shared" si="0"/>
        <v>0</v>
      </c>
      <c r="H20" s="62">
        <f t="shared" si="1"/>
        <v>2392</v>
      </c>
      <c r="I20" s="62">
        <f t="shared" si="2"/>
        <v>2392</v>
      </c>
      <c r="J20" s="62">
        <f t="shared" si="3"/>
        <v>0</v>
      </c>
      <c r="K20" s="62">
        <f t="shared" si="4"/>
        <v>0</v>
      </c>
      <c r="L20" s="62">
        <f t="shared" si="5"/>
        <v>0</v>
      </c>
      <c r="M20" s="63">
        <f t="shared" si="6"/>
        <v>0.15946666666666667</v>
      </c>
      <c r="N20" s="64"/>
    </row>
    <row r="21" spans="1:14" x14ac:dyDescent="0.3">
      <c r="A21" s="58" t="str">
        <v>A</v>
      </c>
      <c r="B21" s="59" t="str">
        <v>123AB</v>
      </c>
      <c r="C21" s="60">
        <v>46284</v>
      </c>
      <c r="D21" s="61">
        <v>15000</v>
      </c>
      <c r="E21" s="62">
        <v>2391</v>
      </c>
      <c r="F21" s="61">
        <f>IF($A21="","",IF($A21&lt;&gt;$A20,IFERROR(INDEX([1]FG_Begin_Inventory!$B:$B,MATCH($A21,[1]FG_Begin_Inventory!$A:$A,0)),0),J20))</f>
        <v>0</v>
      </c>
      <c r="G21" s="61">
        <f t="shared" si="0"/>
        <v>0</v>
      </c>
      <c r="H21" s="62">
        <f t="shared" si="1"/>
        <v>2391</v>
      </c>
      <c r="I21" s="62">
        <f t="shared" si="2"/>
        <v>2391</v>
      </c>
      <c r="J21" s="62">
        <f t="shared" si="3"/>
        <v>0</v>
      </c>
      <c r="K21" s="62">
        <f t="shared" si="4"/>
        <v>0</v>
      </c>
      <c r="L21" s="62">
        <f t="shared" si="5"/>
        <v>0</v>
      </c>
      <c r="M21" s="63">
        <f t="shared" si="6"/>
        <v>0.15939999999999999</v>
      </c>
      <c r="N21" s="64"/>
    </row>
    <row r="22" spans="1:14" x14ac:dyDescent="0.3">
      <c r="A22" s="58" t="str">
        <v>A</v>
      </c>
      <c r="B22" s="59" t="str">
        <v>123AB</v>
      </c>
      <c r="C22" s="60">
        <v>46291</v>
      </c>
      <c r="D22" s="61">
        <v>15000</v>
      </c>
      <c r="E22" s="62">
        <v>2392</v>
      </c>
      <c r="F22" s="61">
        <f>IF($A22="","",IF($A22&lt;&gt;$A21,IFERROR(INDEX([1]FG_Begin_Inventory!$B:$B,MATCH($A22,[1]FG_Begin_Inventory!$A:$A,0)),0),J21))</f>
        <v>0</v>
      </c>
      <c r="G22" s="61">
        <f t="shared" si="0"/>
        <v>4067</v>
      </c>
      <c r="H22" s="62">
        <f t="shared" si="1"/>
        <v>6459</v>
      </c>
      <c r="I22" s="62">
        <f t="shared" si="2"/>
        <v>6459</v>
      </c>
      <c r="J22" s="62">
        <f t="shared" si="3"/>
        <v>4067</v>
      </c>
      <c r="K22" s="62">
        <f t="shared" si="4"/>
        <v>0</v>
      </c>
      <c r="L22" s="62">
        <f t="shared" si="5"/>
        <v>4067</v>
      </c>
      <c r="M22" s="63">
        <f t="shared" si="6"/>
        <v>0.43059999999999998</v>
      </c>
      <c r="N22" s="64"/>
    </row>
    <row r="23" spans="1:14" x14ac:dyDescent="0.3">
      <c r="A23" s="58" t="str">
        <v>A</v>
      </c>
      <c r="B23" s="59" t="str">
        <v>123AB</v>
      </c>
      <c r="C23" s="60">
        <v>46298</v>
      </c>
      <c r="D23" s="61">
        <v>15000</v>
      </c>
      <c r="E23" s="62">
        <v>16017</v>
      </c>
      <c r="F23" s="61">
        <f>IF($A23="","",IF($A23&lt;&gt;$A22,IFERROR(INDEX([1]FG_Begin_Inventory!$B:$B,MATCH($A23,[1]FG_Begin_Inventory!$A:$A,0)),0),J22))</f>
        <v>4067</v>
      </c>
      <c r="G23" s="61">
        <f t="shared" si="0"/>
        <v>3050</v>
      </c>
      <c r="H23" s="62">
        <f t="shared" si="1"/>
        <v>15000</v>
      </c>
      <c r="I23" s="62">
        <f t="shared" si="2"/>
        <v>15000</v>
      </c>
      <c r="J23" s="62">
        <f t="shared" si="3"/>
        <v>3050</v>
      </c>
      <c r="K23" s="62">
        <f t="shared" si="4"/>
        <v>0</v>
      </c>
      <c r="L23" s="62">
        <f t="shared" si="5"/>
        <v>3050</v>
      </c>
      <c r="M23" s="63">
        <f t="shared" si="6"/>
        <v>1</v>
      </c>
      <c r="N23" s="64"/>
    </row>
    <row r="24" spans="1:14" x14ac:dyDescent="0.3">
      <c r="A24" s="58" t="str">
        <v>A</v>
      </c>
      <c r="B24" s="59" t="str">
        <v>123AB</v>
      </c>
      <c r="C24" s="60">
        <v>46305</v>
      </c>
      <c r="D24" s="61">
        <v>15000</v>
      </c>
      <c r="E24" s="62">
        <v>16017</v>
      </c>
      <c r="F24" s="61">
        <f>IF($A24="","",IF($A24&lt;&gt;$A23,IFERROR(INDEX([1]FG_Begin_Inventory!$B:$B,MATCH($A24,[1]FG_Begin_Inventory!$A:$A,0)),0),J23))</f>
        <v>3050</v>
      </c>
      <c r="G24" s="61">
        <f t="shared" si="0"/>
        <v>2033</v>
      </c>
      <c r="H24" s="62">
        <f t="shared" si="1"/>
        <v>15000</v>
      </c>
      <c r="I24" s="62">
        <f t="shared" si="2"/>
        <v>15000</v>
      </c>
      <c r="J24" s="62">
        <f t="shared" si="3"/>
        <v>2033</v>
      </c>
      <c r="K24" s="62">
        <f t="shared" si="4"/>
        <v>0</v>
      </c>
      <c r="L24" s="62">
        <f t="shared" si="5"/>
        <v>2033</v>
      </c>
      <c r="M24" s="63">
        <f t="shared" si="6"/>
        <v>1</v>
      </c>
      <c r="N24" s="64"/>
    </row>
    <row r="25" spans="1:14" x14ac:dyDescent="0.3">
      <c r="A25" s="58" t="str">
        <v>A</v>
      </c>
      <c r="B25" s="59" t="str">
        <v>123AB</v>
      </c>
      <c r="C25" s="60">
        <v>46312</v>
      </c>
      <c r="D25" s="61">
        <v>15000</v>
      </c>
      <c r="E25" s="62">
        <v>16016</v>
      </c>
      <c r="F25" s="61">
        <f>IF($A25="","",IF($A25&lt;&gt;$A24,IFERROR(INDEX([1]FG_Begin_Inventory!$B:$B,MATCH($A25,[1]FG_Begin_Inventory!$A:$A,0)),0),J24))</f>
        <v>2033</v>
      </c>
      <c r="G25" s="61">
        <f t="shared" si="0"/>
        <v>1017</v>
      </c>
      <c r="H25" s="62">
        <f t="shared" si="1"/>
        <v>15000</v>
      </c>
      <c r="I25" s="62">
        <f t="shared" si="2"/>
        <v>15000</v>
      </c>
      <c r="J25" s="62">
        <f t="shared" si="3"/>
        <v>1017</v>
      </c>
      <c r="K25" s="62">
        <f t="shared" si="4"/>
        <v>0</v>
      </c>
      <c r="L25" s="62">
        <f t="shared" si="5"/>
        <v>1017</v>
      </c>
      <c r="M25" s="63">
        <f t="shared" si="6"/>
        <v>1</v>
      </c>
      <c r="N25" s="64"/>
    </row>
    <row r="26" spans="1:14" x14ac:dyDescent="0.3">
      <c r="A26" s="58" t="str">
        <v>A</v>
      </c>
      <c r="B26" s="59" t="str">
        <v>123AB</v>
      </c>
      <c r="C26" s="60">
        <v>46319</v>
      </c>
      <c r="D26" s="61">
        <v>15000</v>
      </c>
      <c r="E26" s="62">
        <v>16017</v>
      </c>
      <c r="F26" s="61">
        <f>IF($A26="","",IF($A26&lt;&gt;$A25,IFERROR(INDEX([1]FG_Begin_Inventory!$B:$B,MATCH($A26,[1]FG_Begin_Inventory!$A:$A,0)),0),J25))</f>
        <v>1017</v>
      </c>
      <c r="G26" s="61">
        <f t="shared" si="0"/>
        <v>0</v>
      </c>
      <c r="H26" s="62">
        <f t="shared" si="1"/>
        <v>15000</v>
      </c>
      <c r="I26" s="62">
        <f t="shared" si="2"/>
        <v>15000</v>
      </c>
      <c r="J26" s="62">
        <f t="shared" si="3"/>
        <v>0</v>
      </c>
      <c r="K26" s="62">
        <f t="shared" si="4"/>
        <v>0</v>
      </c>
      <c r="L26" s="62">
        <f t="shared" si="5"/>
        <v>0</v>
      </c>
      <c r="M26" s="63">
        <f t="shared" si="6"/>
        <v>1</v>
      </c>
      <c r="N26" s="64"/>
    </row>
    <row r="27" spans="1:14" x14ac:dyDescent="0.3">
      <c r="A27" s="58" t="str">
        <v>A</v>
      </c>
      <c r="B27" s="59" t="str">
        <v>123AB</v>
      </c>
      <c r="C27" s="60">
        <v>46326</v>
      </c>
      <c r="D27" s="61">
        <v>15000</v>
      </c>
      <c r="E27" s="62">
        <v>4281</v>
      </c>
      <c r="F27" s="61">
        <f>IF($A27="","",IF($A27&lt;&gt;$A26,IFERROR(INDEX([1]FG_Begin_Inventory!$B:$B,MATCH($A27,[1]FG_Begin_Inventory!$A:$A,0)),0),J26))</f>
        <v>0</v>
      </c>
      <c r="G27" s="61">
        <f t="shared" si="0"/>
        <v>0</v>
      </c>
      <c r="H27" s="62">
        <f t="shared" si="1"/>
        <v>4281</v>
      </c>
      <c r="I27" s="62">
        <f t="shared" si="2"/>
        <v>4281</v>
      </c>
      <c r="J27" s="62">
        <f t="shared" si="3"/>
        <v>0</v>
      </c>
      <c r="K27" s="62">
        <f t="shared" si="4"/>
        <v>0</v>
      </c>
      <c r="L27" s="62">
        <f t="shared" si="5"/>
        <v>0</v>
      </c>
      <c r="M27" s="63">
        <f t="shared" si="6"/>
        <v>0.28539999999999999</v>
      </c>
      <c r="N27" s="64"/>
    </row>
    <row r="28" spans="1:14" x14ac:dyDescent="0.3">
      <c r="A28" s="58" t="str">
        <v>A</v>
      </c>
      <c r="B28" s="59" t="str">
        <v>123AB</v>
      </c>
      <c r="C28" s="60">
        <v>46333</v>
      </c>
      <c r="D28" s="61">
        <v>15000</v>
      </c>
      <c r="E28" s="62">
        <v>4282</v>
      </c>
      <c r="F28" s="61">
        <f>IF($A28="","",IF($A28&lt;&gt;$A27,IFERROR(INDEX([1]FG_Begin_Inventory!$B:$B,MATCH($A28,[1]FG_Begin_Inventory!$A:$A,0)),0),J27))</f>
        <v>0</v>
      </c>
      <c r="G28" s="61">
        <f t="shared" si="0"/>
        <v>0</v>
      </c>
      <c r="H28" s="62">
        <f t="shared" si="1"/>
        <v>4282</v>
      </c>
      <c r="I28" s="62">
        <f t="shared" si="2"/>
        <v>4282</v>
      </c>
      <c r="J28" s="62">
        <f t="shared" si="3"/>
        <v>0</v>
      </c>
      <c r="K28" s="62">
        <f t="shared" si="4"/>
        <v>0</v>
      </c>
      <c r="L28" s="62">
        <f t="shared" si="5"/>
        <v>0</v>
      </c>
      <c r="M28" s="63">
        <f t="shared" si="6"/>
        <v>0.28546666666666665</v>
      </c>
      <c r="N28" s="64"/>
    </row>
    <row r="29" spans="1:14" x14ac:dyDescent="0.3">
      <c r="A29" s="58" t="str">
        <v>A</v>
      </c>
      <c r="B29" s="59" t="str">
        <v>123AB</v>
      </c>
      <c r="C29" s="60">
        <v>46340</v>
      </c>
      <c r="D29" s="61">
        <v>15000</v>
      </c>
      <c r="E29" s="62">
        <v>4281</v>
      </c>
      <c r="F29" s="61">
        <f>IF($A29="","",IF($A29&lt;&gt;$A28,IFERROR(INDEX([1]FG_Begin_Inventory!$B:$B,MATCH($A29,[1]FG_Begin_Inventory!$A:$A,0)),0),J28))</f>
        <v>0</v>
      </c>
      <c r="G29" s="61">
        <f t="shared" si="0"/>
        <v>0</v>
      </c>
      <c r="H29" s="62">
        <f t="shared" si="1"/>
        <v>4281</v>
      </c>
      <c r="I29" s="62">
        <f t="shared" si="2"/>
        <v>4281</v>
      </c>
      <c r="J29" s="62">
        <f t="shared" si="3"/>
        <v>0</v>
      </c>
      <c r="K29" s="62">
        <f t="shared" si="4"/>
        <v>0</v>
      </c>
      <c r="L29" s="62">
        <f t="shared" si="5"/>
        <v>0</v>
      </c>
      <c r="M29" s="63">
        <f t="shared" si="6"/>
        <v>0.28539999999999999</v>
      </c>
      <c r="N29" s="64"/>
    </row>
    <row r="30" spans="1:14" x14ac:dyDescent="0.3">
      <c r="A30" s="58" t="str">
        <v>A</v>
      </c>
      <c r="B30" s="59" t="str">
        <v>123AB</v>
      </c>
      <c r="C30" s="60">
        <v>46347</v>
      </c>
      <c r="D30" s="61">
        <v>15000</v>
      </c>
      <c r="E30" s="62">
        <v>4282</v>
      </c>
      <c r="F30" s="61">
        <f>IF($A30="","",IF($A30&lt;&gt;$A29,IFERROR(INDEX([1]FG_Begin_Inventory!$B:$B,MATCH($A30,[1]FG_Begin_Inventory!$A:$A,0)),0),J29))</f>
        <v>0</v>
      </c>
      <c r="G30" s="61">
        <f t="shared" si="0"/>
        <v>0</v>
      </c>
      <c r="H30" s="62">
        <f t="shared" si="1"/>
        <v>4282</v>
      </c>
      <c r="I30" s="62">
        <f t="shared" si="2"/>
        <v>4282</v>
      </c>
      <c r="J30" s="62">
        <f t="shared" si="3"/>
        <v>0</v>
      </c>
      <c r="K30" s="62">
        <f t="shared" si="4"/>
        <v>0</v>
      </c>
      <c r="L30" s="62">
        <f t="shared" si="5"/>
        <v>0</v>
      </c>
      <c r="M30" s="63">
        <f t="shared" si="6"/>
        <v>0.28546666666666665</v>
      </c>
      <c r="N30" s="64"/>
    </row>
    <row r="31" spans="1:14" x14ac:dyDescent="0.3">
      <c r="A31" s="58" t="str">
        <v>A</v>
      </c>
      <c r="B31" s="59" t="str">
        <v>123AB</v>
      </c>
      <c r="C31" s="60">
        <v>46354</v>
      </c>
      <c r="D31" s="61">
        <v>15000</v>
      </c>
      <c r="E31" s="62">
        <v>4281</v>
      </c>
      <c r="F31" s="61">
        <f>IF($A31="","",IF($A31&lt;&gt;$A30,IFERROR(INDEX([1]FG_Begin_Inventory!$B:$B,MATCH($A31,[1]FG_Begin_Inventory!$A:$A,0)),0),J30))</f>
        <v>0</v>
      </c>
      <c r="G31" s="61">
        <f t="shared" si="0"/>
        <v>0</v>
      </c>
      <c r="H31" s="62">
        <f t="shared" si="1"/>
        <v>4281</v>
      </c>
      <c r="I31" s="62">
        <f t="shared" si="2"/>
        <v>4281</v>
      </c>
      <c r="J31" s="62">
        <f t="shared" si="3"/>
        <v>0</v>
      </c>
      <c r="K31" s="62">
        <f t="shared" si="4"/>
        <v>0</v>
      </c>
      <c r="L31" s="62">
        <f t="shared" si="5"/>
        <v>0</v>
      </c>
      <c r="M31" s="63">
        <f t="shared" si="6"/>
        <v>0.28539999999999999</v>
      </c>
      <c r="N31" s="64"/>
    </row>
    <row r="32" spans="1:14" x14ac:dyDescent="0.3">
      <c r="A32" s="58" t="str">
        <v>A</v>
      </c>
      <c r="B32" s="59" t="str">
        <v>123AB</v>
      </c>
      <c r="C32" s="60">
        <v>46361</v>
      </c>
      <c r="D32" s="61">
        <v>15000</v>
      </c>
      <c r="E32" s="62">
        <v>8326</v>
      </c>
      <c r="F32" s="61">
        <f>IF($A32="","",IF($A32&lt;&gt;$A31,IFERROR(INDEX([1]FG_Begin_Inventory!$B:$B,MATCH($A32,[1]FG_Begin_Inventory!$A:$A,0)),0),J31))</f>
        <v>0</v>
      </c>
      <c r="G32" s="61">
        <f t="shared" si="0"/>
        <v>0</v>
      </c>
      <c r="H32" s="62">
        <f t="shared" si="1"/>
        <v>8326</v>
      </c>
      <c r="I32" s="62">
        <f t="shared" si="2"/>
        <v>8326</v>
      </c>
      <c r="J32" s="62">
        <f t="shared" si="3"/>
        <v>0</v>
      </c>
      <c r="K32" s="62">
        <f t="shared" si="4"/>
        <v>0</v>
      </c>
      <c r="L32" s="62">
        <f t="shared" si="5"/>
        <v>0</v>
      </c>
      <c r="M32" s="63">
        <f t="shared" si="6"/>
        <v>0.55506666666666671</v>
      </c>
      <c r="N32" s="64"/>
    </row>
    <row r="33" spans="1:14" x14ac:dyDescent="0.3">
      <c r="A33" s="58" t="str">
        <v>A</v>
      </c>
      <c r="B33" s="59" t="str">
        <v>123AB</v>
      </c>
      <c r="C33" s="60">
        <v>46368</v>
      </c>
      <c r="D33" s="61">
        <v>15000</v>
      </c>
      <c r="E33" s="62">
        <v>8325</v>
      </c>
      <c r="F33" s="61">
        <f>IF($A33="","",IF($A33&lt;&gt;$A32,IFERROR(INDEX([1]FG_Begin_Inventory!$B:$B,MATCH($A33,[1]FG_Begin_Inventory!$A:$A,0)),0),J32))</f>
        <v>0</v>
      </c>
      <c r="G33" s="61">
        <f t="shared" si="0"/>
        <v>0</v>
      </c>
      <c r="H33" s="62">
        <f t="shared" si="1"/>
        <v>8325</v>
      </c>
      <c r="I33" s="62">
        <f t="shared" si="2"/>
        <v>8325</v>
      </c>
      <c r="J33" s="62">
        <f t="shared" si="3"/>
        <v>0</v>
      </c>
      <c r="K33" s="62">
        <f t="shared" si="4"/>
        <v>0</v>
      </c>
      <c r="L33" s="62">
        <f t="shared" si="5"/>
        <v>0</v>
      </c>
      <c r="M33" s="63">
        <f t="shared" si="6"/>
        <v>0.55500000000000005</v>
      </c>
      <c r="N33" s="64"/>
    </row>
    <row r="34" spans="1:14" x14ac:dyDescent="0.3">
      <c r="A34" s="58" t="str">
        <v>B</v>
      </c>
      <c r="B34" s="59" t="str">
        <v>123AB</v>
      </c>
      <c r="C34" s="60">
        <v>46144</v>
      </c>
      <c r="D34" s="61">
        <v>15000</v>
      </c>
      <c r="E34" s="62">
        <v>5502</v>
      </c>
      <c r="F34" s="61">
        <f>IF($A34="","",IF($A34&lt;&gt;$A33,IFERROR(INDEX([1]FG_Begin_Inventory!$B:$B,MATCH($A34,[1]FG_Begin_Inventory!$A:$A,0)),0),J33))</f>
        <v>0</v>
      </c>
      <c r="G34" s="61">
        <f t="shared" ref="G34:G65" si="7">IF($A34="","",IF($A34&lt;&gt;$A35,0,MAX(0,G35+E35-D35)))</f>
        <v>658</v>
      </c>
      <c r="H34" s="62">
        <f t="shared" si="1"/>
        <v>6160</v>
      </c>
      <c r="I34" s="62">
        <f t="shared" si="2"/>
        <v>6160</v>
      </c>
      <c r="J34" s="62">
        <f t="shared" si="3"/>
        <v>658</v>
      </c>
      <c r="K34" s="62">
        <f t="shared" si="4"/>
        <v>0</v>
      </c>
      <c r="L34" s="62">
        <f t="shared" si="5"/>
        <v>658</v>
      </c>
      <c r="M34" s="63">
        <f t="shared" si="6"/>
        <v>0.41066666666666668</v>
      </c>
      <c r="N34" s="64"/>
    </row>
    <row r="35" spans="1:14" x14ac:dyDescent="0.3">
      <c r="A35" s="58" t="str">
        <v>B</v>
      </c>
      <c r="B35" s="59" t="str">
        <v>123AB</v>
      </c>
      <c r="C35" s="60">
        <v>46151</v>
      </c>
      <c r="D35" s="61">
        <v>15000</v>
      </c>
      <c r="E35" s="62">
        <v>15658</v>
      </c>
      <c r="F35" s="61">
        <f>IF($A35="","",IF($A35&lt;&gt;$A34,IFERROR(INDEX([1]FG_Begin_Inventory!$B:$B,MATCH($A35,[1]FG_Begin_Inventory!$A:$A,0)),0),J34))</f>
        <v>658</v>
      </c>
      <c r="G35" s="61">
        <f t="shared" si="7"/>
        <v>0</v>
      </c>
      <c r="H35" s="62">
        <f t="shared" si="1"/>
        <v>15000</v>
      </c>
      <c r="I35" s="62">
        <f t="shared" si="2"/>
        <v>15000</v>
      </c>
      <c r="J35" s="62">
        <f t="shared" si="3"/>
        <v>0</v>
      </c>
      <c r="K35" s="62">
        <f t="shared" si="4"/>
        <v>0</v>
      </c>
      <c r="L35" s="62">
        <f t="shared" si="5"/>
        <v>0</v>
      </c>
      <c r="M35" s="63">
        <f t="shared" si="6"/>
        <v>1</v>
      </c>
      <c r="N35" s="64"/>
    </row>
    <row r="36" spans="1:14" x14ac:dyDescent="0.3">
      <c r="A36" s="58" t="str">
        <v>B</v>
      </c>
      <c r="B36" s="59" t="str">
        <v>123AB</v>
      </c>
      <c r="C36" s="60">
        <v>46158</v>
      </c>
      <c r="D36" s="61">
        <v>15000</v>
      </c>
      <c r="E36" s="62">
        <v>8865</v>
      </c>
      <c r="F36" s="61">
        <f>IF($A36="","",IF($A36&lt;&gt;$A35,IFERROR(INDEX([1]FG_Begin_Inventory!$B:$B,MATCH($A36,[1]FG_Begin_Inventory!$A:$A,0)),0),J35))</f>
        <v>0</v>
      </c>
      <c r="G36" s="61">
        <f t="shared" si="7"/>
        <v>0</v>
      </c>
      <c r="H36" s="62">
        <f t="shared" si="1"/>
        <v>8865</v>
      </c>
      <c r="I36" s="62">
        <f t="shared" si="2"/>
        <v>8865</v>
      </c>
      <c r="J36" s="62">
        <f t="shared" si="3"/>
        <v>0</v>
      </c>
      <c r="K36" s="62">
        <f t="shared" si="4"/>
        <v>0</v>
      </c>
      <c r="L36" s="62">
        <f t="shared" si="5"/>
        <v>0</v>
      </c>
      <c r="M36" s="63">
        <f t="shared" si="6"/>
        <v>0.59099999999999997</v>
      </c>
      <c r="N36" s="64"/>
    </row>
    <row r="37" spans="1:14" x14ac:dyDescent="0.3">
      <c r="A37" s="58" t="str">
        <v>B</v>
      </c>
      <c r="B37" s="59" t="str">
        <v>123AB</v>
      </c>
      <c r="C37" s="60">
        <v>46165</v>
      </c>
      <c r="D37" s="61">
        <v>15000</v>
      </c>
      <c r="E37" s="62">
        <v>2146</v>
      </c>
      <c r="F37" s="61">
        <f>IF($A37="","",IF($A37&lt;&gt;$A36,IFERROR(INDEX([1]FG_Begin_Inventory!$B:$B,MATCH($A37,[1]FG_Begin_Inventory!$A:$A,0)),0),J36))</f>
        <v>0</v>
      </c>
      <c r="G37" s="61">
        <f t="shared" si="7"/>
        <v>0</v>
      </c>
      <c r="H37" s="62">
        <f t="shared" si="1"/>
        <v>2146</v>
      </c>
      <c r="I37" s="62">
        <f t="shared" si="2"/>
        <v>2146</v>
      </c>
      <c r="J37" s="62">
        <f t="shared" si="3"/>
        <v>0</v>
      </c>
      <c r="K37" s="62">
        <f t="shared" si="4"/>
        <v>0</v>
      </c>
      <c r="L37" s="62">
        <f t="shared" si="5"/>
        <v>0</v>
      </c>
      <c r="M37" s="63">
        <f t="shared" si="6"/>
        <v>0.14306666666666668</v>
      </c>
      <c r="N37" s="64"/>
    </row>
    <row r="38" spans="1:14" x14ac:dyDescent="0.3">
      <c r="A38" s="58" t="str">
        <v>B</v>
      </c>
      <c r="B38" s="59" t="str">
        <v>123AB</v>
      </c>
      <c r="C38" s="60">
        <v>46172</v>
      </c>
      <c r="D38" s="61">
        <v>15000</v>
      </c>
      <c r="E38" s="62">
        <v>7123</v>
      </c>
      <c r="F38" s="61">
        <f>IF($A38="","",IF($A38&lt;&gt;$A37,IFERROR(INDEX([1]FG_Begin_Inventory!$B:$B,MATCH($A38,[1]FG_Begin_Inventory!$A:$A,0)),0),J37))</f>
        <v>0</v>
      </c>
      <c r="G38" s="61">
        <f t="shared" si="7"/>
        <v>0</v>
      </c>
      <c r="H38" s="62">
        <f t="shared" si="1"/>
        <v>7123</v>
      </c>
      <c r="I38" s="62">
        <f t="shared" si="2"/>
        <v>7123</v>
      </c>
      <c r="J38" s="62">
        <f t="shared" si="3"/>
        <v>0</v>
      </c>
      <c r="K38" s="62">
        <f t="shared" si="4"/>
        <v>0</v>
      </c>
      <c r="L38" s="62">
        <f t="shared" si="5"/>
        <v>0</v>
      </c>
      <c r="M38" s="63">
        <f t="shared" si="6"/>
        <v>0.47486666666666666</v>
      </c>
      <c r="N38" s="64"/>
    </row>
    <row r="39" spans="1:14" x14ac:dyDescent="0.3">
      <c r="A39" s="58" t="str">
        <v>B</v>
      </c>
      <c r="B39" s="59" t="str">
        <v>123AB</v>
      </c>
      <c r="C39" s="60">
        <v>46179</v>
      </c>
      <c r="D39" s="61">
        <v>15000</v>
      </c>
      <c r="E39" s="62">
        <v>5309</v>
      </c>
      <c r="F39" s="61">
        <f>IF($A39="","",IF($A39&lt;&gt;$A38,IFERROR(INDEX([1]FG_Begin_Inventory!$B:$B,MATCH($A39,[1]FG_Begin_Inventory!$A:$A,0)),0),J38))</f>
        <v>0</v>
      </c>
      <c r="G39" s="61">
        <f t="shared" si="7"/>
        <v>0</v>
      </c>
      <c r="H39" s="62">
        <f t="shared" si="1"/>
        <v>5309</v>
      </c>
      <c r="I39" s="62">
        <f t="shared" si="2"/>
        <v>5309</v>
      </c>
      <c r="J39" s="62">
        <f t="shared" si="3"/>
        <v>0</v>
      </c>
      <c r="K39" s="62">
        <f t="shared" si="4"/>
        <v>0</v>
      </c>
      <c r="L39" s="62">
        <f t="shared" si="5"/>
        <v>0</v>
      </c>
      <c r="M39" s="63">
        <f t="shared" si="6"/>
        <v>0.35393333333333332</v>
      </c>
      <c r="N39" s="64"/>
    </row>
    <row r="40" spans="1:14" x14ac:dyDescent="0.3">
      <c r="A40" s="58" t="str">
        <v>B</v>
      </c>
      <c r="B40" s="59" t="str">
        <v>123AB</v>
      </c>
      <c r="C40" s="60">
        <v>46186</v>
      </c>
      <c r="D40" s="61">
        <v>15000</v>
      </c>
      <c r="E40" s="62">
        <v>5309</v>
      </c>
      <c r="F40" s="61">
        <f>IF($A40="","",IF($A40&lt;&gt;$A39,IFERROR(INDEX([1]FG_Begin_Inventory!$B:$B,MATCH($A40,[1]FG_Begin_Inventory!$A:$A,0)),0),J39))</f>
        <v>0</v>
      </c>
      <c r="G40" s="61">
        <f t="shared" si="7"/>
        <v>0</v>
      </c>
      <c r="H40" s="62">
        <f t="shared" si="1"/>
        <v>5309</v>
      </c>
      <c r="I40" s="62">
        <f t="shared" si="2"/>
        <v>5309</v>
      </c>
      <c r="J40" s="62">
        <f t="shared" si="3"/>
        <v>0</v>
      </c>
      <c r="K40" s="62">
        <f t="shared" si="4"/>
        <v>0</v>
      </c>
      <c r="L40" s="62">
        <f t="shared" si="5"/>
        <v>0</v>
      </c>
      <c r="M40" s="63">
        <f t="shared" si="6"/>
        <v>0.35393333333333332</v>
      </c>
      <c r="N40" s="64"/>
    </row>
    <row r="41" spans="1:14" x14ac:dyDescent="0.3">
      <c r="A41" s="58" t="str">
        <v>B</v>
      </c>
      <c r="B41" s="59" t="str">
        <v>123AB</v>
      </c>
      <c r="C41" s="60">
        <v>46193</v>
      </c>
      <c r="D41" s="61">
        <v>15000</v>
      </c>
      <c r="E41" s="62">
        <v>3000</v>
      </c>
      <c r="F41" s="61">
        <f>IF($A41="","",IF($A41&lt;&gt;$A40,IFERROR(INDEX([1]FG_Begin_Inventory!$B:$B,MATCH($A41,[1]FG_Begin_Inventory!$A:$A,0)),0),J40))</f>
        <v>0</v>
      </c>
      <c r="G41" s="61">
        <f t="shared" si="7"/>
        <v>0</v>
      </c>
      <c r="H41" s="62">
        <f t="shared" si="1"/>
        <v>3000</v>
      </c>
      <c r="I41" s="62">
        <f t="shared" si="2"/>
        <v>3000</v>
      </c>
      <c r="J41" s="62">
        <f t="shared" si="3"/>
        <v>0</v>
      </c>
      <c r="K41" s="62">
        <f t="shared" si="4"/>
        <v>0</v>
      </c>
      <c r="L41" s="62">
        <f t="shared" si="5"/>
        <v>0</v>
      </c>
      <c r="M41" s="63">
        <f t="shared" si="6"/>
        <v>0.2</v>
      </c>
      <c r="N41" s="64"/>
    </row>
    <row r="42" spans="1:14" x14ac:dyDescent="0.3">
      <c r="A42" s="58" t="str">
        <v>B</v>
      </c>
      <c r="B42" s="59" t="str">
        <v>123AB</v>
      </c>
      <c r="C42" s="60">
        <v>46200</v>
      </c>
      <c r="D42" s="61">
        <v>15000</v>
      </c>
      <c r="E42" s="62">
        <v>3000</v>
      </c>
      <c r="F42" s="61">
        <f>IF($A42="","",IF($A42&lt;&gt;$A41,IFERROR(INDEX([1]FG_Begin_Inventory!$B:$B,MATCH($A42,[1]FG_Begin_Inventory!$A:$A,0)),0),J41))</f>
        <v>0</v>
      </c>
      <c r="G42" s="61">
        <f t="shared" si="7"/>
        <v>0</v>
      </c>
      <c r="H42" s="62">
        <f t="shared" si="1"/>
        <v>3000</v>
      </c>
      <c r="I42" s="62">
        <f t="shared" si="2"/>
        <v>3000</v>
      </c>
      <c r="J42" s="62">
        <f t="shared" si="3"/>
        <v>0</v>
      </c>
      <c r="K42" s="62">
        <f t="shared" si="4"/>
        <v>0</v>
      </c>
      <c r="L42" s="62">
        <f t="shared" si="5"/>
        <v>0</v>
      </c>
      <c r="M42" s="63">
        <f t="shared" si="6"/>
        <v>0.2</v>
      </c>
      <c r="N42" s="64"/>
    </row>
    <row r="43" spans="1:14" x14ac:dyDescent="0.3">
      <c r="A43" s="58" t="str">
        <v>B</v>
      </c>
      <c r="B43" s="59" t="str">
        <v>123AB</v>
      </c>
      <c r="C43" s="60">
        <v>46207</v>
      </c>
      <c r="D43" s="61">
        <v>15000</v>
      </c>
      <c r="E43" s="62">
        <v>3000</v>
      </c>
      <c r="F43" s="61">
        <f>IF($A43="","",IF($A43&lt;&gt;$A42,IFERROR(INDEX([1]FG_Begin_Inventory!$B:$B,MATCH($A43,[1]FG_Begin_Inventory!$A:$A,0)),0),J42))</f>
        <v>0</v>
      </c>
      <c r="G43" s="61">
        <f t="shared" si="7"/>
        <v>0</v>
      </c>
      <c r="H43" s="62">
        <f t="shared" si="1"/>
        <v>3000</v>
      </c>
      <c r="I43" s="62">
        <f t="shared" si="2"/>
        <v>3000</v>
      </c>
      <c r="J43" s="62">
        <f t="shared" si="3"/>
        <v>0</v>
      </c>
      <c r="K43" s="62">
        <f t="shared" si="4"/>
        <v>0</v>
      </c>
      <c r="L43" s="62">
        <f t="shared" si="5"/>
        <v>0</v>
      </c>
      <c r="M43" s="63">
        <f t="shared" si="6"/>
        <v>0.2</v>
      </c>
      <c r="N43" s="64"/>
    </row>
    <row r="44" spans="1:14" x14ac:dyDescent="0.3">
      <c r="A44" s="58" t="str">
        <v>B</v>
      </c>
      <c r="B44" s="59" t="str">
        <v>123AB</v>
      </c>
      <c r="C44" s="60">
        <v>46214</v>
      </c>
      <c r="D44" s="61">
        <v>15000</v>
      </c>
      <c r="E44" s="62">
        <v>3000</v>
      </c>
      <c r="F44" s="61">
        <f>IF($A44="","",IF($A44&lt;&gt;$A43,IFERROR(INDEX([1]FG_Begin_Inventory!$B:$B,MATCH($A44,[1]FG_Begin_Inventory!$A:$A,0)),0),J43))</f>
        <v>0</v>
      </c>
      <c r="G44" s="61">
        <f t="shared" si="7"/>
        <v>0</v>
      </c>
      <c r="H44" s="62">
        <f t="shared" si="1"/>
        <v>3000</v>
      </c>
      <c r="I44" s="62">
        <f t="shared" si="2"/>
        <v>3000</v>
      </c>
      <c r="J44" s="62">
        <f t="shared" si="3"/>
        <v>0</v>
      </c>
      <c r="K44" s="62">
        <f t="shared" si="4"/>
        <v>0</v>
      </c>
      <c r="L44" s="62">
        <f t="shared" si="5"/>
        <v>0</v>
      </c>
      <c r="M44" s="63">
        <f t="shared" si="6"/>
        <v>0.2</v>
      </c>
      <c r="N44" s="64"/>
    </row>
    <row r="45" spans="1:14" x14ac:dyDescent="0.3">
      <c r="A45" s="58" t="str">
        <v>B</v>
      </c>
      <c r="B45" s="59" t="str">
        <v>123AB</v>
      </c>
      <c r="C45" s="60">
        <v>46221</v>
      </c>
      <c r="D45" s="61">
        <v>15000</v>
      </c>
      <c r="E45" s="62">
        <v>2400</v>
      </c>
      <c r="F45" s="61">
        <f>IF($A45="","",IF($A45&lt;&gt;$A44,IFERROR(INDEX([1]FG_Begin_Inventory!$B:$B,MATCH($A45,[1]FG_Begin_Inventory!$A:$A,0)),0),J44))</f>
        <v>0</v>
      </c>
      <c r="G45" s="61">
        <f t="shared" si="7"/>
        <v>0</v>
      </c>
      <c r="H45" s="62">
        <f t="shared" si="1"/>
        <v>2400</v>
      </c>
      <c r="I45" s="62">
        <f t="shared" si="2"/>
        <v>2400</v>
      </c>
      <c r="J45" s="62">
        <f t="shared" si="3"/>
        <v>0</v>
      </c>
      <c r="K45" s="62">
        <f t="shared" si="4"/>
        <v>0</v>
      </c>
      <c r="L45" s="62">
        <f t="shared" si="5"/>
        <v>0</v>
      </c>
      <c r="M45" s="63">
        <f t="shared" si="6"/>
        <v>0.16</v>
      </c>
      <c r="N45" s="64"/>
    </row>
    <row r="46" spans="1:14" x14ac:dyDescent="0.3">
      <c r="A46" s="58" t="str">
        <v>B</v>
      </c>
      <c r="B46" s="59" t="str">
        <v>123AB</v>
      </c>
      <c r="C46" s="60">
        <v>46228</v>
      </c>
      <c r="D46" s="61">
        <v>15000</v>
      </c>
      <c r="E46" s="62">
        <v>2400</v>
      </c>
      <c r="F46" s="61">
        <f>IF($A46="","",IF($A46&lt;&gt;$A45,IFERROR(INDEX([1]FG_Begin_Inventory!$B:$B,MATCH($A46,[1]FG_Begin_Inventory!$A:$A,0)),0),J45))</f>
        <v>0</v>
      </c>
      <c r="G46" s="61">
        <f t="shared" si="7"/>
        <v>0</v>
      </c>
      <c r="H46" s="62">
        <f t="shared" si="1"/>
        <v>2400</v>
      </c>
      <c r="I46" s="62">
        <f t="shared" si="2"/>
        <v>2400</v>
      </c>
      <c r="J46" s="62">
        <f t="shared" si="3"/>
        <v>0</v>
      </c>
      <c r="K46" s="62">
        <f t="shared" si="4"/>
        <v>0</v>
      </c>
      <c r="L46" s="62">
        <f t="shared" si="5"/>
        <v>0</v>
      </c>
      <c r="M46" s="63">
        <f t="shared" si="6"/>
        <v>0.16</v>
      </c>
      <c r="N46" s="64"/>
    </row>
    <row r="47" spans="1:14" x14ac:dyDescent="0.3">
      <c r="A47" s="58" t="str">
        <v>B</v>
      </c>
      <c r="B47" s="59" t="str">
        <v>123AB</v>
      </c>
      <c r="C47" s="60">
        <v>46242</v>
      </c>
      <c r="D47" s="61">
        <v>15000</v>
      </c>
      <c r="E47" s="62">
        <v>2400</v>
      </c>
      <c r="F47" s="61">
        <f>IF($A47="","",IF($A47&lt;&gt;$A46,IFERROR(INDEX([1]FG_Begin_Inventory!$B:$B,MATCH($A47,[1]FG_Begin_Inventory!$A:$A,0)),0),J46))</f>
        <v>0</v>
      </c>
      <c r="G47" s="61">
        <f t="shared" si="7"/>
        <v>0</v>
      </c>
      <c r="H47" s="62">
        <f t="shared" si="1"/>
        <v>2400</v>
      </c>
      <c r="I47" s="62">
        <f t="shared" si="2"/>
        <v>2400</v>
      </c>
      <c r="J47" s="62">
        <f t="shared" si="3"/>
        <v>0</v>
      </c>
      <c r="K47" s="62">
        <f t="shared" si="4"/>
        <v>0</v>
      </c>
      <c r="L47" s="62">
        <f t="shared" si="5"/>
        <v>0</v>
      </c>
      <c r="M47" s="63">
        <f t="shared" si="6"/>
        <v>0.16</v>
      </c>
      <c r="N47" s="64"/>
    </row>
    <row r="48" spans="1:14" x14ac:dyDescent="0.3">
      <c r="A48" s="58" t="str">
        <v>B</v>
      </c>
      <c r="B48" s="59" t="str">
        <v>123AB</v>
      </c>
      <c r="C48" s="60">
        <v>46249</v>
      </c>
      <c r="D48" s="61">
        <v>15000</v>
      </c>
      <c r="E48" s="62">
        <v>2400</v>
      </c>
      <c r="F48" s="61">
        <f>IF($A48="","",IF($A48&lt;&gt;$A47,IFERROR(INDEX([1]FG_Begin_Inventory!$B:$B,MATCH($A48,[1]FG_Begin_Inventory!$A:$A,0)),0),J47))</f>
        <v>0</v>
      </c>
      <c r="G48" s="61">
        <f t="shared" si="7"/>
        <v>0</v>
      </c>
      <c r="H48" s="62">
        <f t="shared" si="1"/>
        <v>2400</v>
      </c>
      <c r="I48" s="62">
        <f t="shared" si="2"/>
        <v>2400</v>
      </c>
      <c r="J48" s="62">
        <f t="shared" si="3"/>
        <v>0</v>
      </c>
      <c r="K48" s="62">
        <f t="shared" si="4"/>
        <v>0</v>
      </c>
      <c r="L48" s="62">
        <f t="shared" si="5"/>
        <v>0</v>
      </c>
      <c r="M48" s="63">
        <f t="shared" si="6"/>
        <v>0.16</v>
      </c>
      <c r="N48" s="64"/>
    </row>
    <row r="49" spans="1:14" x14ac:dyDescent="0.3">
      <c r="A49" s="58" t="str">
        <v>B</v>
      </c>
      <c r="B49" s="59" t="str">
        <v>123AB</v>
      </c>
      <c r="C49" s="60">
        <v>46256</v>
      </c>
      <c r="D49" s="61">
        <v>15000</v>
      </c>
      <c r="E49" s="62">
        <v>3750</v>
      </c>
      <c r="F49" s="61">
        <f>IF($A49="","",IF($A49&lt;&gt;$A48,IFERROR(INDEX([1]FG_Begin_Inventory!$B:$B,MATCH($A49,[1]FG_Begin_Inventory!$A:$A,0)),0),J48))</f>
        <v>0</v>
      </c>
      <c r="G49" s="61">
        <f t="shared" si="7"/>
        <v>0</v>
      </c>
      <c r="H49" s="62">
        <f t="shared" si="1"/>
        <v>3750</v>
      </c>
      <c r="I49" s="62">
        <f t="shared" si="2"/>
        <v>3750</v>
      </c>
      <c r="J49" s="62">
        <f t="shared" si="3"/>
        <v>0</v>
      </c>
      <c r="K49" s="62">
        <f t="shared" si="4"/>
        <v>0</v>
      </c>
      <c r="L49" s="62">
        <f t="shared" si="5"/>
        <v>0</v>
      </c>
      <c r="M49" s="63">
        <f t="shared" si="6"/>
        <v>0.25</v>
      </c>
      <c r="N49" s="64"/>
    </row>
    <row r="50" spans="1:14" x14ac:dyDescent="0.3">
      <c r="A50" s="58" t="str">
        <v>B</v>
      </c>
      <c r="B50" s="59" t="str">
        <v>123AB</v>
      </c>
      <c r="C50" s="60">
        <v>46263</v>
      </c>
      <c r="D50" s="61">
        <v>15000</v>
      </c>
      <c r="E50" s="62">
        <v>3750</v>
      </c>
      <c r="F50" s="61">
        <f>IF($A50="","",IF($A50&lt;&gt;$A49,IFERROR(INDEX([1]FG_Begin_Inventory!$B:$B,MATCH($A50,[1]FG_Begin_Inventory!$A:$A,0)),0),J49))</f>
        <v>0</v>
      </c>
      <c r="G50" s="61">
        <f t="shared" si="7"/>
        <v>0</v>
      </c>
      <c r="H50" s="62">
        <f t="shared" si="1"/>
        <v>3750</v>
      </c>
      <c r="I50" s="62">
        <f t="shared" si="2"/>
        <v>3750</v>
      </c>
      <c r="J50" s="62">
        <f t="shared" si="3"/>
        <v>0</v>
      </c>
      <c r="K50" s="62">
        <f t="shared" si="4"/>
        <v>0</v>
      </c>
      <c r="L50" s="62">
        <f t="shared" si="5"/>
        <v>0</v>
      </c>
      <c r="M50" s="63">
        <f t="shared" si="6"/>
        <v>0.25</v>
      </c>
      <c r="N50" s="64"/>
    </row>
    <row r="51" spans="1:14" x14ac:dyDescent="0.3">
      <c r="A51" s="58" t="str">
        <v>B</v>
      </c>
      <c r="B51" s="59" t="str">
        <v>123AB</v>
      </c>
      <c r="C51" s="60">
        <v>46270</v>
      </c>
      <c r="D51" s="61">
        <v>15000</v>
      </c>
      <c r="E51" s="62">
        <v>3750</v>
      </c>
      <c r="F51" s="61">
        <f>IF($A51="","",IF($A51&lt;&gt;$A50,IFERROR(INDEX([1]FG_Begin_Inventory!$B:$B,MATCH($A51,[1]FG_Begin_Inventory!$A:$A,0)),0),J50))</f>
        <v>0</v>
      </c>
      <c r="G51" s="61">
        <f t="shared" si="7"/>
        <v>0</v>
      </c>
      <c r="H51" s="62">
        <f t="shared" si="1"/>
        <v>3750</v>
      </c>
      <c r="I51" s="62">
        <f t="shared" si="2"/>
        <v>3750</v>
      </c>
      <c r="J51" s="62">
        <f t="shared" si="3"/>
        <v>0</v>
      </c>
      <c r="K51" s="62">
        <f t="shared" si="4"/>
        <v>0</v>
      </c>
      <c r="L51" s="62">
        <f t="shared" si="5"/>
        <v>0</v>
      </c>
      <c r="M51" s="63">
        <f t="shared" si="6"/>
        <v>0.25</v>
      </c>
      <c r="N51" s="64"/>
    </row>
    <row r="52" spans="1:14" x14ac:dyDescent="0.3">
      <c r="A52" s="58" t="str">
        <v>B</v>
      </c>
      <c r="B52" s="59" t="str">
        <v>123AB</v>
      </c>
      <c r="C52" s="60">
        <v>46277</v>
      </c>
      <c r="D52" s="61">
        <v>15000</v>
      </c>
      <c r="E52" s="62">
        <v>3750</v>
      </c>
      <c r="F52" s="61">
        <f>IF($A52="","",IF($A52&lt;&gt;$A51,IFERROR(INDEX([1]FG_Begin_Inventory!$B:$B,MATCH($A52,[1]FG_Begin_Inventory!$A:$A,0)),0),J51))</f>
        <v>0</v>
      </c>
      <c r="G52" s="61">
        <f t="shared" si="7"/>
        <v>0</v>
      </c>
      <c r="H52" s="62">
        <f t="shared" si="1"/>
        <v>3750</v>
      </c>
      <c r="I52" s="62">
        <f t="shared" si="2"/>
        <v>3750</v>
      </c>
      <c r="J52" s="62">
        <f t="shared" si="3"/>
        <v>0</v>
      </c>
      <c r="K52" s="62">
        <f t="shared" si="4"/>
        <v>0</v>
      </c>
      <c r="L52" s="62">
        <f t="shared" si="5"/>
        <v>0</v>
      </c>
      <c r="M52" s="63">
        <f t="shared" si="6"/>
        <v>0.25</v>
      </c>
      <c r="N52" s="64"/>
    </row>
    <row r="53" spans="1:14" x14ac:dyDescent="0.3">
      <c r="A53" s="58" t="str">
        <v>B</v>
      </c>
      <c r="B53" s="59" t="str">
        <v>123AB</v>
      </c>
      <c r="C53" s="60">
        <v>46284</v>
      </c>
      <c r="D53" s="61">
        <v>15000</v>
      </c>
      <c r="E53" s="62">
        <v>3000</v>
      </c>
      <c r="F53" s="61">
        <f>IF($A53="","",IF($A53&lt;&gt;$A52,IFERROR(INDEX([1]FG_Begin_Inventory!$B:$B,MATCH($A53,[1]FG_Begin_Inventory!$A:$A,0)),0),J52))</f>
        <v>0</v>
      </c>
      <c r="G53" s="61">
        <f t="shared" si="7"/>
        <v>0</v>
      </c>
      <c r="H53" s="62">
        <f t="shared" si="1"/>
        <v>3000</v>
      </c>
      <c r="I53" s="62">
        <f t="shared" si="2"/>
        <v>3000</v>
      </c>
      <c r="J53" s="62">
        <f t="shared" si="3"/>
        <v>0</v>
      </c>
      <c r="K53" s="62">
        <f t="shared" si="4"/>
        <v>0</v>
      </c>
      <c r="L53" s="62">
        <f t="shared" si="5"/>
        <v>0</v>
      </c>
      <c r="M53" s="63">
        <f t="shared" si="6"/>
        <v>0.2</v>
      </c>
      <c r="N53" s="64"/>
    </row>
    <row r="54" spans="1:14" x14ac:dyDescent="0.3">
      <c r="A54" s="58" t="str">
        <v>B</v>
      </c>
      <c r="B54" s="59" t="str">
        <v>123AB</v>
      </c>
      <c r="C54" s="60">
        <v>46291</v>
      </c>
      <c r="D54" s="61">
        <v>15000</v>
      </c>
      <c r="E54" s="62">
        <v>3000</v>
      </c>
      <c r="F54" s="61">
        <f>IF($A54="","",IF($A54&lt;&gt;$A53,IFERROR(INDEX([1]FG_Begin_Inventory!$B:$B,MATCH($A54,[1]FG_Begin_Inventory!$A:$A,0)),0),J53))</f>
        <v>0</v>
      </c>
      <c r="G54" s="61">
        <f t="shared" si="7"/>
        <v>0</v>
      </c>
      <c r="H54" s="62">
        <f t="shared" si="1"/>
        <v>3000</v>
      </c>
      <c r="I54" s="62">
        <f t="shared" si="2"/>
        <v>3000</v>
      </c>
      <c r="J54" s="62">
        <f t="shared" si="3"/>
        <v>0</v>
      </c>
      <c r="K54" s="62">
        <f t="shared" si="4"/>
        <v>0</v>
      </c>
      <c r="L54" s="62">
        <f t="shared" si="5"/>
        <v>0</v>
      </c>
      <c r="M54" s="63">
        <f t="shared" si="6"/>
        <v>0.2</v>
      </c>
      <c r="N54" s="64"/>
    </row>
    <row r="55" spans="1:14" x14ac:dyDescent="0.3">
      <c r="A55" s="58" t="str">
        <v>B</v>
      </c>
      <c r="B55" s="59" t="str">
        <v>123AB</v>
      </c>
      <c r="C55" s="60">
        <v>46298</v>
      </c>
      <c r="D55" s="61">
        <v>15000</v>
      </c>
      <c r="E55" s="62">
        <v>3000</v>
      </c>
      <c r="F55" s="61">
        <f>IF($A55="","",IF($A55&lt;&gt;$A54,IFERROR(INDEX([1]FG_Begin_Inventory!$B:$B,MATCH($A55,[1]FG_Begin_Inventory!$A:$A,0)),0),J54))</f>
        <v>0</v>
      </c>
      <c r="G55" s="61">
        <f t="shared" si="7"/>
        <v>0</v>
      </c>
      <c r="H55" s="62">
        <f t="shared" si="1"/>
        <v>3000</v>
      </c>
      <c r="I55" s="62">
        <f t="shared" si="2"/>
        <v>3000</v>
      </c>
      <c r="J55" s="62">
        <f t="shared" si="3"/>
        <v>0</v>
      </c>
      <c r="K55" s="62">
        <f t="shared" si="4"/>
        <v>0</v>
      </c>
      <c r="L55" s="62">
        <f t="shared" si="5"/>
        <v>0</v>
      </c>
      <c r="M55" s="63">
        <f t="shared" si="6"/>
        <v>0.2</v>
      </c>
      <c r="N55" s="64"/>
    </row>
    <row r="56" spans="1:14" x14ac:dyDescent="0.3">
      <c r="A56" s="58" t="str">
        <v>B</v>
      </c>
      <c r="B56" s="59" t="str">
        <v>123AB</v>
      </c>
      <c r="C56" s="60">
        <v>46305</v>
      </c>
      <c r="D56" s="61">
        <v>15000</v>
      </c>
      <c r="E56" s="62">
        <v>3000</v>
      </c>
      <c r="F56" s="61">
        <f>IF($A56="","",IF($A56&lt;&gt;$A55,IFERROR(INDEX([1]FG_Begin_Inventory!$B:$B,MATCH($A56,[1]FG_Begin_Inventory!$A:$A,0)),0),J55))</f>
        <v>0</v>
      </c>
      <c r="G56" s="61">
        <f t="shared" si="7"/>
        <v>0</v>
      </c>
      <c r="H56" s="62">
        <f t="shared" si="1"/>
        <v>3000</v>
      </c>
      <c r="I56" s="62">
        <f t="shared" si="2"/>
        <v>3000</v>
      </c>
      <c r="J56" s="62">
        <f t="shared" si="3"/>
        <v>0</v>
      </c>
      <c r="K56" s="62">
        <f t="shared" si="4"/>
        <v>0</v>
      </c>
      <c r="L56" s="62">
        <f t="shared" si="5"/>
        <v>0</v>
      </c>
      <c r="M56" s="63">
        <f t="shared" si="6"/>
        <v>0.2</v>
      </c>
      <c r="N56" s="64"/>
    </row>
    <row r="57" spans="1:14" x14ac:dyDescent="0.3">
      <c r="A57" s="58" t="str">
        <v>B</v>
      </c>
      <c r="B57" s="59" t="str">
        <v>123AB</v>
      </c>
      <c r="C57" s="60">
        <v>46312</v>
      </c>
      <c r="D57" s="61">
        <v>15000</v>
      </c>
      <c r="E57" s="62">
        <v>3000</v>
      </c>
      <c r="F57" s="61">
        <f>IF($A57="","",IF($A57&lt;&gt;$A56,IFERROR(INDEX([1]FG_Begin_Inventory!$B:$B,MATCH($A57,[1]FG_Begin_Inventory!$A:$A,0)),0),J56))</f>
        <v>0</v>
      </c>
      <c r="G57" s="61">
        <f t="shared" si="7"/>
        <v>0</v>
      </c>
      <c r="H57" s="62">
        <f t="shared" si="1"/>
        <v>3000</v>
      </c>
      <c r="I57" s="62">
        <f t="shared" si="2"/>
        <v>3000</v>
      </c>
      <c r="J57" s="62">
        <f t="shared" si="3"/>
        <v>0</v>
      </c>
      <c r="K57" s="62">
        <f t="shared" si="4"/>
        <v>0</v>
      </c>
      <c r="L57" s="62">
        <f t="shared" si="5"/>
        <v>0</v>
      </c>
      <c r="M57" s="63">
        <f t="shared" si="6"/>
        <v>0.2</v>
      </c>
      <c r="N57" s="64"/>
    </row>
    <row r="58" spans="1:14" x14ac:dyDescent="0.3">
      <c r="A58" s="58" t="str">
        <v>B</v>
      </c>
      <c r="B58" s="59" t="str">
        <v>123AB</v>
      </c>
      <c r="C58" s="60">
        <v>46319</v>
      </c>
      <c r="D58" s="61">
        <v>15000</v>
      </c>
      <c r="E58" s="62">
        <v>6250</v>
      </c>
      <c r="F58" s="61">
        <f>IF($A58="","",IF($A58&lt;&gt;$A57,IFERROR(INDEX([1]FG_Begin_Inventory!$B:$B,MATCH($A58,[1]FG_Begin_Inventory!$A:$A,0)),0),J57))</f>
        <v>0</v>
      </c>
      <c r="G58" s="61">
        <f t="shared" si="7"/>
        <v>0</v>
      </c>
      <c r="H58" s="62">
        <f t="shared" si="1"/>
        <v>6250</v>
      </c>
      <c r="I58" s="62">
        <f t="shared" si="2"/>
        <v>6250</v>
      </c>
      <c r="J58" s="62">
        <f t="shared" si="3"/>
        <v>0</v>
      </c>
      <c r="K58" s="62">
        <f t="shared" si="4"/>
        <v>0</v>
      </c>
      <c r="L58" s="62">
        <f t="shared" si="5"/>
        <v>0</v>
      </c>
      <c r="M58" s="63">
        <f t="shared" si="6"/>
        <v>0.41666666666666669</v>
      </c>
      <c r="N58" s="64"/>
    </row>
    <row r="59" spans="1:14" x14ac:dyDescent="0.3">
      <c r="A59" s="58" t="str">
        <v>B</v>
      </c>
      <c r="B59" s="59" t="str">
        <v>123AB</v>
      </c>
      <c r="C59" s="60">
        <v>46326</v>
      </c>
      <c r="D59" s="61">
        <v>15000</v>
      </c>
      <c r="E59" s="62">
        <v>6250</v>
      </c>
      <c r="F59" s="61">
        <f>IF($A59="","",IF($A59&lt;&gt;$A58,IFERROR(INDEX([1]FG_Begin_Inventory!$B:$B,MATCH($A59,[1]FG_Begin_Inventory!$A:$A,0)),0),J58))</f>
        <v>0</v>
      </c>
      <c r="G59" s="61">
        <f t="shared" si="7"/>
        <v>0</v>
      </c>
      <c r="H59" s="62">
        <f t="shared" si="1"/>
        <v>6250</v>
      </c>
      <c r="I59" s="62">
        <f t="shared" si="2"/>
        <v>6250</v>
      </c>
      <c r="J59" s="62">
        <f t="shared" si="3"/>
        <v>0</v>
      </c>
      <c r="K59" s="62">
        <f t="shared" si="4"/>
        <v>0</v>
      </c>
      <c r="L59" s="62">
        <f t="shared" si="5"/>
        <v>0</v>
      </c>
      <c r="M59" s="63">
        <f t="shared" si="6"/>
        <v>0.41666666666666669</v>
      </c>
      <c r="N59" s="64"/>
    </row>
    <row r="60" spans="1:14" x14ac:dyDescent="0.3">
      <c r="A60" s="58" t="str">
        <v>B</v>
      </c>
      <c r="B60" s="59" t="str">
        <v>123AB</v>
      </c>
      <c r="C60" s="60">
        <v>46333</v>
      </c>
      <c r="D60" s="61">
        <v>15000</v>
      </c>
      <c r="E60" s="62">
        <v>6250</v>
      </c>
      <c r="F60" s="61">
        <f>IF($A60="","",IF($A60&lt;&gt;$A59,IFERROR(INDEX([1]FG_Begin_Inventory!$B:$B,MATCH($A60,[1]FG_Begin_Inventory!$A:$A,0)),0),J59))</f>
        <v>0</v>
      </c>
      <c r="G60" s="61">
        <f t="shared" si="7"/>
        <v>0</v>
      </c>
      <c r="H60" s="62">
        <f t="shared" si="1"/>
        <v>6250</v>
      </c>
      <c r="I60" s="62">
        <f t="shared" si="2"/>
        <v>6250</v>
      </c>
      <c r="J60" s="62">
        <f t="shared" si="3"/>
        <v>0</v>
      </c>
      <c r="K60" s="62">
        <f t="shared" si="4"/>
        <v>0</v>
      </c>
      <c r="L60" s="62">
        <f t="shared" si="5"/>
        <v>0</v>
      </c>
      <c r="M60" s="63">
        <f t="shared" si="6"/>
        <v>0.41666666666666669</v>
      </c>
      <c r="N60" s="64"/>
    </row>
    <row r="61" spans="1:14" x14ac:dyDescent="0.3">
      <c r="A61" s="58" t="str">
        <v>B</v>
      </c>
      <c r="B61" s="59" t="str">
        <v>123AB</v>
      </c>
      <c r="C61" s="60">
        <v>46340</v>
      </c>
      <c r="D61" s="61">
        <v>15000</v>
      </c>
      <c r="E61" s="62">
        <v>6250</v>
      </c>
      <c r="F61" s="61">
        <f>IF($A61="","",IF($A61&lt;&gt;$A60,IFERROR(INDEX([1]FG_Begin_Inventory!$B:$B,MATCH($A61,[1]FG_Begin_Inventory!$A:$A,0)),0),J60))</f>
        <v>0</v>
      </c>
      <c r="G61" s="61">
        <f t="shared" si="7"/>
        <v>0</v>
      </c>
      <c r="H61" s="62">
        <f t="shared" si="1"/>
        <v>6250</v>
      </c>
      <c r="I61" s="62">
        <f t="shared" si="2"/>
        <v>6250</v>
      </c>
      <c r="J61" s="62">
        <f t="shared" si="3"/>
        <v>0</v>
      </c>
      <c r="K61" s="62">
        <f t="shared" si="4"/>
        <v>0</v>
      </c>
      <c r="L61" s="62">
        <f t="shared" si="5"/>
        <v>0</v>
      </c>
      <c r="M61" s="63">
        <f t="shared" si="6"/>
        <v>0.41666666666666669</v>
      </c>
      <c r="N61" s="64"/>
    </row>
    <row r="62" spans="1:14" x14ac:dyDescent="0.3">
      <c r="A62" s="58" t="str">
        <v>B</v>
      </c>
      <c r="B62" s="59" t="str">
        <v>123AB</v>
      </c>
      <c r="C62" s="60">
        <v>46347</v>
      </c>
      <c r="D62" s="61">
        <v>15000</v>
      </c>
      <c r="E62" s="62">
        <v>6250</v>
      </c>
      <c r="F62" s="61">
        <f>IF($A62="","",IF($A62&lt;&gt;$A61,IFERROR(INDEX([1]FG_Begin_Inventory!$B:$B,MATCH($A62,[1]FG_Begin_Inventory!$A:$A,0)),0),J61))</f>
        <v>0</v>
      </c>
      <c r="G62" s="61">
        <f t="shared" si="7"/>
        <v>0</v>
      </c>
      <c r="H62" s="62">
        <f t="shared" si="1"/>
        <v>6250</v>
      </c>
      <c r="I62" s="62">
        <f t="shared" si="2"/>
        <v>6250</v>
      </c>
      <c r="J62" s="62">
        <f t="shared" si="3"/>
        <v>0</v>
      </c>
      <c r="K62" s="62">
        <f t="shared" si="4"/>
        <v>0</v>
      </c>
      <c r="L62" s="62">
        <f t="shared" si="5"/>
        <v>0</v>
      </c>
      <c r="M62" s="63">
        <f t="shared" si="6"/>
        <v>0.41666666666666669</v>
      </c>
      <c r="N62" s="64"/>
    </row>
    <row r="63" spans="1:14" x14ac:dyDescent="0.3">
      <c r="A63" s="58" t="str">
        <v>B</v>
      </c>
      <c r="B63" s="59" t="str">
        <v>123AB</v>
      </c>
      <c r="C63" s="60">
        <v>46354</v>
      </c>
      <c r="D63" s="61">
        <v>15000</v>
      </c>
      <c r="E63" s="62">
        <v>6250</v>
      </c>
      <c r="F63" s="61">
        <f>IF($A63="","",IF($A63&lt;&gt;$A62,IFERROR(INDEX([1]FG_Begin_Inventory!$B:$B,MATCH($A63,[1]FG_Begin_Inventory!$A:$A,0)),0),J62))</f>
        <v>0</v>
      </c>
      <c r="G63" s="61">
        <f t="shared" si="7"/>
        <v>0</v>
      </c>
      <c r="H63" s="62">
        <f t="shared" si="1"/>
        <v>6250</v>
      </c>
      <c r="I63" s="62">
        <f t="shared" si="2"/>
        <v>6250</v>
      </c>
      <c r="J63" s="62">
        <f t="shared" si="3"/>
        <v>0</v>
      </c>
      <c r="K63" s="62">
        <f t="shared" si="4"/>
        <v>0</v>
      </c>
      <c r="L63" s="62">
        <f t="shared" si="5"/>
        <v>0</v>
      </c>
      <c r="M63" s="63">
        <f t="shared" si="6"/>
        <v>0.41666666666666669</v>
      </c>
      <c r="N63" s="64"/>
    </row>
    <row r="64" spans="1:14" x14ac:dyDescent="0.3">
      <c r="A64" s="58" t="str">
        <v>B</v>
      </c>
      <c r="B64" s="59" t="str">
        <v>123AB</v>
      </c>
      <c r="C64" s="60">
        <v>46361</v>
      </c>
      <c r="D64" s="61">
        <v>15000</v>
      </c>
      <c r="E64" s="62">
        <v>6250</v>
      </c>
      <c r="F64" s="61">
        <f>IF($A64="","",IF($A64&lt;&gt;$A63,IFERROR(INDEX([1]FG_Begin_Inventory!$B:$B,MATCH($A64,[1]FG_Begin_Inventory!$A:$A,0)),0),J63))</f>
        <v>0</v>
      </c>
      <c r="G64" s="61">
        <f t="shared" si="7"/>
        <v>0</v>
      </c>
      <c r="H64" s="62">
        <f t="shared" si="1"/>
        <v>6250</v>
      </c>
      <c r="I64" s="62">
        <f t="shared" si="2"/>
        <v>6250</v>
      </c>
      <c r="J64" s="62">
        <f t="shared" si="3"/>
        <v>0</v>
      </c>
      <c r="K64" s="62">
        <f t="shared" si="4"/>
        <v>0</v>
      </c>
      <c r="L64" s="62">
        <f t="shared" si="5"/>
        <v>0</v>
      </c>
      <c r="M64" s="63">
        <f t="shared" si="6"/>
        <v>0.41666666666666669</v>
      </c>
      <c r="N64" s="64"/>
    </row>
    <row r="65" spans="1:14" x14ac:dyDescent="0.3">
      <c r="A65" s="58" t="str">
        <v>B</v>
      </c>
      <c r="B65" s="59" t="str">
        <v>123AB</v>
      </c>
      <c r="C65" s="60">
        <v>46368</v>
      </c>
      <c r="D65" s="61">
        <v>15000</v>
      </c>
      <c r="E65" s="62">
        <v>6250</v>
      </c>
      <c r="F65" s="61">
        <f>IF($A65="","",IF($A65&lt;&gt;$A64,IFERROR(INDEX([1]FG_Begin_Inventory!$B:$B,MATCH($A65,[1]FG_Begin_Inventory!$A:$A,0)),0),J64))</f>
        <v>0</v>
      </c>
      <c r="G65" s="61">
        <f t="shared" si="7"/>
        <v>0</v>
      </c>
      <c r="H65" s="62">
        <f t="shared" si="1"/>
        <v>6250</v>
      </c>
      <c r="I65" s="62">
        <f t="shared" si="2"/>
        <v>6250</v>
      </c>
      <c r="J65" s="62">
        <f t="shared" si="3"/>
        <v>0</v>
      </c>
      <c r="K65" s="62">
        <f t="shared" si="4"/>
        <v>0</v>
      </c>
      <c r="L65" s="62">
        <f t="shared" si="5"/>
        <v>0</v>
      </c>
      <c r="M65" s="63">
        <f t="shared" si="6"/>
        <v>0.41666666666666669</v>
      </c>
      <c r="N65" s="64"/>
    </row>
    <row r="66" spans="1:14" x14ac:dyDescent="0.3">
      <c r="A66" s="58" t="str">
        <v>C</v>
      </c>
      <c r="B66" s="59" t="str">
        <v>456CD</v>
      </c>
      <c r="C66" s="60">
        <v>46144</v>
      </c>
      <c r="D66" s="61">
        <v>5000</v>
      </c>
      <c r="E66" s="62">
        <v>4320</v>
      </c>
      <c r="F66" s="61">
        <f>IF($A66="","",IF($A66&lt;&gt;$A65,IFERROR(INDEX([1]FG_Begin_Inventory!$B:$B,MATCH($A66,[1]FG_Begin_Inventory!$A:$A,0)),0),J65))</f>
        <v>0</v>
      </c>
      <c r="G66" s="61">
        <f t="shared" ref="G66:G97" si="8">IF($A66="","",IF($A66&lt;&gt;$A67,0,MAX(0,G67+E67-D67)))</f>
        <v>21855</v>
      </c>
      <c r="H66" s="62">
        <f t="shared" ref="H66:H129" si="9">IF($A66="","",MAX(0,E66+G66-F66))</f>
        <v>26175</v>
      </c>
      <c r="I66" s="62">
        <f t="shared" ref="I66:I129" si="10">IF($A66="","",MIN(D66,H66))</f>
        <v>5000</v>
      </c>
      <c r="J66" s="62">
        <f t="shared" ref="J66:J129" si="11">IF($A66="","",MAX(0,F66+I66-E66))</f>
        <v>680</v>
      </c>
      <c r="K66" s="62">
        <f t="shared" ref="K66:K129" si="12">IF($A66="","",MAX(0,E66-F66-I66))</f>
        <v>0</v>
      </c>
      <c r="L66" s="62">
        <f t="shared" ref="L66:L129" si="13">IF($A66="","",MAX(0,F66+I66-E66))</f>
        <v>680</v>
      </c>
      <c r="M66" s="63">
        <f t="shared" ref="M66:M129" si="14">IF($A66="","",IFERROR(I66/D66,0))</f>
        <v>1</v>
      </c>
      <c r="N66" s="64"/>
    </row>
    <row r="67" spans="1:14" x14ac:dyDescent="0.3">
      <c r="A67" s="58" t="str">
        <v>C</v>
      </c>
      <c r="B67" s="59" t="str">
        <v>456CD</v>
      </c>
      <c r="C67" s="60">
        <v>46151</v>
      </c>
      <c r="D67" s="61">
        <v>5000</v>
      </c>
      <c r="E67" s="62">
        <v>8370</v>
      </c>
      <c r="F67" s="61">
        <f>IF($A67="","",IF($A67&lt;&gt;$A66,IFERROR(INDEX([1]FG_Begin_Inventory!$B:$B,MATCH($A67,[1]FG_Begin_Inventory!$A:$A,0)),0),J66))</f>
        <v>680</v>
      </c>
      <c r="G67" s="61">
        <f t="shared" si="8"/>
        <v>18485</v>
      </c>
      <c r="H67" s="62">
        <f t="shared" si="9"/>
        <v>26175</v>
      </c>
      <c r="I67" s="62">
        <f t="shared" si="10"/>
        <v>5000</v>
      </c>
      <c r="J67" s="62">
        <f t="shared" si="11"/>
        <v>0</v>
      </c>
      <c r="K67" s="62">
        <f t="shared" si="12"/>
        <v>2690</v>
      </c>
      <c r="L67" s="62">
        <f t="shared" si="13"/>
        <v>0</v>
      </c>
      <c r="M67" s="63">
        <f t="shared" si="14"/>
        <v>1</v>
      </c>
      <c r="N67" s="64"/>
    </row>
    <row r="68" spans="1:14" x14ac:dyDescent="0.3">
      <c r="A68" s="58" t="str">
        <v>C</v>
      </c>
      <c r="B68" s="59" t="str">
        <v>456CD</v>
      </c>
      <c r="C68" s="60">
        <v>46158</v>
      </c>
      <c r="D68" s="61">
        <v>5000</v>
      </c>
      <c r="E68" s="62">
        <v>11782</v>
      </c>
      <c r="F68" s="61">
        <f>IF($A68="","",IF($A68&lt;&gt;$A67,IFERROR(INDEX([1]FG_Begin_Inventory!$B:$B,MATCH($A68,[1]FG_Begin_Inventory!$A:$A,0)),0),J67))</f>
        <v>0</v>
      </c>
      <c r="G68" s="61">
        <f t="shared" si="8"/>
        <v>11703</v>
      </c>
      <c r="H68" s="62">
        <f t="shared" si="9"/>
        <v>23485</v>
      </c>
      <c r="I68" s="62">
        <f t="shared" si="10"/>
        <v>5000</v>
      </c>
      <c r="J68" s="62">
        <f t="shared" si="11"/>
        <v>0</v>
      </c>
      <c r="K68" s="62">
        <f t="shared" si="12"/>
        <v>6782</v>
      </c>
      <c r="L68" s="62">
        <f t="shared" si="13"/>
        <v>0</v>
      </c>
      <c r="M68" s="63">
        <f t="shared" si="14"/>
        <v>1</v>
      </c>
      <c r="N68" s="64"/>
    </row>
    <row r="69" spans="1:14" x14ac:dyDescent="0.3">
      <c r="A69" s="58" t="str">
        <v>C</v>
      </c>
      <c r="B69" s="59" t="str">
        <v>456CD</v>
      </c>
      <c r="C69" s="60">
        <v>46165</v>
      </c>
      <c r="D69" s="61">
        <v>5000</v>
      </c>
      <c r="E69" s="62">
        <v>10524</v>
      </c>
      <c r="F69" s="61">
        <f>IF($A69="","",IF($A69&lt;&gt;$A68,IFERROR(INDEX([1]FG_Begin_Inventory!$B:$B,MATCH($A69,[1]FG_Begin_Inventory!$A:$A,0)),0),J68))</f>
        <v>0</v>
      </c>
      <c r="G69" s="61">
        <f t="shared" si="8"/>
        <v>6179</v>
      </c>
      <c r="H69" s="62">
        <f t="shared" si="9"/>
        <v>16703</v>
      </c>
      <c r="I69" s="62">
        <f t="shared" si="10"/>
        <v>5000</v>
      </c>
      <c r="J69" s="62">
        <f t="shared" si="11"/>
        <v>0</v>
      </c>
      <c r="K69" s="62">
        <f t="shared" si="12"/>
        <v>5524</v>
      </c>
      <c r="L69" s="62">
        <f t="shared" si="13"/>
        <v>0</v>
      </c>
      <c r="M69" s="63">
        <f t="shared" si="14"/>
        <v>1</v>
      </c>
      <c r="N69" s="64"/>
    </row>
    <row r="70" spans="1:14" x14ac:dyDescent="0.3">
      <c r="A70" s="58" t="str">
        <v>C</v>
      </c>
      <c r="B70" s="59" t="str">
        <v>456CD</v>
      </c>
      <c r="C70" s="60">
        <v>46172</v>
      </c>
      <c r="D70" s="61">
        <v>5000</v>
      </c>
      <c r="E70" s="62">
        <v>1080</v>
      </c>
      <c r="F70" s="61">
        <f>IF($A70="","",IF($A70&lt;&gt;$A69,IFERROR(INDEX([1]FG_Begin_Inventory!$B:$B,MATCH($A70,[1]FG_Begin_Inventory!$A:$A,0)),0),J69))</f>
        <v>0</v>
      </c>
      <c r="G70" s="61">
        <f t="shared" si="8"/>
        <v>10099</v>
      </c>
      <c r="H70" s="62">
        <f t="shared" si="9"/>
        <v>11179</v>
      </c>
      <c r="I70" s="62">
        <f t="shared" si="10"/>
        <v>5000</v>
      </c>
      <c r="J70" s="62">
        <f t="shared" si="11"/>
        <v>3920</v>
      </c>
      <c r="K70" s="62">
        <f t="shared" si="12"/>
        <v>0</v>
      </c>
      <c r="L70" s="62">
        <f t="shared" si="13"/>
        <v>3920</v>
      </c>
      <c r="M70" s="63">
        <f t="shared" si="14"/>
        <v>1</v>
      </c>
      <c r="N70" s="64"/>
    </row>
    <row r="71" spans="1:14" x14ac:dyDescent="0.3">
      <c r="A71" s="58" t="str">
        <v>C</v>
      </c>
      <c r="B71" s="59" t="str">
        <v>456CD</v>
      </c>
      <c r="C71" s="60">
        <v>46179</v>
      </c>
      <c r="D71" s="61">
        <v>5000</v>
      </c>
      <c r="E71" s="62">
        <v>8602</v>
      </c>
      <c r="F71" s="61">
        <f>IF($A71="","",IF($A71&lt;&gt;$A70,IFERROR(INDEX([1]FG_Begin_Inventory!$B:$B,MATCH($A71,[1]FG_Begin_Inventory!$A:$A,0)),0),J70))</f>
        <v>3920</v>
      </c>
      <c r="G71" s="61">
        <f t="shared" si="8"/>
        <v>6497</v>
      </c>
      <c r="H71" s="62">
        <f t="shared" si="9"/>
        <v>11179</v>
      </c>
      <c r="I71" s="62">
        <f t="shared" si="10"/>
        <v>5000</v>
      </c>
      <c r="J71" s="62">
        <f t="shared" si="11"/>
        <v>318</v>
      </c>
      <c r="K71" s="62">
        <f t="shared" si="12"/>
        <v>0</v>
      </c>
      <c r="L71" s="62">
        <f t="shared" si="13"/>
        <v>318</v>
      </c>
      <c r="M71" s="63">
        <f t="shared" si="14"/>
        <v>1</v>
      </c>
      <c r="N71" s="64"/>
    </row>
    <row r="72" spans="1:14" x14ac:dyDescent="0.3">
      <c r="A72" s="58" t="str">
        <v>C</v>
      </c>
      <c r="B72" s="59" t="str">
        <v>456CD</v>
      </c>
      <c r="C72" s="60">
        <v>46186</v>
      </c>
      <c r="D72" s="61">
        <v>5000</v>
      </c>
      <c r="E72" s="62">
        <v>8802</v>
      </c>
      <c r="F72" s="61">
        <f>IF($A72="","",IF($A72&lt;&gt;$A71,IFERROR(INDEX([1]FG_Begin_Inventory!$B:$B,MATCH($A72,[1]FG_Begin_Inventory!$A:$A,0)),0),J71))</f>
        <v>318</v>
      </c>
      <c r="G72" s="61">
        <f t="shared" si="8"/>
        <v>2695</v>
      </c>
      <c r="H72" s="62">
        <f t="shared" si="9"/>
        <v>11179</v>
      </c>
      <c r="I72" s="62">
        <f t="shared" si="10"/>
        <v>5000</v>
      </c>
      <c r="J72" s="62">
        <f t="shared" si="11"/>
        <v>0</v>
      </c>
      <c r="K72" s="62">
        <f t="shared" si="12"/>
        <v>3484</v>
      </c>
      <c r="L72" s="62">
        <f t="shared" si="13"/>
        <v>0</v>
      </c>
      <c r="M72" s="63">
        <f t="shared" si="14"/>
        <v>1</v>
      </c>
      <c r="N72" s="64"/>
    </row>
    <row r="73" spans="1:14" x14ac:dyDescent="0.3">
      <c r="A73" s="58" t="str">
        <v>C</v>
      </c>
      <c r="B73" s="59" t="str">
        <v>456CD</v>
      </c>
      <c r="C73" s="60">
        <v>46193</v>
      </c>
      <c r="D73" s="61">
        <v>5000</v>
      </c>
      <c r="E73" s="62">
        <v>7695</v>
      </c>
      <c r="F73" s="61">
        <f>IF($A73="","",IF($A73&lt;&gt;$A72,IFERROR(INDEX([1]FG_Begin_Inventory!$B:$B,MATCH($A73,[1]FG_Begin_Inventory!$A:$A,0)),0),J72))</f>
        <v>0</v>
      </c>
      <c r="G73" s="61">
        <f t="shared" si="8"/>
        <v>0</v>
      </c>
      <c r="H73" s="62">
        <f t="shared" si="9"/>
        <v>7695</v>
      </c>
      <c r="I73" s="62">
        <f t="shared" si="10"/>
        <v>5000</v>
      </c>
      <c r="J73" s="62">
        <f t="shared" si="11"/>
        <v>0</v>
      </c>
      <c r="K73" s="62">
        <f t="shared" si="12"/>
        <v>2695</v>
      </c>
      <c r="L73" s="62">
        <f t="shared" si="13"/>
        <v>0</v>
      </c>
      <c r="M73" s="63">
        <f t="shared" si="14"/>
        <v>1</v>
      </c>
      <c r="N73" s="64"/>
    </row>
    <row r="74" spans="1:14" x14ac:dyDescent="0.3">
      <c r="A74" s="58" t="str">
        <v>C</v>
      </c>
      <c r="B74" s="59" t="str">
        <v>456CD</v>
      </c>
      <c r="C74" s="60">
        <v>46200</v>
      </c>
      <c r="D74" s="61">
        <v>5000</v>
      </c>
      <c r="E74" s="62">
        <v>2500</v>
      </c>
      <c r="F74" s="61">
        <f>IF($A74="","",IF($A74&lt;&gt;$A73,IFERROR(INDEX([1]FG_Begin_Inventory!$B:$B,MATCH($A74,[1]FG_Begin_Inventory!$A:$A,0)),0),J73))</f>
        <v>0</v>
      </c>
      <c r="G74" s="61">
        <f t="shared" si="8"/>
        <v>0</v>
      </c>
      <c r="H74" s="62">
        <f t="shared" si="9"/>
        <v>2500</v>
      </c>
      <c r="I74" s="62">
        <f t="shared" si="10"/>
        <v>2500</v>
      </c>
      <c r="J74" s="62">
        <f t="shared" si="11"/>
        <v>0</v>
      </c>
      <c r="K74" s="62">
        <f t="shared" si="12"/>
        <v>0</v>
      </c>
      <c r="L74" s="62">
        <f t="shared" si="13"/>
        <v>0</v>
      </c>
      <c r="M74" s="63">
        <f t="shared" si="14"/>
        <v>0.5</v>
      </c>
      <c r="N74" s="64"/>
    </row>
    <row r="75" spans="1:14" x14ac:dyDescent="0.3">
      <c r="A75" s="58" t="str">
        <v>C</v>
      </c>
      <c r="B75" s="59" t="str">
        <v>456CD</v>
      </c>
      <c r="C75" s="60">
        <v>46207</v>
      </c>
      <c r="D75" s="61">
        <v>5000</v>
      </c>
      <c r="E75" s="62">
        <v>2500</v>
      </c>
      <c r="F75" s="61">
        <f>IF($A75="","",IF($A75&lt;&gt;$A74,IFERROR(INDEX([1]FG_Begin_Inventory!$B:$B,MATCH($A75,[1]FG_Begin_Inventory!$A:$A,0)),0),J74))</f>
        <v>0</v>
      </c>
      <c r="G75" s="61">
        <f t="shared" si="8"/>
        <v>0</v>
      </c>
      <c r="H75" s="62">
        <f t="shared" si="9"/>
        <v>2500</v>
      </c>
      <c r="I75" s="62">
        <f t="shared" si="10"/>
        <v>2500</v>
      </c>
      <c r="J75" s="62">
        <f t="shared" si="11"/>
        <v>0</v>
      </c>
      <c r="K75" s="62">
        <f t="shared" si="12"/>
        <v>0</v>
      </c>
      <c r="L75" s="62">
        <f t="shared" si="13"/>
        <v>0</v>
      </c>
      <c r="M75" s="63">
        <f t="shared" si="14"/>
        <v>0.5</v>
      </c>
      <c r="N75" s="64"/>
    </row>
    <row r="76" spans="1:14" x14ac:dyDescent="0.3">
      <c r="A76" s="58" t="str">
        <v>C</v>
      </c>
      <c r="B76" s="59" t="str">
        <v>456CD</v>
      </c>
      <c r="C76" s="60">
        <v>46214</v>
      </c>
      <c r="D76" s="61">
        <v>5000</v>
      </c>
      <c r="E76" s="62">
        <v>2500</v>
      </c>
      <c r="F76" s="61">
        <f>IF($A76="","",IF($A76&lt;&gt;$A75,IFERROR(INDEX([1]FG_Begin_Inventory!$B:$B,MATCH($A76,[1]FG_Begin_Inventory!$A:$A,0)),0),J75))</f>
        <v>0</v>
      </c>
      <c r="G76" s="61">
        <f t="shared" si="8"/>
        <v>0</v>
      </c>
      <c r="H76" s="62">
        <f t="shared" si="9"/>
        <v>2500</v>
      </c>
      <c r="I76" s="62">
        <f t="shared" si="10"/>
        <v>2500</v>
      </c>
      <c r="J76" s="62">
        <f t="shared" si="11"/>
        <v>0</v>
      </c>
      <c r="K76" s="62">
        <f t="shared" si="12"/>
        <v>0</v>
      </c>
      <c r="L76" s="62">
        <f t="shared" si="13"/>
        <v>0</v>
      </c>
      <c r="M76" s="63">
        <f t="shared" si="14"/>
        <v>0.5</v>
      </c>
      <c r="N76" s="64"/>
    </row>
    <row r="77" spans="1:14" x14ac:dyDescent="0.3">
      <c r="A77" s="58" t="str">
        <v>C</v>
      </c>
      <c r="B77" s="59" t="str">
        <v>456CD</v>
      </c>
      <c r="C77" s="60">
        <v>46221</v>
      </c>
      <c r="D77" s="61">
        <v>5000</v>
      </c>
      <c r="E77" s="62">
        <v>1000</v>
      </c>
      <c r="F77" s="61">
        <f>IF($A77="","",IF($A77&lt;&gt;$A76,IFERROR(INDEX([1]FG_Begin_Inventory!$B:$B,MATCH($A77,[1]FG_Begin_Inventory!$A:$A,0)),0),J76))</f>
        <v>0</v>
      </c>
      <c r="G77" s="61">
        <f t="shared" si="8"/>
        <v>0</v>
      </c>
      <c r="H77" s="62">
        <f t="shared" si="9"/>
        <v>1000</v>
      </c>
      <c r="I77" s="62">
        <f t="shared" si="10"/>
        <v>1000</v>
      </c>
      <c r="J77" s="62">
        <f t="shared" si="11"/>
        <v>0</v>
      </c>
      <c r="K77" s="62">
        <f t="shared" si="12"/>
        <v>0</v>
      </c>
      <c r="L77" s="62">
        <f t="shared" si="13"/>
        <v>0</v>
      </c>
      <c r="M77" s="63">
        <f t="shared" si="14"/>
        <v>0.2</v>
      </c>
      <c r="N77" s="64"/>
    </row>
    <row r="78" spans="1:14" x14ac:dyDescent="0.3">
      <c r="A78" s="58" t="str">
        <v>C</v>
      </c>
      <c r="B78" s="59" t="str">
        <v>456CD</v>
      </c>
      <c r="C78" s="60">
        <v>46228</v>
      </c>
      <c r="D78" s="61">
        <v>5000</v>
      </c>
      <c r="E78" s="62">
        <v>1000</v>
      </c>
      <c r="F78" s="61">
        <f>IF($A78="","",IF($A78&lt;&gt;$A77,IFERROR(INDEX([1]FG_Begin_Inventory!$B:$B,MATCH($A78,[1]FG_Begin_Inventory!$A:$A,0)),0),J77))</f>
        <v>0</v>
      </c>
      <c r="G78" s="61">
        <f t="shared" si="8"/>
        <v>0</v>
      </c>
      <c r="H78" s="62">
        <f t="shared" si="9"/>
        <v>1000</v>
      </c>
      <c r="I78" s="62">
        <f t="shared" si="10"/>
        <v>1000</v>
      </c>
      <c r="J78" s="62">
        <f t="shared" si="11"/>
        <v>0</v>
      </c>
      <c r="K78" s="62">
        <f t="shared" si="12"/>
        <v>0</v>
      </c>
      <c r="L78" s="62">
        <f t="shared" si="13"/>
        <v>0</v>
      </c>
      <c r="M78" s="63">
        <f t="shared" si="14"/>
        <v>0.2</v>
      </c>
      <c r="N78" s="64"/>
    </row>
    <row r="79" spans="1:14" x14ac:dyDescent="0.3">
      <c r="A79" s="58" t="str">
        <v>C</v>
      </c>
      <c r="B79" s="59" t="str">
        <v>456CD</v>
      </c>
      <c r="C79" s="60">
        <v>46235</v>
      </c>
      <c r="D79" s="61">
        <v>5000</v>
      </c>
      <c r="E79" s="62">
        <v>1000</v>
      </c>
      <c r="F79" s="61">
        <f>IF($A79="","",IF($A79&lt;&gt;$A78,IFERROR(INDEX([1]FG_Begin_Inventory!$B:$B,MATCH($A79,[1]FG_Begin_Inventory!$A:$A,0)),0),J78))</f>
        <v>0</v>
      </c>
      <c r="G79" s="61">
        <f t="shared" si="8"/>
        <v>0</v>
      </c>
      <c r="H79" s="62">
        <f t="shared" si="9"/>
        <v>1000</v>
      </c>
      <c r="I79" s="62">
        <f t="shared" si="10"/>
        <v>1000</v>
      </c>
      <c r="J79" s="62">
        <f t="shared" si="11"/>
        <v>0</v>
      </c>
      <c r="K79" s="62">
        <f t="shared" si="12"/>
        <v>0</v>
      </c>
      <c r="L79" s="62">
        <f t="shared" si="13"/>
        <v>0</v>
      </c>
      <c r="M79" s="63">
        <f t="shared" si="14"/>
        <v>0.2</v>
      </c>
      <c r="N79" s="64"/>
    </row>
    <row r="80" spans="1:14" x14ac:dyDescent="0.3">
      <c r="A80" s="58" t="str">
        <v>C</v>
      </c>
      <c r="B80" s="59" t="str">
        <v>456CD</v>
      </c>
      <c r="C80" s="60">
        <v>46242</v>
      </c>
      <c r="D80" s="61">
        <v>5000</v>
      </c>
      <c r="E80" s="62">
        <v>1000</v>
      </c>
      <c r="F80" s="61">
        <f>IF($A80="","",IF($A80&lt;&gt;$A79,IFERROR(INDEX([1]FG_Begin_Inventory!$B:$B,MATCH($A80,[1]FG_Begin_Inventory!$A:$A,0)),0),J79))</f>
        <v>0</v>
      </c>
      <c r="G80" s="61">
        <f t="shared" si="8"/>
        <v>0</v>
      </c>
      <c r="H80" s="62">
        <f t="shared" si="9"/>
        <v>1000</v>
      </c>
      <c r="I80" s="62">
        <f t="shared" si="10"/>
        <v>1000</v>
      </c>
      <c r="J80" s="62">
        <f t="shared" si="11"/>
        <v>0</v>
      </c>
      <c r="K80" s="62">
        <f t="shared" si="12"/>
        <v>0</v>
      </c>
      <c r="L80" s="62">
        <f t="shared" si="13"/>
        <v>0</v>
      </c>
      <c r="M80" s="63">
        <f t="shared" si="14"/>
        <v>0.2</v>
      </c>
      <c r="N80" s="64"/>
    </row>
    <row r="81" spans="1:14" x14ac:dyDescent="0.3">
      <c r="A81" s="58" t="str">
        <v>C</v>
      </c>
      <c r="B81" s="59" t="str">
        <v>456CD</v>
      </c>
      <c r="C81" s="60">
        <v>46249</v>
      </c>
      <c r="D81" s="61">
        <v>5000</v>
      </c>
      <c r="E81" s="62">
        <v>1000</v>
      </c>
      <c r="F81" s="61">
        <f>IF($A81="","",IF($A81&lt;&gt;$A80,IFERROR(INDEX([1]FG_Begin_Inventory!$B:$B,MATCH($A81,[1]FG_Begin_Inventory!$A:$A,0)),0),J80))</f>
        <v>0</v>
      </c>
      <c r="G81" s="61">
        <f t="shared" si="8"/>
        <v>0</v>
      </c>
      <c r="H81" s="62">
        <f t="shared" si="9"/>
        <v>1000</v>
      </c>
      <c r="I81" s="62">
        <f t="shared" si="10"/>
        <v>1000</v>
      </c>
      <c r="J81" s="62">
        <f t="shared" si="11"/>
        <v>0</v>
      </c>
      <c r="K81" s="62">
        <f t="shared" si="12"/>
        <v>0</v>
      </c>
      <c r="L81" s="62">
        <f t="shared" si="13"/>
        <v>0</v>
      </c>
      <c r="M81" s="63">
        <f t="shared" si="14"/>
        <v>0.2</v>
      </c>
      <c r="N81" s="64"/>
    </row>
    <row r="82" spans="1:14" x14ac:dyDescent="0.3">
      <c r="A82" s="58" t="str">
        <v>C</v>
      </c>
      <c r="B82" s="59" t="str">
        <v>456CD</v>
      </c>
      <c r="C82" s="60">
        <v>46256</v>
      </c>
      <c r="D82" s="61">
        <v>5000</v>
      </c>
      <c r="E82" s="62">
        <v>750</v>
      </c>
      <c r="F82" s="61">
        <f>IF($A82="","",IF($A82&lt;&gt;$A81,IFERROR(INDEX([1]FG_Begin_Inventory!$B:$B,MATCH($A82,[1]FG_Begin_Inventory!$A:$A,0)),0),J81))</f>
        <v>0</v>
      </c>
      <c r="G82" s="61">
        <f t="shared" si="8"/>
        <v>0</v>
      </c>
      <c r="H82" s="62">
        <f t="shared" si="9"/>
        <v>750</v>
      </c>
      <c r="I82" s="62">
        <f t="shared" si="10"/>
        <v>750</v>
      </c>
      <c r="J82" s="62">
        <f t="shared" si="11"/>
        <v>0</v>
      </c>
      <c r="K82" s="62">
        <f t="shared" si="12"/>
        <v>0</v>
      </c>
      <c r="L82" s="62">
        <f t="shared" si="13"/>
        <v>0</v>
      </c>
      <c r="M82" s="63">
        <f t="shared" si="14"/>
        <v>0.15</v>
      </c>
      <c r="N82" s="64"/>
    </row>
    <row r="83" spans="1:14" x14ac:dyDescent="0.3">
      <c r="A83" s="58" t="str">
        <v>C</v>
      </c>
      <c r="B83" s="59" t="str">
        <v>456CD</v>
      </c>
      <c r="C83" s="60">
        <v>46263</v>
      </c>
      <c r="D83" s="61">
        <v>5000</v>
      </c>
      <c r="E83" s="62">
        <v>750</v>
      </c>
      <c r="F83" s="61">
        <f>IF($A83="","",IF($A83&lt;&gt;$A82,IFERROR(INDEX([1]FG_Begin_Inventory!$B:$B,MATCH($A83,[1]FG_Begin_Inventory!$A:$A,0)),0),J82))</f>
        <v>0</v>
      </c>
      <c r="G83" s="61">
        <f t="shared" si="8"/>
        <v>0</v>
      </c>
      <c r="H83" s="62">
        <f t="shared" si="9"/>
        <v>750</v>
      </c>
      <c r="I83" s="62">
        <f t="shared" si="10"/>
        <v>750</v>
      </c>
      <c r="J83" s="62">
        <f t="shared" si="11"/>
        <v>0</v>
      </c>
      <c r="K83" s="62">
        <f t="shared" si="12"/>
        <v>0</v>
      </c>
      <c r="L83" s="62">
        <f t="shared" si="13"/>
        <v>0</v>
      </c>
      <c r="M83" s="63">
        <f t="shared" si="14"/>
        <v>0.15</v>
      </c>
      <c r="N83" s="64"/>
    </row>
    <row r="84" spans="1:14" x14ac:dyDescent="0.3">
      <c r="A84" s="58" t="str">
        <v>C</v>
      </c>
      <c r="B84" s="59" t="str">
        <v>456CD</v>
      </c>
      <c r="C84" s="60">
        <v>46270</v>
      </c>
      <c r="D84" s="61">
        <v>5000</v>
      </c>
      <c r="E84" s="62">
        <v>750</v>
      </c>
      <c r="F84" s="61">
        <f>IF($A84="","",IF($A84&lt;&gt;$A83,IFERROR(INDEX([1]FG_Begin_Inventory!$B:$B,MATCH($A84,[1]FG_Begin_Inventory!$A:$A,0)),0),J83))</f>
        <v>0</v>
      </c>
      <c r="G84" s="61">
        <f t="shared" si="8"/>
        <v>0</v>
      </c>
      <c r="H84" s="62">
        <f t="shared" si="9"/>
        <v>750</v>
      </c>
      <c r="I84" s="62">
        <f t="shared" si="10"/>
        <v>750</v>
      </c>
      <c r="J84" s="62">
        <f t="shared" si="11"/>
        <v>0</v>
      </c>
      <c r="K84" s="62">
        <f t="shared" si="12"/>
        <v>0</v>
      </c>
      <c r="L84" s="62">
        <f t="shared" si="13"/>
        <v>0</v>
      </c>
      <c r="M84" s="63">
        <f t="shared" si="14"/>
        <v>0.15</v>
      </c>
      <c r="N84" s="64"/>
    </row>
    <row r="85" spans="1:14" x14ac:dyDescent="0.3">
      <c r="A85" s="58" t="str">
        <v>C</v>
      </c>
      <c r="B85" s="59" t="str">
        <v>456CD</v>
      </c>
      <c r="C85" s="60">
        <v>46277</v>
      </c>
      <c r="D85" s="61">
        <v>5000</v>
      </c>
      <c r="E85" s="62">
        <v>750</v>
      </c>
      <c r="F85" s="61">
        <f>IF($A85="","",IF($A85&lt;&gt;$A84,IFERROR(INDEX([1]FG_Begin_Inventory!$B:$B,MATCH($A85,[1]FG_Begin_Inventory!$A:$A,0)),0),J84))</f>
        <v>0</v>
      </c>
      <c r="G85" s="61">
        <f t="shared" si="8"/>
        <v>0</v>
      </c>
      <c r="H85" s="62">
        <f t="shared" si="9"/>
        <v>750</v>
      </c>
      <c r="I85" s="62">
        <f t="shared" si="10"/>
        <v>750</v>
      </c>
      <c r="J85" s="62">
        <f t="shared" si="11"/>
        <v>0</v>
      </c>
      <c r="K85" s="62">
        <f t="shared" si="12"/>
        <v>0</v>
      </c>
      <c r="L85" s="62">
        <f t="shared" si="13"/>
        <v>0</v>
      </c>
      <c r="M85" s="63">
        <f t="shared" si="14"/>
        <v>0.15</v>
      </c>
      <c r="N85" s="64"/>
    </row>
    <row r="86" spans="1:14" x14ac:dyDescent="0.3">
      <c r="A86" s="58" t="str">
        <v>C</v>
      </c>
      <c r="B86" s="59" t="str">
        <v>456CD</v>
      </c>
      <c r="C86" s="60">
        <v>46284</v>
      </c>
      <c r="D86" s="61">
        <v>5000</v>
      </c>
      <c r="E86" s="62">
        <v>600</v>
      </c>
      <c r="F86" s="61">
        <f>IF($A86="","",IF($A86&lt;&gt;$A85,IFERROR(INDEX([1]FG_Begin_Inventory!$B:$B,MATCH($A86,[1]FG_Begin_Inventory!$A:$A,0)),0),J85))</f>
        <v>0</v>
      </c>
      <c r="G86" s="61">
        <f t="shared" si="8"/>
        <v>0</v>
      </c>
      <c r="H86" s="62">
        <f t="shared" si="9"/>
        <v>600</v>
      </c>
      <c r="I86" s="62">
        <f t="shared" si="10"/>
        <v>600</v>
      </c>
      <c r="J86" s="62">
        <f t="shared" si="11"/>
        <v>0</v>
      </c>
      <c r="K86" s="62">
        <f t="shared" si="12"/>
        <v>0</v>
      </c>
      <c r="L86" s="62">
        <f t="shared" si="13"/>
        <v>0</v>
      </c>
      <c r="M86" s="63">
        <f t="shared" si="14"/>
        <v>0.12</v>
      </c>
      <c r="N86" s="64"/>
    </row>
    <row r="87" spans="1:14" x14ac:dyDescent="0.3">
      <c r="A87" s="58" t="str">
        <v>C</v>
      </c>
      <c r="B87" s="59" t="str">
        <v>456CD</v>
      </c>
      <c r="C87" s="60">
        <v>46291</v>
      </c>
      <c r="D87" s="61">
        <v>5000</v>
      </c>
      <c r="E87" s="62">
        <v>600</v>
      </c>
      <c r="F87" s="61">
        <f>IF($A87="","",IF($A87&lt;&gt;$A86,IFERROR(INDEX([1]FG_Begin_Inventory!$B:$B,MATCH($A87,[1]FG_Begin_Inventory!$A:$A,0)),0),J86))</f>
        <v>0</v>
      </c>
      <c r="G87" s="61">
        <f t="shared" si="8"/>
        <v>0</v>
      </c>
      <c r="H87" s="62">
        <f t="shared" si="9"/>
        <v>600</v>
      </c>
      <c r="I87" s="62">
        <f t="shared" si="10"/>
        <v>600</v>
      </c>
      <c r="J87" s="62">
        <f t="shared" si="11"/>
        <v>0</v>
      </c>
      <c r="K87" s="62">
        <f t="shared" si="12"/>
        <v>0</v>
      </c>
      <c r="L87" s="62">
        <f t="shared" si="13"/>
        <v>0</v>
      </c>
      <c r="M87" s="63">
        <f t="shared" si="14"/>
        <v>0.12</v>
      </c>
      <c r="N87" s="64"/>
    </row>
    <row r="88" spans="1:14" x14ac:dyDescent="0.3">
      <c r="A88" s="58" t="str">
        <v>C</v>
      </c>
      <c r="B88" s="59" t="str">
        <v>456CD</v>
      </c>
      <c r="C88" s="60">
        <v>46298</v>
      </c>
      <c r="D88" s="61">
        <v>5000</v>
      </c>
      <c r="E88" s="62">
        <v>600</v>
      </c>
      <c r="F88" s="61">
        <f>IF($A88="","",IF($A88&lt;&gt;$A87,IFERROR(INDEX([1]FG_Begin_Inventory!$B:$B,MATCH($A88,[1]FG_Begin_Inventory!$A:$A,0)),0),J87))</f>
        <v>0</v>
      </c>
      <c r="G88" s="61">
        <f t="shared" si="8"/>
        <v>0</v>
      </c>
      <c r="H88" s="62">
        <f t="shared" si="9"/>
        <v>600</v>
      </c>
      <c r="I88" s="62">
        <f t="shared" si="10"/>
        <v>600</v>
      </c>
      <c r="J88" s="62">
        <f t="shared" si="11"/>
        <v>0</v>
      </c>
      <c r="K88" s="62">
        <f t="shared" si="12"/>
        <v>0</v>
      </c>
      <c r="L88" s="62">
        <f t="shared" si="13"/>
        <v>0</v>
      </c>
      <c r="M88" s="63">
        <f t="shared" si="14"/>
        <v>0.12</v>
      </c>
      <c r="N88" s="64"/>
    </row>
    <row r="89" spans="1:14" x14ac:dyDescent="0.3">
      <c r="A89" s="58" t="str">
        <v>C</v>
      </c>
      <c r="B89" s="59" t="str">
        <v>456CD</v>
      </c>
      <c r="C89" s="60">
        <v>46305</v>
      </c>
      <c r="D89" s="61">
        <v>5000</v>
      </c>
      <c r="E89" s="62">
        <v>600</v>
      </c>
      <c r="F89" s="61">
        <f>IF($A89="","",IF($A89&lt;&gt;$A88,IFERROR(INDEX([1]FG_Begin_Inventory!$B:$B,MATCH($A89,[1]FG_Begin_Inventory!$A:$A,0)),0),J88))</f>
        <v>0</v>
      </c>
      <c r="G89" s="61">
        <f t="shared" si="8"/>
        <v>0</v>
      </c>
      <c r="H89" s="62">
        <f t="shared" si="9"/>
        <v>600</v>
      </c>
      <c r="I89" s="62">
        <f t="shared" si="10"/>
        <v>600</v>
      </c>
      <c r="J89" s="62">
        <f t="shared" si="11"/>
        <v>0</v>
      </c>
      <c r="K89" s="62">
        <f t="shared" si="12"/>
        <v>0</v>
      </c>
      <c r="L89" s="62">
        <f t="shared" si="13"/>
        <v>0</v>
      </c>
      <c r="M89" s="63">
        <f t="shared" si="14"/>
        <v>0.12</v>
      </c>
      <c r="N89" s="64"/>
    </row>
    <row r="90" spans="1:14" x14ac:dyDescent="0.3">
      <c r="A90" s="58" t="str">
        <v>C</v>
      </c>
      <c r="B90" s="59" t="str">
        <v>456CD</v>
      </c>
      <c r="C90" s="60">
        <v>46312</v>
      </c>
      <c r="D90" s="61">
        <v>5000</v>
      </c>
      <c r="E90" s="62">
        <v>600</v>
      </c>
      <c r="F90" s="61">
        <f>IF($A90="","",IF($A90&lt;&gt;$A89,IFERROR(INDEX([1]FG_Begin_Inventory!$B:$B,MATCH($A90,[1]FG_Begin_Inventory!$A:$A,0)),0),J89))</f>
        <v>0</v>
      </c>
      <c r="G90" s="61">
        <f t="shared" si="8"/>
        <v>0</v>
      </c>
      <c r="H90" s="62">
        <f t="shared" si="9"/>
        <v>600</v>
      </c>
      <c r="I90" s="62">
        <f t="shared" si="10"/>
        <v>600</v>
      </c>
      <c r="J90" s="62">
        <f t="shared" si="11"/>
        <v>0</v>
      </c>
      <c r="K90" s="62">
        <f t="shared" si="12"/>
        <v>0</v>
      </c>
      <c r="L90" s="62">
        <f t="shared" si="13"/>
        <v>0</v>
      </c>
      <c r="M90" s="63">
        <f t="shared" si="14"/>
        <v>0.12</v>
      </c>
      <c r="N90" s="64"/>
    </row>
    <row r="91" spans="1:14" x14ac:dyDescent="0.3">
      <c r="A91" s="58" t="str">
        <v>C</v>
      </c>
      <c r="B91" s="59" t="str">
        <v>456CD</v>
      </c>
      <c r="C91" s="60">
        <v>46319</v>
      </c>
      <c r="D91" s="61">
        <v>5000</v>
      </c>
      <c r="E91" s="62">
        <v>500</v>
      </c>
      <c r="F91" s="61">
        <f>IF($A91="","",IF($A91&lt;&gt;$A90,IFERROR(INDEX([1]FG_Begin_Inventory!$B:$B,MATCH($A91,[1]FG_Begin_Inventory!$A:$A,0)),0),J90))</f>
        <v>0</v>
      </c>
      <c r="G91" s="61">
        <f t="shared" si="8"/>
        <v>0</v>
      </c>
      <c r="H91" s="62">
        <f t="shared" si="9"/>
        <v>500</v>
      </c>
      <c r="I91" s="62">
        <f t="shared" si="10"/>
        <v>500</v>
      </c>
      <c r="J91" s="62">
        <f t="shared" si="11"/>
        <v>0</v>
      </c>
      <c r="K91" s="62">
        <f t="shared" si="12"/>
        <v>0</v>
      </c>
      <c r="L91" s="62">
        <f t="shared" si="13"/>
        <v>0</v>
      </c>
      <c r="M91" s="63">
        <f t="shared" si="14"/>
        <v>0.1</v>
      </c>
      <c r="N91" s="64"/>
    </row>
    <row r="92" spans="1:14" x14ac:dyDescent="0.3">
      <c r="A92" s="58" t="str">
        <v>C</v>
      </c>
      <c r="B92" s="59" t="str">
        <v>456CD</v>
      </c>
      <c r="C92" s="60">
        <v>46326</v>
      </c>
      <c r="D92" s="61">
        <v>5000</v>
      </c>
      <c r="E92" s="62">
        <v>500</v>
      </c>
      <c r="F92" s="61">
        <f>IF($A92="","",IF($A92&lt;&gt;$A91,IFERROR(INDEX([1]FG_Begin_Inventory!$B:$B,MATCH($A92,[1]FG_Begin_Inventory!$A:$A,0)),0),J91))</f>
        <v>0</v>
      </c>
      <c r="G92" s="61">
        <f t="shared" si="8"/>
        <v>0</v>
      </c>
      <c r="H92" s="62">
        <f t="shared" si="9"/>
        <v>500</v>
      </c>
      <c r="I92" s="62">
        <f t="shared" si="10"/>
        <v>500</v>
      </c>
      <c r="J92" s="62">
        <f t="shared" si="11"/>
        <v>0</v>
      </c>
      <c r="K92" s="62">
        <f t="shared" si="12"/>
        <v>0</v>
      </c>
      <c r="L92" s="62">
        <f t="shared" si="13"/>
        <v>0</v>
      </c>
      <c r="M92" s="63">
        <f t="shared" si="14"/>
        <v>0.1</v>
      </c>
      <c r="N92" s="64"/>
    </row>
    <row r="93" spans="1:14" x14ac:dyDescent="0.3">
      <c r="A93" s="58" t="str">
        <v>C</v>
      </c>
      <c r="B93" s="59" t="str">
        <v>456CD</v>
      </c>
      <c r="C93" s="60">
        <v>46333</v>
      </c>
      <c r="D93" s="61">
        <v>5000</v>
      </c>
      <c r="E93" s="62">
        <v>500</v>
      </c>
      <c r="F93" s="61">
        <f>IF($A93="","",IF($A93&lt;&gt;$A92,IFERROR(INDEX([1]FG_Begin_Inventory!$B:$B,MATCH($A93,[1]FG_Begin_Inventory!$A:$A,0)),0),J92))</f>
        <v>0</v>
      </c>
      <c r="G93" s="61">
        <f t="shared" si="8"/>
        <v>0</v>
      </c>
      <c r="H93" s="62">
        <f t="shared" si="9"/>
        <v>500</v>
      </c>
      <c r="I93" s="62">
        <f t="shared" si="10"/>
        <v>500</v>
      </c>
      <c r="J93" s="62">
        <f t="shared" si="11"/>
        <v>0</v>
      </c>
      <c r="K93" s="62">
        <f t="shared" si="12"/>
        <v>0</v>
      </c>
      <c r="L93" s="62">
        <f t="shared" si="13"/>
        <v>0</v>
      </c>
      <c r="M93" s="63">
        <f t="shared" si="14"/>
        <v>0.1</v>
      </c>
      <c r="N93" s="64"/>
    </row>
    <row r="94" spans="1:14" x14ac:dyDescent="0.3">
      <c r="A94" s="58" t="str">
        <v>C</v>
      </c>
      <c r="B94" s="59" t="str">
        <v>456CD</v>
      </c>
      <c r="C94" s="60">
        <v>46340</v>
      </c>
      <c r="D94" s="61">
        <v>5000</v>
      </c>
      <c r="E94" s="62">
        <v>500</v>
      </c>
      <c r="F94" s="61">
        <f>IF($A94="","",IF($A94&lt;&gt;$A93,IFERROR(INDEX([1]FG_Begin_Inventory!$B:$B,MATCH($A94,[1]FG_Begin_Inventory!$A:$A,0)),0),J93))</f>
        <v>0</v>
      </c>
      <c r="G94" s="61">
        <f t="shared" si="8"/>
        <v>0</v>
      </c>
      <c r="H94" s="62">
        <f t="shared" si="9"/>
        <v>500</v>
      </c>
      <c r="I94" s="62">
        <f t="shared" si="10"/>
        <v>500</v>
      </c>
      <c r="J94" s="62">
        <f t="shared" si="11"/>
        <v>0</v>
      </c>
      <c r="K94" s="62">
        <f t="shared" si="12"/>
        <v>0</v>
      </c>
      <c r="L94" s="62">
        <f t="shared" si="13"/>
        <v>0</v>
      </c>
      <c r="M94" s="63">
        <f t="shared" si="14"/>
        <v>0.1</v>
      </c>
      <c r="N94" s="64"/>
    </row>
    <row r="95" spans="1:14" x14ac:dyDescent="0.3">
      <c r="A95" s="58" t="str">
        <v>C</v>
      </c>
      <c r="B95" s="59" t="str">
        <v>456CD</v>
      </c>
      <c r="C95" s="60">
        <v>46347</v>
      </c>
      <c r="D95" s="61">
        <v>5000</v>
      </c>
      <c r="E95" s="62">
        <v>3000</v>
      </c>
      <c r="F95" s="61">
        <f>IF($A95="","",IF($A95&lt;&gt;$A94,IFERROR(INDEX([1]FG_Begin_Inventory!$B:$B,MATCH($A95,[1]FG_Begin_Inventory!$A:$A,0)),0),J94))</f>
        <v>0</v>
      </c>
      <c r="G95" s="61">
        <f t="shared" si="8"/>
        <v>0</v>
      </c>
      <c r="H95" s="62">
        <f t="shared" si="9"/>
        <v>3000</v>
      </c>
      <c r="I95" s="62">
        <f t="shared" si="10"/>
        <v>3000</v>
      </c>
      <c r="J95" s="62">
        <f t="shared" si="11"/>
        <v>0</v>
      </c>
      <c r="K95" s="62">
        <f t="shared" si="12"/>
        <v>0</v>
      </c>
      <c r="L95" s="62">
        <f t="shared" si="13"/>
        <v>0</v>
      </c>
      <c r="M95" s="63">
        <f t="shared" si="14"/>
        <v>0.6</v>
      </c>
      <c r="N95" s="64"/>
    </row>
    <row r="96" spans="1:14" x14ac:dyDescent="0.3">
      <c r="A96" s="58" t="str">
        <v>C</v>
      </c>
      <c r="B96" s="59" t="str">
        <v>456CD</v>
      </c>
      <c r="C96" s="60">
        <v>46354</v>
      </c>
      <c r="D96" s="61">
        <v>5000</v>
      </c>
      <c r="E96" s="62">
        <v>3000</v>
      </c>
      <c r="F96" s="61">
        <f>IF($A96="","",IF($A96&lt;&gt;$A95,IFERROR(INDEX([1]FG_Begin_Inventory!$B:$B,MATCH($A96,[1]FG_Begin_Inventory!$A:$A,0)),0),J95))</f>
        <v>0</v>
      </c>
      <c r="G96" s="61">
        <f t="shared" si="8"/>
        <v>0</v>
      </c>
      <c r="H96" s="62">
        <f t="shared" si="9"/>
        <v>3000</v>
      </c>
      <c r="I96" s="62">
        <f t="shared" si="10"/>
        <v>3000</v>
      </c>
      <c r="J96" s="62">
        <f t="shared" si="11"/>
        <v>0</v>
      </c>
      <c r="K96" s="62">
        <f t="shared" si="12"/>
        <v>0</v>
      </c>
      <c r="L96" s="62">
        <f t="shared" si="13"/>
        <v>0</v>
      </c>
      <c r="M96" s="63">
        <f t="shared" si="14"/>
        <v>0.6</v>
      </c>
      <c r="N96" s="64"/>
    </row>
    <row r="97" spans="1:14" x14ac:dyDescent="0.3">
      <c r="A97" s="58" t="str">
        <v>C</v>
      </c>
      <c r="B97" s="59" t="str">
        <v>456CD</v>
      </c>
      <c r="C97" s="60">
        <v>46361</v>
      </c>
      <c r="D97" s="61">
        <v>5000</v>
      </c>
      <c r="E97" s="62">
        <v>3000</v>
      </c>
      <c r="F97" s="61">
        <f>IF($A97="","",IF($A97&lt;&gt;$A96,IFERROR(INDEX([1]FG_Begin_Inventory!$B:$B,MATCH($A97,[1]FG_Begin_Inventory!$A:$A,0)),0),J96))</f>
        <v>0</v>
      </c>
      <c r="G97" s="61">
        <f t="shared" si="8"/>
        <v>0</v>
      </c>
      <c r="H97" s="62">
        <f t="shared" si="9"/>
        <v>3000</v>
      </c>
      <c r="I97" s="62">
        <f t="shared" si="10"/>
        <v>3000</v>
      </c>
      <c r="J97" s="62">
        <f t="shared" si="11"/>
        <v>0</v>
      </c>
      <c r="K97" s="62">
        <f t="shared" si="12"/>
        <v>0</v>
      </c>
      <c r="L97" s="62">
        <f t="shared" si="13"/>
        <v>0</v>
      </c>
      <c r="M97" s="63">
        <f t="shared" si="14"/>
        <v>0.6</v>
      </c>
      <c r="N97" s="64"/>
    </row>
    <row r="98" spans="1:14" x14ac:dyDescent="0.3">
      <c r="A98" s="58" t="str">
        <v>C</v>
      </c>
      <c r="B98" s="59" t="str">
        <v>456CD</v>
      </c>
      <c r="C98" s="60">
        <v>46368</v>
      </c>
      <c r="D98" s="61">
        <v>5000</v>
      </c>
      <c r="E98" s="62">
        <v>3000</v>
      </c>
      <c r="F98" s="61">
        <f>IF($A98="","",IF($A98&lt;&gt;$A97,IFERROR(INDEX([1]FG_Begin_Inventory!$B:$B,MATCH($A98,[1]FG_Begin_Inventory!$A:$A,0)),0),J97))</f>
        <v>0</v>
      </c>
      <c r="G98" s="61">
        <f t="shared" ref="G98:G129" si="15">IF($A98="","",IF($A98&lt;&gt;$A99,0,MAX(0,G99+E99-D99)))</f>
        <v>0</v>
      </c>
      <c r="H98" s="62">
        <f t="shared" si="9"/>
        <v>3000</v>
      </c>
      <c r="I98" s="62">
        <f t="shared" si="10"/>
        <v>3000</v>
      </c>
      <c r="J98" s="62">
        <f t="shared" si="11"/>
        <v>0</v>
      </c>
      <c r="K98" s="62">
        <f t="shared" si="12"/>
        <v>0</v>
      </c>
      <c r="L98" s="62">
        <f t="shared" si="13"/>
        <v>0</v>
      </c>
      <c r="M98" s="63">
        <f t="shared" si="14"/>
        <v>0.6</v>
      </c>
      <c r="N98" s="64"/>
    </row>
    <row r="99" spans="1:14" x14ac:dyDescent="0.3">
      <c r="A99" s="58" t="str">
        <v>D</v>
      </c>
      <c r="B99" s="59" t="str">
        <v>456CD</v>
      </c>
      <c r="C99" s="60">
        <v>46144</v>
      </c>
      <c r="D99" s="61">
        <v>5000</v>
      </c>
      <c r="E99" s="62">
        <v>2430</v>
      </c>
      <c r="F99" s="61">
        <f>IF($A99="","",IF($A99&lt;&gt;$A98,IFERROR(INDEX([1]FG_Begin_Inventory!$B:$B,MATCH($A99,[1]FG_Begin_Inventory!$A:$A,0)),0),J98))</f>
        <v>0</v>
      </c>
      <c r="G99" s="61">
        <f t="shared" si="15"/>
        <v>8930</v>
      </c>
      <c r="H99" s="62">
        <f t="shared" si="9"/>
        <v>11360</v>
      </c>
      <c r="I99" s="62">
        <f t="shared" si="10"/>
        <v>5000</v>
      </c>
      <c r="J99" s="62">
        <f t="shared" si="11"/>
        <v>2570</v>
      </c>
      <c r="K99" s="62">
        <f t="shared" si="12"/>
        <v>0</v>
      </c>
      <c r="L99" s="62">
        <f t="shared" si="13"/>
        <v>2570</v>
      </c>
      <c r="M99" s="63">
        <f t="shared" si="14"/>
        <v>1</v>
      </c>
      <c r="N99" s="64"/>
    </row>
    <row r="100" spans="1:14" x14ac:dyDescent="0.3">
      <c r="A100" s="58" t="str">
        <v>D</v>
      </c>
      <c r="B100" s="59" t="str">
        <v>456CD</v>
      </c>
      <c r="C100" s="60">
        <v>46151</v>
      </c>
      <c r="D100" s="61">
        <v>5000</v>
      </c>
      <c r="E100" s="62">
        <v>9990</v>
      </c>
      <c r="F100" s="61">
        <f>IF($A100="","",IF($A100&lt;&gt;$A99,IFERROR(INDEX([1]FG_Begin_Inventory!$B:$B,MATCH($A100,[1]FG_Begin_Inventory!$A:$A,0)),0),J99))</f>
        <v>2570</v>
      </c>
      <c r="G100" s="61">
        <f t="shared" si="15"/>
        <v>3940</v>
      </c>
      <c r="H100" s="62">
        <f t="shared" si="9"/>
        <v>11360</v>
      </c>
      <c r="I100" s="62">
        <f t="shared" si="10"/>
        <v>5000</v>
      </c>
      <c r="J100" s="62">
        <f t="shared" si="11"/>
        <v>0</v>
      </c>
      <c r="K100" s="62">
        <f t="shared" si="12"/>
        <v>2420</v>
      </c>
      <c r="L100" s="62">
        <f t="shared" si="13"/>
        <v>0</v>
      </c>
      <c r="M100" s="63">
        <f t="shared" si="14"/>
        <v>1</v>
      </c>
      <c r="N100" s="64"/>
    </row>
    <row r="101" spans="1:14" x14ac:dyDescent="0.3">
      <c r="A101" s="58" t="str">
        <v>D</v>
      </c>
      <c r="B101" s="59" t="str">
        <v>456CD</v>
      </c>
      <c r="C101" s="60">
        <v>46158</v>
      </c>
      <c r="D101" s="61">
        <v>5000</v>
      </c>
      <c r="E101" s="62">
        <v>5840</v>
      </c>
      <c r="F101" s="61">
        <f>IF($A101="","",IF($A101&lt;&gt;$A100,IFERROR(INDEX([1]FG_Begin_Inventory!$B:$B,MATCH($A101,[1]FG_Begin_Inventory!$A:$A,0)),0),J100))</f>
        <v>0</v>
      </c>
      <c r="G101" s="61">
        <f t="shared" si="15"/>
        <v>3100</v>
      </c>
      <c r="H101" s="62">
        <f t="shared" si="9"/>
        <v>8940</v>
      </c>
      <c r="I101" s="62">
        <f t="shared" si="10"/>
        <v>5000</v>
      </c>
      <c r="J101" s="62">
        <f t="shared" si="11"/>
        <v>0</v>
      </c>
      <c r="K101" s="62">
        <f t="shared" si="12"/>
        <v>840</v>
      </c>
      <c r="L101" s="62">
        <f t="shared" si="13"/>
        <v>0</v>
      </c>
      <c r="M101" s="63">
        <f t="shared" si="14"/>
        <v>1</v>
      </c>
      <c r="N101" s="64"/>
    </row>
    <row r="102" spans="1:14" x14ac:dyDescent="0.3">
      <c r="A102" s="58" t="str">
        <v>D</v>
      </c>
      <c r="B102" s="59" t="str">
        <v>456CD</v>
      </c>
      <c r="C102" s="60">
        <v>46165</v>
      </c>
      <c r="D102" s="61">
        <v>5000</v>
      </c>
      <c r="E102" s="62">
        <v>8100</v>
      </c>
      <c r="F102" s="61">
        <f>IF($A102="","",IF($A102&lt;&gt;$A101,IFERROR(INDEX([1]FG_Begin_Inventory!$B:$B,MATCH($A102,[1]FG_Begin_Inventory!$A:$A,0)),0),J101))</f>
        <v>0</v>
      </c>
      <c r="G102" s="61">
        <f t="shared" si="15"/>
        <v>0</v>
      </c>
      <c r="H102" s="62">
        <f t="shared" si="9"/>
        <v>8100</v>
      </c>
      <c r="I102" s="62">
        <f t="shared" si="10"/>
        <v>5000</v>
      </c>
      <c r="J102" s="62">
        <f t="shared" si="11"/>
        <v>0</v>
      </c>
      <c r="K102" s="62">
        <f t="shared" si="12"/>
        <v>3100</v>
      </c>
      <c r="L102" s="62">
        <f t="shared" si="13"/>
        <v>0</v>
      </c>
      <c r="M102" s="63">
        <f t="shared" si="14"/>
        <v>1</v>
      </c>
      <c r="N102" s="64"/>
    </row>
    <row r="103" spans="1:14" x14ac:dyDescent="0.3">
      <c r="A103" s="58" t="str">
        <v>D</v>
      </c>
      <c r="B103" s="59" t="str">
        <v>456CD</v>
      </c>
      <c r="C103" s="60">
        <v>46172</v>
      </c>
      <c r="D103" s="61">
        <v>5000</v>
      </c>
      <c r="E103" s="62">
        <v>1001</v>
      </c>
      <c r="F103" s="61">
        <f>IF($A103="","",IF($A103&lt;&gt;$A102,IFERROR(INDEX([1]FG_Begin_Inventory!$B:$B,MATCH($A103,[1]FG_Begin_Inventory!$A:$A,0)),0),J102))</f>
        <v>0</v>
      </c>
      <c r="G103" s="61">
        <f t="shared" si="15"/>
        <v>0</v>
      </c>
      <c r="H103" s="62">
        <f t="shared" si="9"/>
        <v>1001</v>
      </c>
      <c r="I103" s="62">
        <f t="shared" si="10"/>
        <v>1001</v>
      </c>
      <c r="J103" s="62">
        <f t="shared" si="11"/>
        <v>0</v>
      </c>
      <c r="K103" s="62">
        <f t="shared" si="12"/>
        <v>0</v>
      </c>
      <c r="L103" s="62">
        <f t="shared" si="13"/>
        <v>0</v>
      </c>
      <c r="M103" s="63">
        <f t="shared" si="14"/>
        <v>0.20019999999999999</v>
      </c>
      <c r="N103" s="64"/>
    </row>
    <row r="104" spans="1:14" x14ac:dyDescent="0.3">
      <c r="A104" s="58" t="str">
        <v>D</v>
      </c>
      <c r="B104" s="59" t="str">
        <v>456CD</v>
      </c>
      <c r="C104" s="60">
        <v>46179</v>
      </c>
      <c r="D104" s="61">
        <v>5000</v>
      </c>
      <c r="E104" s="62">
        <v>2471</v>
      </c>
      <c r="F104" s="61">
        <f>IF($A104="","",IF($A104&lt;&gt;$A103,IFERROR(INDEX([1]FG_Begin_Inventory!$B:$B,MATCH($A104,[1]FG_Begin_Inventory!$A:$A,0)),0),J103))</f>
        <v>0</v>
      </c>
      <c r="G104" s="61">
        <f t="shared" si="15"/>
        <v>0</v>
      </c>
      <c r="H104" s="62">
        <f t="shared" si="9"/>
        <v>2471</v>
      </c>
      <c r="I104" s="62">
        <f t="shared" si="10"/>
        <v>2471</v>
      </c>
      <c r="J104" s="62">
        <f t="shared" si="11"/>
        <v>0</v>
      </c>
      <c r="K104" s="62">
        <f t="shared" si="12"/>
        <v>0</v>
      </c>
      <c r="L104" s="62">
        <f t="shared" si="13"/>
        <v>0</v>
      </c>
      <c r="M104" s="63">
        <f t="shared" si="14"/>
        <v>0.49419999999999997</v>
      </c>
      <c r="N104" s="64"/>
    </row>
    <row r="105" spans="1:14" x14ac:dyDescent="0.3">
      <c r="A105" s="58" t="str">
        <v>D</v>
      </c>
      <c r="B105" s="59" t="str">
        <v>456CD</v>
      </c>
      <c r="C105" s="60">
        <v>46186</v>
      </c>
      <c r="D105" s="61">
        <v>5000</v>
      </c>
      <c r="E105" s="62">
        <v>3458</v>
      </c>
      <c r="F105" s="61">
        <f>IF($A105="","",IF($A105&lt;&gt;$A104,IFERROR(INDEX([1]FG_Begin_Inventory!$B:$B,MATCH($A105,[1]FG_Begin_Inventory!$A:$A,0)),0),J104))</f>
        <v>0</v>
      </c>
      <c r="G105" s="61">
        <f t="shared" si="15"/>
        <v>0</v>
      </c>
      <c r="H105" s="62">
        <f t="shared" si="9"/>
        <v>3458</v>
      </c>
      <c r="I105" s="62">
        <f t="shared" si="10"/>
        <v>3458</v>
      </c>
      <c r="J105" s="62">
        <f t="shared" si="11"/>
        <v>0</v>
      </c>
      <c r="K105" s="62">
        <f t="shared" si="12"/>
        <v>0</v>
      </c>
      <c r="L105" s="62">
        <f t="shared" si="13"/>
        <v>0</v>
      </c>
      <c r="M105" s="63">
        <f t="shared" si="14"/>
        <v>0.69159999999999999</v>
      </c>
      <c r="N105" s="64"/>
    </row>
    <row r="106" spans="1:14" x14ac:dyDescent="0.3">
      <c r="A106" s="58" t="str">
        <v>D</v>
      </c>
      <c r="B106" s="59" t="str">
        <v>456CD</v>
      </c>
      <c r="C106" s="60">
        <v>46193</v>
      </c>
      <c r="D106" s="61">
        <v>5000</v>
      </c>
      <c r="E106" s="62">
        <v>500</v>
      </c>
      <c r="F106" s="61">
        <f>IF($A106="","",IF($A106&lt;&gt;$A105,IFERROR(INDEX([1]FG_Begin_Inventory!$B:$B,MATCH($A106,[1]FG_Begin_Inventory!$A:$A,0)),0),J105))</f>
        <v>0</v>
      </c>
      <c r="G106" s="61">
        <f t="shared" si="15"/>
        <v>0</v>
      </c>
      <c r="H106" s="62">
        <f t="shared" si="9"/>
        <v>500</v>
      </c>
      <c r="I106" s="62">
        <f t="shared" si="10"/>
        <v>500</v>
      </c>
      <c r="J106" s="62">
        <f t="shared" si="11"/>
        <v>0</v>
      </c>
      <c r="K106" s="62">
        <f t="shared" si="12"/>
        <v>0</v>
      </c>
      <c r="L106" s="62">
        <f t="shared" si="13"/>
        <v>0</v>
      </c>
      <c r="M106" s="63">
        <f t="shared" si="14"/>
        <v>0.1</v>
      </c>
      <c r="N106" s="64"/>
    </row>
    <row r="107" spans="1:14" x14ac:dyDescent="0.3">
      <c r="A107" s="58" t="str">
        <v>D</v>
      </c>
      <c r="B107" s="59" t="str">
        <v>456CD</v>
      </c>
      <c r="C107" s="60">
        <v>46200</v>
      </c>
      <c r="D107" s="61">
        <v>5000</v>
      </c>
      <c r="E107" s="62">
        <v>500</v>
      </c>
      <c r="F107" s="61">
        <f>IF($A107="","",IF($A107&lt;&gt;$A106,IFERROR(INDEX([1]FG_Begin_Inventory!$B:$B,MATCH($A107,[1]FG_Begin_Inventory!$A:$A,0)),0),J106))</f>
        <v>0</v>
      </c>
      <c r="G107" s="61">
        <f t="shared" si="15"/>
        <v>0</v>
      </c>
      <c r="H107" s="62">
        <f t="shared" si="9"/>
        <v>500</v>
      </c>
      <c r="I107" s="62">
        <f t="shared" si="10"/>
        <v>500</v>
      </c>
      <c r="J107" s="62">
        <f t="shared" si="11"/>
        <v>0</v>
      </c>
      <c r="K107" s="62">
        <f t="shared" si="12"/>
        <v>0</v>
      </c>
      <c r="L107" s="62">
        <f t="shared" si="13"/>
        <v>0</v>
      </c>
      <c r="M107" s="63">
        <f t="shared" si="14"/>
        <v>0.1</v>
      </c>
      <c r="N107" s="64"/>
    </row>
    <row r="108" spans="1:14" x14ac:dyDescent="0.3">
      <c r="A108" s="58" t="str">
        <v>D</v>
      </c>
      <c r="B108" s="59" t="str">
        <v>456CD</v>
      </c>
      <c r="C108" s="60">
        <v>46207</v>
      </c>
      <c r="D108" s="61">
        <v>5000</v>
      </c>
      <c r="E108" s="62">
        <v>500</v>
      </c>
      <c r="F108" s="61">
        <f>IF($A108="","",IF($A108&lt;&gt;$A107,IFERROR(INDEX([1]FG_Begin_Inventory!$B:$B,MATCH($A108,[1]FG_Begin_Inventory!$A:$A,0)),0),J107))</f>
        <v>0</v>
      </c>
      <c r="G108" s="61">
        <f t="shared" si="15"/>
        <v>0</v>
      </c>
      <c r="H108" s="62">
        <f t="shared" si="9"/>
        <v>500</v>
      </c>
      <c r="I108" s="62">
        <f t="shared" si="10"/>
        <v>500</v>
      </c>
      <c r="J108" s="62">
        <f t="shared" si="11"/>
        <v>0</v>
      </c>
      <c r="K108" s="62">
        <f t="shared" si="12"/>
        <v>0</v>
      </c>
      <c r="L108" s="62">
        <f t="shared" si="13"/>
        <v>0</v>
      </c>
      <c r="M108" s="63">
        <f t="shared" si="14"/>
        <v>0.1</v>
      </c>
      <c r="N108" s="64"/>
    </row>
    <row r="109" spans="1:14" x14ac:dyDescent="0.3">
      <c r="A109" s="58" t="str">
        <v>D</v>
      </c>
      <c r="B109" s="59" t="str">
        <v>456CD</v>
      </c>
      <c r="C109" s="60">
        <v>46214</v>
      </c>
      <c r="D109" s="61">
        <v>5000</v>
      </c>
      <c r="E109" s="62">
        <v>500</v>
      </c>
      <c r="F109" s="61">
        <f>IF($A109="","",IF($A109&lt;&gt;$A108,IFERROR(INDEX([1]FG_Begin_Inventory!$B:$B,MATCH($A109,[1]FG_Begin_Inventory!$A:$A,0)),0),J108))</f>
        <v>0</v>
      </c>
      <c r="G109" s="61">
        <f t="shared" si="15"/>
        <v>0</v>
      </c>
      <c r="H109" s="62">
        <f t="shared" si="9"/>
        <v>500</v>
      </c>
      <c r="I109" s="62">
        <f t="shared" si="10"/>
        <v>500</v>
      </c>
      <c r="J109" s="62">
        <f t="shared" si="11"/>
        <v>0</v>
      </c>
      <c r="K109" s="62">
        <f t="shared" si="12"/>
        <v>0</v>
      </c>
      <c r="L109" s="62">
        <f t="shared" si="13"/>
        <v>0</v>
      </c>
      <c r="M109" s="63">
        <f t="shared" si="14"/>
        <v>0.1</v>
      </c>
      <c r="N109" s="64"/>
    </row>
    <row r="110" spans="1:14" x14ac:dyDescent="0.3">
      <c r="A110" s="58" t="str">
        <v>D</v>
      </c>
      <c r="B110" s="59" t="str">
        <v>456CD</v>
      </c>
      <c r="C110" s="60">
        <v>46235</v>
      </c>
      <c r="D110" s="61">
        <v>5000</v>
      </c>
      <c r="E110" s="62">
        <v>400</v>
      </c>
      <c r="F110" s="61">
        <f>IF($A110="","",IF($A110&lt;&gt;$A109,IFERROR(INDEX([1]FG_Begin_Inventory!$B:$B,MATCH($A110,[1]FG_Begin_Inventory!$A:$A,0)),0),J109))</f>
        <v>0</v>
      </c>
      <c r="G110" s="61">
        <f t="shared" si="15"/>
        <v>0</v>
      </c>
      <c r="H110" s="62">
        <f t="shared" si="9"/>
        <v>400</v>
      </c>
      <c r="I110" s="62">
        <f t="shared" si="10"/>
        <v>400</v>
      </c>
      <c r="J110" s="62">
        <f t="shared" si="11"/>
        <v>0</v>
      </c>
      <c r="K110" s="62">
        <f t="shared" si="12"/>
        <v>0</v>
      </c>
      <c r="L110" s="62">
        <f t="shared" si="13"/>
        <v>0</v>
      </c>
      <c r="M110" s="63">
        <f t="shared" si="14"/>
        <v>0.08</v>
      </c>
      <c r="N110" s="64"/>
    </row>
    <row r="111" spans="1:14" x14ac:dyDescent="0.3">
      <c r="A111" s="58" t="str">
        <v>D</v>
      </c>
      <c r="B111" s="59" t="str">
        <v>456CD</v>
      </c>
      <c r="C111" s="60">
        <v>46256</v>
      </c>
      <c r="D111" s="61">
        <v>5000</v>
      </c>
      <c r="E111" s="62">
        <v>400</v>
      </c>
      <c r="F111" s="61">
        <f>IF($A111="","",IF($A111&lt;&gt;$A110,IFERROR(INDEX([1]FG_Begin_Inventory!$B:$B,MATCH($A111,[1]FG_Begin_Inventory!$A:$A,0)),0),J110))</f>
        <v>0</v>
      </c>
      <c r="G111" s="61">
        <f t="shared" si="15"/>
        <v>0</v>
      </c>
      <c r="H111" s="62">
        <f t="shared" si="9"/>
        <v>400</v>
      </c>
      <c r="I111" s="62">
        <f t="shared" si="10"/>
        <v>400</v>
      </c>
      <c r="J111" s="62">
        <f t="shared" si="11"/>
        <v>0</v>
      </c>
      <c r="K111" s="62">
        <f t="shared" si="12"/>
        <v>0</v>
      </c>
      <c r="L111" s="62">
        <f t="shared" si="13"/>
        <v>0</v>
      </c>
      <c r="M111" s="63">
        <f t="shared" si="14"/>
        <v>0.08</v>
      </c>
      <c r="N111" s="64"/>
    </row>
    <row r="112" spans="1:14" x14ac:dyDescent="0.3">
      <c r="A112" s="58" t="str">
        <v>D</v>
      </c>
      <c r="B112" s="59" t="str">
        <v>456CD</v>
      </c>
      <c r="C112" s="60">
        <v>46270</v>
      </c>
      <c r="D112" s="61">
        <v>5000</v>
      </c>
      <c r="E112" s="62">
        <v>400</v>
      </c>
      <c r="F112" s="61">
        <f>IF($A112="","",IF($A112&lt;&gt;$A111,IFERROR(INDEX([1]FG_Begin_Inventory!$B:$B,MATCH($A112,[1]FG_Begin_Inventory!$A:$A,0)),0),J111))</f>
        <v>0</v>
      </c>
      <c r="G112" s="61">
        <f t="shared" si="15"/>
        <v>0</v>
      </c>
      <c r="H112" s="62">
        <f t="shared" si="9"/>
        <v>400</v>
      </c>
      <c r="I112" s="62">
        <f t="shared" si="10"/>
        <v>400</v>
      </c>
      <c r="J112" s="62">
        <f t="shared" si="11"/>
        <v>0</v>
      </c>
      <c r="K112" s="62">
        <f t="shared" si="12"/>
        <v>0</v>
      </c>
      <c r="L112" s="62">
        <f t="shared" si="13"/>
        <v>0</v>
      </c>
      <c r="M112" s="63">
        <f t="shared" si="14"/>
        <v>0.08</v>
      </c>
      <c r="N112" s="64"/>
    </row>
    <row r="113" spans="1:14" x14ac:dyDescent="0.3">
      <c r="A113" s="58" t="str">
        <v>D</v>
      </c>
      <c r="B113" s="59" t="str">
        <v>456CD</v>
      </c>
      <c r="C113" s="60">
        <v>46284</v>
      </c>
      <c r="D113" s="61">
        <v>5000</v>
      </c>
      <c r="E113" s="62">
        <v>360</v>
      </c>
      <c r="F113" s="61">
        <f>IF($A113="","",IF($A113&lt;&gt;$A112,IFERROR(INDEX([1]FG_Begin_Inventory!$B:$B,MATCH($A113,[1]FG_Begin_Inventory!$A:$A,0)),0),J112))</f>
        <v>0</v>
      </c>
      <c r="G113" s="61">
        <f t="shared" si="15"/>
        <v>0</v>
      </c>
      <c r="H113" s="62">
        <f t="shared" si="9"/>
        <v>360</v>
      </c>
      <c r="I113" s="62">
        <f t="shared" si="10"/>
        <v>360</v>
      </c>
      <c r="J113" s="62">
        <f t="shared" si="11"/>
        <v>0</v>
      </c>
      <c r="K113" s="62">
        <f t="shared" si="12"/>
        <v>0</v>
      </c>
      <c r="L113" s="62">
        <f t="shared" si="13"/>
        <v>0</v>
      </c>
      <c r="M113" s="63">
        <f t="shared" si="14"/>
        <v>7.1999999999999995E-2</v>
      </c>
      <c r="N113" s="64"/>
    </row>
    <row r="114" spans="1:14" x14ac:dyDescent="0.3">
      <c r="A114" s="58" t="str">
        <v>D</v>
      </c>
      <c r="B114" s="59" t="str">
        <v>456CD</v>
      </c>
      <c r="C114" s="60">
        <v>46291</v>
      </c>
      <c r="D114" s="61">
        <v>5000</v>
      </c>
      <c r="E114" s="62">
        <v>360</v>
      </c>
      <c r="F114" s="61">
        <f>IF($A114="","",IF($A114&lt;&gt;$A113,IFERROR(INDEX([1]FG_Begin_Inventory!$B:$B,MATCH($A114,[1]FG_Begin_Inventory!$A:$A,0)),0),J113))</f>
        <v>0</v>
      </c>
      <c r="G114" s="61">
        <f t="shared" si="15"/>
        <v>0</v>
      </c>
      <c r="H114" s="62">
        <f t="shared" si="9"/>
        <v>360</v>
      </c>
      <c r="I114" s="62">
        <f t="shared" si="10"/>
        <v>360</v>
      </c>
      <c r="J114" s="62">
        <f t="shared" si="11"/>
        <v>0</v>
      </c>
      <c r="K114" s="62">
        <f t="shared" si="12"/>
        <v>0</v>
      </c>
      <c r="L114" s="62">
        <f t="shared" si="13"/>
        <v>0</v>
      </c>
      <c r="M114" s="63">
        <f t="shared" si="14"/>
        <v>7.1999999999999995E-2</v>
      </c>
      <c r="N114" s="64"/>
    </row>
    <row r="115" spans="1:14" x14ac:dyDescent="0.3">
      <c r="A115" s="58" t="str">
        <v>D</v>
      </c>
      <c r="B115" s="59" t="str">
        <v>456CD</v>
      </c>
      <c r="C115" s="60">
        <v>46298</v>
      </c>
      <c r="D115" s="61">
        <v>5000</v>
      </c>
      <c r="E115" s="62">
        <v>360</v>
      </c>
      <c r="F115" s="61">
        <f>IF($A115="","",IF($A115&lt;&gt;$A114,IFERROR(INDEX([1]FG_Begin_Inventory!$B:$B,MATCH($A115,[1]FG_Begin_Inventory!$A:$A,0)),0),J114))</f>
        <v>0</v>
      </c>
      <c r="G115" s="61">
        <f t="shared" si="15"/>
        <v>0</v>
      </c>
      <c r="H115" s="62">
        <f t="shared" si="9"/>
        <v>360</v>
      </c>
      <c r="I115" s="62">
        <f t="shared" si="10"/>
        <v>360</v>
      </c>
      <c r="J115" s="62">
        <f t="shared" si="11"/>
        <v>0</v>
      </c>
      <c r="K115" s="62">
        <f t="shared" si="12"/>
        <v>0</v>
      </c>
      <c r="L115" s="62">
        <f t="shared" si="13"/>
        <v>0</v>
      </c>
      <c r="M115" s="63">
        <f t="shared" si="14"/>
        <v>7.1999999999999995E-2</v>
      </c>
      <c r="N115" s="64"/>
    </row>
    <row r="116" spans="1:14" x14ac:dyDescent="0.3">
      <c r="A116" s="58" t="str">
        <v>D</v>
      </c>
      <c r="B116" s="59" t="str">
        <v>456CD</v>
      </c>
      <c r="C116" s="60">
        <v>46305</v>
      </c>
      <c r="D116" s="61">
        <v>5000</v>
      </c>
      <c r="E116" s="62">
        <v>360</v>
      </c>
      <c r="F116" s="61">
        <f>IF($A116="","",IF($A116&lt;&gt;$A115,IFERROR(INDEX([1]FG_Begin_Inventory!$B:$B,MATCH($A116,[1]FG_Begin_Inventory!$A:$A,0)),0),J115))</f>
        <v>0</v>
      </c>
      <c r="G116" s="61">
        <f t="shared" si="15"/>
        <v>0</v>
      </c>
      <c r="H116" s="62">
        <f t="shared" si="9"/>
        <v>360</v>
      </c>
      <c r="I116" s="62">
        <f t="shared" si="10"/>
        <v>360</v>
      </c>
      <c r="J116" s="62">
        <f t="shared" si="11"/>
        <v>0</v>
      </c>
      <c r="K116" s="62">
        <f t="shared" si="12"/>
        <v>0</v>
      </c>
      <c r="L116" s="62">
        <f t="shared" si="13"/>
        <v>0</v>
      </c>
      <c r="M116" s="63">
        <f t="shared" si="14"/>
        <v>7.1999999999999995E-2</v>
      </c>
      <c r="N116" s="64"/>
    </row>
    <row r="117" spans="1:14" x14ac:dyDescent="0.3">
      <c r="A117" s="58" t="str">
        <v>D</v>
      </c>
      <c r="B117" s="59" t="str">
        <v>456CD</v>
      </c>
      <c r="C117" s="60">
        <v>46312</v>
      </c>
      <c r="D117" s="61">
        <v>5000</v>
      </c>
      <c r="E117" s="62">
        <v>360</v>
      </c>
      <c r="F117" s="61">
        <f>IF($A117="","",IF($A117&lt;&gt;$A116,IFERROR(INDEX([1]FG_Begin_Inventory!$B:$B,MATCH($A117,[1]FG_Begin_Inventory!$A:$A,0)),0),J116))</f>
        <v>0</v>
      </c>
      <c r="G117" s="61">
        <f t="shared" si="15"/>
        <v>0</v>
      </c>
      <c r="H117" s="62">
        <f t="shared" si="9"/>
        <v>360</v>
      </c>
      <c r="I117" s="62">
        <f t="shared" si="10"/>
        <v>360</v>
      </c>
      <c r="J117" s="62">
        <f t="shared" si="11"/>
        <v>0</v>
      </c>
      <c r="K117" s="62">
        <f t="shared" si="12"/>
        <v>0</v>
      </c>
      <c r="L117" s="62">
        <f t="shared" si="13"/>
        <v>0</v>
      </c>
      <c r="M117" s="63">
        <f t="shared" si="14"/>
        <v>7.1999999999999995E-2</v>
      </c>
      <c r="N117" s="64"/>
    </row>
    <row r="118" spans="1:14" x14ac:dyDescent="0.3">
      <c r="A118" s="58" t="str">
        <v>D</v>
      </c>
      <c r="B118" s="59" t="str">
        <v>456CD</v>
      </c>
      <c r="C118" s="60">
        <v>46319</v>
      </c>
      <c r="D118" s="61">
        <v>5000</v>
      </c>
      <c r="E118" s="62">
        <v>1000</v>
      </c>
      <c r="F118" s="61">
        <f>IF($A118="","",IF($A118&lt;&gt;$A117,IFERROR(INDEX([1]FG_Begin_Inventory!$B:$B,MATCH($A118,[1]FG_Begin_Inventory!$A:$A,0)),0),J117))</f>
        <v>0</v>
      </c>
      <c r="G118" s="61">
        <f t="shared" si="15"/>
        <v>0</v>
      </c>
      <c r="H118" s="62">
        <f t="shared" si="9"/>
        <v>1000</v>
      </c>
      <c r="I118" s="62">
        <f t="shared" si="10"/>
        <v>1000</v>
      </c>
      <c r="J118" s="62">
        <f t="shared" si="11"/>
        <v>0</v>
      </c>
      <c r="K118" s="62">
        <f t="shared" si="12"/>
        <v>0</v>
      </c>
      <c r="L118" s="62">
        <f t="shared" si="13"/>
        <v>0</v>
      </c>
      <c r="M118" s="63">
        <f t="shared" si="14"/>
        <v>0.2</v>
      </c>
      <c r="N118" s="64"/>
    </row>
    <row r="119" spans="1:14" x14ac:dyDescent="0.3">
      <c r="A119" s="58" t="str">
        <v>D</v>
      </c>
      <c r="B119" s="59" t="str">
        <v>456CD</v>
      </c>
      <c r="C119" s="60">
        <v>46326</v>
      </c>
      <c r="D119" s="61">
        <v>5000</v>
      </c>
      <c r="E119" s="62">
        <v>1000</v>
      </c>
      <c r="F119" s="61">
        <f>IF($A119="","",IF($A119&lt;&gt;$A118,IFERROR(INDEX([1]FG_Begin_Inventory!$B:$B,MATCH($A119,[1]FG_Begin_Inventory!$A:$A,0)),0),J118))</f>
        <v>0</v>
      </c>
      <c r="G119" s="61">
        <f t="shared" si="15"/>
        <v>0</v>
      </c>
      <c r="H119" s="62">
        <f t="shared" si="9"/>
        <v>1000</v>
      </c>
      <c r="I119" s="62">
        <f t="shared" si="10"/>
        <v>1000</v>
      </c>
      <c r="J119" s="62">
        <f t="shared" si="11"/>
        <v>0</v>
      </c>
      <c r="K119" s="62">
        <f t="shared" si="12"/>
        <v>0</v>
      </c>
      <c r="L119" s="62">
        <f t="shared" si="13"/>
        <v>0</v>
      </c>
      <c r="M119" s="63">
        <f t="shared" si="14"/>
        <v>0.2</v>
      </c>
      <c r="N119" s="64"/>
    </row>
    <row r="120" spans="1:14" x14ac:dyDescent="0.3">
      <c r="A120" s="58" t="str">
        <v>D</v>
      </c>
      <c r="B120" s="59" t="str">
        <v>456CD</v>
      </c>
      <c r="C120" s="60">
        <v>46333</v>
      </c>
      <c r="D120" s="61">
        <v>5000</v>
      </c>
      <c r="E120" s="62">
        <v>1000</v>
      </c>
      <c r="F120" s="61">
        <f>IF($A120="","",IF($A120&lt;&gt;$A119,IFERROR(INDEX([1]FG_Begin_Inventory!$B:$B,MATCH($A120,[1]FG_Begin_Inventory!$A:$A,0)),0),J119))</f>
        <v>0</v>
      </c>
      <c r="G120" s="61">
        <f t="shared" si="15"/>
        <v>0</v>
      </c>
      <c r="H120" s="62">
        <f t="shared" si="9"/>
        <v>1000</v>
      </c>
      <c r="I120" s="62">
        <f t="shared" si="10"/>
        <v>1000</v>
      </c>
      <c r="J120" s="62">
        <f t="shared" si="11"/>
        <v>0</v>
      </c>
      <c r="K120" s="62">
        <f t="shared" si="12"/>
        <v>0</v>
      </c>
      <c r="L120" s="62">
        <f t="shared" si="13"/>
        <v>0</v>
      </c>
      <c r="M120" s="63">
        <f t="shared" si="14"/>
        <v>0.2</v>
      </c>
      <c r="N120" s="64"/>
    </row>
    <row r="121" spans="1:14" x14ac:dyDescent="0.3">
      <c r="A121" s="58" t="str">
        <v>D</v>
      </c>
      <c r="B121" s="59" t="str">
        <v>456CD</v>
      </c>
      <c r="C121" s="60">
        <v>46340</v>
      </c>
      <c r="D121" s="61">
        <v>5000</v>
      </c>
      <c r="E121" s="62">
        <v>1000</v>
      </c>
      <c r="F121" s="61">
        <f>IF($A121="","",IF($A121&lt;&gt;$A120,IFERROR(INDEX([1]FG_Begin_Inventory!$B:$B,MATCH($A121,[1]FG_Begin_Inventory!$A:$A,0)),0),J120))</f>
        <v>0</v>
      </c>
      <c r="G121" s="61">
        <f t="shared" si="15"/>
        <v>0</v>
      </c>
      <c r="H121" s="62">
        <f t="shared" si="9"/>
        <v>1000</v>
      </c>
      <c r="I121" s="62">
        <f t="shared" si="10"/>
        <v>1000</v>
      </c>
      <c r="J121" s="62">
        <f t="shared" si="11"/>
        <v>0</v>
      </c>
      <c r="K121" s="62">
        <f t="shared" si="12"/>
        <v>0</v>
      </c>
      <c r="L121" s="62">
        <f t="shared" si="13"/>
        <v>0</v>
      </c>
      <c r="M121" s="63">
        <f t="shared" si="14"/>
        <v>0.2</v>
      </c>
      <c r="N121" s="64"/>
    </row>
    <row r="122" spans="1:14" x14ac:dyDescent="0.3">
      <c r="A122" s="58" t="str">
        <v>D</v>
      </c>
      <c r="B122" s="59" t="str">
        <v>456CD</v>
      </c>
      <c r="C122" s="60">
        <v>46347</v>
      </c>
      <c r="D122" s="61">
        <v>5000</v>
      </c>
      <c r="E122" s="62">
        <v>1250</v>
      </c>
      <c r="F122" s="61">
        <f>IF($A122="","",IF($A122&lt;&gt;$A121,IFERROR(INDEX([1]FG_Begin_Inventory!$B:$B,MATCH($A122,[1]FG_Begin_Inventory!$A:$A,0)),0),J121))</f>
        <v>0</v>
      </c>
      <c r="G122" s="61">
        <f t="shared" si="15"/>
        <v>0</v>
      </c>
      <c r="H122" s="62">
        <f t="shared" si="9"/>
        <v>1250</v>
      </c>
      <c r="I122" s="62">
        <f t="shared" si="10"/>
        <v>1250</v>
      </c>
      <c r="J122" s="62">
        <f t="shared" si="11"/>
        <v>0</v>
      </c>
      <c r="K122" s="62">
        <f t="shared" si="12"/>
        <v>0</v>
      </c>
      <c r="L122" s="62">
        <f t="shared" si="13"/>
        <v>0</v>
      </c>
      <c r="M122" s="63">
        <f t="shared" si="14"/>
        <v>0.25</v>
      </c>
      <c r="N122" s="64"/>
    </row>
    <row r="123" spans="1:14" x14ac:dyDescent="0.3">
      <c r="A123" s="58" t="str">
        <v>D</v>
      </c>
      <c r="B123" s="59" t="str">
        <v>456CD</v>
      </c>
      <c r="C123" s="60">
        <v>46354</v>
      </c>
      <c r="D123" s="61">
        <v>5000</v>
      </c>
      <c r="E123" s="62">
        <v>1250</v>
      </c>
      <c r="F123" s="61">
        <f>IF($A123="","",IF($A123&lt;&gt;$A122,IFERROR(INDEX([1]FG_Begin_Inventory!$B:$B,MATCH($A123,[1]FG_Begin_Inventory!$A:$A,0)),0),J122))</f>
        <v>0</v>
      </c>
      <c r="G123" s="61">
        <f t="shared" si="15"/>
        <v>0</v>
      </c>
      <c r="H123" s="62">
        <f t="shared" si="9"/>
        <v>1250</v>
      </c>
      <c r="I123" s="62">
        <f t="shared" si="10"/>
        <v>1250</v>
      </c>
      <c r="J123" s="62">
        <f t="shared" si="11"/>
        <v>0</v>
      </c>
      <c r="K123" s="62">
        <f t="shared" si="12"/>
        <v>0</v>
      </c>
      <c r="L123" s="62">
        <f t="shared" si="13"/>
        <v>0</v>
      </c>
      <c r="M123" s="63">
        <f t="shared" si="14"/>
        <v>0.25</v>
      </c>
      <c r="N123" s="64"/>
    </row>
    <row r="124" spans="1:14" x14ac:dyDescent="0.3">
      <c r="A124" s="58" t="str">
        <v>D</v>
      </c>
      <c r="B124" s="59" t="str">
        <v>456CD</v>
      </c>
      <c r="C124" s="60">
        <v>46361</v>
      </c>
      <c r="D124" s="61">
        <v>5000</v>
      </c>
      <c r="E124" s="62">
        <v>1250</v>
      </c>
      <c r="F124" s="61">
        <f>IF($A124="","",IF($A124&lt;&gt;$A123,IFERROR(INDEX([1]FG_Begin_Inventory!$B:$B,MATCH($A124,[1]FG_Begin_Inventory!$A:$A,0)),0),J123))</f>
        <v>0</v>
      </c>
      <c r="G124" s="61">
        <f t="shared" si="15"/>
        <v>0</v>
      </c>
      <c r="H124" s="62">
        <f t="shared" si="9"/>
        <v>1250</v>
      </c>
      <c r="I124" s="62">
        <f t="shared" si="10"/>
        <v>1250</v>
      </c>
      <c r="J124" s="62">
        <f t="shared" si="11"/>
        <v>0</v>
      </c>
      <c r="K124" s="62">
        <f t="shared" si="12"/>
        <v>0</v>
      </c>
      <c r="L124" s="62">
        <f t="shared" si="13"/>
        <v>0</v>
      </c>
      <c r="M124" s="63">
        <f t="shared" si="14"/>
        <v>0.25</v>
      </c>
      <c r="N124" s="64"/>
    </row>
    <row r="125" spans="1:14" x14ac:dyDescent="0.3">
      <c r="A125" s="58" t="str">
        <v>D</v>
      </c>
      <c r="B125" s="59" t="str">
        <v>456CD</v>
      </c>
      <c r="C125" s="60">
        <v>46368</v>
      </c>
      <c r="D125" s="61">
        <v>5000</v>
      </c>
      <c r="E125" s="62">
        <v>1250</v>
      </c>
      <c r="F125" s="61">
        <f>IF($A125="","",IF($A125&lt;&gt;$A124,IFERROR(INDEX([1]FG_Begin_Inventory!$B:$B,MATCH($A125,[1]FG_Begin_Inventory!$A:$A,0)),0),J124))</f>
        <v>0</v>
      </c>
      <c r="G125" s="61">
        <f t="shared" si="15"/>
        <v>0</v>
      </c>
      <c r="H125" s="62">
        <f t="shared" si="9"/>
        <v>1250</v>
      </c>
      <c r="I125" s="62">
        <f t="shared" si="10"/>
        <v>1250</v>
      </c>
      <c r="J125" s="62">
        <f t="shared" si="11"/>
        <v>0</v>
      </c>
      <c r="K125" s="62">
        <f t="shared" si="12"/>
        <v>0</v>
      </c>
      <c r="L125" s="62">
        <f t="shared" si="13"/>
        <v>0</v>
      </c>
      <c r="M125" s="63">
        <f t="shared" si="14"/>
        <v>0.25</v>
      </c>
      <c r="N125" s="64"/>
    </row>
    <row r="126" spans="1:14" x14ac:dyDescent="0.3">
      <c r="A126" s="58" t="str">
        <v>E</v>
      </c>
      <c r="B126" s="59" t="str">
        <v>789EF</v>
      </c>
      <c r="C126" s="60">
        <v>46137</v>
      </c>
      <c r="D126" s="61">
        <v>3000</v>
      </c>
      <c r="E126" s="62">
        <v>472</v>
      </c>
      <c r="F126" s="61">
        <f>IF($A126="","",IF($A126&lt;&gt;$A125,IFERROR(INDEX([1]FG_Begin_Inventory!$B:$B,MATCH($A126,[1]FG_Begin_Inventory!$A:$A,0)),0),J125))</f>
        <v>0</v>
      </c>
      <c r="G126" s="61">
        <f t="shared" si="15"/>
        <v>0</v>
      </c>
      <c r="H126" s="62">
        <f t="shared" si="9"/>
        <v>472</v>
      </c>
      <c r="I126" s="62">
        <f t="shared" si="10"/>
        <v>472</v>
      </c>
      <c r="J126" s="62">
        <f t="shared" si="11"/>
        <v>0</v>
      </c>
      <c r="K126" s="62">
        <f t="shared" si="12"/>
        <v>0</v>
      </c>
      <c r="L126" s="62">
        <f t="shared" si="13"/>
        <v>0</v>
      </c>
      <c r="M126" s="63">
        <f t="shared" si="14"/>
        <v>0.15733333333333333</v>
      </c>
      <c r="N126" s="64"/>
    </row>
    <row r="127" spans="1:14" x14ac:dyDescent="0.3">
      <c r="A127" s="58" t="str">
        <v>E</v>
      </c>
      <c r="B127" s="59" t="str">
        <v>789EF</v>
      </c>
      <c r="C127" s="60">
        <v>46144</v>
      </c>
      <c r="D127" s="61">
        <v>3000</v>
      </c>
      <c r="E127" s="62">
        <v>300</v>
      </c>
      <c r="F127" s="61">
        <f>IF($A127="","",IF($A127&lt;&gt;$A126,IFERROR(INDEX([1]FG_Begin_Inventory!$B:$B,MATCH($A127,[1]FG_Begin_Inventory!$A:$A,0)),0),J126))</f>
        <v>0</v>
      </c>
      <c r="G127" s="61">
        <f t="shared" si="15"/>
        <v>0</v>
      </c>
      <c r="H127" s="62">
        <f t="shared" si="9"/>
        <v>300</v>
      </c>
      <c r="I127" s="62">
        <f t="shared" si="10"/>
        <v>300</v>
      </c>
      <c r="J127" s="62">
        <f t="shared" si="11"/>
        <v>0</v>
      </c>
      <c r="K127" s="62">
        <f t="shared" si="12"/>
        <v>0</v>
      </c>
      <c r="L127" s="62">
        <f t="shared" si="13"/>
        <v>0</v>
      </c>
      <c r="M127" s="63">
        <f t="shared" si="14"/>
        <v>0.1</v>
      </c>
      <c r="N127" s="64"/>
    </row>
    <row r="128" spans="1:14" x14ac:dyDescent="0.3">
      <c r="A128" s="58" t="str">
        <v>E</v>
      </c>
      <c r="B128" s="59" t="str">
        <v>789EF</v>
      </c>
      <c r="C128" s="60">
        <v>46151</v>
      </c>
      <c r="D128" s="61">
        <v>3000</v>
      </c>
      <c r="E128" s="62">
        <v>698</v>
      </c>
      <c r="F128" s="61">
        <f>IF($A128="","",IF($A128&lt;&gt;$A127,IFERROR(INDEX([1]FG_Begin_Inventory!$B:$B,MATCH($A128,[1]FG_Begin_Inventory!$A:$A,0)),0),J127))</f>
        <v>0</v>
      </c>
      <c r="G128" s="61">
        <f t="shared" si="15"/>
        <v>0</v>
      </c>
      <c r="H128" s="62">
        <f t="shared" si="9"/>
        <v>698</v>
      </c>
      <c r="I128" s="62">
        <f t="shared" si="10"/>
        <v>698</v>
      </c>
      <c r="J128" s="62">
        <f t="shared" si="11"/>
        <v>0</v>
      </c>
      <c r="K128" s="62">
        <f t="shared" si="12"/>
        <v>0</v>
      </c>
      <c r="L128" s="62">
        <f t="shared" si="13"/>
        <v>0</v>
      </c>
      <c r="M128" s="63">
        <f t="shared" si="14"/>
        <v>0.23266666666666666</v>
      </c>
      <c r="N128" s="64"/>
    </row>
    <row r="129" spans="1:14" x14ac:dyDescent="0.3">
      <c r="A129" s="58" t="str">
        <v>E</v>
      </c>
      <c r="B129" s="59" t="str">
        <v>789EF</v>
      </c>
      <c r="C129" s="60">
        <v>46165</v>
      </c>
      <c r="D129" s="61">
        <v>3000</v>
      </c>
      <c r="E129" s="62">
        <v>300</v>
      </c>
      <c r="F129" s="61">
        <f>IF($A129="","",IF($A129&lt;&gt;$A128,IFERROR(INDEX([1]FG_Begin_Inventory!$B:$B,MATCH($A129,[1]FG_Begin_Inventory!$A:$A,0)),0),J128))</f>
        <v>0</v>
      </c>
      <c r="G129" s="61">
        <f t="shared" si="15"/>
        <v>0</v>
      </c>
      <c r="H129" s="62">
        <f t="shared" si="9"/>
        <v>300</v>
      </c>
      <c r="I129" s="62">
        <f t="shared" si="10"/>
        <v>300</v>
      </c>
      <c r="J129" s="62">
        <f t="shared" si="11"/>
        <v>0</v>
      </c>
      <c r="K129" s="62">
        <f t="shared" si="12"/>
        <v>0</v>
      </c>
      <c r="L129" s="62">
        <f t="shared" si="13"/>
        <v>0</v>
      </c>
      <c r="M129" s="63">
        <f t="shared" si="14"/>
        <v>0.1</v>
      </c>
      <c r="N129" s="64"/>
    </row>
    <row r="130" spans="1:14" x14ac:dyDescent="0.3">
      <c r="A130" s="58" t="str">
        <v>E</v>
      </c>
      <c r="B130" s="59" t="str">
        <v>789EF</v>
      </c>
      <c r="C130" s="60">
        <v>46186</v>
      </c>
      <c r="D130" s="61">
        <v>3000</v>
      </c>
      <c r="E130" s="62">
        <v>300</v>
      </c>
      <c r="F130" s="61">
        <f>IF($A130="","",IF($A130&lt;&gt;$A129,IFERROR(INDEX([1]FG_Begin_Inventory!$B:$B,MATCH($A130,[1]FG_Begin_Inventory!$A:$A,0)),0),J129))</f>
        <v>0</v>
      </c>
      <c r="G130" s="61">
        <f t="shared" ref="G130:G161" si="16">IF($A130="","",IF($A130&lt;&gt;$A131,0,MAX(0,G131+E131-D131)))</f>
        <v>0</v>
      </c>
      <c r="H130" s="62">
        <f t="shared" ref="H130:H193" si="17">IF($A130="","",MAX(0,E130+G130-F130))</f>
        <v>300</v>
      </c>
      <c r="I130" s="62">
        <f t="shared" ref="I130:I193" si="18">IF($A130="","",MIN(D130,H130))</f>
        <v>300</v>
      </c>
      <c r="J130" s="62">
        <f t="shared" ref="J130:J193" si="19">IF($A130="","",MAX(0,F130+I130-E130))</f>
        <v>0</v>
      </c>
      <c r="K130" s="62">
        <f t="shared" ref="K130:K193" si="20">IF($A130="","",MAX(0,E130-F130-I130))</f>
        <v>0</v>
      </c>
      <c r="L130" s="62">
        <f t="shared" ref="L130:L193" si="21">IF($A130="","",MAX(0,F130+I130-E130))</f>
        <v>0</v>
      </c>
      <c r="M130" s="63">
        <f t="shared" ref="M130:M193" si="22">IF($A130="","",IFERROR(I130/D130,0))</f>
        <v>0.1</v>
      </c>
      <c r="N130" s="64"/>
    </row>
    <row r="131" spans="1:14" x14ac:dyDescent="0.3">
      <c r="A131" s="58" t="str">
        <v>E</v>
      </c>
      <c r="B131" s="59" t="str">
        <v>789EF</v>
      </c>
      <c r="C131" s="60">
        <v>46200</v>
      </c>
      <c r="D131" s="61">
        <v>3000</v>
      </c>
      <c r="E131" s="62">
        <v>700</v>
      </c>
      <c r="F131" s="61">
        <f>IF($A131="","",IF($A131&lt;&gt;$A130,IFERROR(INDEX([1]FG_Begin_Inventory!$B:$B,MATCH($A131,[1]FG_Begin_Inventory!$A:$A,0)),0),J130))</f>
        <v>0</v>
      </c>
      <c r="G131" s="61">
        <f t="shared" si="16"/>
        <v>0</v>
      </c>
      <c r="H131" s="62">
        <f t="shared" si="17"/>
        <v>700</v>
      </c>
      <c r="I131" s="62">
        <f t="shared" si="18"/>
        <v>700</v>
      </c>
      <c r="J131" s="62">
        <f t="shared" si="19"/>
        <v>0</v>
      </c>
      <c r="K131" s="62">
        <f t="shared" si="20"/>
        <v>0</v>
      </c>
      <c r="L131" s="62">
        <f t="shared" si="21"/>
        <v>0</v>
      </c>
      <c r="M131" s="63">
        <f t="shared" si="22"/>
        <v>0.23333333333333334</v>
      </c>
      <c r="N131" s="64"/>
    </row>
    <row r="132" spans="1:14" x14ac:dyDescent="0.3">
      <c r="A132" s="58" t="str">
        <v>E</v>
      </c>
      <c r="B132" s="59" t="str">
        <v>789EF</v>
      </c>
      <c r="C132" s="60">
        <v>46207</v>
      </c>
      <c r="D132" s="61">
        <v>3000</v>
      </c>
      <c r="E132" s="62">
        <v>300</v>
      </c>
      <c r="F132" s="61">
        <f>IF($A132="","",IF($A132&lt;&gt;$A131,IFERROR(INDEX([1]FG_Begin_Inventory!$B:$B,MATCH($A132,[1]FG_Begin_Inventory!$A:$A,0)),0),J131))</f>
        <v>0</v>
      </c>
      <c r="G132" s="61">
        <f t="shared" si="16"/>
        <v>0</v>
      </c>
      <c r="H132" s="62">
        <f t="shared" si="17"/>
        <v>300</v>
      </c>
      <c r="I132" s="62">
        <f t="shared" si="18"/>
        <v>300</v>
      </c>
      <c r="J132" s="62">
        <f t="shared" si="19"/>
        <v>0</v>
      </c>
      <c r="K132" s="62">
        <f t="shared" si="20"/>
        <v>0</v>
      </c>
      <c r="L132" s="62">
        <f t="shared" si="21"/>
        <v>0</v>
      </c>
      <c r="M132" s="63">
        <f t="shared" si="22"/>
        <v>0.1</v>
      </c>
      <c r="N132" s="64"/>
    </row>
    <row r="133" spans="1:14" x14ac:dyDescent="0.3">
      <c r="A133" s="58" t="str">
        <v>E</v>
      </c>
      <c r="B133" s="59" t="str">
        <v>789EF</v>
      </c>
      <c r="C133" s="60">
        <v>46214</v>
      </c>
      <c r="D133" s="61">
        <v>3000</v>
      </c>
      <c r="E133" s="62">
        <v>300</v>
      </c>
      <c r="F133" s="61">
        <f>IF($A133="","",IF($A133&lt;&gt;$A132,IFERROR(INDEX([1]FG_Begin_Inventory!$B:$B,MATCH($A133,[1]FG_Begin_Inventory!$A:$A,0)),0),J132))</f>
        <v>0</v>
      </c>
      <c r="G133" s="61">
        <f t="shared" si="16"/>
        <v>0</v>
      </c>
      <c r="H133" s="62">
        <f t="shared" si="17"/>
        <v>300</v>
      </c>
      <c r="I133" s="62">
        <f t="shared" si="18"/>
        <v>300</v>
      </c>
      <c r="J133" s="62">
        <f t="shared" si="19"/>
        <v>0</v>
      </c>
      <c r="K133" s="62">
        <f t="shared" si="20"/>
        <v>0</v>
      </c>
      <c r="L133" s="62">
        <f t="shared" si="21"/>
        <v>0</v>
      </c>
      <c r="M133" s="63">
        <f t="shared" si="22"/>
        <v>0.1</v>
      </c>
      <c r="N133" s="64"/>
    </row>
    <row r="134" spans="1:14" x14ac:dyDescent="0.3">
      <c r="A134" s="58" t="str">
        <v>E</v>
      </c>
      <c r="B134" s="59" t="str">
        <v>789EF</v>
      </c>
      <c r="C134" s="60">
        <v>46221</v>
      </c>
      <c r="D134" s="61">
        <v>3000</v>
      </c>
      <c r="E134" s="62">
        <v>300</v>
      </c>
      <c r="F134" s="61">
        <f>IF($A134="","",IF($A134&lt;&gt;$A133,IFERROR(INDEX([1]FG_Begin_Inventory!$B:$B,MATCH($A134,[1]FG_Begin_Inventory!$A:$A,0)),0),J133))</f>
        <v>0</v>
      </c>
      <c r="G134" s="61">
        <f t="shared" si="16"/>
        <v>0</v>
      </c>
      <c r="H134" s="62">
        <f t="shared" si="17"/>
        <v>300</v>
      </c>
      <c r="I134" s="62">
        <f t="shared" si="18"/>
        <v>300</v>
      </c>
      <c r="J134" s="62">
        <f t="shared" si="19"/>
        <v>0</v>
      </c>
      <c r="K134" s="62">
        <f t="shared" si="20"/>
        <v>0</v>
      </c>
      <c r="L134" s="62">
        <f t="shared" si="21"/>
        <v>0</v>
      </c>
      <c r="M134" s="63">
        <f t="shared" si="22"/>
        <v>0.1</v>
      </c>
      <c r="N134" s="64"/>
    </row>
    <row r="135" spans="1:14" x14ac:dyDescent="0.3">
      <c r="A135" s="58" t="str">
        <v>E</v>
      </c>
      <c r="B135" s="59" t="str">
        <v>789EF</v>
      </c>
      <c r="C135" s="60">
        <v>46242</v>
      </c>
      <c r="D135" s="61">
        <v>3000</v>
      </c>
      <c r="E135" s="62">
        <v>300</v>
      </c>
      <c r="F135" s="61">
        <f>IF($A135="","",IF($A135&lt;&gt;$A134,IFERROR(INDEX([1]FG_Begin_Inventory!$B:$B,MATCH($A135,[1]FG_Begin_Inventory!$A:$A,0)),0),J134))</f>
        <v>0</v>
      </c>
      <c r="G135" s="61">
        <f t="shared" si="16"/>
        <v>0</v>
      </c>
      <c r="H135" s="62">
        <f t="shared" si="17"/>
        <v>300</v>
      </c>
      <c r="I135" s="62">
        <f t="shared" si="18"/>
        <v>300</v>
      </c>
      <c r="J135" s="62">
        <f t="shared" si="19"/>
        <v>0</v>
      </c>
      <c r="K135" s="62">
        <f t="shared" si="20"/>
        <v>0</v>
      </c>
      <c r="L135" s="62">
        <f t="shared" si="21"/>
        <v>0</v>
      </c>
      <c r="M135" s="63">
        <f t="shared" si="22"/>
        <v>0.1</v>
      </c>
      <c r="N135" s="64"/>
    </row>
    <row r="136" spans="1:14" x14ac:dyDescent="0.3">
      <c r="A136" s="58" t="str">
        <v>E</v>
      </c>
      <c r="B136" s="59" t="str">
        <v>789EF</v>
      </c>
      <c r="C136" s="60">
        <v>46263</v>
      </c>
      <c r="D136" s="61">
        <v>3000</v>
      </c>
      <c r="E136" s="62">
        <v>300</v>
      </c>
      <c r="F136" s="61">
        <f>IF($A136="","",IF($A136&lt;&gt;$A135,IFERROR(INDEX([1]FG_Begin_Inventory!$B:$B,MATCH($A136,[1]FG_Begin_Inventory!$A:$A,0)),0),J135))</f>
        <v>0</v>
      </c>
      <c r="G136" s="61">
        <f t="shared" si="16"/>
        <v>0</v>
      </c>
      <c r="H136" s="62">
        <f t="shared" si="17"/>
        <v>300</v>
      </c>
      <c r="I136" s="62">
        <f t="shared" si="18"/>
        <v>300</v>
      </c>
      <c r="J136" s="62">
        <f t="shared" si="19"/>
        <v>0</v>
      </c>
      <c r="K136" s="62">
        <f t="shared" si="20"/>
        <v>0</v>
      </c>
      <c r="L136" s="62">
        <f t="shared" si="21"/>
        <v>0</v>
      </c>
      <c r="M136" s="63">
        <f t="shared" si="22"/>
        <v>0.1</v>
      </c>
      <c r="N136" s="64"/>
    </row>
    <row r="137" spans="1:14" x14ac:dyDescent="0.3">
      <c r="A137" s="58" t="str">
        <v>E</v>
      </c>
      <c r="B137" s="59" t="str">
        <v>789EF</v>
      </c>
      <c r="C137" s="60">
        <v>46291</v>
      </c>
      <c r="D137" s="61">
        <v>3000</v>
      </c>
      <c r="E137" s="62">
        <v>300</v>
      </c>
      <c r="F137" s="61">
        <f>IF($A137="","",IF($A137&lt;&gt;$A136,IFERROR(INDEX([1]FG_Begin_Inventory!$B:$B,MATCH($A137,[1]FG_Begin_Inventory!$A:$A,0)),0),J136))</f>
        <v>0</v>
      </c>
      <c r="G137" s="61">
        <f t="shared" si="16"/>
        <v>0</v>
      </c>
      <c r="H137" s="62">
        <f t="shared" si="17"/>
        <v>300</v>
      </c>
      <c r="I137" s="62">
        <f t="shared" si="18"/>
        <v>300</v>
      </c>
      <c r="J137" s="62">
        <f t="shared" si="19"/>
        <v>0</v>
      </c>
      <c r="K137" s="62">
        <f t="shared" si="20"/>
        <v>0</v>
      </c>
      <c r="L137" s="62">
        <f t="shared" si="21"/>
        <v>0</v>
      </c>
      <c r="M137" s="63">
        <f t="shared" si="22"/>
        <v>0.1</v>
      </c>
      <c r="N137" s="64"/>
    </row>
    <row r="138" spans="1:14" x14ac:dyDescent="0.3">
      <c r="A138" s="58" t="str">
        <v>E</v>
      </c>
      <c r="B138" s="59" t="str">
        <v>789EF</v>
      </c>
      <c r="C138" s="60">
        <v>46326</v>
      </c>
      <c r="D138" s="61">
        <v>3000</v>
      </c>
      <c r="E138" s="62">
        <v>300</v>
      </c>
      <c r="F138" s="61">
        <f>IF($A138="","",IF($A138&lt;&gt;$A137,IFERROR(INDEX([1]FG_Begin_Inventory!$B:$B,MATCH($A138,[1]FG_Begin_Inventory!$A:$A,0)),0),J137))</f>
        <v>0</v>
      </c>
      <c r="G138" s="61">
        <f t="shared" si="16"/>
        <v>0</v>
      </c>
      <c r="H138" s="62">
        <f t="shared" si="17"/>
        <v>300</v>
      </c>
      <c r="I138" s="62">
        <f t="shared" si="18"/>
        <v>300</v>
      </c>
      <c r="J138" s="62">
        <f t="shared" si="19"/>
        <v>0</v>
      </c>
      <c r="K138" s="62">
        <f t="shared" si="20"/>
        <v>0</v>
      </c>
      <c r="L138" s="62">
        <f t="shared" si="21"/>
        <v>0</v>
      </c>
      <c r="M138" s="63">
        <f t="shared" si="22"/>
        <v>0.1</v>
      </c>
      <c r="N138" s="64"/>
    </row>
    <row r="139" spans="1:14" x14ac:dyDescent="0.3">
      <c r="A139" s="58" t="str">
        <v>E</v>
      </c>
      <c r="B139" s="59" t="str">
        <v>789EF</v>
      </c>
      <c r="C139" s="60">
        <v>46354</v>
      </c>
      <c r="D139" s="61">
        <v>3000</v>
      </c>
      <c r="E139" s="62">
        <v>300</v>
      </c>
      <c r="F139" s="61">
        <f>IF($A139="","",IF($A139&lt;&gt;$A138,IFERROR(INDEX([1]FG_Begin_Inventory!$B:$B,MATCH($A139,[1]FG_Begin_Inventory!$A:$A,0)),0),J138))</f>
        <v>0</v>
      </c>
      <c r="G139" s="61">
        <f t="shared" si="16"/>
        <v>0</v>
      </c>
      <c r="H139" s="62">
        <f t="shared" si="17"/>
        <v>300</v>
      </c>
      <c r="I139" s="62">
        <f t="shared" si="18"/>
        <v>300</v>
      </c>
      <c r="J139" s="62">
        <f t="shared" si="19"/>
        <v>0</v>
      </c>
      <c r="K139" s="62">
        <f t="shared" si="20"/>
        <v>0</v>
      </c>
      <c r="L139" s="62">
        <f t="shared" si="21"/>
        <v>0</v>
      </c>
      <c r="M139" s="63">
        <f t="shared" si="22"/>
        <v>0.1</v>
      </c>
      <c r="N139" s="64"/>
    </row>
    <row r="140" spans="1:14" x14ac:dyDescent="0.3">
      <c r="A140" s="58" t="str">
        <v>F</v>
      </c>
      <c r="B140" s="59" t="str">
        <v>789EF</v>
      </c>
      <c r="C140" s="60">
        <v>46130</v>
      </c>
      <c r="D140" s="61">
        <v>3000</v>
      </c>
      <c r="E140" s="62">
        <v>588</v>
      </c>
      <c r="F140" s="61">
        <f>IF($A140="","",IF($A140&lt;&gt;$A139,IFERROR(INDEX([1]FG_Begin_Inventory!$B:$B,MATCH($A140,[1]FG_Begin_Inventory!$A:$A,0)),0),J139))</f>
        <v>0</v>
      </c>
      <c r="G140" s="61">
        <f t="shared" si="16"/>
        <v>15976</v>
      </c>
      <c r="H140" s="62">
        <f t="shared" si="17"/>
        <v>16564</v>
      </c>
      <c r="I140" s="62">
        <f t="shared" si="18"/>
        <v>3000</v>
      </c>
      <c r="J140" s="62">
        <f t="shared" si="19"/>
        <v>2412</v>
      </c>
      <c r="K140" s="62">
        <f t="shared" si="20"/>
        <v>0</v>
      </c>
      <c r="L140" s="62">
        <f t="shared" si="21"/>
        <v>2412</v>
      </c>
      <c r="M140" s="63">
        <f t="shared" si="22"/>
        <v>1</v>
      </c>
      <c r="N140" s="64"/>
    </row>
    <row r="141" spans="1:14" x14ac:dyDescent="0.3">
      <c r="A141" s="58" t="str">
        <v>F</v>
      </c>
      <c r="B141" s="59" t="str">
        <v>789EF</v>
      </c>
      <c r="C141" s="60">
        <v>46137</v>
      </c>
      <c r="D141" s="61">
        <v>3000</v>
      </c>
      <c r="E141" s="62">
        <v>4028</v>
      </c>
      <c r="F141" s="61">
        <f>IF($A141="","",IF($A141&lt;&gt;$A140,IFERROR(INDEX([1]FG_Begin_Inventory!$B:$B,MATCH($A141,[1]FG_Begin_Inventory!$A:$A,0)),0),J140))</f>
        <v>2412</v>
      </c>
      <c r="G141" s="61">
        <f t="shared" si="16"/>
        <v>14948</v>
      </c>
      <c r="H141" s="62">
        <f t="shared" si="17"/>
        <v>16564</v>
      </c>
      <c r="I141" s="62">
        <f t="shared" si="18"/>
        <v>3000</v>
      </c>
      <c r="J141" s="62">
        <f t="shared" si="19"/>
        <v>1384</v>
      </c>
      <c r="K141" s="62">
        <f t="shared" si="20"/>
        <v>0</v>
      </c>
      <c r="L141" s="62">
        <f t="shared" si="21"/>
        <v>1384</v>
      </c>
      <c r="M141" s="63">
        <f t="shared" si="22"/>
        <v>1</v>
      </c>
      <c r="N141" s="64"/>
    </row>
    <row r="142" spans="1:14" x14ac:dyDescent="0.3">
      <c r="A142" s="58" t="str">
        <v>F</v>
      </c>
      <c r="B142" s="59" t="str">
        <v>789EF</v>
      </c>
      <c r="C142" s="60">
        <v>46144</v>
      </c>
      <c r="D142" s="61">
        <v>3000</v>
      </c>
      <c r="E142" s="62">
        <v>4200</v>
      </c>
      <c r="F142" s="61">
        <f>IF($A142="","",IF($A142&lt;&gt;$A141,IFERROR(INDEX([1]FG_Begin_Inventory!$B:$B,MATCH($A142,[1]FG_Begin_Inventory!$A:$A,0)),0),J141))</f>
        <v>1384</v>
      </c>
      <c r="G142" s="61">
        <f t="shared" si="16"/>
        <v>13748</v>
      </c>
      <c r="H142" s="62">
        <f t="shared" si="17"/>
        <v>16564</v>
      </c>
      <c r="I142" s="62">
        <f t="shared" si="18"/>
        <v>3000</v>
      </c>
      <c r="J142" s="62">
        <f t="shared" si="19"/>
        <v>184</v>
      </c>
      <c r="K142" s="62">
        <f t="shared" si="20"/>
        <v>0</v>
      </c>
      <c r="L142" s="62">
        <f t="shared" si="21"/>
        <v>184</v>
      </c>
      <c r="M142" s="63">
        <f t="shared" si="22"/>
        <v>1</v>
      </c>
      <c r="N142" s="64"/>
    </row>
    <row r="143" spans="1:14" x14ac:dyDescent="0.3">
      <c r="A143" s="58" t="str">
        <v>F</v>
      </c>
      <c r="B143" s="59" t="str">
        <v>789EF</v>
      </c>
      <c r="C143" s="60">
        <v>46151</v>
      </c>
      <c r="D143" s="61">
        <v>3000</v>
      </c>
      <c r="E143" s="62">
        <v>3802</v>
      </c>
      <c r="F143" s="61">
        <f>IF($A143="","",IF($A143&lt;&gt;$A142,IFERROR(INDEX([1]FG_Begin_Inventory!$B:$B,MATCH($A143,[1]FG_Begin_Inventory!$A:$A,0)),0),J142))</f>
        <v>184</v>
      </c>
      <c r="G143" s="61">
        <f t="shared" si="16"/>
        <v>12946</v>
      </c>
      <c r="H143" s="62">
        <f t="shared" si="17"/>
        <v>16564</v>
      </c>
      <c r="I143" s="62">
        <f t="shared" si="18"/>
        <v>3000</v>
      </c>
      <c r="J143" s="62">
        <f t="shared" si="19"/>
        <v>0</v>
      </c>
      <c r="K143" s="62">
        <f t="shared" si="20"/>
        <v>618</v>
      </c>
      <c r="L143" s="62">
        <f t="shared" si="21"/>
        <v>0</v>
      </c>
      <c r="M143" s="63">
        <f t="shared" si="22"/>
        <v>1</v>
      </c>
      <c r="N143" s="64"/>
    </row>
    <row r="144" spans="1:14" x14ac:dyDescent="0.3">
      <c r="A144" s="58" t="str">
        <v>F</v>
      </c>
      <c r="B144" s="59" t="str">
        <v>789EF</v>
      </c>
      <c r="C144" s="60">
        <v>46158</v>
      </c>
      <c r="D144" s="61">
        <v>3000</v>
      </c>
      <c r="E144" s="62">
        <v>4500</v>
      </c>
      <c r="F144" s="61">
        <f>IF($A144="","",IF($A144&lt;&gt;$A143,IFERROR(INDEX([1]FG_Begin_Inventory!$B:$B,MATCH($A144,[1]FG_Begin_Inventory!$A:$A,0)),0),J143))</f>
        <v>0</v>
      </c>
      <c r="G144" s="61">
        <f t="shared" si="16"/>
        <v>11446</v>
      </c>
      <c r="H144" s="62">
        <f t="shared" si="17"/>
        <v>15946</v>
      </c>
      <c r="I144" s="62">
        <f t="shared" si="18"/>
        <v>3000</v>
      </c>
      <c r="J144" s="62">
        <f t="shared" si="19"/>
        <v>0</v>
      </c>
      <c r="K144" s="62">
        <f t="shared" si="20"/>
        <v>1500</v>
      </c>
      <c r="L144" s="62">
        <f t="shared" si="21"/>
        <v>0</v>
      </c>
      <c r="M144" s="63">
        <f t="shared" si="22"/>
        <v>1</v>
      </c>
      <c r="N144" s="64"/>
    </row>
    <row r="145" spans="1:14" x14ac:dyDescent="0.3">
      <c r="A145" s="58" t="str">
        <v>F</v>
      </c>
      <c r="B145" s="59" t="str">
        <v>789EF</v>
      </c>
      <c r="C145" s="60">
        <v>46165</v>
      </c>
      <c r="D145" s="61">
        <v>3000</v>
      </c>
      <c r="E145" s="62">
        <v>4200</v>
      </c>
      <c r="F145" s="61">
        <f>IF($A145="","",IF($A145&lt;&gt;$A144,IFERROR(INDEX([1]FG_Begin_Inventory!$B:$B,MATCH($A145,[1]FG_Begin_Inventory!$A:$A,0)),0),J144))</f>
        <v>0</v>
      </c>
      <c r="G145" s="61">
        <f t="shared" si="16"/>
        <v>10246</v>
      </c>
      <c r="H145" s="62">
        <f t="shared" si="17"/>
        <v>14446</v>
      </c>
      <c r="I145" s="62">
        <f t="shared" si="18"/>
        <v>3000</v>
      </c>
      <c r="J145" s="62">
        <f t="shared" si="19"/>
        <v>0</v>
      </c>
      <c r="K145" s="62">
        <f t="shared" si="20"/>
        <v>1200</v>
      </c>
      <c r="L145" s="62">
        <f t="shared" si="21"/>
        <v>0</v>
      </c>
      <c r="M145" s="63">
        <f t="shared" si="22"/>
        <v>1</v>
      </c>
      <c r="N145" s="64"/>
    </row>
    <row r="146" spans="1:14" x14ac:dyDescent="0.3">
      <c r="A146" s="58" t="str">
        <v>F</v>
      </c>
      <c r="B146" s="59" t="str">
        <v>789EF</v>
      </c>
      <c r="C146" s="60">
        <v>46172</v>
      </c>
      <c r="D146" s="61">
        <v>3000</v>
      </c>
      <c r="E146" s="62">
        <v>4500</v>
      </c>
      <c r="F146" s="61">
        <f>IF($A146="","",IF($A146&lt;&gt;$A145,IFERROR(INDEX([1]FG_Begin_Inventory!$B:$B,MATCH($A146,[1]FG_Begin_Inventory!$A:$A,0)),0),J145))</f>
        <v>0</v>
      </c>
      <c r="G146" s="61">
        <f t="shared" si="16"/>
        <v>8746</v>
      </c>
      <c r="H146" s="62">
        <f t="shared" si="17"/>
        <v>13246</v>
      </c>
      <c r="I146" s="62">
        <f t="shared" si="18"/>
        <v>3000</v>
      </c>
      <c r="J146" s="62">
        <f t="shared" si="19"/>
        <v>0</v>
      </c>
      <c r="K146" s="62">
        <f t="shared" si="20"/>
        <v>1500</v>
      </c>
      <c r="L146" s="62">
        <f t="shared" si="21"/>
        <v>0</v>
      </c>
      <c r="M146" s="63">
        <f t="shared" si="22"/>
        <v>1</v>
      </c>
      <c r="N146" s="64"/>
    </row>
    <row r="147" spans="1:14" x14ac:dyDescent="0.3">
      <c r="A147" s="58" t="str">
        <v>F</v>
      </c>
      <c r="B147" s="59" t="str">
        <v>789EF</v>
      </c>
      <c r="C147" s="60">
        <v>46179</v>
      </c>
      <c r="D147" s="61">
        <v>3000</v>
      </c>
      <c r="E147" s="62">
        <v>4500</v>
      </c>
      <c r="F147" s="61">
        <f>IF($A147="","",IF($A147&lt;&gt;$A146,IFERROR(INDEX([1]FG_Begin_Inventory!$B:$B,MATCH($A147,[1]FG_Begin_Inventory!$A:$A,0)),0),J146))</f>
        <v>0</v>
      </c>
      <c r="G147" s="61">
        <f t="shared" si="16"/>
        <v>7246</v>
      </c>
      <c r="H147" s="62">
        <f t="shared" si="17"/>
        <v>11746</v>
      </c>
      <c r="I147" s="62">
        <f t="shared" si="18"/>
        <v>3000</v>
      </c>
      <c r="J147" s="62">
        <f t="shared" si="19"/>
        <v>0</v>
      </c>
      <c r="K147" s="62">
        <f t="shared" si="20"/>
        <v>1500</v>
      </c>
      <c r="L147" s="62">
        <f t="shared" si="21"/>
        <v>0</v>
      </c>
      <c r="M147" s="63">
        <f t="shared" si="22"/>
        <v>1</v>
      </c>
      <c r="N147" s="64"/>
    </row>
    <row r="148" spans="1:14" x14ac:dyDescent="0.3">
      <c r="A148" s="58" t="str">
        <v>F</v>
      </c>
      <c r="B148" s="59" t="str">
        <v>789EF</v>
      </c>
      <c r="C148" s="60">
        <v>46186</v>
      </c>
      <c r="D148" s="61">
        <v>3000</v>
      </c>
      <c r="E148" s="62">
        <v>2200</v>
      </c>
      <c r="F148" s="61">
        <f>IF($A148="","",IF($A148&lt;&gt;$A147,IFERROR(INDEX([1]FG_Begin_Inventory!$B:$B,MATCH($A148,[1]FG_Begin_Inventory!$A:$A,0)),0),J147))</f>
        <v>0</v>
      </c>
      <c r="G148" s="61">
        <f t="shared" si="16"/>
        <v>8046</v>
      </c>
      <c r="H148" s="62">
        <f t="shared" si="17"/>
        <v>10246</v>
      </c>
      <c r="I148" s="62">
        <f t="shared" si="18"/>
        <v>3000</v>
      </c>
      <c r="J148" s="62">
        <f t="shared" si="19"/>
        <v>800</v>
      </c>
      <c r="K148" s="62">
        <f t="shared" si="20"/>
        <v>0</v>
      </c>
      <c r="L148" s="62">
        <f t="shared" si="21"/>
        <v>800</v>
      </c>
      <c r="M148" s="63">
        <f t="shared" si="22"/>
        <v>1</v>
      </c>
      <c r="N148" s="64"/>
    </row>
    <row r="149" spans="1:14" x14ac:dyDescent="0.3">
      <c r="A149" s="58" t="str">
        <v>F</v>
      </c>
      <c r="B149" s="59" t="str">
        <v>789EF</v>
      </c>
      <c r="C149" s="60">
        <v>46193</v>
      </c>
      <c r="D149" s="61">
        <v>3000</v>
      </c>
      <c r="E149" s="62">
        <v>5000</v>
      </c>
      <c r="F149" s="61">
        <f>IF($A149="","",IF($A149&lt;&gt;$A148,IFERROR(INDEX([1]FG_Begin_Inventory!$B:$B,MATCH($A149,[1]FG_Begin_Inventory!$A:$A,0)),0),J148))</f>
        <v>800</v>
      </c>
      <c r="G149" s="61">
        <f t="shared" si="16"/>
        <v>6046</v>
      </c>
      <c r="H149" s="62">
        <f t="shared" si="17"/>
        <v>10246</v>
      </c>
      <c r="I149" s="62">
        <f t="shared" si="18"/>
        <v>3000</v>
      </c>
      <c r="J149" s="62">
        <f t="shared" si="19"/>
        <v>0</v>
      </c>
      <c r="K149" s="62">
        <f t="shared" si="20"/>
        <v>1200</v>
      </c>
      <c r="L149" s="62">
        <f t="shared" si="21"/>
        <v>0</v>
      </c>
      <c r="M149" s="63">
        <f t="shared" si="22"/>
        <v>1</v>
      </c>
      <c r="N149" s="64"/>
    </row>
    <row r="150" spans="1:14" x14ac:dyDescent="0.3">
      <c r="A150" s="58" t="str">
        <v>F</v>
      </c>
      <c r="B150" s="59" t="str">
        <v>789EF</v>
      </c>
      <c r="C150" s="60">
        <v>46200</v>
      </c>
      <c r="D150" s="61">
        <v>3000</v>
      </c>
      <c r="E150" s="62">
        <v>4300</v>
      </c>
      <c r="F150" s="61">
        <f>IF($A150="","",IF($A150&lt;&gt;$A149,IFERROR(INDEX([1]FG_Begin_Inventory!$B:$B,MATCH($A150,[1]FG_Begin_Inventory!$A:$A,0)),0),J149))</f>
        <v>0</v>
      </c>
      <c r="G150" s="61">
        <f t="shared" si="16"/>
        <v>4746</v>
      </c>
      <c r="H150" s="62">
        <f t="shared" si="17"/>
        <v>9046</v>
      </c>
      <c r="I150" s="62">
        <f t="shared" si="18"/>
        <v>3000</v>
      </c>
      <c r="J150" s="62">
        <f t="shared" si="19"/>
        <v>0</v>
      </c>
      <c r="K150" s="62">
        <f t="shared" si="20"/>
        <v>1300</v>
      </c>
      <c r="L150" s="62">
        <f t="shared" si="21"/>
        <v>0</v>
      </c>
      <c r="M150" s="63">
        <f t="shared" si="22"/>
        <v>1</v>
      </c>
      <c r="N150" s="64"/>
    </row>
    <row r="151" spans="1:14" x14ac:dyDescent="0.3">
      <c r="A151" s="58" t="str">
        <v>F</v>
      </c>
      <c r="B151" s="59" t="str">
        <v>789EF</v>
      </c>
      <c r="C151" s="60">
        <v>46207</v>
      </c>
      <c r="D151" s="61">
        <v>3000</v>
      </c>
      <c r="E151" s="62">
        <v>4700</v>
      </c>
      <c r="F151" s="61">
        <f>IF($A151="","",IF($A151&lt;&gt;$A150,IFERROR(INDEX([1]FG_Begin_Inventory!$B:$B,MATCH($A151,[1]FG_Begin_Inventory!$A:$A,0)),0),J150))</f>
        <v>0</v>
      </c>
      <c r="G151" s="61">
        <f t="shared" si="16"/>
        <v>3046</v>
      </c>
      <c r="H151" s="62">
        <f t="shared" si="17"/>
        <v>7746</v>
      </c>
      <c r="I151" s="62">
        <f t="shared" si="18"/>
        <v>3000</v>
      </c>
      <c r="J151" s="62">
        <f t="shared" si="19"/>
        <v>0</v>
      </c>
      <c r="K151" s="62">
        <f t="shared" si="20"/>
        <v>1700</v>
      </c>
      <c r="L151" s="62">
        <f t="shared" si="21"/>
        <v>0</v>
      </c>
      <c r="M151" s="63">
        <f t="shared" si="22"/>
        <v>1</v>
      </c>
      <c r="N151" s="64"/>
    </row>
    <row r="152" spans="1:14" x14ac:dyDescent="0.3">
      <c r="A152" s="58" t="str">
        <v>F</v>
      </c>
      <c r="B152" s="59" t="str">
        <v>789EF</v>
      </c>
      <c r="C152" s="60">
        <v>46214</v>
      </c>
      <c r="D152" s="61">
        <v>3000</v>
      </c>
      <c r="E152" s="62">
        <v>4746</v>
      </c>
      <c r="F152" s="61">
        <f>IF($A152="","",IF($A152&lt;&gt;$A151,IFERROR(INDEX([1]FG_Begin_Inventory!$B:$B,MATCH($A152,[1]FG_Begin_Inventory!$A:$A,0)),0),J151))</f>
        <v>0</v>
      </c>
      <c r="G152" s="61">
        <f t="shared" si="16"/>
        <v>1300</v>
      </c>
      <c r="H152" s="62">
        <f t="shared" si="17"/>
        <v>6046</v>
      </c>
      <c r="I152" s="62">
        <f t="shared" si="18"/>
        <v>3000</v>
      </c>
      <c r="J152" s="62">
        <f t="shared" si="19"/>
        <v>0</v>
      </c>
      <c r="K152" s="62">
        <f t="shared" si="20"/>
        <v>1746</v>
      </c>
      <c r="L152" s="62">
        <f t="shared" si="21"/>
        <v>0</v>
      </c>
      <c r="M152" s="63">
        <f t="shared" si="22"/>
        <v>1</v>
      </c>
      <c r="N152" s="64"/>
    </row>
    <row r="153" spans="1:14" x14ac:dyDescent="0.3">
      <c r="A153" s="58" t="str">
        <v>F</v>
      </c>
      <c r="B153" s="59" t="str">
        <v>789EF</v>
      </c>
      <c r="C153" s="60">
        <v>46221</v>
      </c>
      <c r="D153" s="61">
        <v>3000</v>
      </c>
      <c r="E153" s="62">
        <v>4300</v>
      </c>
      <c r="F153" s="61">
        <f>IF($A153="","",IF($A153&lt;&gt;$A152,IFERROR(INDEX([1]FG_Begin_Inventory!$B:$B,MATCH($A153,[1]FG_Begin_Inventory!$A:$A,0)),0),J152))</f>
        <v>0</v>
      </c>
      <c r="G153" s="61">
        <f t="shared" si="16"/>
        <v>0</v>
      </c>
      <c r="H153" s="62">
        <f t="shared" si="17"/>
        <v>4300</v>
      </c>
      <c r="I153" s="62">
        <f t="shared" si="18"/>
        <v>3000</v>
      </c>
      <c r="J153" s="62">
        <f t="shared" si="19"/>
        <v>0</v>
      </c>
      <c r="K153" s="62">
        <f t="shared" si="20"/>
        <v>1300</v>
      </c>
      <c r="L153" s="62">
        <f t="shared" si="21"/>
        <v>0</v>
      </c>
      <c r="M153" s="63">
        <f t="shared" si="22"/>
        <v>1</v>
      </c>
      <c r="N153" s="64"/>
    </row>
    <row r="154" spans="1:14" x14ac:dyDescent="0.3">
      <c r="A154" s="58" t="str">
        <v>F</v>
      </c>
      <c r="B154" s="59" t="str">
        <v>789EF</v>
      </c>
      <c r="C154" s="60">
        <v>46228</v>
      </c>
      <c r="D154" s="61">
        <v>3000</v>
      </c>
      <c r="E154" s="62">
        <v>476</v>
      </c>
      <c r="F154" s="61">
        <f>IF($A154="","",IF($A154&lt;&gt;$A153,IFERROR(INDEX([1]FG_Begin_Inventory!$B:$B,MATCH($A154,[1]FG_Begin_Inventory!$A:$A,0)),0),J153))</f>
        <v>0</v>
      </c>
      <c r="G154" s="61">
        <f t="shared" si="16"/>
        <v>0</v>
      </c>
      <c r="H154" s="62">
        <f t="shared" si="17"/>
        <v>476</v>
      </c>
      <c r="I154" s="62">
        <f t="shared" si="18"/>
        <v>476</v>
      </c>
      <c r="J154" s="62">
        <f t="shared" si="19"/>
        <v>0</v>
      </c>
      <c r="K154" s="62">
        <f t="shared" si="20"/>
        <v>0</v>
      </c>
      <c r="L154" s="62">
        <f t="shared" si="21"/>
        <v>0</v>
      </c>
      <c r="M154" s="63">
        <f t="shared" si="22"/>
        <v>0.15866666666666668</v>
      </c>
      <c r="N154" s="64"/>
    </row>
    <row r="155" spans="1:14" x14ac:dyDescent="0.3">
      <c r="A155" s="58" t="str">
        <v>F</v>
      </c>
      <c r="B155" s="59" t="str">
        <v>789EF</v>
      </c>
      <c r="C155" s="60">
        <v>46235</v>
      </c>
      <c r="D155" s="61">
        <v>3000</v>
      </c>
      <c r="E155" s="62">
        <v>1298</v>
      </c>
      <c r="F155" s="61">
        <f>IF($A155="","",IF($A155&lt;&gt;$A154,IFERROR(INDEX([1]FG_Begin_Inventory!$B:$B,MATCH($A155,[1]FG_Begin_Inventory!$A:$A,0)),0),J154))</f>
        <v>0</v>
      </c>
      <c r="G155" s="61">
        <f t="shared" si="16"/>
        <v>0</v>
      </c>
      <c r="H155" s="62">
        <f t="shared" si="17"/>
        <v>1298</v>
      </c>
      <c r="I155" s="62">
        <f t="shared" si="18"/>
        <v>1298</v>
      </c>
      <c r="J155" s="62">
        <f t="shared" si="19"/>
        <v>0</v>
      </c>
      <c r="K155" s="62">
        <f t="shared" si="20"/>
        <v>0</v>
      </c>
      <c r="L155" s="62">
        <f t="shared" si="21"/>
        <v>0</v>
      </c>
      <c r="M155" s="63">
        <f t="shared" si="22"/>
        <v>0.43266666666666664</v>
      </c>
      <c r="N155" s="64"/>
    </row>
    <row r="156" spans="1:14" x14ac:dyDescent="0.3">
      <c r="A156" s="58" t="str">
        <v>F</v>
      </c>
      <c r="B156" s="59" t="str">
        <v>789EF</v>
      </c>
      <c r="C156" s="60">
        <v>46242</v>
      </c>
      <c r="D156" s="61">
        <v>3000</v>
      </c>
      <c r="E156" s="62">
        <v>1300</v>
      </c>
      <c r="F156" s="61">
        <f>IF($A156="","",IF($A156&lt;&gt;$A155,IFERROR(INDEX([1]FG_Begin_Inventory!$B:$B,MATCH($A156,[1]FG_Begin_Inventory!$A:$A,0)),0),J155))</f>
        <v>0</v>
      </c>
      <c r="G156" s="61">
        <f t="shared" si="16"/>
        <v>0</v>
      </c>
      <c r="H156" s="62">
        <f t="shared" si="17"/>
        <v>1300</v>
      </c>
      <c r="I156" s="62">
        <f t="shared" si="18"/>
        <v>1300</v>
      </c>
      <c r="J156" s="62">
        <f t="shared" si="19"/>
        <v>0</v>
      </c>
      <c r="K156" s="62">
        <f t="shared" si="20"/>
        <v>0</v>
      </c>
      <c r="L156" s="62">
        <f t="shared" si="21"/>
        <v>0</v>
      </c>
      <c r="M156" s="63">
        <f t="shared" si="22"/>
        <v>0.43333333333333335</v>
      </c>
      <c r="N156" s="64"/>
    </row>
    <row r="157" spans="1:14" x14ac:dyDescent="0.3">
      <c r="A157" s="58" t="str">
        <v>F</v>
      </c>
      <c r="B157" s="59" t="str">
        <v>789EF</v>
      </c>
      <c r="C157" s="60">
        <v>46249</v>
      </c>
      <c r="D157" s="61">
        <v>3000</v>
      </c>
      <c r="E157" s="62">
        <v>1298</v>
      </c>
      <c r="F157" s="61">
        <f>IF($A157="","",IF($A157&lt;&gt;$A156,IFERROR(INDEX([1]FG_Begin_Inventory!$B:$B,MATCH($A157,[1]FG_Begin_Inventory!$A:$A,0)),0),J156))</f>
        <v>0</v>
      </c>
      <c r="G157" s="61">
        <f t="shared" si="16"/>
        <v>0</v>
      </c>
      <c r="H157" s="62">
        <f t="shared" si="17"/>
        <v>1298</v>
      </c>
      <c r="I157" s="62">
        <f t="shared" si="18"/>
        <v>1298</v>
      </c>
      <c r="J157" s="62">
        <f t="shared" si="19"/>
        <v>0</v>
      </c>
      <c r="K157" s="62">
        <f t="shared" si="20"/>
        <v>0</v>
      </c>
      <c r="L157" s="62">
        <f t="shared" si="21"/>
        <v>0</v>
      </c>
      <c r="M157" s="63">
        <f t="shared" si="22"/>
        <v>0.43266666666666664</v>
      </c>
      <c r="N157" s="64"/>
    </row>
    <row r="158" spans="1:14" x14ac:dyDescent="0.3">
      <c r="A158" s="58" t="str">
        <v>F</v>
      </c>
      <c r="B158" s="59" t="str">
        <v>789EF</v>
      </c>
      <c r="C158" s="60">
        <v>46256</v>
      </c>
      <c r="D158" s="61">
        <v>3000</v>
      </c>
      <c r="E158" s="62">
        <v>1506</v>
      </c>
      <c r="F158" s="61">
        <f>IF($A158="","",IF($A158&lt;&gt;$A157,IFERROR(INDEX([1]FG_Begin_Inventory!$B:$B,MATCH($A158,[1]FG_Begin_Inventory!$A:$A,0)),0),J157))</f>
        <v>0</v>
      </c>
      <c r="G158" s="61">
        <f t="shared" si="16"/>
        <v>0</v>
      </c>
      <c r="H158" s="62">
        <f t="shared" si="17"/>
        <v>1506</v>
      </c>
      <c r="I158" s="62">
        <f t="shared" si="18"/>
        <v>1506</v>
      </c>
      <c r="J158" s="62">
        <f t="shared" si="19"/>
        <v>0</v>
      </c>
      <c r="K158" s="62">
        <f t="shared" si="20"/>
        <v>0</v>
      </c>
      <c r="L158" s="62">
        <f t="shared" si="21"/>
        <v>0</v>
      </c>
      <c r="M158" s="63">
        <f t="shared" si="22"/>
        <v>0.502</v>
      </c>
      <c r="N158" s="64"/>
    </row>
    <row r="159" spans="1:14" x14ac:dyDescent="0.3">
      <c r="A159" s="58" t="str">
        <v>F</v>
      </c>
      <c r="B159" s="59" t="str">
        <v>789EF</v>
      </c>
      <c r="C159" s="60">
        <v>46263</v>
      </c>
      <c r="D159" s="61">
        <v>3000</v>
      </c>
      <c r="E159" s="62">
        <v>1506</v>
      </c>
      <c r="F159" s="61">
        <f>IF($A159="","",IF($A159&lt;&gt;$A158,IFERROR(INDEX([1]FG_Begin_Inventory!$B:$B,MATCH($A159,[1]FG_Begin_Inventory!$A:$A,0)),0),J158))</f>
        <v>0</v>
      </c>
      <c r="G159" s="61">
        <f t="shared" si="16"/>
        <v>0</v>
      </c>
      <c r="H159" s="62">
        <f t="shared" si="17"/>
        <v>1506</v>
      </c>
      <c r="I159" s="62">
        <f t="shared" si="18"/>
        <v>1506</v>
      </c>
      <c r="J159" s="62">
        <f t="shared" si="19"/>
        <v>0</v>
      </c>
      <c r="K159" s="62">
        <f t="shared" si="20"/>
        <v>0</v>
      </c>
      <c r="L159" s="62">
        <f t="shared" si="21"/>
        <v>0</v>
      </c>
      <c r="M159" s="63">
        <f t="shared" si="22"/>
        <v>0.502</v>
      </c>
      <c r="N159" s="64"/>
    </row>
    <row r="160" spans="1:14" x14ac:dyDescent="0.3">
      <c r="A160" s="58" t="str">
        <v>F</v>
      </c>
      <c r="B160" s="59" t="str">
        <v>789EF</v>
      </c>
      <c r="C160" s="60">
        <v>46270</v>
      </c>
      <c r="D160" s="61">
        <v>3000</v>
      </c>
      <c r="E160" s="62">
        <v>1506</v>
      </c>
      <c r="F160" s="61">
        <f>IF($A160="","",IF($A160&lt;&gt;$A159,IFERROR(INDEX([1]FG_Begin_Inventory!$B:$B,MATCH($A160,[1]FG_Begin_Inventory!$A:$A,0)),0),J159))</f>
        <v>0</v>
      </c>
      <c r="G160" s="61">
        <f t="shared" si="16"/>
        <v>0</v>
      </c>
      <c r="H160" s="62">
        <f t="shared" si="17"/>
        <v>1506</v>
      </c>
      <c r="I160" s="62">
        <f t="shared" si="18"/>
        <v>1506</v>
      </c>
      <c r="J160" s="62">
        <f t="shared" si="19"/>
        <v>0</v>
      </c>
      <c r="K160" s="62">
        <f t="shared" si="20"/>
        <v>0</v>
      </c>
      <c r="L160" s="62">
        <f t="shared" si="21"/>
        <v>0</v>
      </c>
      <c r="M160" s="63">
        <f t="shared" si="22"/>
        <v>0.502</v>
      </c>
      <c r="N160" s="64"/>
    </row>
    <row r="161" spans="1:14" x14ac:dyDescent="0.3">
      <c r="A161" s="58" t="str">
        <v>F</v>
      </c>
      <c r="B161" s="59" t="str">
        <v>789EF</v>
      </c>
      <c r="C161" s="60">
        <v>46277</v>
      </c>
      <c r="D161" s="61">
        <v>3000</v>
      </c>
      <c r="E161" s="62">
        <v>1506</v>
      </c>
      <c r="F161" s="61">
        <f>IF($A161="","",IF($A161&lt;&gt;$A160,IFERROR(INDEX([1]FG_Begin_Inventory!$B:$B,MATCH($A161,[1]FG_Begin_Inventory!$A:$A,0)),0),J160))</f>
        <v>0</v>
      </c>
      <c r="G161" s="61">
        <f t="shared" si="16"/>
        <v>0</v>
      </c>
      <c r="H161" s="62">
        <f t="shared" si="17"/>
        <v>1506</v>
      </c>
      <c r="I161" s="62">
        <f t="shared" si="18"/>
        <v>1506</v>
      </c>
      <c r="J161" s="62">
        <f t="shared" si="19"/>
        <v>0</v>
      </c>
      <c r="K161" s="62">
        <f t="shared" si="20"/>
        <v>0</v>
      </c>
      <c r="L161" s="62">
        <f t="shared" si="21"/>
        <v>0</v>
      </c>
      <c r="M161" s="63">
        <f t="shared" si="22"/>
        <v>0.502</v>
      </c>
      <c r="N161" s="64"/>
    </row>
    <row r="162" spans="1:14" x14ac:dyDescent="0.3">
      <c r="A162" s="58" t="str">
        <v>F</v>
      </c>
      <c r="B162" s="59" t="str">
        <v>789EF</v>
      </c>
      <c r="C162" s="60">
        <v>46284</v>
      </c>
      <c r="D162" s="61">
        <v>3000</v>
      </c>
      <c r="E162" s="62">
        <v>1446</v>
      </c>
      <c r="F162" s="61">
        <f>IF($A162="","",IF($A162&lt;&gt;$A161,IFERROR(INDEX([1]FG_Begin_Inventory!$B:$B,MATCH($A162,[1]FG_Begin_Inventory!$A:$A,0)),0),J161))</f>
        <v>0</v>
      </c>
      <c r="G162" s="61">
        <f t="shared" ref="G162:G177" si="23">IF($A162="","",IF($A162&lt;&gt;$A163,0,MAX(0,G163+E163-D163)))</f>
        <v>0</v>
      </c>
      <c r="H162" s="62">
        <f t="shared" si="17"/>
        <v>1446</v>
      </c>
      <c r="I162" s="62">
        <f t="shared" si="18"/>
        <v>1446</v>
      </c>
      <c r="J162" s="62">
        <f t="shared" si="19"/>
        <v>0</v>
      </c>
      <c r="K162" s="62">
        <f t="shared" si="20"/>
        <v>0</v>
      </c>
      <c r="L162" s="62">
        <f t="shared" si="21"/>
        <v>0</v>
      </c>
      <c r="M162" s="63">
        <f t="shared" si="22"/>
        <v>0.48199999999999998</v>
      </c>
      <c r="N162" s="64"/>
    </row>
    <row r="163" spans="1:14" x14ac:dyDescent="0.3">
      <c r="A163" s="58" t="str">
        <v>F</v>
      </c>
      <c r="B163" s="59" t="str">
        <v>789EF</v>
      </c>
      <c r="C163" s="60">
        <v>46305</v>
      </c>
      <c r="D163" s="61">
        <v>3000</v>
      </c>
      <c r="E163" s="62">
        <v>1448</v>
      </c>
      <c r="F163" s="61">
        <f>IF($A163="","",IF($A163&lt;&gt;$A162,IFERROR(INDEX([1]FG_Begin_Inventory!$B:$B,MATCH($A163,[1]FG_Begin_Inventory!$A:$A,0)),0),J162))</f>
        <v>0</v>
      </c>
      <c r="G163" s="61">
        <f t="shared" si="23"/>
        <v>0</v>
      </c>
      <c r="H163" s="62">
        <f t="shared" si="17"/>
        <v>1448</v>
      </c>
      <c r="I163" s="62">
        <f t="shared" si="18"/>
        <v>1448</v>
      </c>
      <c r="J163" s="62">
        <f t="shared" si="19"/>
        <v>0</v>
      </c>
      <c r="K163" s="62">
        <f t="shared" si="20"/>
        <v>0</v>
      </c>
      <c r="L163" s="62">
        <f t="shared" si="21"/>
        <v>0</v>
      </c>
      <c r="M163" s="63">
        <f t="shared" si="22"/>
        <v>0.48266666666666669</v>
      </c>
      <c r="N163" s="64"/>
    </row>
    <row r="164" spans="1:14" x14ac:dyDescent="0.3">
      <c r="A164" s="58" t="str">
        <v>F</v>
      </c>
      <c r="B164" s="59" t="str">
        <v>789EF</v>
      </c>
      <c r="C164" s="60">
        <v>46312</v>
      </c>
      <c r="D164" s="61">
        <v>3000</v>
      </c>
      <c r="E164" s="62">
        <v>1448</v>
      </c>
      <c r="F164" s="61">
        <f>IF($A164="","",IF($A164&lt;&gt;$A163,IFERROR(INDEX([1]FG_Begin_Inventory!$B:$B,MATCH($A164,[1]FG_Begin_Inventory!$A:$A,0)),0),J163))</f>
        <v>0</v>
      </c>
      <c r="G164" s="61">
        <f t="shared" si="23"/>
        <v>0</v>
      </c>
      <c r="H164" s="62">
        <f t="shared" si="17"/>
        <v>1448</v>
      </c>
      <c r="I164" s="62">
        <f t="shared" si="18"/>
        <v>1448</v>
      </c>
      <c r="J164" s="62">
        <f t="shared" si="19"/>
        <v>0</v>
      </c>
      <c r="K164" s="62">
        <f t="shared" si="20"/>
        <v>0</v>
      </c>
      <c r="L164" s="62">
        <f t="shared" si="21"/>
        <v>0</v>
      </c>
      <c r="M164" s="63">
        <f t="shared" si="22"/>
        <v>0.48266666666666669</v>
      </c>
      <c r="N164" s="64"/>
    </row>
    <row r="165" spans="1:14" x14ac:dyDescent="0.3">
      <c r="A165" s="58" t="str">
        <v>F</v>
      </c>
      <c r="B165" s="59" t="str">
        <v>789EF</v>
      </c>
      <c r="C165" s="60">
        <v>46319</v>
      </c>
      <c r="D165" s="61">
        <v>3000</v>
      </c>
      <c r="E165" s="62">
        <v>1448</v>
      </c>
      <c r="F165" s="61">
        <f>IF($A165="","",IF($A165&lt;&gt;$A164,IFERROR(INDEX([1]FG_Begin_Inventory!$B:$B,MATCH($A165,[1]FG_Begin_Inventory!$A:$A,0)),0),J164))</f>
        <v>0</v>
      </c>
      <c r="G165" s="61">
        <f t="shared" si="23"/>
        <v>0</v>
      </c>
      <c r="H165" s="62">
        <f t="shared" si="17"/>
        <v>1448</v>
      </c>
      <c r="I165" s="62">
        <f t="shared" si="18"/>
        <v>1448</v>
      </c>
      <c r="J165" s="62">
        <f t="shared" si="19"/>
        <v>0</v>
      </c>
      <c r="K165" s="62">
        <f t="shared" si="20"/>
        <v>0</v>
      </c>
      <c r="L165" s="62">
        <f t="shared" si="21"/>
        <v>0</v>
      </c>
      <c r="M165" s="63">
        <f t="shared" si="22"/>
        <v>0.48266666666666669</v>
      </c>
      <c r="N165" s="64"/>
    </row>
    <row r="166" spans="1:14" x14ac:dyDescent="0.3">
      <c r="A166" s="58" t="str">
        <v>F</v>
      </c>
      <c r="B166" s="59" t="str">
        <v>789EF</v>
      </c>
      <c r="C166" s="60">
        <v>46326</v>
      </c>
      <c r="D166" s="61">
        <v>3000</v>
      </c>
      <c r="E166" s="62">
        <v>1754</v>
      </c>
      <c r="F166" s="61">
        <f>IF($A166="","",IF($A166&lt;&gt;$A165,IFERROR(INDEX([1]FG_Begin_Inventory!$B:$B,MATCH($A166,[1]FG_Begin_Inventory!$A:$A,0)),0),J165))</f>
        <v>0</v>
      </c>
      <c r="G166" s="61">
        <f t="shared" si="23"/>
        <v>0</v>
      </c>
      <c r="H166" s="62">
        <f t="shared" si="17"/>
        <v>1754</v>
      </c>
      <c r="I166" s="62">
        <f t="shared" si="18"/>
        <v>1754</v>
      </c>
      <c r="J166" s="62">
        <f t="shared" si="19"/>
        <v>0</v>
      </c>
      <c r="K166" s="62">
        <f t="shared" si="20"/>
        <v>0</v>
      </c>
      <c r="L166" s="62">
        <f t="shared" si="21"/>
        <v>0</v>
      </c>
      <c r="M166" s="63">
        <f t="shared" si="22"/>
        <v>0.58466666666666667</v>
      </c>
      <c r="N166" s="64"/>
    </row>
    <row r="167" spans="1:14" x14ac:dyDescent="0.3">
      <c r="A167" s="58" t="str">
        <v>F</v>
      </c>
      <c r="B167" s="59" t="str">
        <v>789EF</v>
      </c>
      <c r="C167" s="60">
        <v>46333</v>
      </c>
      <c r="D167" s="61">
        <v>3000</v>
      </c>
      <c r="E167" s="62">
        <v>1756</v>
      </c>
      <c r="F167" s="61">
        <f>IF($A167="","",IF($A167&lt;&gt;$A166,IFERROR(INDEX([1]FG_Begin_Inventory!$B:$B,MATCH($A167,[1]FG_Begin_Inventory!$A:$A,0)),0),J166))</f>
        <v>0</v>
      </c>
      <c r="G167" s="61">
        <f t="shared" si="23"/>
        <v>0</v>
      </c>
      <c r="H167" s="62">
        <f t="shared" si="17"/>
        <v>1756</v>
      </c>
      <c r="I167" s="62">
        <f t="shared" si="18"/>
        <v>1756</v>
      </c>
      <c r="J167" s="62">
        <f t="shared" si="19"/>
        <v>0</v>
      </c>
      <c r="K167" s="62">
        <f t="shared" si="20"/>
        <v>0</v>
      </c>
      <c r="L167" s="62">
        <f t="shared" si="21"/>
        <v>0</v>
      </c>
      <c r="M167" s="63">
        <f t="shared" si="22"/>
        <v>0.58533333333333337</v>
      </c>
      <c r="N167" s="64"/>
    </row>
    <row r="168" spans="1:14" x14ac:dyDescent="0.3">
      <c r="A168" s="58" t="str">
        <v>F</v>
      </c>
      <c r="B168" s="59" t="str">
        <v>789EF</v>
      </c>
      <c r="C168" s="60">
        <v>46340</v>
      </c>
      <c r="D168" s="61">
        <v>3000</v>
      </c>
      <c r="E168" s="62">
        <v>1756</v>
      </c>
      <c r="F168" s="61">
        <f>IF($A168="","",IF($A168&lt;&gt;$A167,IFERROR(INDEX([1]FG_Begin_Inventory!$B:$B,MATCH($A168,[1]FG_Begin_Inventory!$A:$A,0)),0),J167))</f>
        <v>0</v>
      </c>
      <c r="G168" s="61">
        <f t="shared" si="23"/>
        <v>0</v>
      </c>
      <c r="H168" s="62">
        <f t="shared" si="17"/>
        <v>1756</v>
      </c>
      <c r="I168" s="62">
        <f t="shared" si="18"/>
        <v>1756</v>
      </c>
      <c r="J168" s="62">
        <f t="shared" si="19"/>
        <v>0</v>
      </c>
      <c r="K168" s="62">
        <f t="shared" si="20"/>
        <v>0</v>
      </c>
      <c r="L168" s="62">
        <f t="shared" si="21"/>
        <v>0</v>
      </c>
      <c r="M168" s="63">
        <f t="shared" si="22"/>
        <v>0.58533333333333337</v>
      </c>
      <c r="N168" s="64"/>
    </row>
    <row r="169" spans="1:14" x14ac:dyDescent="0.3">
      <c r="A169" s="58" t="str">
        <v>F</v>
      </c>
      <c r="B169" s="59" t="str">
        <v>789EF</v>
      </c>
      <c r="C169" s="60">
        <v>46347</v>
      </c>
      <c r="D169" s="61">
        <v>3000</v>
      </c>
      <c r="E169" s="62">
        <v>1756</v>
      </c>
      <c r="F169" s="61">
        <f>IF($A169="","",IF($A169&lt;&gt;$A168,IFERROR(INDEX([1]FG_Begin_Inventory!$B:$B,MATCH($A169,[1]FG_Begin_Inventory!$A:$A,0)),0),J168))</f>
        <v>0</v>
      </c>
      <c r="G169" s="61">
        <f t="shared" si="23"/>
        <v>0</v>
      </c>
      <c r="H169" s="62">
        <f t="shared" si="17"/>
        <v>1756</v>
      </c>
      <c r="I169" s="62">
        <f t="shared" si="18"/>
        <v>1756</v>
      </c>
      <c r="J169" s="62">
        <f t="shared" si="19"/>
        <v>0</v>
      </c>
      <c r="K169" s="62">
        <f t="shared" si="20"/>
        <v>0</v>
      </c>
      <c r="L169" s="62">
        <f t="shared" si="21"/>
        <v>0</v>
      </c>
      <c r="M169" s="63">
        <f t="shared" si="22"/>
        <v>0.58533333333333337</v>
      </c>
      <c r="N169" s="64"/>
    </row>
    <row r="170" spans="1:14" x14ac:dyDescent="0.3">
      <c r="A170" s="58" t="str">
        <v>F</v>
      </c>
      <c r="B170" s="59" t="str">
        <v>789EF</v>
      </c>
      <c r="C170" s="60">
        <v>46354</v>
      </c>
      <c r="D170" s="61">
        <v>3000</v>
      </c>
      <c r="E170" s="62">
        <v>1928</v>
      </c>
      <c r="F170" s="61">
        <f>IF($A170="","",IF($A170&lt;&gt;$A169,IFERROR(INDEX([1]FG_Begin_Inventory!$B:$B,MATCH($A170,[1]FG_Begin_Inventory!$A:$A,0)),0),J169))</f>
        <v>0</v>
      </c>
      <c r="G170" s="61">
        <f t="shared" si="23"/>
        <v>0</v>
      </c>
      <c r="H170" s="62">
        <f t="shared" si="17"/>
        <v>1928</v>
      </c>
      <c r="I170" s="62">
        <f t="shared" si="18"/>
        <v>1928</v>
      </c>
      <c r="J170" s="62">
        <f t="shared" si="19"/>
        <v>0</v>
      </c>
      <c r="K170" s="62">
        <f t="shared" si="20"/>
        <v>0</v>
      </c>
      <c r="L170" s="62">
        <f t="shared" si="21"/>
        <v>0</v>
      </c>
      <c r="M170" s="63">
        <f t="shared" si="22"/>
        <v>0.64266666666666672</v>
      </c>
      <c r="N170" s="64"/>
    </row>
    <row r="171" spans="1:14" x14ac:dyDescent="0.3">
      <c r="A171" s="58" t="str">
        <v>F</v>
      </c>
      <c r="B171" s="59" t="str">
        <v>789EF</v>
      </c>
      <c r="C171" s="60">
        <v>46361</v>
      </c>
      <c r="D171" s="61">
        <v>3000</v>
      </c>
      <c r="E171" s="62">
        <v>1930</v>
      </c>
      <c r="F171" s="61">
        <f>IF($A171="","",IF($A171&lt;&gt;$A170,IFERROR(INDEX([1]FG_Begin_Inventory!$B:$B,MATCH($A171,[1]FG_Begin_Inventory!$A:$A,0)),0),J170))</f>
        <v>0</v>
      </c>
      <c r="G171" s="61">
        <f t="shared" si="23"/>
        <v>0</v>
      </c>
      <c r="H171" s="62">
        <f t="shared" si="17"/>
        <v>1930</v>
      </c>
      <c r="I171" s="62">
        <f t="shared" si="18"/>
        <v>1930</v>
      </c>
      <c r="J171" s="62">
        <f t="shared" si="19"/>
        <v>0</v>
      </c>
      <c r="K171" s="62">
        <f t="shared" si="20"/>
        <v>0</v>
      </c>
      <c r="L171" s="62">
        <f t="shared" si="21"/>
        <v>0</v>
      </c>
      <c r="M171" s="63">
        <f t="shared" si="22"/>
        <v>0.64333333333333331</v>
      </c>
      <c r="N171" s="64"/>
    </row>
    <row r="172" spans="1:14" x14ac:dyDescent="0.3">
      <c r="A172" s="58" t="str">
        <v>F</v>
      </c>
      <c r="B172" s="59" t="str">
        <v>789EF</v>
      </c>
      <c r="C172" s="60">
        <v>46368</v>
      </c>
      <c r="D172" s="61">
        <v>3000</v>
      </c>
      <c r="E172" s="62">
        <v>1928</v>
      </c>
      <c r="F172" s="61">
        <f>IF($A172="","",IF($A172&lt;&gt;$A171,IFERROR(INDEX([1]FG_Begin_Inventory!$B:$B,MATCH($A172,[1]FG_Begin_Inventory!$A:$A,0)),0),J171))</f>
        <v>0</v>
      </c>
      <c r="G172" s="61">
        <f t="shared" si="23"/>
        <v>0</v>
      </c>
      <c r="H172" s="62">
        <f t="shared" si="17"/>
        <v>1928</v>
      </c>
      <c r="I172" s="62">
        <f t="shared" si="18"/>
        <v>1928</v>
      </c>
      <c r="J172" s="62">
        <f t="shared" si="19"/>
        <v>0</v>
      </c>
      <c r="K172" s="62">
        <f t="shared" si="20"/>
        <v>0</v>
      </c>
      <c r="L172" s="62">
        <f t="shared" si="21"/>
        <v>0</v>
      </c>
      <c r="M172" s="63">
        <f t="shared" si="22"/>
        <v>0.64266666666666672</v>
      </c>
      <c r="N172" s="64"/>
    </row>
    <row r="173" spans="1:14" x14ac:dyDescent="0.3">
      <c r="A173" s="58"/>
      <c r="B173" s="59"/>
      <c r="C173" s="60"/>
      <c r="D173" s="61"/>
      <c r="E173" s="62"/>
      <c r="F173" s="61" t="str">
        <f>IF($A173="","",IF($A173&lt;&gt;$A172,IFERROR(INDEX([1]FG_Begin_Inventory!$B:$B,MATCH($A173,[1]FG_Begin_Inventory!$A:$A,0)),0),J172))</f>
        <v/>
      </c>
      <c r="G173" s="61" t="str">
        <f t="shared" si="23"/>
        <v/>
      </c>
      <c r="H173" s="62" t="str">
        <f t="shared" si="17"/>
        <v/>
      </c>
      <c r="I173" s="62" t="str">
        <f t="shared" si="18"/>
        <v/>
      </c>
      <c r="J173" s="62" t="str">
        <f t="shared" si="19"/>
        <v/>
      </c>
      <c r="K173" s="62" t="str">
        <f t="shared" si="20"/>
        <v/>
      </c>
      <c r="L173" s="62" t="str">
        <f t="shared" si="21"/>
        <v/>
      </c>
      <c r="M173" s="63" t="str">
        <f t="shared" si="22"/>
        <v/>
      </c>
      <c r="N173" s="64"/>
    </row>
    <row r="174" spans="1:14" x14ac:dyDescent="0.3">
      <c r="A174" s="58"/>
      <c r="B174" s="59"/>
      <c r="C174" s="60"/>
      <c r="D174" s="61"/>
      <c r="E174" s="62"/>
      <c r="F174" s="61" t="str">
        <f>IF($A174="","",IF($A174&lt;&gt;$A173,IFERROR(INDEX([1]FG_Begin_Inventory!$B:$B,MATCH($A174,[1]FG_Begin_Inventory!$A:$A,0)),0),J173))</f>
        <v/>
      </c>
      <c r="G174" s="61" t="str">
        <f t="shared" si="23"/>
        <v/>
      </c>
      <c r="H174" s="62" t="str">
        <f t="shared" si="17"/>
        <v/>
      </c>
      <c r="I174" s="62" t="str">
        <f t="shared" si="18"/>
        <v/>
      </c>
      <c r="J174" s="62" t="str">
        <f t="shared" si="19"/>
        <v/>
      </c>
      <c r="K174" s="62" t="str">
        <f t="shared" si="20"/>
        <v/>
      </c>
      <c r="L174" s="62" t="str">
        <f t="shared" si="21"/>
        <v/>
      </c>
      <c r="M174" s="63" t="str">
        <f t="shared" si="22"/>
        <v/>
      </c>
      <c r="N174" s="64"/>
    </row>
    <row r="175" spans="1:14" x14ac:dyDescent="0.3">
      <c r="A175" s="58"/>
      <c r="B175" s="59"/>
      <c r="C175" s="60"/>
      <c r="D175" s="61"/>
      <c r="E175" s="62"/>
      <c r="F175" s="61" t="str">
        <f>IF($A175="","",IF($A175&lt;&gt;$A174,IFERROR(INDEX([1]FG_Begin_Inventory!$B:$B,MATCH($A175,[1]FG_Begin_Inventory!$A:$A,0)),0),J174))</f>
        <v/>
      </c>
      <c r="G175" s="61" t="str">
        <f t="shared" si="23"/>
        <v/>
      </c>
      <c r="H175" s="62" t="str">
        <f t="shared" si="17"/>
        <v/>
      </c>
      <c r="I175" s="62" t="str">
        <f t="shared" si="18"/>
        <v/>
      </c>
      <c r="J175" s="62" t="str">
        <f t="shared" si="19"/>
        <v/>
      </c>
      <c r="K175" s="62" t="str">
        <f t="shared" si="20"/>
        <v/>
      </c>
      <c r="L175" s="62" t="str">
        <f t="shared" si="21"/>
        <v/>
      </c>
      <c r="M175" s="63" t="str">
        <f t="shared" si="22"/>
        <v/>
      </c>
      <c r="N175" s="64"/>
    </row>
    <row r="176" spans="1:14" x14ac:dyDescent="0.3">
      <c r="A176" s="58"/>
      <c r="B176" s="59"/>
      <c r="C176" s="60"/>
      <c r="D176" s="61"/>
      <c r="E176" s="62"/>
      <c r="F176" s="61" t="str">
        <f>IF($A176="","",IF($A176&lt;&gt;$A175,IFERROR(INDEX([1]FG_Begin_Inventory!$B:$B,MATCH($A176,[1]FG_Begin_Inventory!$A:$A,0)),0),J175))</f>
        <v/>
      </c>
      <c r="G176" s="61" t="str">
        <f t="shared" si="23"/>
        <v/>
      </c>
      <c r="H176" s="62" t="str">
        <f t="shared" si="17"/>
        <v/>
      </c>
      <c r="I176" s="62" t="str">
        <f t="shared" si="18"/>
        <v/>
      </c>
      <c r="J176" s="62" t="str">
        <f t="shared" si="19"/>
        <v/>
      </c>
      <c r="K176" s="62" t="str">
        <f t="shared" si="20"/>
        <v/>
      </c>
      <c r="L176" s="62" t="str">
        <f t="shared" si="21"/>
        <v/>
      </c>
      <c r="M176" s="63" t="str">
        <f t="shared" si="22"/>
        <v/>
      </c>
      <c r="N176" s="64"/>
    </row>
    <row r="177" spans="1:14" x14ac:dyDescent="0.3">
      <c r="A177" s="58"/>
      <c r="B177" s="59"/>
      <c r="C177" s="60"/>
      <c r="D177" s="61"/>
      <c r="E177" s="62"/>
      <c r="F177" s="61" t="str">
        <f>IF($A177="","",IF($A177&lt;&gt;$A176,IFERROR(INDEX([1]FG_Begin_Inventory!$B:$B,MATCH($A177,[1]FG_Begin_Inventory!$A:$A,0)),0),J176))</f>
        <v/>
      </c>
      <c r="G177" s="61" t="str">
        <f t="shared" si="23"/>
        <v/>
      </c>
      <c r="H177" s="62" t="str">
        <f t="shared" si="17"/>
        <v/>
      </c>
      <c r="I177" s="62" t="str">
        <f t="shared" si="18"/>
        <v/>
      </c>
      <c r="J177" s="62" t="str">
        <f t="shared" si="19"/>
        <v/>
      </c>
      <c r="K177" s="62" t="str">
        <f t="shared" si="20"/>
        <v/>
      </c>
      <c r="L177" s="62" t="str">
        <f t="shared" si="21"/>
        <v/>
      </c>
      <c r="M177" s="63" t="str">
        <f t="shared" si="22"/>
        <v/>
      </c>
      <c r="N177" s="64"/>
    </row>
    <row r="178" spans="1:14" x14ac:dyDescent="0.3">
      <c r="A178" s="58"/>
      <c r="B178" s="59"/>
      <c r="C178" s="60"/>
      <c r="D178" s="61"/>
      <c r="E178" s="62"/>
      <c r="F178" s="61" t="str">
        <f>IF($A178="","",IF($A178&lt;&gt;$A177,IFERROR(INDEX([1]FG_Begin_Inventory!$B:$B,MATCH($A178,[1]FG_Begin_Inventory!$A:$A,0)),0),J177))</f>
        <v/>
      </c>
      <c r="G178" s="61" t="str">
        <f>IF($A178="","",IF($A178&lt;&gt;#REF!,0,MAX(0,#REF!+#REF!-#REF!)))</f>
        <v/>
      </c>
      <c r="H178" s="62" t="str">
        <f t="shared" si="17"/>
        <v/>
      </c>
      <c r="I178" s="62" t="str">
        <f t="shared" si="18"/>
        <v/>
      </c>
      <c r="J178" s="62" t="str">
        <f t="shared" si="19"/>
        <v/>
      </c>
      <c r="K178" s="62" t="str">
        <f t="shared" si="20"/>
        <v/>
      </c>
      <c r="L178" s="62" t="str">
        <f t="shared" si="21"/>
        <v/>
      </c>
      <c r="M178" s="63" t="str">
        <f t="shared" si="22"/>
        <v/>
      </c>
      <c r="N178" s="64"/>
    </row>
    <row r="179" spans="1:14" x14ac:dyDescent="0.3">
      <c r="A179" s="58"/>
      <c r="B179" s="59"/>
      <c r="C179" s="60"/>
      <c r="D179" s="61"/>
      <c r="E179" s="62"/>
      <c r="F179" s="61" t="str">
        <f>IF($A179="","",IF($A179&lt;&gt;#REF!,IFERROR(INDEX([1]FG_Begin_Inventory!$B:$B,MATCH($A179,[1]FG_Begin_Inventory!$A:$A,0)),0),#REF!))</f>
        <v/>
      </c>
      <c r="G179" s="61" t="str">
        <f t="shared" ref="G179:G242" si="24">IF($A179="","",IF($A179&lt;&gt;$A180,0,MAX(0,G180+E180-D180)))</f>
        <v/>
      </c>
      <c r="H179" s="62" t="str">
        <f t="shared" si="17"/>
        <v/>
      </c>
      <c r="I179" s="62" t="str">
        <f t="shared" si="18"/>
        <v/>
      </c>
      <c r="J179" s="62" t="str">
        <f t="shared" si="19"/>
        <v/>
      </c>
      <c r="K179" s="62" t="str">
        <f t="shared" si="20"/>
        <v/>
      </c>
      <c r="L179" s="62" t="str">
        <f t="shared" si="21"/>
        <v/>
      </c>
      <c r="M179" s="63" t="str">
        <f t="shared" si="22"/>
        <v/>
      </c>
      <c r="N179" s="64"/>
    </row>
    <row r="180" spans="1:14" x14ac:dyDescent="0.3">
      <c r="A180" s="58"/>
      <c r="B180" s="59"/>
      <c r="C180" s="60"/>
      <c r="D180" s="61"/>
      <c r="E180" s="62"/>
      <c r="F180" s="61" t="str">
        <f>IF($A180="","",IF($A180&lt;&gt;$A179,IFERROR(INDEX([1]FG_Begin_Inventory!$B:$B,MATCH($A180,[1]FG_Begin_Inventory!$A:$A,0)),0),J179))</f>
        <v/>
      </c>
      <c r="G180" s="61" t="str">
        <f t="shared" si="24"/>
        <v/>
      </c>
      <c r="H180" s="62" t="str">
        <f t="shared" si="17"/>
        <v/>
      </c>
      <c r="I180" s="62" t="str">
        <f t="shared" si="18"/>
        <v/>
      </c>
      <c r="J180" s="62" t="str">
        <f t="shared" si="19"/>
        <v/>
      </c>
      <c r="K180" s="62" t="str">
        <f t="shared" si="20"/>
        <v/>
      </c>
      <c r="L180" s="62" t="str">
        <f t="shared" si="21"/>
        <v/>
      </c>
      <c r="M180" s="63" t="str">
        <f t="shared" si="22"/>
        <v/>
      </c>
      <c r="N180" s="64"/>
    </row>
    <row r="181" spans="1:14" x14ac:dyDescent="0.3">
      <c r="A181" s="58"/>
      <c r="B181" s="59"/>
      <c r="C181" s="60"/>
      <c r="D181" s="61"/>
      <c r="E181" s="62"/>
      <c r="F181" s="61" t="str">
        <f>IF($A181="","",IF($A181&lt;&gt;$A180,IFERROR(INDEX([1]FG_Begin_Inventory!$B:$B,MATCH($A181,[1]FG_Begin_Inventory!$A:$A,0)),0),J180))</f>
        <v/>
      </c>
      <c r="G181" s="61" t="str">
        <f t="shared" si="24"/>
        <v/>
      </c>
      <c r="H181" s="62" t="str">
        <f t="shared" si="17"/>
        <v/>
      </c>
      <c r="I181" s="62" t="str">
        <f t="shared" si="18"/>
        <v/>
      </c>
      <c r="J181" s="62" t="str">
        <f t="shared" si="19"/>
        <v/>
      </c>
      <c r="K181" s="62" t="str">
        <f t="shared" si="20"/>
        <v/>
      </c>
      <c r="L181" s="62" t="str">
        <f t="shared" si="21"/>
        <v/>
      </c>
      <c r="M181" s="63" t="str">
        <f t="shared" si="22"/>
        <v/>
      </c>
      <c r="N181" s="64"/>
    </row>
    <row r="182" spans="1:14" x14ac:dyDescent="0.3">
      <c r="A182" s="58"/>
      <c r="B182" s="59"/>
      <c r="C182" s="60"/>
      <c r="D182" s="61"/>
      <c r="E182" s="62"/>
      <c r="F182" s="61" t="str">
        <f>IF($A182="","",IF($A182&lt;&gt;$A181,IFERROR(INDEX([1]FG_Begin_Inventory!$B:$B,MATCH($A182,[1]FG_Begin_Inventory!$A:$A,0)),0),J181))</f>
        <v/>
      </c>
      <c r="G182" s="61" t="str">
        <f t="shared" si="24"/>
        <v/>
      </c>
      <c r="H182" s="62" t="str">
        <f t="shared" si="17"/>
        <v/>
      </c>
      <c r="I182" s="62" t="str">
        <f t="shared" si="18"/>
        <v/>
      </c>
      <c r="J182" s="62" t="str">
        <f t="shared" si="19"/>
        <v/>
      </c>
      <c r="K182" s="62" t="str">
        <f t="shared" si="20"/>
        <v/>
      </c>
      <c r="L182" s="62" t="str">
        <f t="shared" si="21"/>
        <v/>
      </c>
      <c r="M182" s="63" t="str">
        <f t="shared" si="22"/>
        <v/>
      </c>
      <c r="N182" s="64"/>
    </row>
    <row r="183" spans="1:14" x14ac:dyDescent="0.3">
      <c r="A183" s="58"/>
      <c r="B183" s="59"/>
      <c r="C183" s="60"/>
      <c r="D183" s="61"/>
      <c r="E183" s="62"/>
      <c r="F183" s="61" t="str">
        <f>IF($A183="","",IF($A183&lt;&gt;$A182,IFERROR(INDEX([1]FG_Begin_Inventory!$B:$B,MATCH($A183,[1]FG_Begin_Inventory!$A:$A,0)),0),J182))</f>
        <v/>
      </c>
      <c r="G183" s="61" t="str">
        <f t="shared" si="24"/>
        <v/>
      </c>
      <c r="H183" s="62" t="str">
        <f t="shared" si="17"/>
        <v/>
      </c>
      <c r="I183" s="62" t="str">
        <f t="shared" si="18"/>
        <v/>
      </c>
      <c r="J183" s="62" t="str">
        <f t="shared" si="19"/>
        <v/>
      </c>
      <c r="K183" s="62" t="str">
        <f t="shared" si="20"/>
        <v/>
      </c>
      <c r="L183" s="62" t="str">
        <f t="shared" si="21"/>
        <v/>
      </c>
      <c r="M183" s="63" t="str">
        <f t="shared" si="22"/>
        <v/>
      </c>
      <c r="N183" s="64"/>
    </row>
    <row r="184" spans="1:14" x14ac:dyDescent="0.3">
      <c r="A184" s="58"/>
      <c r="B184" s="59"/>
      <c r="C184" s="60"/>
      <c r="D184" s="61"/>
      <c r="E184" s="62"/>
      <c r="F184" s="61" t="str">
        <f>IF($A184="","",IF($A184&lt;&gt;$A183,IFERROR(INDEX([1]FG_Begin_Inventory!$B:$B,MATCH($A184,[1]FG_Begin_Inventory!$A:$A,0)),0),J183))</f>
        <v/>
      </c>
      <c r="G184" s="61" t="str">
        <f t="shared" si="24"/>
        <v/>
      </c>
      <c r="H184" s="62" t="str">
        <f t="shared" si="17"/>
        <v/>
      </c>
      <c r="I184" s="62" t="str">
        <f t="shared" si="18"/>
        <v/>
      </c>
      <c r="J184" s="62" t="str">
        <f t="shared" si="19"/>
        <v/>
      </c>
      <c r="K184" s="62" t="str">
        <f t="shared" si="20"/>
        <v/>
      </c>
      <c r="L184" s="62" t="str">
        <f t="shared" si="21"/>
        <v/>
      </c>
      <c r="M184" s="63" t="str">
        <f t="shared" si="22"/>
        <v/>
      </c>
      <c r="N184" s="64"/>
    </row>
    <row r="185" spans="1:14" x14ac:dyDescent="0.3">
      <c r="A185" s="58"/>
      <c r="B185" s="59"/>
      <c r="C185" s="60"/>
      <c r="D185" s="61"/>
      <c r="E185" s="62"/>
      <c r="F185" s="61" t="str">
        <f>IF($A185="","",IF($A185&lt;&gt;$A184,IFERROR(INDEX([1]FG_Begin_Inventory!$B:$B,MATCH($A185,[1]FG_Begin_Inventory!$A:$A,0)),0),J184))</f>
        <v/>
      </c>
      <c r="G185" s="61" t="str">
        <f t="shared" si="24"/>
        <v/>
      </c>
      <c r="H185" s="62" t="str">
        <f t="shared" si="17"/>
        <v/>
      </c>
      <c r="I185" s="62" t="str">
        <f t="shared" si="18"/>
        <v/>
      </c>
      <c r="J185" s="62" t="str">
        <f t="shared" si="19"/>
        <v/>
      </c>
      <c r="K185" s="62" t="str">
        <f t="shared" si="20"/>
        <v/>
      </c>
      <c r="L185" s="62" t="str">
        <f t="shared" si="21"/>
        <v/>
      </c>
      <c r="M185" s="63" t="str">
        <f t="shared" si="22"/>
        <v/>
      </c>
      <c r="N185" s="64"/>
    </row>
    <row r="186" spans="1:14" x14ac:dyDescent="0.3">
      <c r="A186" s="58"/>
      <c r="B186" s="59"/>
      <c r="C186" s="60"/>
      <c r="D186" s="61"/>
      <c r="E186" s="62"/>
      <c r="F186" s="61" t="str">
        <f>IF($A186="","",IF($A186&lt;&gt;$A185,IFERROR(INDEX([1]FG_Begin_Inventory!$B:$B,MATCH($A186,[1]FG_Begin_Inventory!$A:$A,0)),0),J185))</f>
        <v/>
      </c>
      <c r="G186" s="61" t="str">
        <f t="shared" si="24"/>
        <v/>
      </c>
      <c r="H186" s="62" t="str">
        <f t="shared" si="17"/>
        <v/>
      </c>
      <c r="I186" s="62" t="str">
        <f t="shared" si="18"/>
        <v/>
      </c>
      <c r="J186" s="62" t="str">
        <f t="shared" si="19"/>
        <v/>
      </c>
      <c r="K186" s="62" t="str">
        <f t="shared" si="20"/>
        <v/>
      </c>
      <c r="L186" s="62" t="str">
        <f t="shared" si="21"/>
        <v/>
      </c>
      <c r="M186" s="63" t="str">
        <f t="shared" si="22"/>
        <v/>
      </c>
      <c r="N186" s="64"/>
    </row>
    <row r="187" spans="1:14" x14ac:dyDescent="0.3">
      <c r="A187" s="58"/>
      <c r="B187" s="59"/>
      <c r="C187" s="60"/>
      <c r="D187" s="61"/>
      <c r="E187" s="62"/>
      <c r="F187" s="61" t="str">
        <f>IF($A187="","",IF($A187&lt;&gt;$A186,IFERROR(INDEX([1]FG_Begin_Inventory!$B:$B,MATCH($A187,[1]FG_Begin_Inventory!$A:$A,0)),0),J186))</f>
        <v/>
      </c>
      <c r="G187" s="61" t="str">
        <f t="shared" si="24"/>
        <v/>
      </c>
      <c r="H187" s="62" t="str">
        <f t="shared" si="17"/>
        <v/>
      </c>
      <c r="I187" s="62" t="str">
        <f t="shared" si="18"/>
        <v/>
      </c>
      <c r="J187" s="62" t="str">
        <f t="shared" si="19"/>
        <v/>
      </c>
      <c r="K187" s="62" t="str">
        <f t="shared" si="20"/>
        <v/>
      </c>
      <c r="L187" s="62" t="str">
        <f t="shared" si="21"/>
        <v/>
      </c>
      <c r="M187" s="63" t="str">
        <f t="shared" si="22"/>
        <v/>
      </c>
      <c r="N187" s="64"/>
    </row>
    <row r="188" spans="1:14" x14ac:dyDescent="0.3">
      <c r="A188" s="58"/>
      <c r="B188" s="59"/>
      <c r="C188" s="60"/>
      <c r="D188" s="61"/>
      <c r="E188" s="62"/>
      <c r="F188" s="61" t="str">
        <f>IF($A188="","",IF($A188&lt;&gt;$A187,IFERROR(INDEX([1]FG_Begin_Inventory!$B:$B,MATCH($A188,[1]FG_Begin_Inventory!$A:$A,0)),0),J187))</f>
        <v/>
      </c>
      <c r="G188" s="61" t="str">
        <f t="shared" si="24"/>
        <v/>
      </c>
      <c r="H188" s="62" t="str">
        <f t="shared" si="17"/>
        <v/>
      </c>
      <c r="I188" s="62" t="str">
        <f t="shared" si="18"/>
        <v/>
      </c>
      <c r="J188" s="62" t="str">
        <f t="shared" si="19"/>
        <v/>
      </c>
      <c r="K188" s="62" t="str">
        <f t="shared" si="20"/>
        <v/>
      </c>
      <c r="L188" s="62" t="str">
        <f t="shared" si="21"/>
        <v/>
      </c>
      <c r="M188" s="63" t="str">
        <f t="shared" si="22"/>
        <v/>
      </c>
      <c r="N188" s="64"/>
    </row>
    <row r="189" spans="1:14" x14ac:dyDescent="0.3">
      <c r="A189" s="58"/>
      <c r="B189" s="59"/>
      <c r="C189" s="60"/>
      <c r="D189" s="61"/>
      <c r="E189" s="62"/>
      <c r="F189" s="61" t="str">
        <f>IF($A189="","",IF($A189&lt;&gt;$A188,IFERROR(INDEX([1]FG_Begin_Inventory!$B:$B,MATCH($A189,[1]FG_Begin_Inventory!$A:$A,0)),0),J188))</f>
        <v/>
      </c>
      <c r="G189" s="61" t="str">
        <f t="shared" si="24"/>
        <v/>
      </c>
      <c r="H189" s="62" t="str">
        <f t="shared" si="17"/>
        <v/>
      </c>
      <c r="I189" s="62" t="str">
        <f t="shared" si="18"/>
        <v/>
      </c>
      <c r="J189" s="62" t="str">
        <f t="shared" si="19"/>
        <v/>
      </c>
      <c r="K189" s="62" t="str">
        <f t="shared" si="20"/>
        <v/>
      </c>
      <c r="L189" s="62" t="str">
        <f t="shared" si="21"/>
        <v/>
      </c>
      <c r="M189" s="63" t="str">
        <f t="shared" si="22"/>
        <v/>
      </c>
      <c r="N189" s="64"/>
    </row>
    <row r="190" spans="1:14" x14ac:dyDescent="0.3">
      <c r="A190" s="58"/>
      <c r="B190" s="59"/>
      <c r="C190" s="60"/>
      <c r="D190" s="61"/>
      <c r="E190" s="62"/>
      <c r="F190" s="61" t="str">
        <f>IF($A190="","",IF($A190&lt;&gt;$A189,IFERROR(INDEX([1]FG_Begin_Inventory!$B:$B,MATCH($A190,[1]FG_Begin_Inventory!$A:$A,0)),0),J189))</f>
        <v/>
      </c>
      <c r="G190" s="61" t="str">
        <f t="shared" si="24"/>
        <v/>
      </c>
      <c r="H190" s="62" t="str">
        <f t="shared" si="17"/>
        <v/>
      </c>
      <c r="I190" s="62" t="str">
        <f t="shared" si="18"/>
        <v/>
      </c>
      <c r="J190" s="62" t="str">
        <f t="shared" si="19"/>
        <v/>
      </c>
      <c r="K190" s="62" t="str">
        <f t="shared" si="20"/>
        <v/>
      </c>
      <c r="L190" s="62" t="str">
        <f t="shared" si="21"/>
        <v/>
      </c>
      <c r="M190" s="63" t="str">
        <f t="shared" si="22"/>
        <v/>
      </c>
      <c r="N190" s="64"/>
    </row>
    <row r="191" spans="1:14" x14ac:dyDescent="0.3">
      <c r="A191" s="58"/>
      <c r="B191" s="59"/>
      <c r="C191" s="60"/>
      <c r="D191" s="61"/>
      <c r="E191" s="62"/>
      <c r="F191" s="61" t="str">
        <f>IF($A191="","",IF($A191&lt;&gt;$A190,IFERROR(INDEX([1]FG_Begin_Inventory!$B:$B,MATCH($A191,[1]FG_Begin_Inventory!$A:$A,0)),0),J190))</f>
        <v/>
      </c>
      <c r="G191" s="61" t="str">
        <f t="shared" si="24"/>
        <v/>
      </c>
      <c r="H191" s="62" t="str">
        <f t="shared" si="17"/>
        <v/>
      </c>
      <c r="I191" s="62" t="str">
        <f t="shared" si="18"/>
        <v/>
      </c>
      <c r="J191" s="62" t="str">
        <f t="shared" si="19"/>
        <v/>
      </c>
      <c r="K191" s="62" t="str">
        <f t="shared" si="20"/>
        <v/>
      </c>
      <c r="L191" s="62" t="str">
        <f t="shared" si="21"/>
        <v/>
      </c>
      <c r="M191" s="63" t="str">
        <f t="shared" si="22"/>
        <v/>
      </c>
      <c r="N191" s="64"/>
    </row>
    <row r="192" spans="1:14" x14ac:dyDescent="0.3">
      <c r="A192" s="58"/>
      <c r="B192" s="59"/>
      <c r="C192" s="60"/>
      <c r="D192" s="61"/>
      <c r="E192" s="62"/>
      <c r="F192" s="61" t="str">
        <f>IF($A192="","",IF($A192&lt;&gt;$A191,IFERROR(INDEX([1]FG_Begin_Inventory!$B:$B,MATCH($A192,[1]FG_Begin_Inventory!$A:$A,0)),0),J191))</f>
        <v/>
      </c>
      <c r="G192" s="61" t="str">
        <f t="shared" si="24"/>
        <v/>
      </c>
      <c r="H192" s="62" t="str">
        <f t="shared" si="17"/>
        <v/>
      </c>
      <c r="I192" s="62" t="str">
        <f t="shared" si="18"/>
        <v/>
      </c>
      <c r="J192" s="62" t="str">
        <f t="shared" si="19"/>
        <v/>
      </c>
      <c r="K192" s="62" t="str">
        <f t="shared" si="20"/>
        <v/>
      </c>
      <c r="L192" s="62" t="str">
        <f t="shared" si="21"/>
        <v/>
      </c>
      <c r="M192" s="63" t="str">
        <f t="shared" si="22"/>
        <v/>
      </c>
      <c r="N192" s="64"/>
    </row>
    <row r="193" spans="1:14" x14ac:dyDescent="0.3">
      <c r="A193" s="58"/>
      <c r="B193" s="59"/>
      <c r="C193" s="60"/>
      <c r="D193" s="61"/>
      <c r="E193" s="62"/>
      <c r="F193" s="61" t="str">
        <f>IF($A193="","",IF($A193&lt;&gt;$A192,IFERROR(INDEX([1]FG_Begin_Inventory!$B:$B,MATCH($A193,[1]FG_Begin_Inventory!$A:$A,0)),0),J192))</f>
        <v/>
      </c>
      <c r="G193" s="61" t="str">
        <f t="shared" si="24"/>
        <v/>
      </c>
      <c r="H193" s="62" t="str">
        <f t="shared" si="17"/>
        <v/>
      </c>
      <c r="I193" s="62" t="str">
        <f t="shared" si="18"/>
        <v/>
      </c>
      <c r="J193" s="62" t="str">
        <f t="shared" si="19"/>
        <v/>
      </c>
      <c r="K193" s="62" t="str">
        <f t="shared" si="20"/>
        <v/>
      </c>
      <c r="L193" s="62" t="str">
        <f t="shared" si="21"/>
        <v/>
      </c>
      <c r="M193" s="63" t="str">
        <f t="shared" si="22"/>
        <v/>
      </c>
      <c r="N193" s="64"/>
    </row>
    <row r="194" spans="1:14" x14ac:dyDescent="0.3">
      <c r="A194" s="58"/>
      <c r="B194" s="59"/>
      <c r="C194" s="60"/>
      <c r="D194" s="61"/>
      <c r="E194" s="62"/>
      <c r="F194" s="61" t="str">
        <f>IF($A194="","",IF($A194&lt;&gt;$A193,IFERROR(INDEX([1]FG_Begin_Inventory!$B:$B,MATCH($A194,[1]FG_Begin_Inventory!$A:$A,0)),0),J193))</f>
        <v/>
      </c>
      <c r="G194" s="61" t="str">
        <f t="shared" si="24"/>
        <v/>
      </c>
      <c r="H194" s="62" t="str">
        <f t="shared" ref="H194:H257" si="25">IF($A194="","",MAX(0,E194+G194-F194))</f>
        <v/>
      </c>
      <c r="I194" s="62" t="str">
        <f t="shared" ref="I194:I257" si="26">IF($A194="","",MIN(D194,H194))</f>
        <v/>
      </c>
      <c r="J194" s="62" t="str">
        <f t="shared" ref="J194:J257" si="27">IF($A194="","",MAX(0,F194+I194-E194))</f>
        <v/>
      </c>
      <c r="K194" s="62" t="str">
        <f t="shared" ref="K194:K257" si="28">IF($A194="","",MAX(0,E194-F194-I194))</f>
        <v/>
      </c>
      <c r="L194" s="62" t="str">
        <f t="shared" ref="L194:L257" si="29">IF($A194="","",MAX(0,F194+I194-E194))</f>
        <v/>
      </c>
      <c r="M194" s="63" t="str">
        <f t="shared" ref="M194:M257" si="30">IF($A194="","",IFERROR(I194/D194,0))</f>
        <v/>
      </c>
      <c r="N194" s="64"/>
    </row>
    <row r="195" spans="1:14" x14ac:dyDescent="0.3">
      <c r="A195" s="58"/>
      <c r="B195" s="59"/>
      <c r="C195" s="60"/>
      <c r="D195" s="61"/>
      <c r="E195" s="62"/>
      <c r="F195" s="61" t="str">
        <f>IF($A195="","",IF($A195&lt;&gt;$A194,IFERROR(INDEX([1]FG_Begin_Inventory!$B:$B,MATCH($A195,[1]FG_Begin_Inventory!$A:$A,0)),0),J194))</f>
        <v/>
      </c>
      <c r="G195" s="61" t="str">
        <f t="shared" si="24"/>
        <v/>
      </c>
      <c r="H195" s="62" t="str">
        <f t="shared" si="25"/>
        <v/>
      </c>
      <c r="I195" s="62" t="str">
        <f t="shared" si="26"/>
        <v/>
      </c>
      <c r="J195" s="62" t="str">
        <f t="shared" si="27"/>
        <v/>
      </c>
      <c r="K195" s="62" t="str">
        <f t="shared" si="28"/>
        <v/>
      </c>
      <c r="L195" s="62" t="str">
        <f t="shared" si="29"/>
        <v/>
      </c>
      <c r="M195" s="63" t="str">
        <f t="shared" si="30"/>
        <v/>
      </c>
      <c r="N195" s="64"/>
    </row>
    <row r="196" spans="1:14" x14ac:dyDescent="0.3">
      <c r="A196" s="58"/>
      <c r="B196" s="59"/>
      <c r="C196" s="60"/>
      <c r="D196" s="61"/>
      <c r="E196" s="62"/>
      <c r="F196" s="61" t="str">
        <f>IF($A196="","",IF($A196&lt;&gt;$A195,IFERROR(INDEX([1]FG_Begin_Inventory!$B:$B,MATCH($A196,[1]FG_Begin_Inventory!$A:$A,0)),0),J195))</f>
        <v/>
      </c>
      <c r="G196" s="61" t="str">
        <f t="shared" si="24"/>
        <v/>
      </c>
      <c r="H196" s="62" t="str">
        <f t="shared" si="25"/>
        <v/>
      </c>
      <c r="I196" s="62" t="str">
        <f t="shared" si="26"/>
        <v/>
      </c>
      <c r="J196" s="62" t="str">
        <f t="shared" si="27"/>
        <v/>
      </c>
      <c r="K196" s="62" t="str">
        <f t="shared" si="28"/>
        <v/>
      </c>
      <c r="L196" s="62" t="str">
        <f t="shared" si="29"/>
        <v/>
      </c>
      <c r="M196" s="63" t="str">
        <f t="shared" si="30"/>
        <v/>
      </c>
      <c r="N196" s="64"/>
    </row>
    <row r="197" spans="1:14" x14ac:dyDescent="0.3">
      <c r="A197" s="58"/>
      <c r="B197" s="59"/>
      <c r="C197" s="60"/>
      <c r="D197" s="61"/>
      <c r="E197" s="62"/>
      <c r="F197" s="61" t="str">
        <f>IF($A197="","",IF($A197&lt;&gt;$A196,IFERROR(INDEX([1]FG_Begin_Inventory!$B:$B,MATCH($A197,[1]FG_Begin_Inventory!$A:$A,0)),0),J196))</f>
        <v/>
      </c>
      <c r="G197" s="61" t="str">
        <f t="shared" si="24"/>
        <v/>
      </c>
      <c r="H197" s="62" t="str">
        <f t="shared" si="25"/>
        <v/>
      </c>
      <c r="I197" s="62" t="str">
        <f t="shared" si="26"/>
        <v/>
      </c>
      <c r="J197" s="62" t="str">
        <f t="shared" si="27"/>
        <v/>
      </c>
      <c r="K197" s="62" t="str">
        <f t="shared" si="28"/>
        <v/>
      </c>
      <c r="L197" s="62" t="str">
        <f t="shared" si="29"/>
        <v/>
      </c>
      <c r="M197" s="63" t="str">
        <f t="shared" si="30"/>
        <v/>
      </c>
      <c r="N197" s="64"/>
    </row>
    <row r="198" spans="1:14" x14ac:dyDescent="0.3">
      <c r="A198" s="58"/>
      <c r="B198" s="59"/>
      <c r="C198" s="60"/>
      <c r="D198" s="61"/>
      <c r="E198" s="62"/>
      <c r="F198" s="61" t="str">
        <f>IF($A198="","",IF($A198&lt;&gt;$A197,IFERROR(INDEX([1]FG_Begin_Inventory!$B:$B,MATCH($A198,[1]FG_Begin_Inventory!$A:$A,0)),0),J197))</f>
        <v/>
      </c>
      <c r="G198" s="61" t="str">
        <f t="shared" si="24"/>
        <v/>
      </c>
      <c r="H198" s="62" t="str">
        <f t="shared" si="25"/>
        <v/>
      </c>
      <c r="I198" s="62" t="str">
        <f t="shared" si="26"/>
        <v/>
      </c>
      <c r="J198" s="62" t="str">
        <f t="shared" si="27"/>
        <v/>
      </c>
      <c r="K198" s="62" t="str">
        <f t="shared" si="28"/>
        <v/>
      </c>
      <c r="L198" s="62" t="str">
        <f t="shared" si="29"/>
        <v/>
      </c>
      <c r="M198" s="63" t="str">
        <f t="shared" si="30"/>
        <v/>
      </c>
      <c r="N198" s="64"/>
    </row>
    <row r="199" spans="1:14" x14ac:dyDescent="0.3">
      <c r="A199" s="58"/>
      <c r="B199" s="59"/>
      <c r="C199" s="60"/>
      <c r="D199" s="61"/>
      <c r="E199" s="62"/>
      <c r="F199" s="61" t="str">
        <f>IF($A199="","",IF($A199&lt;&gt;$A198,IFERROR(INDEX([1]FG_Begin_Inventory!$B:$B,MATCH($A199,[1]FG_Begin_Inventory!$A:$A,0)),0),J198))</f>
        <v/>
      </c>
      <c r="G199" s="61" t="str">
        <f t="shared" si="24"/>
        <v/>
      </c>
      <c r="H199" s="62" t="str">
        <f t="shared" si="25"/>
        <v/>
      </c>
      <c r="I199" s="62" t="str">
        <f t="shared" si="26"/>
        <v/>
      </c>
      <c r="J199" s="62" t="str">
        <f t="shared" si="27"/>
        <v/>
      </c>
      <c r="K199" s="62" t="str">
        <f t="shared" si="28"/>
        <v/>
      </c>
      <c r="L199" s="62" t="str">
        <f t="shared" si="29"/>
        <v/>
      </c>
      <c r="M199" s="63" t="str">
        <f t="shared" si="30"/>
        <v/>
      </c>
      <c r="N199" s="64"/>
    </row>
    <row r="200" spans="1:14" x14ac:dyDescent="0.3">
      <c r="A200" s="58"/>
      <c r="B200" s="59"/>
      <c r="C200" s="60"/>
      <c r="D200" s="61"/>
      <c r="E200" s="62"/>
      <c r="F200" s="61" t="str">
        <f>IF($A200="","",IF($A200&lt;&gt;$A199,IFERROR(INDEX([1]FG_Begin_Inventory!$B:$B,MATCH($A200,[1]FG_Begin_Inventory!$A:$A,0)),0),J199))</f>
        <v/>
      </c>
      <c r="G200" s="61" t="str">
        <f t="shared" si="24"/>
        <v/>
      </c>
      <c r="H200" s="62" t="str">
        <f t="shared" si="25"/>
        <v/>
      </c>
      <c r="I200" s="62" t="str">
        <f t="shared" si="26"/>
        <v/>
      </c>
      <c r="J200" s="62" t="str">
        <f t="shared" si="27"/>
        <v/>
      </c>
      <c r="K200" s="62" t="str">
        <f t="shared" si="28"/>
        <v/>
      </c>
      <c r="L200" s="62" t="str">
        <f t="shared" si="29"/>
        <v/>
      </c>
      <c r="M200" s="63" t="str">
        <f t="shared" si="30"/>
        <v/>
      </c>
      <c r="N200" s="64"/>
    </row>
    <row r="201" spans="1:14" x14ac:dyDescent="0.3">
      <c r="A201" s="58"/>
      <c r="B201" s="59"/>
      <c r="C201" s="60"/>
      <c r="D201" s="61"/>
      <c r="E201" s="62"/>
      <c r="F201" s="61" t="str">
        <f>IF($A201="","",IF($A201&lt;&gt;$A200,IFERROR(INDEX([1]FG_Begin_Inventory!$B:$B,MATCH($A201,[1]FG_Begin_Inventory!$A:$A,0)),0),J200))</f>
        <v/>
      </c>
      <c r="G201" s="61" t="str">
        <f t="shared" si="24"/>
        <v/>
      </c>
      <c r="H201" s="62" t="str">
        <f t="shared" si="25"/>
        <v/>
      </c>
      <c r="I201" s="62" t="str">
        <f t="shared" si="26"/>
        <v/>
      </c>
      <c r="J201" s="62" t="str">
        <f t="shared" si="27"/>
        <v/>
      </c>
      <c r="K201" s="62" t="str">
        <f t="shared" si="28"/>
        <v/>
      </c>
      <c r="L201" s="62" t="str">
        <f t="shared" si="29"/>
        <v/>
      </c>
      <c r="M201" s="63" t="str">
        <f t="shared" si="30"/>
        <v/>
      </c>
      <c r="N201" s="64"/>
    </row>
    <row r="202" spans="1:14" x14ac:dyDescent="0.3">
      <c r="A202" s="58"/>
      <c r="B202" s="59"/>
      <c r="C202" s="60"/>
      <c r="D202" s="61"/>
      <c r="E202" s="62"/>
      <c r="F202" s="61" t="str">
        <f>IF($A202="","",IF($A202&lt;&gt;$A201,IFERROR(INDEX([1]FG_Begin_Inventory!$B:$B,MATCH($A202,[1]FG_Begin_Inventory!$A:$A,0)),0),J201))</f>
        <v/>
      </c>
      <c r="G202" s="61" t="str">
        <f t="shared" si="24"/>
        <v/>
      </c>
      <c r="H202" s="62" t="str">
        <f t="shared" si="25"/>
        <v/>
      </c>
      <c r="I202" s="62" t="str">
        <f t="shared" si="26"/>
        <v/>
      </c>
      <c r="J202" s="62" t="str">
        <f t="shared" si="27"/>
        <v/>
      </c>
      <c r="K202" s="62" t="str">
        <f t="shared" si="28"/>
        <v/>
      </c>
      <c r="L202" s="62" t="str">
        <f t="shared" si="29"/>
        <v/>
      </c>
      <c r="M202" s="63" t="str">
        <f t="shared" si="30"/>
        <v/>
      </c>
      <c r="N202" s="64"/>
    </row>
    <row r="203" spans="1:14" x14ac:dyDescent="0.3">
      <c r="A203" s="58"/>
      <c r="B203" s="59"/>
      <c r="C203" s="60"/>
      <c r="D203" s="61"/>
      <c r="E203" s="62"/>
      <c r="F203" s="61" t="str">
        <f>IF($A203="","",IF($A203&lt;&gt;$A202,IFERROR(INDEX([1]FG_Begin_Inventory!$B:$B,MATCH($A203,[1]FG_Begin_Inventory!$A:$A,0)),0),J202))</f>
        <v/>
      </c>
      <c r="G203" s="61" t="str">
        <f t="shared" si="24"/>
        <v/>
      </c>
      <c r="H203" s="62" t="str">
        <f t="shared" si="25"/>
        <v/>
      </c>
      <c r="I203" s="62" t="str">
        <f t="shared" si="26"/>
        <v/>
      </c>
      <c r="J203" s="62" t="str">
        <f t="shared" si="27"/>
        <v/>
      </c>
      <c r="K203" s="62" t="str">
        <f t="shared" si="28"/>
        <v/>
      </c>
      <c r="L203" s="62" t="str">
        <f t="shared" si="29"/>
        <v/>
      </c>
      <c r="M203" s="63" t="str">
        <f t="shared" si="30"/>
        <v/>
      </c>
      <c r="N203" s="64"/>
    </row>
    <row r="204" spans="1:14" x14ac:dyDescent="0.3">
      <c r="A204" s="58"/>
      <c r="B204" s="59"/>
      <c r="C204" s="60"/>
      <c r="D204" s="61"/>
      <c r="E204" s="62"/>
      <c r="F204" s="61" t="str">
        <f>IF($A204="","",IF($A204&lt;&gt;$A203,IFERROR(INDEX([1]FG_Begin_Inventory!$B:$B,MATCH($A204,[1]FG_Begin_Inventory!$A:$A,0)),0),J203))</f>
        <v/>
      </c>
      <c r="G204" s="61" t="str">
        <f t="shared" si="24"/>
        <v/>
      </c>
      <c r="H204" s="62" t="str">
        <f t="shared" si="25"/>
        <v/>
      </c>
      <c r="I204" s="62" t="str">
        <f t="shared" si="26"/>
        <v/>
      </c>
      <c r="J204" s="62" t="str">
        <f t="shared" si="27"/>
        <v/>
      </c>
      <c r="K204" s="62" t="str">
        <f t="shared" si="28"/>
        <v/>
      </c>
      <c r="L204" s="62" t="str">
        <f t="shared" si="29"/>
        <v/>
      </c>
      <c r="M204" s="63" t="str">
        <f t="shared" si="30"/>
        <v/>
      </c>
      <c r="N204" s="64"/>
    </row>
    <row r="205" spans="1:14" x14ac:dyDescent="0.3">
      <c r="A205" s="58"/>
      <c r="B205" s="59"/>
      <c r="C205" s="60"/>
      <c r="D205" s="61"/>
      <c r="E205" s="62"/>
      <c r="F205" s="61" t="str">
        <f>IF($A205="","",IF($A205&lt;&gt;$A204,IFERROR(INDEX([1]FG_Begin_Inventory!$B:$B,MATCH($A205,[1]FG_Begin_Inventory!$A:$A,0)),0),J204))</f>
        <v/>
      </c>
      <c r="G205" s="61" t="str">
        <f t="shared" si="24"/>
        <v/>
      </c>
      <c r="H205" s="62" t="str">
        <f t="shared" si="25"/>
        <v/>
      </c>
      <c r="I205" s="62" t="str">
        <f t="shared" si="26"/>
        <v/>
      </c>
      <c r="J205" s="62" t="str">
        <f t="shared" si="27"/>
        <v/>
      </c>
      <c r="K205" s="62" t="str">
        <f t="shared" si="28"/>
        <v/>
      </c>
      <c r="L205" s="62" t="str">
        <f t="shared" si="29"/>
        <v/>
      </c>
      <c r="M205" s="63" t="str">
        <f t="shared" si="30"/>
        <v/>
      </c>
      <c r="N205" s="64"/>
    </row>
    <row r="206" spans="1:14" x14ac:dyDescent="0.3">
      <c r="A206" s="58"/>
      <c r="B206" s="59"/>
      <c r="C206" s="60"/>
      <c r="D206" s="61"/>
      <c r="E206" s="62"/>
      <c r="F206" s="61" t="str">
        <f>IF($A206="","",IF($A206&lt;&gt;$A205,IFERROR(INDEX([1]FG_Begin_Inventory!$B:$B,MATCH($A206,[1]FG_Begin_Inventory!$A:$A,0)),0),J205))</f>
        <v/>
      </c>
      <c r="G206" s="61" t="str">
        <f t="shared" si="24"/>
        <v/>
      </c>
      <c r="H206" s="62" t="str">
        <f t="shared" si="25"/>
        <v/>
      </c>
      <c r="I206" s="62" t="str">
        <f t="shared" si="26"/>
        <v/>
      </c>
      <c r="J206" s="62" t="str">
        <f t="shared" si="27"/>
        <v/>
      </c>
      <c r="K206" s="62" t="str">
        <f t="shared" si="28"/>
        <v/>
      </c>
      <c r="L206" s="62" t="str">
        <f t="shared" si="29"/>
        <v/>
      </c>
      <c r="M206" s="63" t="str">
        <f t="shared" si="30"/>
        <v/>
      </c>
      <c r="N206" s="64"/>
    </row>
    <row r="207" spans="1:14" x14ac:dyDescent="0.3">
      <c r="A207" s="58"/>
      <c r="B207" s="59"/>
      <c r="C207" s="60"/>
      <c r="D207" s="61"/>
      <c r="E207" s="62"/>
      <c r="F207" s="61" t="str">
        <f>IF($A207="","",IF($A207&lt;&gt;$A206,IFERROR(INDEX([1]FG_Begin_Inventory!$B:$B,MATCH($A207,[1]FG_Begin_Inventory!$A:$A,0)),0),J206))</f>
        <v/>
      </c>
      <c r="G207" s="61" t="str">
        <f t="shared" si="24"/>
        <v/>
      </c>
      <c r="H207" s="62" t="str">
        <f t="shared" si="25"/>
        <v/>
      </c>
      <c r="I207" s="62" t="str">
        <f t="shared" si="26"/>
        <v/>
      </c>
      <c r="J207" s="62" t="str">
        <f t="shared" si="27"/>
        <v/>
      </c>
      <c r="K207" s="62" t="str">
        <f t="shared" si="28"/>
        <v/>
      </c>
      <c r="L207" s="62" t="str">
        <f t="shared" si="29"/>
        <v/>
      </c>
      <c r="M207" s="63" t="str">
        <f t="shared" si="30"/>
        <v/>
      </c>
      <c r="N207" s="64"/>
    </row>
    <row r="208" spans="1:14" x14ac:dyDescent="0.3">
      <c r="A208" s="58"/>
      <c r="B208" s="59"/>
      <c r="C208" s="60"/>
      <c r="D208" s="61"/>
      <c r="E208" s="62"/>
      <c r="F208" s="61" t="str">
        <f>IF($A208="","",IF($A208&lt;&gt;$A207,IFERROR(INDEX([1]FG_Begin_Inventory!$B:$B,MATCH($A208,[1]FG_Begin_Inventory!$A:$A,0)),0),J207))</f>
        <v/>
      </c>
      <c r="G208" s="61" t="str">
        <f t="shared" si="24"/>
        <v/>
      </c>
      <c r="H208" s="62" t="str">
        <f t="shared" si="25"/>
        <v/>
      </c>
      <c r="I208" s="62" t="str">
        <f t="shared" si="26"/>
        <v/>
      </c>
      <c r="J208" s="62" t="str">
        <f t="shared" si="27"/>
        <v/>
      </c>
      <c r="K208" s="62" t="str">
        <f t="shared" si="28"/>
        <v/>
      </c>
      <c r="L208" s="62" t="str">
        <f t="shared" si="29"/>
        <v/>
      </c>
      <c r="M208" s="63" t="str">
        <f t="shared" si="30"/>
        <v/>
      </c>
      <c r="N208" s="64"/>
    </row>
    <row r="209" spans="1:14" x14ac:dyDescent="0.3">
      <c r="A209" s="58"/>
      <c r="B209" s="59"/>
      <c r="C209" s="60"/>
      <c r="D209" s="61"/>
      <c r="E209" s="62"/>
      <c r="F209" s="61" t="str">
        <f>IF($A209="","",IF($A209&lt;&gt;$A208,IFERROR(INDEX([1]FG_Begin_Inventory!$B:$B,MATCH($A209,[1]FG_Begin_Inventory!$A:$A,0)),0),J208))</f>
        <v/>
      </c>
      <c r="G209" s="61" t="str">
        <f t="shared" si="24"/>
        <v/>
      </c>
      <c r="H209" s="62" t="str">
        <f t="shared" si="25"/>
        <v/>
      </c>
      <c r="I209" s="62" t="str">
        <f t="shared" si="26"/>
        <v/>
      </c>
      <c r="J209" s="62" t="str">
        <f t="shared" si="27"/>
        <v/>
      </c>
      <c r="K209" s="62" t="str">
        <f t="shared" si="28"/>
        <v/>
      </c>
      <c r="L209" s="62" t="str">
        <f t="shared" si="29"/>
        <v/>
      </c>
      <c r="M209" s="63" t="str">
        <f t="shared" si="30"/>
        <v/>
      </c>
      <c r="N209" s="64"/>
    </row>
    <row r="210" spans="1:14" x14ac:dyDescent="0.3">
      <c r="A210" s="58"/>
      <c r="B210" s="59"/>
      <c r="C210" s="60"/>
      <c r="D210" s="61"/>
      <c r="E210" s="62"/>
      <c r="F210" s="61" t="str">
        <f>IF($A210="","",IF($A210&lt;&gt;$A209,IFERROR(INDEX([1]FG_Begin_Inventory!$B:$B,MATCH($A210,[1]FG_Begin_Inventory!$A:$A,0)),0),J209))</f>
        <v/>
      </c>
      <c r="G210" s="61" t="str">
        <f t="shared" si="24"/>
        <v/>
      </c>
      <c r="H210" s="62" t="str">
        <f t="shared" si="25"/>
        <v/>
      </c>
      <c r="I210" s="62" t="str">
        <f t="shared" si="26"/>
        <v/>
      </c>
      <c r="J210" s="62" t="str">
        <f t="shared" si="27"/>
        <v/>
      </c>
      <c r="K210" s="62" t="str">
        <f t="shared" si="28"/>
        <v/>
      </c>
      <c r="L210" s="62" t="str">
        <f t="shared" si="29"/>
        <v/>
      </c>
      <c r="M210" s="63" t="str">
        <f t="shared" si="30"/>
        <v/>
      </c>
      <c r="N210" s="64"/>
    </row>
    <row r="211" spans="1:14" x14ac:dyDescent="0.3">
      <c r="A211" s="58"/>
      <c r="B211" s="59"/>
      <c r="C211" s="60"/>
      <c r="D211" s="61"/>
      <c r="E211" s="62"/>
      <c r="F211" s="61" t="str">
        <f>IF($A211="","",IF($A211&lt;&gt;$A210,IFERROR(INDEX([1]FG_Begin_Inventory!$B:$B,MATCH($A211,[1]FG_Begin_Inventory!$A:$A,0)),0),J210))</f>
        <v/>
      </c>
      <c r="G211" s="61" t="str">
        <f t="shared" si="24"/>
        <v/>
      </c>
      <c r="H211" s="62" t="str">
        <f t="shared" si="25"/>
        <v/>
      </c>
      <c r="I211" s="62" t="str">
        <f t="shared" si="26"/>
        <v/>
      </c>
      <c r="J211" s="62" t="str">
        <f t="shared" si="27"/>
        <v/>
      </c>
      <c r="K211" s="62" t="str">
        <f t="shared" si="28"/>
        <v/>
      </c>
      <c r="L211" s="62" t="str">
        <f t="shared" si="29"/>
        <v/>
      </c>
      <c r="M211" s="63" t="str">
        <f t="shared" si="30"/>
        <v/>
      </c>
      <c r="N211" s="64"/>
    </row>
    <row r="212" spans="1:14" x14ac:dyDescent="0.3">
      <c r="A212" s="58"/>
      <c r="B212" s="59"/>
      <c r="C212" s="60"/>
      <c r="D212" s="61"/>
      <c r="E212" s="62"/>
      <c r="F212" s="61" t="str">
        <f>IF($A212="","",IF($A212&lt;&gt;$A211,IFERROR(INDEX([1]FG_Begin_Inventory!$B:$B,MATCH($A212,[1]FG_Begin_Inventory!$A:$A,0)),0),J211))</f>
        <v/>
      </c>
      <c r="G212" s="61" t="str">
        <f t="shared" si="24"/>
        <v/>
      </c>
      <c r="H212" s="62" t="str">
        <f t="shared" si="25"/>
        <v/>
      </c>
      <c r="I212" s="62" t="str">
        <f t="shared" si="26"/>
        <v/>
      </c>
      <c r="J212" s="62" t="str">
        <f t="shared" si="27"/>
        <v/>
      </c>
      <c r="K212" s="62" t="str">
        <f t="shared" si="28"/>
        <v/>
      </c>
      <c r="L212" s="62" t="str">
        <f t="shared" si="29"/>
        <v/>
      </c>
      <c r="M212" s="63" t="str">
        <f t="shared" si="30"/>
        <v/>
      </c>
      <c r="N212" s="64"/>
    </row>
    <row r="213" spans="1:14" x14ac:dyDescent="0.3">
      <c r="A213" s="58"/>
      <c r="B213" s="59"/>
      <c r="C213" s="60"/>
      <c r="D213" s="61"/>
      <c r="E213" s="62"/>
      <c r="F213" s="61" t="str">
        <f>IF($A213="","",IF($A213&lt;&gt;$A212,IFERROR(INDEX([1]FG_Begin_Inventory!$B:$B,MATCH($A213,[1]FG_Begin_Inventory!$A:$A,0)),0),J212))</f>
        <v/>
      </c>
      <c r="G213" s="61" t="str">
        <f t="shared" si="24"/>
        <v/>
      </c>
      <c r="H213" s="62" t="str">
        <f t="shared" si="25"/>
        <v/>
      </c>
      <c r="I213" s="62" t="str">
        <f t="shared" si="26"/>
        <v/>
      </c>
      <c r="J213" s="62" t="str">
        <f t="shared" si="27"/>
        <v/>
      </c>
      <c r="K213" s="62" t="str">
        <f t="shared" si="28"/>
        <v/>
      </c>
      <c r="L213" s="62" t="str">
        <f t="shared" si="29"/>
        <v/>
      </c>
      <c r="M213" s="63" t="str">
        <f t="shared" si="30"/>
        <v/>
      </c>
      <c r="N213" s="64"/>
    </row>
    <row r="214" spans="1:14" x14ac:dyDescent="0.3">
      <c r="A214" s="58"/>
      <c r="B214" s="59"/>
      <c r="C214" s="60"/>
      <c r="D214" s="61"/>
      <c r="E214" s="62"/>
      <c r="F214" s="61" t="str">
        <f>IF($A214="","",IF($A214&lt;&gt;$A213,IFERROR(INDEX([1]FG_Begin_Inventory!$B:$B,MATCH($A214,[1]FG_Begin_Inventory!$A:$A,0)),0),J213))</f>
        <v/>
      </c>
      <c r="G214" s="61" t="str">
        <f t="shared" si="24"/>
        <v/>
      </c>
      <c r="H214" s="62" t="str">
        <f t="shared" si="25"/>
        <v/>
      </c>
      <c r="I214" s="62" t="str">
        <f t="shared" si="26"/>
        <v/>
      </c>
      <c r="J214" s="62" t="str">
        <f t="shared" si="27"/>
        <v/>
      </c>
      <c r="K214" s="62" t="str">
        <f t="shared" si="28"/>
        <v/>
      </c>
      <c r="L214" s="62" t="str">
        <f t="shared" si="29"/>
        <v/>
      </c>
      <c r="M214" s="63" t="str">
        <f t="shared" si="30"/>
        <v/>
      </c>
      <c r="N214" s="64"/>
    </row>
    <row r="215" spans="1:14" x14ac:dyDescent="0.3">
      <c r="A215" s="58"/>
      <c r="B215" s="59"/>
      <c r="C215" s="60"/>
      <c r="D215" s="61"/>
      <c r="E215" s="62"/>
      <c r="F215" s="61" t="str">
        <f>IF($A215="","",IF($A215&lt;&gt;$A214,IFERROR(INDEX([1]FG_Begin_Inventory!$B:$B,MATCH($A215,[1]FG_Begin_Inventory!$A:$A,0)),0),J214))</f>
        <v/>
      </c>
      <c r="G215" s="61" t="str">
        <f t="shared" si="24"/>
        <v/>
      </c>
      <c r="H215" s="62" t="str">
        <f t="shared" si="25"/>
        <v/>
      </c>
      <c r="I215" s="62" t="str">
        <f t="shared" si="26"/>
        <v/>
      </c>
      <c r="J215" s="62" t="str">
        <f t="shared" si="27"/>
        <v/>
      </c>
      <c r="K215" s="62" t="str">
        <f t="shared" si="28"/>
        <v/>
      </c>
      <c r="L215" s="62" t="str">
        <f t="shared" si="29"/>
        <v/>
      </c>
      <c r="M215" s="63" t="str">
        <f t="shared" si="30"/>
        <v/>
      </c>
      <c r="N215" s="64"/>
    </row>
    <row r="216" spans="1:14" x14ac:dyDescent="0.3">
      <c r="A216" s="58"/>
      <c r="B216" s="59"/>
      <c r="C216" s="60"/>
      <c r="D216" s="61"/>
      <c r="E216" s="62"/>
      <c r="F216" s="61" t="str">
        <f>IF($A216="","",IF($A216&lt;&gt;$A215,IFERROR(INDEX([1]FG_Begin_Inventory!$B:$B,MATCH($A216,[1]FG_Begin_Inventory!$A:$A,0)),0),J215))</f>
        <v/>
      </c>
      <c r="G216" s="61" t="str">
        <f t="shared" si="24"/>
        <v/>
      </c>
      <c r="H216" s="62" t="str">
        <f t="shared" si="25"/>
        <v/>
      </c>
      <c r="I216" s="62" t="str">
        <f t="shared" si="26"/>
        <v/>
      </c>
      <c r="J216" s="62" t="str">
        <f t="shared" si="27"/>
        <v/>
      </c>
      <c r="K216" s="62" t="str">
        <f t="shared" si="28"/>
        <v/>
      </c>
      <c r="L216" s="62" t="str">
        <f t="shared" si="29"/>
        <v/>
      </c>
      <c r="M216" s="63" t="str">
        <f t="shared" si="30"/>
        <v/>
      </c>
      <c r="N216" s="64"/>
    </row>
    <row r="217" spans="1:14" x14ac:dyDescent="0.3">
      <c r="A217" s="58"/>
      <c r="B217" s="59"/>
      <c r="C217" s="60"/>
      <c r="D217" s="61"/>
      <c r="E217" s="62"/>
      <c r="F217" s="61" t="str">
        <f>IF($A217="","",IF($A217&lt;&gt;$A216,IFERROR(INDEX([1]FG_Begin_Inventory!$B:$B,MATCH($A217,[1]FG_Begin_Inventory!$A:$A,0)),0),J216))</f>
        <v/>
      </c>
      <c r="G217" s="61" t="str">
        <f t="shared" si="24"/>
        <v/>
      </c>
      <c r="H217" s="62" t="str">
        <f t="shared" si="25"/>
        <v/>
      </c>
      <c r="I217" s="62" t="str">
        <f t="shared" si="26"/>
        <v/>
      </c>
      <c r="J217" s="62" t="str">
        <f t="shared" si="27"/>
        <v/>
      </c>
      <c r="K217" s="62" t="str">
        <f t="shared" si="28"/>
        <v/>
      </c>
      <c r="L217" s="62" t="str">
        <f t="shared" si="29"/>
        <v/>
      </c>
      <c r="M217" s="63" t="str">
        <f t="shared" si="30"/>
        <v/>
      </c>
      <c r="N217" s="64"/>
    </row>
    <row r="218" spans="1:14" x14ac:dyDescent="0.3">
      <c r="A218" s="58"/>
      <c r="B218" s="59"/>
      <c r="C218" s="60"/>
      <c r="D218" s="61"/>
      <c r="E218" s="62"/>
      <c r="F218" s="61" t="str">
        <f>IF($A218="","",IF($A218&lt;&gt;$A217,IFERROR(INDEX([1]FG_Begin_Inventory!$B:$B,MATCH($A218,[1]FG_Begin_Inventory!$A:$A,0)),0),J217))</f>
        <v/>
      </c>
      <c r="G218" s="61" t="str">
        <f t="shared" si="24"/>
        <v/>
      </c>
      <c r="H218" s="62" t="str">
        <f t="shared" si="25"/>
        <v/>
      </c>
      <c r="I218" s="62" t="str">
        <f t="shared" si="26"/>
        <v/>
      </c>
      <c r="J218" s="62" t="str">
        <f t="shared" si="27"/>
        <v/>
      </c>
      <c r="K218" s="62" t="str">
        <f t="shared" si="28"/>
        <v/>
      </c>
      <c r="L218" s="62" t="str">
        <f t="shared" si="29"/>
        <v/>
      </c>
      <c r="M218" s="63" t="str">
        <f t="shared" si="30"/>
        <v/>
      </c>
      <c r="N218" s="64"/>
    </row>
    <row r="219" spans="1:14" x14ac:dyDescent="0.3">
      <c r="A219" s="58"/>
      <c r="B219" s="59"/>
      <c r="C219" s="60"/>
      <c r="D219" s="61"/>
      <c r="E219" s="62"/>
      <c r="F219" s="61" t="str">
        <f>IF($A219="","",IF($A219&lt;&gt;$A218,IFERROR(INDEX([1]FG_Begin_Inventory!$B:$B,MATCH($A219,[1]FG_Begin_Inventory!$A:$A,0)),0),J218))</f>
        <v/>
      </c>
      <c r="G219" s="61" t="str">
        <f t="shared" si="24"/>
        <v/>
      </c>
      <c r="H219" s="62" t="str">
        <f t="shared" si="25"/>
        <v/>
      </c>
      <c r="I219" s="62" t="str">
        <f t="shared" si="26"/>
        <v/>
      </c>
      <c r="J219" s="62" t="str">
        <f t="shared" si="27"/>
        <v/>
      </c>
      <c r="K219" s="62" t="str">
        <f t="shared" si="28"/>
        <v/>
      </c>
      <c r="L219" s="62" t="str">
        <f t="shared" si="29"/>
        <v/>
      </c>
      <c r="M219" s="63" t="str">
        <f t="shared" si="30"/>
        <v/>
      </c>
      <c r="N219" s="64"/>
    </row>
    <row r="220" spans="1:14" x14ac:dyDescent="0.3">
      <c r="A220" s="58"/>
      <c r="B220" s="59"/>
      <c r="C220" s="60"/>
      <c r="D220" s="61"/>
      <c r="E220" s="62"/>
      <c r="F220" s="61" t="str">
        <f>IF($A220="","",IF($A220&lt;&gt;$A219,IFERROR(INDEX([1]FG_Begin_Inventory!$B:$B,MATCH($A220,[1]FG_Begin_Inventory!$A:$A,0)),0),J219))</f>
        <v/>
      </c>
      <c r="G220" s="61" t="str">
        <f t="shared" si="24"/>
        <v/>
      </c>
      <c r="H220" s="62" t="str">
        <f t="shared" si="25"/>
        <v/>
      </c>
      <c r="I220" s="62" t="str">
        <f t="shared" si="26"/>
        <v/>
      </c>
      <c r="J220" s="62" t="str">
        <f t="shared" si="27"/>
        <v/>
      </c>
      <c r="K220" s="62" t="str">
        <f t="shared" si="28"/>
        <v/>
      </c>
      <c r="L220" s="62" t="str">
        <f t="shared" si="29"/>
        <v/>
      </c>
      <c r="M220" s="63" t="str">
        <f t="shared" si="30"/>
        <v/>
      </c>
      <c r="N220" s="64"/>
    </row>
    <row r="221" spans="1:14" x14ac:dyDescent="0.3">
      <c r="A221" s="58"/>
      <c r="B221" s="59"/>
      <c r="C221" s="60"/>
      <c r="D221" s="61"/>
      <c r="E221" s="62"/>
      <c r="F221" s="61" t="str">
        <f>IF($A221="","",IF($A221&lt;&gt;$A220,IFERROR(INDEX([1]FG_Begin_Inventory!$B:$B,MATCH($A221,[1]FG_Begin_Inventory!$A:$A,0)),0),J220))</f>
        <v/>
      </c>
      <c r="G221" s="61" t="str">
        <f t="shared" si="24"/>
        <v/>
      </c>
      <c r="H221" s="62" t="str">
        <f t="shared" si="25"/>
        <v/>
      </c>
      <c r="I221" s="62" t="str">
        <f t="shared" si="26"/>
        <v/>
      </c>
      <c r="J221" s="62" t="str">
        <f t="shared" si="27"/>
        <v/>
      </c>
      <c r="K221" s="62" t="str">
        <f t="shared" si="28"/>
        <v/>
      </c>
      <c r="L221" s="62" t="str">
        <f t="shared" si="29"/>
        <v/>
      </c>
      <c r="M221" s="63" t="str">
        <f t="shared" si="30"/>
        <v/>
      </c>
      <c r="N221" s="64"/>
    </row>
    <row r="222" spans="1:14" x14ac:dyDescent="0.3">
      <c r="A222" s="58"/>
      <c r="B222" s="59"/>
      <c r="C222" s="60"/>
      <c r="D222" s="61"/>
      <c r="E222" s="62"/>
      <c r="F222" s="61" t="str">
        <f>IF($A222="","",IF($A222&lt;&gt;$A221,IFERROR(INDEX([1]FG_Begin_Inventory!$B:$B,MATCH($A222,[1]FG_Begin_Inventory!$A:$A,0)),0),J221))</f>
        <v/>
      </c>
      <c r="G222" s="61" t="str">
        <f t="shared" si="24"/>
        <v/>
      </c>
      <c r="H222" s="62" t="str">
        <f t="shared" si="25"/>
        <v/>
      </c>
      <c r="I222" s="62" t="str">
        <f t="shared" si="26"/>
        <v/>
      </c>
      <c r="J222" s="62" t="str">
        <f t="shared" si="27"/>
        <v/>
      </c>
      <c r="K222" s="62" t="str">
        <f t="shared" si="28"/>
        <v/>
      </c>
      <c r="L222" s="62" t="str">
        <f t="shared" si="29"/>
        <v/>
      </c>
      <c r="M222" s="63" t="str">
        <f t="shared" si="30"/>
        <v/>
      </c>
      <c r="N222" s="64"/>
    </row>
    <row r="223" spans="1:14" x14ac:dyDescent="0.3">
      <c r="A223" s="58"/>
      <c r="B223" s="59"/>
      <c r="C223" s="60"/>
      <c r="D223" s="61"/>
      <c r="E223" s="62"/>
      <c r="F223" s="61" t="str">
        <f>IF($A223="","",IF($A223&lt;&gt;$A222,IFERROR(INDEX([1]FG_Begin_Inventory!$B:$B,MATCH($A223,[1]FG_Begin_Inventory!$A:$A,0)),0),J222))</f>
        <v/>
      </c>
      <c r="G223" s="61" t="str">
        <f t="shared" si="24"/>
        <v/>
      </c>
      <c r="H223" s="62" t="str">
        <f t="shared" si="25"/>
        <v/>
      </c>
      <c r="I223" s="62" t="str">
        <f t="shared" si="26"/>
        <v/>
      </c>
      <c r="J223" s="62" t="str">
        <f t="shared" si="27"/>
        <v/>
      </c>
      <c r="K223" s="62" t="str">
        <f t="shared" si="28"/>
        <v/>
      </c>
      <c r="L223" s="62" t="str">
        <f t="shared" si="29"/>
        <v/>
      </c>
      <c r="M223" s="63" t="str">
        <f t="shared" si="30"/>
        <v/>
      </c>
      <c r="N223" s="64"/>
    </row>
    <row r="224" spans="1:14" x14ac:dyDescent="0.3">
      <c r="A224" s="58"/>
      <c r="B224" s="59"/>
      <c r="C224" s="60"/>
      <c r="D224" s="61"/>
      <c r="E224" s="62"/>
      <c r="F224" s="61" t="str">
        <f>IF($A224="","",IF($A224&lt;&gt;$A223,IFERROR(INDEX([1]FG_Begin_Inventory!$B:$B,MATCH($A224,[1]FG_Begin_Inventory!$A:$A,0)),0),J223))</f>
        <v/>
      </c>
      <c r="G224" s="61" t="str">
        <f t="shared" si="24"/>
        <v/>
      </c>
      <c r="H224" s="62" t="str">
        <f t="shared" si="25"/>
        <v/>
      </c>
      <c r="I224" s="62" t="str">
        <f t="shared" si="26"/>
        <v/>
      </c>
      <c r="J224" s="62" t="str">
        <f t="shared" si="27"/>
        <v/>
      </c>
      <c r="K224" s="62" t="str">
        <f t="shared" si="28"/>
        <v/>
      </c>
      <c r="L224" s="62" t="str">
        <f t="shared" si="29"/>
        <v/>
      </c>
      <c r="M224" s="63" t="str">
        <f t="shared" si="30"/>
        <v/>
      </c>
      <c r="N224" s="64"/>
    </row>
    <row r="225" spans="1:14" x14ac:dyDescent="0.3">
      <c r="A225" s="58"/>
      <c r="B225" s="59"/>
      <c r="C225" s="60"/>
      <c r="D225" s="61"/>
      <c r="E225" s="62"/>
      <c r="F225" s="61" t="str">
        <f>IF($A225="","",IF($A225&lt;&gt;$A224,IFERROR(INDEX([1]FG_Begin_Inventory!$B:$B,MATCH($A225,[1]FG_Begin_Inventory!$A:$A,0)),0),J224))</f>
        <v/>
      </c>
      <c r="G225" s="61" t="str">
        <f t="shared" si="24"/>
        <v/>
      </c>
      <c r="H225" s="62" t="str">
        <f t="shared" si="25"/>
        <v/>
      </c>
      <c r="I225" s="62" t="str">
        <f t="shared" si="26"/>
        <v/>
      </c>
      <c r="J225" s="62" t="str">
        <f t="shared" si="27"/>
        <v/>
      </c>
      <c r="K225" s="62" t="str">
        <f t="shared" si="28"/>
        <v/>
      </c>
      <c r="L225" s="62" t="str">
        <f t="shared" si="29"/>
        <v/>
      </c>
      <c r="M225" s="63" t="str">
        <f t="shared" si="30"/>
        <v/>
      </c>
      <c r="N225" s="64"/>
    </row>
    <row r="226" spans="1:14" x14ac:dyDescent="0.3">
      <c r="A226" s="58"/>
      <c r="B226" s="59"/>
      <c r="C226" s="60"/>
      <c r="D226" s="61"/>
      <c r="E226" s="62"/>
      <c r="F226" s="61" t="str">
        <f>IF($A226="","",IF($A226&lt;&gt;$A225,IFERROR(INDEX([1]FG_Begin_Inventory!$B:$B,MATCH($A226,[1]FG_Begin_Inventory!$A:$A,0)),0),J225))</f>
        <v/>
      </c>
      <c r="G226" s="61" t="str">
        <f t="shared" si="24"/>
        <v/>
      </c>
      <c r="H226" s="62" t="str">
        <f t="shared" si="25"/>
        <v/>
      </c>
      <c r="I226" s="62" t="str">
        <f t="shared" si="26"/>
        <v/>
      </c>
      <c r="J226" s="62" t="str">
        <f t="shared" si="27"/>
        <v/>
      </c>
      <c r="K226" s="62" t="str">
        <f t="shared" si="28"/>
        <v/>
      </c>
      <c r="L226" s="62" t="str">
        <f t="shared" si="29"/>
        <v/>
      </c>
      <c r="M226" s="63" t="str">
        <f t="shared" si="30"/>
        <v/>
      </c>
      <c r="N226" s="64"/>
    </row>
    <row r="227" spans="1:14" x14ac:dyDescent="0.3">
      <c r="A227" s="58"/>
      <c r="B227" s="59"/>
      <c r="C227" s="60"/>
      <c r="D227" s="61"/>
      <c r="E227" s="62"/>
      <c r="F227" s="61" t="str">
        <f>IF($A227="","",IF($A227&lt;&gt;$A226,IFERROR(INDEX([1]FG_Begin_Inventory!$B:$B,MATCH($A227,[1]FG_Begin_Inventory!$A:$A,0)),0),J226))</f>
        <v/>
      </c>
      <c r="G227" s="61" t="str">
        <f t="shared" si="24"/>
        <v/>
      </c>
      <c r="H227" s="62" t="str">
        <f t="shared" si="25"/>
        <v/>
      </c>
      <c r="I227" s="62" t="str">
        <f t="shared" si="26"/>
        <v/>
      </c>
      <c r="J227" s="62" t="str">
        <f t="shared" si="27"/>
        <v/>
      </c>
      <c r="K227" s="62" t="str">
        <f t="shared" si="28"/>
        <v/>
      </c>
      <c r="L227" s="62" t="str">
        <f t="shared" si="29"/>
        <v/>
      </c>
      <c r="M227" s="63" t="str">
        <f t="shared" si="30"/>
        <v/>
      </c>
      <c r="N227" s="64"/>
    </row>
    <row r="228" spans="1:14" x14ac:dyDescent="0.3">
      <c r="A228" s="58"/>
      <c r="B228" s="59"/>
      <c r="C228" s="60"/>
      <c r="D228" s="61"/>
      <c r="E228" s="62"/>
      <c r="F228" s="61" t="str">
        <f>IF($A228="","",IF($A228&lt;&gt;$A227,IFERROR(INDEX([1]FG_Begin_Inventory!$B:$B,MATCH($A228,[1]FG_Begin_Inventory!$A:$A,0)),0),J227))</f>
        <v/>
      </c>
      <c r="G228" s="61" t="str">
        <f t="shared" si="24"/>
        <v/>
      </c>
      <c r="H228" s="62" t="str">
        <f t="shared" si="25"/>
        <v/>
      </c>
      <c r="I228" s="62" t="str">
        <f t="shared" si="26"/>
        <v/>
      </c>
      <c r="J228" s="62" t="str">
        <f t="shared" si="27"/>
        <v/>
      </c>
      <c r="K228" s="62" t="str">
        <f t="shared" si="28"/>
        <v/>
      </c>
      <c r="L228" s="62" t="str">
        <f t="shared" si="29"/>
        <v/>
      </c>
      <c r="M228" s="63" t="str">
        <f t="shared" si="30"/>
        <v/>
      </c>
      <c r="N228" s="64"/>
    </row>
    <row r="229" spans="1:14" x14ac:dyDescent="0.3">
      <c r="A229" s="58"/>
      <c r="B229" s="59"/>
      <c r="C229" s="60"/>
      <c r="D229" s="61"/>
      <c r="E229" s="62"/>
      <c r="F229" s="61" t="str">
        <f>IF($A229="","",IF($A229&lt;&gt;$A228,IFERROR(INDEX([1]FG_Begin_Inventory!$B:$B,MATCH($A229,[1]FG_Begin_Inventory!$A:$A,0)),0),J228))</f>
        <v/>
      </c>
      <c r="G229" s="61" t="str">
        <f t="shared" si="24"/>
        <v/>
      </c>
      <c r="H229" s="62" t="str">
        <f t="shared" si="25"/>
        <v/>
      </c>
      <c r="I229" s="62" t="str">
        <f t="shared" si="26"/>
        <v/>
      </c>
      <c r="J229" s="62" t="str">
        <f t="shared" si="27"/>
        <v/>
      </c>
      <c r="K229" s="62" t="str">
        <f t="shared" si="28"/>
        <v/>
      </c>
      <c r="L229" s="62" t="str">
        <f t="shared" si="29"/>
        <v/>
      </c>
      <c r="M229" s="63" t="str">
        <f t="shared" si="30"/>
        <v/>
      </c>
      <c r="N229" s="64"/>
    </row>
    <row r="230" spans="1:14" x14ac:dyDescent="0.3">
      <c r="A230" s="58"/>
      <c r="B230" s="59"/>
      <c r="C230" s="60"/>
      <c r="D230" s="61"/>
      <c r="E230" s="62"/>
      <c r="F230" s="61" t="str">
        <f>IF($A230="","",IF($A230&lt;&gt;$A229,IFERROR(INDEX([1]FG_Begin_Inventory!$B:$B,MATCH($A230,[1]FG_Begin_Inventory!$A:$A,0)),0),J229))</f>
        <v/>
      </c>
      <c r="G230" s="61" t="str">
        <f t="shared" si="24"/>
        <v/>
      </c>
      <c r="H230" s="62" t="str">
        <f t="shared" si="25"/>
        <v/>
      </c>
      <c r="I230" s="62" t="str">
        <f t="shared" si="26"/>
        <v/>
      </c>
      <c r="J230" s="62" t="str">
        <f t="shared" si="27"/>
        <v/>
      </c>
      <c r="K230" s="62" t="str">
        <f t="shared" si="28"/>
        <v/>
      </c>
      <c r="L230" s="62" t="str">
        <f t="shared" si="29"/>
        <v/>
      </c>
      <c r="M230" s="63" t="str">
        <f t="shared" si="30"/>
        <v/>
      </c>
      <c r="N230" s="64"/>
    </row>
    <row r="231" spans="1:14" x14ac:dyDescent="0.3">
      <c r="A231" s="58"/>
      <c r="B231" s="59"/>
      <c r="C231" s="60"/>
      <c r="D231" s="61"/>
      <c r="E231" s="62"/>
      <c r="F231" s="61" t="str">
        <f>IF($A231="","",IF($A231&lt;&gt;$A230,IFERROR(INDEX([1]FG_Begin_Inventory!$B:$B,MATCH($A231,[1]FG_Begin_Inventory!$A:$A,0)),0),J230))</f>
        <v/>
      </c>
      <c r="G231" s="61" t="str">
        <f t="shared" si="24"/>
        <v/>
      </c>
      <c r="H231" s="62" t="str">
        <f t="shared" si="25"/>
        <v/>
      </c>
      <c r="I231" s="62" t="str">
        <f t="shared" si="26"/>
        <v/>
      </c>
      <c r="J231" s="62" t="str">
        <f t="shared" si="27"/>
        <v/>
      </c>
      <c r="K231" s="62" t="str">
        <f t="shared" si="28"/>
        <v/>
      </c>
      <c r="L231" s="62" t="str">
        <f t="shared" si="29"/>
        <v/>
      </c>
      <c r="M231" s="63" t="str">
        <f t="shared" si="30"/>
        <v/>
      </c>
      <c r="N231" s="64"/>
    </row>
    <row r="232" spans="1:14" x14ac:dyDescent="0.3">
      <c r="A232" s="58"/>
      <c r="B232" s="59"/>
      <c r="C232" s="60"/>
      <c r="D232" s="61"/>
      <c r="E232" s="62"/>
      <c r="F232" s="61" t="str">
        <f>IF($A232="","",IF($A232&lt;&gt;$A231,IFERROR(INDEX([1]FG_Begin_Inventory!$B:$B,MATCH($A232,[1]FG_Begin_Inventory!$A:$A,0)),0),J231))</f>
        <v/>
      </c>
      <c r="G232" s="61" t="str">
        <f t="shared" si="24"/>
        <v/>
      </c>
      <c r="H232" s="62" t="str">
        <f t="shared" si="25"/>
        <v/>
      </c>
      <c r="I232" s="62" t="str">
        <f t="shared" si="26"/>
        <v/>
      </c>
      <c r="J232" s="62" t="str">
        <f t="shared" si="27"/>
        <v/>
      </c>
      <c r="K232" s="62" t="str">
        <f t="shared" si="28"/>
        <v/>
      </c>
      <c r="L232" s="62" t="str">
        <f t="shared" si="29"/>
        <v/>
      </c>
      <c r="M232" s="63" t="str">
        <f t="shared" si="30"/>
        <v/>
      </c>
      <c r="N232" s="64"/>
    </row>
    <row r="233" spans="1:14" x14ac:dyDescent="0.3">
      <c r="A233" s="58"/>
      <c r="B233" s="59"/>
      <c r="C233" s="60"/>
      <c r="D233" s="61"/>
      <c r="E233" s="62"/>
      <c r="F233" s="61" t="str">
        <f>IF($A233="","",IF($A233&lt;&gt;$A232,IFERROR(INDEX([1]FG_Begin_Inventory!$B:$B,MATCH($A233,[1]FG_Begin_Inventory!$A:$A,0)),0),J232))</f>
        <v/>
      </c>
      <c r="G233" s="61" t="str">
        <f t="shared" si="24"/>
        <v/>
      </c>
      <c r="H233" s="62" t="str">
        <f t="shared" si="25"/>
        <v/>
      </c>
      <c r="I233" s="62" t="str">
        <f t="shared" si="26"/>
        <v/>
      </c>
      <c r="J233" s="62" t="str">
        <f t="shared" si="27"/>
        <v/>
      </c>
      <c r="K233" s="62" t="str">
        <f t="shared" si="28"/>
        <v/>
      </c>
      <c r="L233" s="62" t="str">
        <f t="shared" si="29"/>
        <v/>
      </c>
      <c r="M233" s="63" t="str">
        <f t="shared" si="30"/>
        <v/>
      </c>
      <c r="N233" s="64"/>
    </row>
    <row r="234" spans="1:14" x14ac:dyDescent="0.3">
      <c r="A234" s="58"/>
      <c r="B234" s="59"/>
      <c r="C234" s="60"/>
      <c r="D234" s="61"/>
      <c r="E234" s="62"/>
      <c r="F234" s="61" t="str">
        <f>IF($A234="","",IF($A234&lt;&gt;$A233,IFERROR(INDEX([1]FG_Begin_Inventory!$B:$B,MATCH($A234,[1]FG_Begin_Inventory!$A:$A,0)),0),J233))</f>
        <v/>
      </c>
      <c r="G234" s="61" t="str">
        <f t="shared" si="24"/>
        <v/>
      </c>
      <c r="H234" s="62" t="str">
        <f t="shared" si="25"/>
        <v/>
      </c>
      <c r="I234" s="62" t="str">
        <f t="shared" si="26"/>
        <v/>
      </c>
      <c r="J234" s="62" t="str">
        <f t="shared" si="27"/>
        <v/>
      </c>
      <c r="K234" s="62" t="str">
        <f t="shared" si="28"/>
        <v/>
      </c>
      <c r="L234" s="62" t="str">
        <f t="shared" si="29"/>
        <v/>
      </c>
      <c r="M234" s="63" t="str">
        <f t="shared" si="30"/>
        <v/>
      </c>
      <c r="N234" s="64"/>
    </row>
    <row r="235" spans="1:14" x14ac:dyDescent="0.3">
      <c r="A235" s="58"/>
      <c r="B235" s="59"/>
      <c r="C235" s="60"/>
      <c r="D235" s="61"/>
      <c r="E235" s="62"/>
      <c r="F235" s="61" t="str">
        <f>IF($A235="","",IF($A235&lt;&gt;$A234,IFERROR(INDEX([1]FG_Begin_Inventory!$B:$B,MATCH($A235,[1]FG_Begin_Inventory!$A:$A,0)),0),J234))</f>
        <v/>
      </c>
      <c r="G235" s="61" t="str">
        <f t="shared" si="24"/>
        <v/>
      </c>
      <c r="H235" s="62" t="str">
        <f t="shared" si="25"/>
        <v/>
      </c>
      <c r="I235" s="62" t="str">
        <f t="shared" si="26"/>
        <v/>
      </c>
      <c r="J235" s="62" t="str">
        <f t="shared" si="27"/>
        <v/>
      </c>
      <c r="K235" s="62" t="str">
        <f t="shared" si="28"/>
        <v/>
      </c>
      <c r="L235" s="62" t="str">
        <f t="shared" si="29"/>
        <v/>
      </c>
      <c r="M235" s="63" t="str">
        <f t="shared" si="30"/>
        <v/>
      </c>
      <c r="N235" s="64"/>
    </row>
    <row r="236" spans="1:14" x14ac:dyDescent="0.3">
      <c r="A236" s="58"/>
      <c r="B236" s="59"/>
      <c r="C236" s="60"/>
      <c r="D236" s="61"/>
      <c r="E236" s="62"/>
      <c r="F236" s="61" t="str">
        <f>IF($A236="","",IF($A236&lt;&gt;$A235,IFERROR(INDEX([1]FG_Begin_Inventory!$B:$B,MATCH($A236,[1]FG_Begin_Inventory!$A:$A,0)),0),J235))</f>
        <v/>
      </c>
      <c r="G236" s="61" t="str">
        <f t="shared" si="24"/>
        <v/>
      </c>
      <c r="H236" s="62" t="str">
        <f t="shared" si="25"/>
        <v/>
      </c>
      <c r="I236" s="62" t="str">
        <f t="shared" si="26"/>
        <v/>
      </c>
      <c r="J236" s="62" t="str">
        <f t="shared" si="27"/>
        <v/>
      </c>
      <c r="K236" s="62" t="str">
        <f t="shared" si="28"/>
        <v/>
      </c>
      <c r="L236" s="62" t="str">
        <f t="shared" si="29"/>
        <v/>
      </c>
      <c r="M236" s="63" t="str">
        <f t="shared" si="30"/>
        <v/>
      </c>
      <c r="N236" s="64"/>
    </row>
    <row r="237" spans="1:14" x14ac:dyDescent="0.3">
      <c r="A237" s="58"/>
      <c r="B237" s="59"/>
      <c r="C237" s="60"/>
      <c r="D237" s="61"/>
      <c r="E237" s="62"/>
      <c r="F237" s="61" t="str">
        <f>IF($A237="","",IF($A237&lt;&gt;$A236,IFERROR(INDEX([1]FG_Begin_Inventory!$B:$B,MATCH($A237,[1]FG_Begin_Inventory!$A:$A,0)),0),J236))</f>
        <v/>
      </c>
      <c r="G237" s="61" t="str">
        <f t="shared" si="24"/>
        <v/>
      </c>
      <c r="H237" s="62" t="str">
        <f t="shared" si="25"/>
        <v/>
      </c>
      <c r="I237" s="62" t="str">
        <f t="shared" si="26"/>
        <v/>
      </c>
      <c r="J237" s="62" t="str">
        <f t="shared" si="27"/>
        <v/>
      </c>
      <c r="K237" s="62" t="str">
        <f t="shared" si="28"/>
        <v/>
      </c>
      <c r="L237" s="62" t="str">
        <f t="shared" si="29"/>
        <v/>
      </c>
      <c r="M237" s="63" t="str">
        <f t="shared" si="30"/>
        <v/>
      </c>
      <c r="N237" s="64"/>
    </row>
    <row r="238" spans="1:14" x14ac:dyDescent="0.3">
      <c r="A238" s="58"/>
      <c r="B238" s="59"/>
      <c r="C238" s="60"/>
      <c r="D238" s="61"/>
      <c r="E238" s="62"/>
      <c r="F238" s="61" t="str">
        <f>IF($A238="","",IF($A238&lt;&gt;$A237,IFERROR(INDEX([1]FG_Begin_Inventory!$B:$B,MATCH($A238,[1]FG_Begin_Inventory!$A:$A,0)),0),J237))</f>
        <v/>
      </c>
      <c r="G238" s="61" t="str">
        <f t="shared" si="24"/>
        <v/>
      </c>
      <c r="H238" s="62" t="str">
        <f t="shared" si="25"/>
        <v/>
      </c>
      <c r="I238" s="62" t="str">
        <f t="shared" si="26"/>
        <v/>
      </c>
      <c r="J238" s="62" t="str">
        <f t="shared" si="27"/>
        <v/>
      </c>
      <c r="K238" s="62" t="str">
        <f t="shared" si="28"/>
        <v/>
      </c>
      <c r="L238" s="62" t="str">
        <f t="shared" si="29"/>
        <v/>
      </c>
      <c r="M238" s="63" t="str">
        <f t="shared" si="30"/>
        <v/>
      </c>
      <c r="N238" s="64"/>
    </row>
    <row r="239" spans="1:14" x14ac:dyDescent="0.3">
      <c r="A239" s="58"/>
      <c r="B239" s="59"/>
      <c r="C239" s="60"/>
      <c r="D239" s="61"/>
      <c r="E239" s="62"/>
      <c r="F239" s="61" t="str">
        <f>IF($A239="","",IF($A239&lt;&gt;$A238,IFERROR(INDEX([1]FG_Begin_Inventory!$B:$B,MATCH($A239,[1]FG_Begin_Inventory!$A:$A,0)),0),J238))</f>
        <v/>
      </c>
      <c r="G239" s="61" t="str">
        <f t="shared" si="24"/>
        <v/>
      </c>
      <c r="H239" s="62" t="str">
        <f t="shared" si="25"/>
        <v/>
      </c>
      <c r="I239" s="62" t="str">
        <f t="shared" si="26"/>
        <v/>
      </c>
      <c r="J239" s="62" t="str">
        <f t="shared" si="27"/>
        <v/>
      </c>
      <c r="K239" s="62" t="str">
        <f t="shared" si="28"/>
        <v/>
      </c>
      <c r="L239" s="62" t="str">
        <f t="shared" si="29"/>
        <v/>
      </c>
      <c r="M239" s="63" t="str">
        <f t="shared" si="30"/>
        <v/>
      </c>
      <c r="N239" s="64"/>
    </row>
    <row r="240" spans="1:14" x14ac:dyDescent="0.3">
      <c r="A240" s="58"/>
      <c r="B240" s="59"/>
      <c r="C240" s="60"/>
      <c r="D240" s="61"/>
      <c r="E240" s="62"/>
      <c r="F240" s="61" t="str">
        <f>IF($A240="","",IF($A240&lt;&gt;$A239,IFERROR(INDEX([1]FG_Begin_Inventory!$B:$B,MATCH($A240,[1]FG_Begin_Inventory!$A:$A,0)),0),J239))</f>
        <v/>
      </c>
      <c r="G240" s="61" t="str">
        <f t="shared" si="24"/>
        <v/>
      </c>
      <c r="H240" s="62" t="str">
        <f t="shared" si="25"/>
        <v/>
      </c>
      <c r="I240" s="62" t="str">
        <f t="shared" si="26"/>
        <v/>
      </c>
      <c r="J240" s="62" t="str">
        <f t="shared" si="27"/>
        <v/>
      </c>
      <c r="K240" s="62" t="str">
        <f t="shared" si="28"/>
        <v/>
      </c>
      <c r="L240" s="62" t="str">
        <f t="shared" si="29"/>
        <v/>
      </c>
      <c r="M240" s="63" t="str">
        <f t="shared" si="30"/>
        <v/>
      </c>
      <c r="N240" s="64"/>
    </row>
    <row r="241" spans="1:14" x14ac:dyDescent="0.3">
      <c r="A241" s="58"/>
      <c r="B241" s="59"/>
      <c r="C241" s="60"/>
      <c r="D241" s="61"/>
      <c r="E241" s="62"/>
      <c r="F241" s="61" t="str">
        <f>IF($A241="","",IF($A241&lt;&gt;$A240,IFERROR(INDEX([1]FG_Begin_Inventory!$B:$B,MATCH($A241,[1]FG_Begin_Inventory!$A:$A,0)),0),J240))</f>
        <v/>
      </c>
      <c r="G241" s="61" t="str">
        <f t="shared" si="24"/>
        <v/>
      </c>
      <c r="H241" s="62" t="str">
        <f t="shared" si="25"/>
        <v/>
      </c>
      <c r="I241" s="62" t="str">
        <f t="shared" si="26"/>
        <v/>
      </c>
      <c r="J241" s="62" t="str">
        <f t="shared" si="27"/>
        <v/>
      </c>
      <c r="K241" s="62" t="str">
        <f t="shared" si="28"/>
        <v/>
      </c>
      <c r="L241" s="62" t="str">
        <f t="shared" si="29"/>
        <v/>
      </c>
      <c r="M241" s="63" t="str">
        <f t="shared" si="30"/>
        <v/>
      </c>
      <c r="N241" s="64"/>
    </row>
    <row r="242" spans="1:14" x14ac:dyDescent="0.3">
      <c r="A242" s="58"/>
      <c r="B242" s="59"/>
      <c r="C242" s="60"/>
      <c r="D242" s="61"/>
      <c r="E242" s="62"/>
      <c r="F242" s="61" t="str">
        <f>IF($A242="","",IF($A242&lt;&gt;$A241,IFERROR(INDEX([1]FG_Begin_Inventory!$B:$B,MATCH($A242,[1]FG_Begin_Inventory!$A:$A,0)),0),J241))</f>
        <v/>
      </c>
      <c r="G242" s="61" t="str">
        <f t="shared" si="24"/>
        <v/>
      </c>
      <c r="H242" s="62" t="str">
        <f t="shared" si="25"/>
        <v/>
      </c>
      <c r="I242" s="62" t="str">
        <f t="shared" si="26"/>
        <v/>
      </c>
      <c r="J242" s="62" t="str">
        <f t="shared" si="27"/>
        <v/>
      </c>
      <c r="K242" s="62" t="str">
        <f t="shared" si="28"/>
        <v/>
      </c>
      <c r="L242" s="62" t="str">
        <f t="shared" si="29"/>
        <v/>
      </c>
      <c r="M242" s="63" t="str">
        <f t="shared" si="30"/>
        <v/>
      </c>
      <c r="N242" s="64"/>
    </row>
    <row r="243" spans="1:14" x14ac:dyDescent="0.3">
      <c r="A243" s="58"/>
      <c r="B243" s="59"/>
      <c r="C243" s="60"/>
      <c r="D243" s="61"/>
      <c r="E243" s="62"/>
      <c r="F243" s="61" t="str">
        <f>IF($A243="","",IF($A243&lt;&gt;$A242,IFERROR(INDEX([1]FG_Begin_Inventory!$B:$B,MATCH($A243,[1]FG_Begin_Inventory!$A:$A,0)),0),J242))</f>
        <v/>
      </c>
      <c r="G243" s="61" t="str">
        <f t="shared" ref="G243:G306" si="31">IF($A243="","",IF($A243&lt;&gt;$A244,0,MAX(0,G244+E244-D244)))</f>
        <v/>
      </c>
      <c r="H243" s="62" t="str">
        <f t="shared" si="25"/>
        <v/>
      </c>
      <c r="I243" s="62" t="str">
        <f t="shared" si="26"/>
        <v/>
      </c>
      <c r="J243" s="62" t="str">
        <f t="shared" si="27"/>
        <v/>
      </c>
      <c r="K243" s="62" t="str">
        <f t="shared" si="28"/>
        <v/>
      </c>
      <c r="L243" s="62" t="str">
        <f t="shared" si="29"/>
        <v/>
      </c>
      <c r="M243" s="63" t="str">
        <f t="shared" si="30"/>
        <v/>
      </c>
      <c r="N243" s="64"/>
    </row>
    <row r="244" spans="1:14" x14ac:dyDescent="0.3">
      <c r="A244" s="58"/>
      <c r="B244" s="59"/>
      <c r="C244" s="60"/>
      <c r="D244" s="61"/>
      <c r="E244" s="62"/>
      <c r="F244" s="61" t="str">
        <f>IF($A244="","",IF($A244&lt;&gt;$A243,IFERROR(INDEX([1]FG_Begin_Inventory!$B:$B,MATCH($A244,[1]FG_Begin_Inventory!$A:$A,0)),0),J243))</f>
        <v/>
      </c>
      <c r="G244" s="61" t="str">
        <f t="shared" si="31"/>
        <v/>
      </c>
      <c r="H244" s="62" t="str">
        <f t="shared" si="25"/>
        <v/>
      </c>
      <c r="I244" s="62" t="str">
        <f t="shared" si="26"/>
        <v/>
      </c>
      <c r="J244" s="62" t="str">
        <f t="shared" si="27"/>
        <v/>
      </c>
      <c r="K244" s="62" t="str">
        <f t="shared" si="28"/>
        <v/>
      </c>
      <c r="L244" s="62" t="str">
        <f t="shared" si="29"/>
        <v/>
      </c>
      <c r="M244" s="63" t="str">
        <f t="shared" si="30"/>
        <v/>
      </c>
      <c r="N244" s="64"/>
    </row>
    <row r="245" spans="1:14" x14ac:dyDescent="0.3">
      <c r="A245" s="58"/>
      <c r="B245" s="59"/>
      <c r="C245" s="60"/>
      <c r="D245" s="61"/>
      <c r="E245" s="62"/>
      <c r="F245" s="61" t="str">
        <f>IF($A245="","",IF($A245&lt;&gt;$A244,IFERROR(INDEX([1]FG_Begin_Inventory!$B:$B,MATCH($A245,[1]FG_Begin_Inventory!$A:$A,0)),0),J244))</f>
        <v/>
      </c>
      <c r="G245" s="61" t="str">
        <f t="shared" si="31"/>
        <v/>
      </c>
      <c r="H245" s="62" t="str">
        <f t="shared" si="25"/>
        <v/>
      </c>
      <c r="I245" s="62" t="str">
        <f t="shared" si="26"/>
        <v/>
      </c>
      <c r="J245" s="62" t="str">
        <f t="shared" si="27"/>
        <v/>
      </c>
      <c r="K245" s="62" t="str">
        <f t="shared" si="28"/>
        <v/>
      </c>
      <c r="L245" s="62" t="str">
        <f t="shared" si="29"/>
        <v/>
      </c>
      <c r="M245" s="63" t="str">
        <f t="shared" si="30"/>
        <v/>
      </c>
      <c r="N245" s="64"/>
    </row>
    <row r="246" spans="1:14" x14ac:dyDescent="0.3">
      <c r="A246" s="58"/>
      <c r="B246" s="59"/>
      <c r="C246" s="60"/>
      <c r="D246" s="61"/>
      <c r="E246" s="62"/>
      <c r="F246" s="61" t="str">
        <f>IF($A246="","",IF($A246&lt;&gt;$A245,IFERROR(INDEX([1]FG_Begin_Inventory!$B:$B,MATCH($A246,[1]FG_Begin_Inventory!$A:$A,0)),0),J245))</f>
        <v/>
      </c>
      <c r="G246" s="61" t="str">
        <f t="shared" si="31"/>
        <v/>
      </c>
      <c r="H246" s="62" t="str">
        <f t="shared" si="25"/>
        <v/>
      </c>
      <c r="I246" s="62" t="str">
        <f t="shared" si="26"/>
        <v/>
      </c>
      <c r="J246" s="62" t="str">
        <f t="shared" si="27"/>
        <v/>
      </c>
      <c r="K246" s="62" t="str">
        <f t="shared" si="28"/>
        <v/>
      </c>
      <c r="L246" s="62" t="str">
        <f t="shared" si="29"/>
        <v/>
      </c>
      <c r="M246" s="63" t="str">
        <f t="shared" si="30"/>
        <v/>
      </c>
      <c r="N246" s="64"/>
    </row>
    <row r="247" spans="1:14" x14ac:dyDescent="0.3">
      <c r="A247" s="58"/>
      <c r="B247" s="59"/>
      <c r="C247" s="60"/>
      <c r="D247" s="61"/>
      <c r="E247" s="62"/>
      <c r="F247" s="61" t="str">
        <f>IF($A247="","",IF($A247&lt;&gt;$A246,IFERROR(INDEX([1]FG_Begin_Inventory!$B:$B,MATCH($A247,[1]FG_Begin_Inventory!$A:$A,0)),0),J246))</f>
        <v/>
      </c>
      <c r="G247" s="61" t="str">
        <f t="shared" si="31"/>
        <v/>
      </c>
      <c r="H247" s="62" t="str">
        <f t="shared" si="25"/>
        <v/>
      </c>
      <c r="I247" s="62" t="str">
        <f t="shared" si="26"/>
        <v/>
      </c>
      <c r="J247" s="62" t="str">
        <f t="shared" si="27"/>
        <v/>
      </c>
      <c r="K247" s="62" t="str">
        <f t="shared" si="28"/>
        <v/>
      </c>
      <c r="L247" s="62" t="str">
        <f t="shared" si="29"/>
        <v/>
      </c>
      <c r="M247" s="63" t="str">
        <f t="shared" si="30"/>
        <v/>
      </c>
      <c r="N247" s="64"/>
    </row>
    <row r="248" spans="1:14" x14ac:dyDescent="0.3">
      <c r="A248" s="58"/>
      <c r="B248" s="59"/>
      <c r="C248" s="60"/>
      <c r="D248" s="61"/>
      <c r="E248" s="62"/>
      <c r="F248" s="61" t="str">
        <f>IF($A248="","",IF($A248&lt;&gt;$A247,IFERROR(INDEX([1]FG_Begin_Inventory!$B:$B,MATCH($A248,[1]FG_Begin_Inventory!$A:$A,0)),0),J247))</f>
        <v/>
      </c>
      <c r="G248" s="61" t="str">
        <f t="shared" si="31"/>
        <v/>
      </c>
      <c r="H248" s="62" t="str">
        <f t="shared" si="25"/>
        <v/>
      </c>
      <c r="I248" s="62" t="str">
        <f t="shared" si="26"/>
        <v/>
      </c>
      <c r="J248" s="62" t="str">
        <f t="shared" si="27"/>
        <v/>
      </c>
      <c r="K248" s="62" t="str">
        <f t="shared" si="28"/>
        <v/>
      </c>
      <c r="L248" s="62" t="str">
        <f t="shared" si="29"/>
        <v/>
      </c>
      <c r="M248" s="63" t="str">
        <f t="shared" si="30"/>
        <v/>
      </c>
      <c r="N248" s="64"/>
    </row>
    <row r="249" spans="1:14" x14ac:dyDescent="0.3">
      <c r="A249" s="58"/>
      <c r="B249" s="59"/>
      <c r="C249" s="60"/>
      <c r="D249" s="61"/>
      <c r="E249" s="62"/>
      <c r="F249" s="61" t="str">
        <f>IF($A249="","",IF($A249&lt;&gt;$A248,IFERROR(INDEX([1]FG_Begin_Inventory!$B:$B,MATCH($A249,[1]FG_Begin_Inventory!$A:$A,0)),0),J248))</f>
        <v/>
      </c>
      <c r="G249" s="61" t="str">
        <f t="shared" si="31"/>
        <v/>
      </c>
      <c r="H249" s="62" t="str">
        <f t="shared" si="25"/>
        <v/>
      </c>
      <c r="I249" s="62" t="str">
        <f t="shared" si="26"/>
        <v/>
      </c>
      <c r="J249" s="62" t="str">
        <f t="shared" si="27"/>
        <v/>
      </c>
      <c r="K249" s="62" t="str">
        <f t="shared" si="28"/>
        <v/>
      </c>
      <c r="L249" s="62" t="str">
        <f t="shared" si="29"/>
        <v/>
      </c>
      <c r="M249" s="63" t="str">
        <f t="shared" si="30"/>
        <v/>
      </c>
      <c r="N249" s="64"/>
    </row>
    <row r="250" spans="1:14" x14ac:dyDescent="0.3">
      <c r="A250" s="58"/>
      <c r="B250" s="59"/>
      <c r="C250" s="60"/>
      <c r="D250" s="61"/>
      <c r="E250" s="62"/>
      <c r="F250" s="61" t="str">
        <f>IF($A250="","",IF($A250&lt;&gt;$A249,IFERROR(INDEX([1]FG_Begin_Inventory!$B:$B,MATCH($A250,[1]FG_Begin_Inventory!$A:$A,0)),0),J249))</f>
        <v/>
      </c>
      <c r="G250" s="61" t="str">
        <f t="shared" si="31"/>
        <v/>
      </c>
      <c r="H250" s="62" t="str">
        <f t="shared" si="25"/>
        <v/>
      </c>
      <c r="I250" s="62" t="str">
        <f t="shared" si="26"/>
        <v/>
      </c>
      <c r="J250" s="62" t="str">
        <f t="shared" si="27"/>
        <v/>
      </c>
      <c r="K250" s="62" t="str">
        <f t="shared" si="28"/>
        <v/>
      </c>
      <c r="L250" s="62" t="str">
        <f t="shared" si="29"/>
        <v/>
      </c>
      <c r="M250" s="63" t="str">
        <f t="shared" si="30"/>
        <v/>
      </c>
      <c r="N250" s="64"/>
    </row>
    <row r="251" spans="1:14" x14ac:dyDescent="0.3">
      <c r="A251" s="58"/>
      <c r="B251" s="59"/>
      <c r="C251" s="60"/>
      <c r="D251" s="61"/>
      <c r="E251" s="62"/>
      <c r="F251" s="61" t="str">
        <f>IF($A251="","",IF($A251&lt;&gt;$A250,IFERROR(INDEX([1]FG_Begin_Inventory!$B:$B,MATCH($A251,[1]FG_Begin_Inventory!$A:$A,0)),0),J250))</f>
        <v/>
      </c>
      <c r="G251" s="61" t="str">
        <f t="shared" si="31"/>
        <v/>
      </c>
      <c r="H251" s="62" t="str">
        <f t="shared" si="25"/>
        <v/>
      </c>
      <c r="I251" s="62" t="str">
        <f t="shared" si="26"/>
        <v/>
      </c>
      <c r="J251" s="62" t="str">
        <f t="shared" si="27"/>
        <v/>
      </c>
      <c r="K251" s="62" t="str">
        <f t="shared" si="28"/>
        <v/>
      </c>
      <c r="L251" s="62" t="str">
        <f t="shared" si="29"/>
        <v/>
      </c>
      <c r="M251" s="63" t="str">
        <f t="shared" si="30"/>
        <v/>
      </c>
      <c r="N251" s="64"/>
    </row>
    <row r="252" spans="1:14" x14ac:dyDescent="0.3">
      <c r="A252" s="58"/>
      <c r="B252" s="59"/>
      <c r="C252" s="60"/>
      <c r="D252" s="61"/>
      <c r="E252" s="62"/>
      <c r="F252" s="61" t="str">
        <f>IF($A252="","",IF($A252&lt;&gt;$A251,IFERROR(INDEX([1]FG_Begin_Inventory!$B:$B,MATCH($A252,[1]FG_Begin_Inventory!$A:$A,0)),0),J251))</f>
        <v/>
      </c>
      <c r="G252" s="61" t="str">
        <f t="shared" si="31"/>
        <v/>
      </c>
      <c r="H252" s="62" t="str">
        <f t="shared" si="25"/>
        <v/>
      </c>
      <c r="I252" s="62" t="str">
        <f t="shared" si="26"/>
        <v/>
      </c>
      <c r="J252" s="62" t="str">
        <f t="shared" si="27"/>
        <v/>
      </c>
      <c r="K252" s="62" t="str">
        <f t="shared" si="28"/>
        <v/>
      </c>
      <c r="L252" s="62" t="str">
        <f t="shared" si="29"/>
        <v/>
      </c>
      <c r="M252" s="63" t="str">
        <f t="shared" si="30"/>
        <v/>
      </c>
      <c r="N252" s="64"/>
    </row>
    <row r="253" spans="1:14" x14ac:dyDescent="0.3">
      <c r="A253" s="58"/>
      <c r="B253" s="59"/>
      <c r="C253" s="60"/>
      <c r="D253" s="61"/>
      <c r="E253" s="62"/>
      <c r="F253" s="61" t="str">
        <f>IF($A253="","",IF($A253&lt;&gt;$A252,IFERROR(INDEX([1]FG_Begin_Inventory!$B:$B,MATCH($A253,[1]FG_Begin_Inventory!$A:$A,0)),0),J252))</f>
        <v/>
      </c>
      <c r="G253" s="61" t="str">
        <f t="shared" si="31"/>
        <v/>
      </c>
      <c r="H253" s="62" t="str">
        <f t="shared" si="25"/>
        <v/>
      </c>
      <c r="I253" s="62" t="str">
        <f t="shared" si="26"/>
        <v/>
      </c>
      <c r="J253" s="62" t="str">
        <f t="shared" si="27"/>
        <v/>
      </c>
      <c r="K253" s="62" t="str">
        <f t="shared" si="28"/>
        <v/>
      </c>
      <c r="L253" s="62" t="str">
        <f t="shared" si="29"/>
        <v/>
      </c>
      <c r="M253" s="63" t="str">
        <f t="shared" si="30"/>
        <v/>
      </c>
      <c r="N253" s="64"/>
    </row>
    <row r="254" spans="1:14" x14ac:dyDescent="0.3">
      <c r="A254" s="58"/>
      <c r="B254" s="59"/>
      <c r="C254" s="60"/>
      <c r="D254" s="61"/>
      <c r="E254" s="62"/>
      <c r="F254" s="61" t="str">
        <f>IF($A254="","",IF($A254&lt;&gt;$A253,IFERROR(INDEX([1]FG_Begin_Inventory!$B:$B,MATCH($A254,[1]FG_Begin_Inventory!$A:$A,0)),0),J253))</f>
        <v/>
      </c>
      <c r="G254" s="61" t="str">
        <f t="shared" si="31"/>
        <v/>
      </c>
      <c r="H254" s="62" t="str">
        <f t="shared" si="25"/>
        <v/>
      </c>
      <c r="I254" s="62" t="str">
        <f t="shared" si="26"/>
        <v/>
      </c>
      <c r="J254" s="62" t="str">
        <f t="shared" si="27"/>
        <v/>
      </c>
      <c r="K254" s="62" t="str">
        <f t="shared" si="28"/>
        <v/>
      </c>
      <c r="L254" s="62" t="str">
        <f t="shared" si="29"/>
        <v/>
      </c>
      <c r="M254" s="63" t="str">
        <f t="shared" si="30"/>
        <v/>
      </c>
      <c r="N254" s="64"/>
    </row>
    <row r="255" spans="1:14" x14ac:dyDescent="0.3">
      <c r="A255" s="58"/>
      <c r="B255" s="59"/>
      <c r="C255" s="60"/>
      <c r="D255" s="61"/>
      <c r="E255" s="62"/>
      <c r="F255" s="61" t="str">
        <f>IF($A255="","",IF($A255&lt;&gt;$A254,IFERROR(INDEX([1]FG_Begin_Inventory!$B:$B,MATCH($A255,[1]FG_Begin_Inventory!$A:$A,0)),0),J254))</f>
        <v/>
      </c>
      <c r="G255" s="61" t="str">
        <f t="shared" si="31"/>
        <v/>
      </c>
      <c r="H255" s="62" t="str">
        <f t="shared" si="25"/>
        <v/>
      </c>
      <c r="I255" s="62" t="str">
        <f t="shared" si="26"/>
        <v/>
      </c>
      <c r="J255" s="62" t="str">
        <f t="shared" si="27"/>
        <v/>
      </c>
      <c r="K255" s="62" t="str">
        <f t="shared" si="28"/>
        <v/>
      </c>
      <c r="L255" s="62" t="str">
        <f t="shared" si="29"/>
        <v/>
      </c>
      <c r="M255" s="63" t="str">
        <f t="shared" si="30"/>
        <v/>
      </c>
      <c r="N255" s="64"/>
    </row>
    <row r="256" spans="1:14" x14ac:dyDescent="0.3">
      <c r="A256" s="58" t="str">
        <f>IF([1]weekly_demand!A257="","",[1]weekly_demand!A257)</f>
        <v/>
      </c>
      <c r="B256" s="59" t="str">
        <f>IF($A256="","",[1]weekly_demand!F257)</f>
        <v/>
      </c>
      <c r="C256" s="60" t="str">
        <f>IF($A256="","",[1]weekly_demand!H257)</f>
        <v/>
      </c>
      <c r="D256" s="61" t="str">
        <f>IF($A256="","",IF(SUMIFS([1]Fixture_Capacity_Input!$C:$C,[1]Fixture_Capacity_Input!$A:$A,$B256,[1]Fixture_Capacity_Input!$B:$B,$C256)&gt;0,SUMIFS([1]Fixture_Capacity_Input!$C:$C,[1]Fixture_Capacity_Input!$A:$A,$B256,[1]Fixture_Capacity_Input!$B:$B,$C256),[1]weekly_demand!G257))</f>
        <v/>
      </c>
      <c r="E256" s="62" t="str">
        <f>IF($A256="","",[1]weekly_demand!I257)</f>
        <v/>
      </c>
      <c r="F256" s="61" t="str">
        <f>IF($A256="","",IF($A256&lt;&gt;$A255,IFERROR(INDEX([1]FG_Begin_Inventory!$B:$B,MATCH($A256,[1]FG_Begin_Inventory!$A:$A,0)),0),J255))</f>
        <v/>
      </c>
      <c r="G256" s="61" t="str">
        <f t="shared" si="31"/>
        <v/>
      </c>
      <c r="H256" s="62" t="str">
        <f t="shared" si="25"/>
        <v/>
      </c>
      <c r="I256" s="62" t="str">
        <f t="shared" si="26"/>
        <v/>
      </c>
      <c r="J256" s="62" t="str">
        <f t="shared" si="27"/>
        <v/>
      </c>
      <c r="K256" s="62" t="str">
        <f t="shared" si="28"/>
        <v/>
      </c>
      <c r="L256" s="62" t="str">
        <f t="shared" si="29"/>
        <v/>
      </c>
      <c r="M256" s="63" t="str">
        <f t="shared" si="30"/>
        <v/>
      </c>
      <c r="N256" s="64"/>
    </row>
    <row r="257" spans="1:14" x14ac:dyDescent="0.3">
      <c r="A257" s="58" t="str">
        <f>IF([1]weekly_demand!A258="","",[1]weekly_demand!A258)</f>
        <v/>
      </c>
      <c r="B257" s="59" t="str">
        <f>IF($A257="","",[1]weekly_demand!F258)</f>
        <v/>
      </c>
      <c r="C257" s="60" t="str">
        <f>IF($A257="","",[1]weekly_demand!H258)</f>
        <v/>
      </c>
      <c r="D257" s="61" t="str">
        <f>IF($A257="","",IF(SUMIFS([1]Fixture_Capacity_Input!$C:$C,[1]Fixture_Capacity_Input!$A:$A,$B257,[1]Fixture_Capacity_Input!$B:$B,$C257)&gt;0,SUMIFS([1]Fixture_Capacity_Input!$C:$C,[1]Fixture_Capacity_Input!$A:$A,$B257,[1]Fixture_Capacity_Input!$B:$B,$C257),[1]weekly_demand!G258))</f>
        <v/>
      </c>
      <c r="E257" s="62" t="str">
        <f>IF($A257="","",[1]weekly_demand!I258)</f>
        <v/>
      </c>
      <c r="F257" s="61" t="str">
        <f>IF($A257="","",IF($A257&lt;&gt;$A256,IFERROR(INDEX([1]FG_Begin_Inventory!$B:$B,MATCH($A257,[1]FG_Begin_Inventory!$A:$A,0)),0),J256))</f>
        <v/>
      </c>
      <c r="G257" s="61" t="str">
        <f t="shared" si="31"/>
        <v/>
      </c>
      <c r="H257" s="62" t="str">
        <f t="shared" si="25"/>
        <v/>
      </c>
      <c r="I257" s="62" t="str">
        <f t="shared" si="26"/>
        <v/>
      </c>
      <c r="J257" s="62" t="str">
        <f t="shared" si="27"/>
        <v/>
      </c>
      <c r="K257" s="62" t="str">
        <f t="shared" si="28"/>
        <v/>
      </c>
      <c r="L257" s="62" t="str">
        <f t="shared" si="29"/>
        <v/>
      </c>
      <c r="M257" s="63" t="str">
        <f t="shared" si="30"/>
        <v/>
      </c>
      <c r="N257" s="64"/>
    </row>
    <row r="258" spans="1:14" x14ac:dyDescent="0.3">
      <c r="A258" s="58" t="str">
        <f>IF([1]weekly_demand!A259="","",[1]weekly_demand!A259)</f>
        <v/>
      </c>
      <c r="B258" s="59" t="str">
        <f>IF($A258="","",[1]weekly_demand!F259)</f>
        <v/>
      </c>
      <c r="C258" s="60" t="str">
        <f>IF($A258="","",[1]weekly_demand!H259)</f>
        <v/>
      </c>
      <c r="D258" s="61" t="str">
        <f>IF($A258="","",IF(SUMIFS([1]Fixture_Capacity_Input!$C:$C,[1]Fixture_Capacity_Input!$A:$A,$B258,[1]Fixture_Capacity_Input!$B:$B,$C258)&gt;0,SUMIFS([1]Fixture_Capacity_Input!$C:$C,[1]Fixture_Capacity_Input!$A:$A,$B258,[1]Fixture_Capacity_Input!$B:$B,$C258),[1]weekly_demand!G259))</f>
        <v/>
      </c>
      <c r="E258" s="62" t="str">
        <f>IF($A258="","",[1]weekly_demand!I259)</f>
        <v/>
      </c>
      <c r="F258" s="61" t="str">
        <f>IF($A258="","",IF($A258&lt;&gt;$A257,IFERROR(INDEX([1]FG_Begin_Inventory!$B:$B,MATCH($A258,[1]FG_Begin_Inventory!$A:$A,0)),0),J257))</f>
        <v/>
      </c>
      <c r="G258" s="61" t="str">
        <f t="shared" si="31"/>
        <v/>
      </c>
      <c r="H258" s="62" t="str">
        <f t="shared" ref="H258:H321" si="32">IF($A258="","",MAX(0,E258+G258-F258))</f>
        <v/>
      </c>
      <c r="I258" s="62" t="str">
        <f t="shared" ref="I258:I321" si="33">IF($A258="","",MIN(D258,H258))</f>
        <v/>
      </c>
      <c r="J258" s="62" t="str">
        <f t="shared" ref="J258:J321" si="34">IF($A258="","",MAX(0,F258+I258-E258))</f>
        <v/>
      </c>
      <c r="K258" s="62" t="str">
        <f t="shared" ref="K258:K321" si="35">IF($A258="","",MAX(0,E258-F258-I258))</f>
        <v/>
      </c>
      <c r="L258" s="62" t="str">
        <f t="shared" ref="L258:L321" si="36">IF($A258="","",MAX(0,F258+I258-E258))</f>
        <v/>
      </c>
      <c r="M258" s="63" t="str">
        <f t="shared" ref="M258:M321" si="37">IF($A258="","",IFERROR(I258/D258,0))</f>
        <v/>
      </c>
      <c r="N258" s="64"/>
    </row>
    <row r="259" spans="1:14" x14ac:dyDescent="0.3">
      <c r="A259" s="58" t="str">
        <f>IF([1]weekly_demand!A260="","",[1]weekly_demand!A260)</f>
        <v/>
      </c>
      <c r="B259" s="59" t="str">
        <f>IF($A259="","",[1]weekly_demand!F260)</f>
        <v/>
      </c>
      <c r="C259" s="60" t="str">
        <f>IF($A259="","",[1]weekly_demand!H260)</f>
        <v/>
      </c>
      <c r="D259" s="61" t="str">
        <f>IF($A259="","",IF(SUMIFS([1]Fixture_Capacity_Input!$C:$C,[1]Fixture_Capacity_Input!$A:$A,$B259,[1]Fixture_Capacity_Input!$B:$B,$C259)&gt;0,SUMIFS([1]Fixture_Capacity_Input!$C:$C,[1]Fixture_Capacity_Input!$A:$A,$B259,[1]Fixture_Capacity_Input!$B:$B,$C259),[1]weekly_demand!G260))</f>
        <v/>
      </c>
      <c r="E259" s="62" t="str">
        <f>IF($A259="","",[1]weekly_demand!I260)</f>
        <v/>
      </c>
      <c r="F259" s="61" t="str">
        <f>IF($A259="","",IF($A259&lt;&gt;$A258,IFERROR(INDEX([1]FG_Begin_Inventory!$B:$B,MATCH($A259,[1]FG_Begin_Inventory!$A:$A,0)),0),J258))</f>
        <v/>
      </c>
      <c r="G259" s="61" t="str">
        <f t="shared" si="31"/>
        <v/>
      </c>
      <c r="H259" s="62" t="str">
        <f t="shared" si="32"/>
        <v/>
      </c>
      <c r="I259" s="62" t="str">
        <f t="shared" si="33"/>
        <v/>
      </c>
      <c r="J259" s="62" t="str">
        <f t="shared" si="34"/>
        <v/>
      </c>
      <c r="K259" s="62" t="str">
        <f t="shared" si="35"/>
        <v/>
      </c>
      <c r="L259" s="62" t="str">
        <f t="shared" si="36"/>
        <v/>
      </c>
      <c r="M259" s="63" t="str">
        <f t="shared" si="37"/>
        <v/>
      </c>
      <c r="N259" s="64"/>
    </row>
    <row r="260" spans="1:14" x14ac:dyDescent="0.3">
      <c r="A260" s="58" t="str">
        <f>IF([1]weekly_demand!A261="","",[1]weekly_demand!A261)</f>
        <v/>
      </c>
      <c r="B260" s="59" t="str">
        <f>IF($A260="","",[1]weekly_demand!F261)</f>
        <v/>
      </c>
      <c r="C260" s="60" t="str">
        <f>IF($A260="","",[1]weekly_demand!H261)</f>
        <v/>
      </c>
      <c r="D260" s="61" t="str">
        <f>IF($A260="","",IF(SUMIFS([1]Fixture_Capacity_Input!$C:$C,[1]Fixture_Capacity_Input!$A:$A,$B260,[1]Fixture_Capacity_Input!$B:$B,$C260)&gt;0,SUMIFS([1]Fixture_Capacity_Input!$C:$C,[1]Fixture_Capacity_Input!$A:$A,$B260,[1]Fixture_Capacity_Input!$B:$B,$C260),[1]weekly_demand!G261))</f>
        <v/>
      </c>
      <c r="E260" s="62" t="str">
        <f>IF($A260="","",[1]weekly_demand!I261)</f>
        <v/>
      </c>
      <c r="F260" s="61" t="str">
        <f>IF($A260="","",IF($A260&lt;&gt;$A259,IFERROR(INDEX([1]FG_Begin_Inventory!$B:$B,MATCH($A260,[1]FG_Begin_Inventory!$A:$A,0)),0),J259))</f>
        <v/>
      </c>
      <c r="G260" s="61" t="str">
        <f t="shared" si="31"/>
        <v/>
      </c>
      <c r="H260" s="62" t="str">
        <f t="shared" si="32"/>
        <v/>
      </c>
      <c r="I260" s="62" t="str">
        <f t="shared" si="33"/>
        <v/>
      </c>
      <c r="J260" s="62" t="str">
        <f t="shared" si="34"/>
        <v/>
      </c>
      <c r="K260" s="62" t="str">
        <f t="shared" si="35"/>
        <v/>
      </c>
      <c r="L260" s="62" t="str">
        <f t="shared" si="36"/>
        <v/>
      </c>
      <c r="M260" s="63" t="str">
        <f t="shared" si="37"/>
        <v/>
      </c>
      <c r="N260" s="64"/>
    </row>
    <row r="261" spans="1:14" x14ac:dyDescent="0.3">
      <c r="A261" s="58" t="str">
        <f>IF([1]weekly_demand!A262="","",[1]weekly_demand!A262)</f>
        <v/>
      </c>
      <c r="B261" s="59" t="str">
        <f>IF($A261="","",[1]weekly_demand!F262)</f>
        <v/>
      </c>
      <c r="C261" s="60" t="str">
        <f>IF($A261="","",[1]weekly_demand!H262)</f>
        <v/>
      </c>
      <c r="D261" s="61" t="str">
        <f>IF($A261="","",IF(SUMIFS([1]Fixture_Capacity_Input!$C:$C,[1]Fixture_Capacity_Input!$A:$A,$B261,[1]Fixture_Capacity_Input!$B:$B,$C261)&gt;0,SUMIFS([1]Fixture_Capacity_Input!$C:$C,[1]Fixture_Capacity_Input!$A:$A,$B261,[1]Fixture_Capacity_Input!$B:$B,$C261),[1]weekly_demand!G262))</f>
        <v/>
      </c>
      <c r="E261" s="62" t="str">
        <f>IF($A261="","",[1]weekly_demand!I262)</f>
        <v/>
      </c>
      <c r="F261" s="61" t="str">
        <f>IF($A261="","",IF($A261&lt;&gt;$A260,IFERROR(INDEX([1]FG_Begin_Inventory!$B:$B,MATCH($A261,[1]FG_Begin_Inventory!$A:$A,0)),0),J260))</f>
        <v/>
      </c>
      <c r="G261" s="61" t="str">
        <f t="shared" si="31"/>
        <v/>
      </c>
      <c r="H261" s="62" t="str">
        <f t="shared" si="32"/>
        <v/>
      </c>
      <c r="I261" s="62" t="str">
        <f t="shared" si="33"/>
        <v/>
      </c>
      <c r="J261" s="62" t="str">
        <f t="shared" si="34"/>
        <v/>
      </c>
      <c r="K261" s="62" t="str">
        <f t="shared" si="35"/>
        <v/>
      </c>
      <c r="L261" s="62" t="str">
        <f t="shared" si="36"/>
        <v/>
      </c>
      <c r="M261" s="63" t="str">
        <f t="shared" si="37"/>
        <v/>
      </c>
      <c r="N261" s="64"/>
    </row>
    <row r="262" spans="1:14" x14ac:dyDescent="0.3">
      <c r="A262" s="58" t="str">
        <f>IF([1]weekly_demand!A263="","",[1]weekly_demand!A263)</f>
        <v/>
      </c>
      <c r="B262" s="59" t="str">
        <f>IF($A262="","",[1]weekly_demand!F263)</f>
        <v/>
      </c>
      <c r="C262" s="60" t="str">
        <f>IF($A262="","",[1]weekly_demand!H263)</f>
        <v/>
      </c>
      <c r="D262" s="61" t="str">
        <f>IF($A262="","",IF(SUMIFS([1]Fixture_Capacity_Input!$C:$C,[1]Fixture_Capacity_Input!$A:$A,$B262,[1]Fixture_Capacity_Input!$B:$B,$C262)&gt;0,SUMIFS([1]Fixture_Capacity_Input!$C:$C,[1]Fixture_Capacity_Input!$A:$A,$B262,[1]Fixture_Capacity_Input!$B:$B,$C262),[1]weekly_demand!G263))</f>
        <v/>
      </c>
      <c r="E262" s="62" t="str">
        <f>IF($A262="","",[1]weekly_demand!I263)</f>
        <v/>
      </c>
      <c r="F262" s="61" t="str">
        <f>IF($A262="","",IF($A262&lt;&gt;$A261,IFERROR(INDEX([1]FG_Begin_Inventory!$B:$B,MATCH($A262,[1]FG_Begin_Inventory!$A:$A,0)),0),J261))</f>
        <v/>
      </c>
      <c r="G262" s="61" t="str">
        <f t="shared" si="31"/>
        <v/>
      </c>
      <c r="H262" s="62" t="str">
        <f t="shared" si="32"/>
        <v/>
      </c>
      <c r="I262" s="62" t="str">
        <f t="shared" si="33"/>
        <v/>
      </c>
      <c r="J262" s="62" t="str">
        <f t="shared" si="34"/>
        <v/>
      </c>
      <c r="K262" s="62" t="str">
        <f t="shared" si="35"/>
        <v/>
      </c>
      <c r="L262" s="62" t="str">
        <f t="shared" si="36"/>
        <v/>
      </c>
      <c r="M262" s="63" t="str">
        <f t="shared" si="37"/>
        <v/>
      </c>
      <c r="N262" s="64"/>
    </row>
    <row r="263" spans="1:14" x14ac:dyDescent="0.3">
      <c r="A263" s="58" t="str">
        <f>IF([1]weekly_demand!A264="","",[1]weekly_demand!A264)</f>
        <v/>
      </c>
      <c r="B263" s="59" t="str">
        <f>IF($A263="","",[1]weekly_demand!F264)</f>
        <v/>
      </c>
      <c r="C263" s="60" t="str">
        <f>IF($A263="","",[1]weekly_demand!H264)</f>
        <v/>
      </c>
      <c r="D263" s="61" t="str">
        <f>IF($A263="","",IF(SUMIFS([1]Fixture_Capacity_Input!$C:$C,[1]Fixture_Capacity_Input!$A:$A,$B263,[1]Fixture_Capacity_Input!$B:$B,$C263)&gt;0,SUMIFS([1]Fixture_Capacity_Input!$C:$C,[1]Fixture_Capacity_Input!$A:$A,$B263,[1]Fixture_Capacity_Input!$B:$B,$C263),[1]weekly_demand!G264))</f>
        <v/>
      </c>
      <c r="E263" s="62" t="str">
        <f>IF($A263="","",[1]weekly_demand!I264)</f>
        <v/>
      </c>
      <c r="F263" s="61" t="str">
        <f>IF($A263="","",IF($A263&lt;&gt;$A262,IFERROR(INDEX([1]FG_Begin_Inventory!$B:$B,MATCH($A263,[1]FG_Begin_Inventory!$A:$A,0)),0),J262))</f>
        <v/>
      </c>
      <c r="G263" s="61" t="str">
        <f t="shared" si="31"/>
        <v/>
      </c>
      <c r="H263" s="62" t="str">
        <f t="shared" si="32"/>
        <v/>
      </c>
      <c r="I263" s="62" t="str">
        <f t="shared" si="33"/>
        <v/>
      </c>
      <c r="J263" s="62" t="str">
        <f t="shared" si="34"/>
        <v/>
      </c>
      <c r="K263" s="62" t="str">
        <f t="shared" si="35"/>
        <v/>
      </c>
      <c r="L263" s="62" t="str">
        <f t="shared" si="36"/>
        <v/>
      </c>
      <c r="M263" s="63" t="str">
        <f t="shared" si="37"/>
        <v/>
      </c>
      <c r="N263" s="64"/>
    </row>
    <row r="264" spans="1:14" x14ac:dyDescent="0.3">
      <c r="A264" s="58" t="str">
        <f>IF([1]weekly_demand!A265="","",[1]weekly_demand!A265)</f>
        <v/>
      </c>
      <c r="B264" s="59" t="str">
        <f>IF($A264="","",[1]weekly_demand!F265)</f>
        <v/>
      </c>
      <c r="C264" s="60" t="str">
        <f>IF($A264="","",[1]weekly_demand!H265)</f>
        <v/>
      </c>
      <c r="D264" s="61" t="str">
        <f>IF($A264="","",IF(SUMIFS([1]Fixture_Capacity_Input!$C:$C,[1]Fixture_Capacity_Input!$A:$A,$B264,[1]Fixture_Capacity_Input!$B:$B,$C264)&gt;0,SUMIFS([1]Fixture_Capacity_Input!$C:$C,[1]Fixture_Capacity_Input!$A:$A,$B264,[1]Fixture_Capacity_Input!$B:$B,$C264),[1]weekly_demand!G265))</f>
        <v/>
      </c>
      <c r="E264" s="62" t="str">
        <f>IF($A264="","",[1]weekly_demand!I265)</f>
        <v/>
      </c>
      <c r="F264" s="61" t="str">
        <f>IF($A264="","",IF($A264&lt;&gt;$A263,IFERROR(INDEX([1]FG_Begin_Inventory!$B:$B,MATCH($A264,[1]FG_Begin_Inventory!$A:$A,0)),0),J263))</f>
        <v/>
      </c>
      <c r="G264" s="61" t="str">
        <f t="shared" si="31"/>
        <v/>
      </c>
      <c r="H264" s="62" t="str">
        <f t="shared" si="32"/>
        <v/>
      </c>
      <c r="I264" s="62" t="str">
        <f t="shared" si="33"/>
        <v/>
      </c>
      <c r="J264" s="62" t="str">
        <f t="shared" si="34"/>
        <v/>
      </c>
      <c r="K264" s="62" t="str">
        <f t="shared" si="35"/>
        <v/>
      </c>
      <c r="L264" s="62" t="str">
        <f t="shared" si="36"/>
        <v/>
      </c>
      <c r="M264" s="63" t="str">
        <f t="shared" si="37"/>
        <v/>
      </c>
      <c r="N264" s="64"/>
    </row>
    <row r="265" spans="1:14" x14ac:dyDescent="0.3">
      <c r="A265" s="58" t="str">
        <f>IF([1]weekly_demand!A266="","",[1]weekly_demand!A266)</f>
        <v/>
      </c>
      <c r="B265" s="59" t="str">
        <f>IF($A265="","",[1]weekly_demand!F266)</f>
        <v/>
      </c>
      <c r="C265" s="60" t="str">
        <f>IF($A265="","",[1]weekly_demand!H266)</f>
        <v/>
      </c>
      <c r="D265" s="61" t="str">
        <f>IF($A265="","",IF(SUMIFS([1]Fixture_Capacity_Input!$C:$C,[1]Fixture_Capacity_Input!$A:$A,$B265,[1]Fixture_Capacity_Input!$B:$B,$C265)&gt;0,SUMIFS([1]Fixture_Capacity_Input!$C:$C,[1]Fixture_Capacity_Input!$A:$A,$B265,[1]Fixture_Capacity_Input!$B:$B,$C265),[1]weekly_demand!G266))</f>
        <v/>
      </c>
      <c r="E265" s="62" t="str">
        <f>IF($A265="","",[1]weekly_demand!I266)</f>
        <v/>
      </c>
      <c r="F265" s="61" t="str">
        <f>IF($A265="","",IF($A265&lt;&gt;$A264,IFERROR(INDEX([1]FG_Begin_Inventory!$B:$B,MATCH($A265,[1]FG_Begin_Inventory!$A:$A,0)),0),J264))</f>
        <v/>
      </c>
      <c r="G265" s="61" t="str">
        <f t="shared" si="31"/>
        <v/>
      </c>
      <c r="H265" s="62" t="str">
        <f t="shared" si="32"/>
        <v/>
      </c>
      <c r="I265" s="62" t="str">
        <f t="shared" si="33"/>
        <v/>
      </c>
      <c r="J265" s="62" t="str">
        <f t="shared" si="34"/>
        <v/>
      </c>
      <c r="K265" s="62" t="str">
        <f t="shared" si="35"/>
        <v/>
      </c>
      <c r="L265" s="62" t="str">
        <f t="shared" si="36"/>
        <v/>
      </c>
      <c r="M265" s="63" t="str">
        <f t="shared" si="37"/>
        <v/>
      </c>
      <c r="N265" s="64"/>
    </row>
    <row r="266" spans="1:14" x14ac:dyDescent="0.3">
      <c r="A266" s="58" t="str">
        <f>IF([1]weekly_demand!A267="","",[1]weekly_demand!A267)</f>
        <v/>
      </c>
      <c r="B266" s="59" t="str">
        <f>IF($A266="","",[1]weekly_demand!F267)</f>
        <v/>
      </c>
      <c r="C266" s="60" t="str">
        <f>IF($A266="","",[1]weekly_demand!H267)</f>
        <v/>
      </c>
      <c r="D266" s="61" t="str">
        <f>IF($A266="","",IF(SUMIFS([1]Fixture_Capacity_Input!$C:$C,[1]Fixture_Capacity_Input!$A:$A,$B266,[1]Fixture_Capacity_Input!$B:$B,$C266)&gt;0,SUMIFS([1]Fixture_Capacity_Input!$C:$C,[1]Fixture_Capacity_Input!$A:$A,$B266,[1]Fixture_Capacity_Input!$B:$B,$C266),[1]weekly_demand!G267))</f>
        <v/>
      </c>
      <c r="E266" s="62" t="str">
        <f>IF($A266="","",[1]weekly_demand!I267)</f>
        <v/>
      </c>
      <c r="F266" s="61" t="str">
        <f>IF($A266="","",IF($A266&lt;&gt;$A265,IFERROR(INDEX([1]FG_Begin_Inventory!$B:$B,MATCH($A266,[1]FG_Begin_Inventory!$A:$A,0)),0),J265))</f>
        <v/>
      </c>
      <c r="G266" s="61" t="str">
        <f t="shared" si="31"/>
        <v/>
      </c>
      <c r="H266" s="62" t="str">
        <f t="shared" si="32"/>
        <v/>
      </c>
      <c r="I266" s="62" t="str">
        <f t="shared" si="33"/>
        <v/>
      </c>
      <c r="J266" s="62" t="str">
        <f t="shared" si="34"/>
        <v/>
      </c>
      <c r="K266" s="62" t="str">
        <f t="shared" si="35"/>
        <v/>
      </c>
      <c r="L266" s="62" t="str">
        <f t="shared" si="36"/>
        <v/>
      </c>
      <c r="M266" s="63" t="str">
        <f t="shared" si="37"/>
        <v/>
      </c>
      <c r="N266" s="64"/>
    </row>
    <row r="267" spans="1:14" x14ac:dyDescent="0.3">
      <c r="A267" s="58" t="str">
        <f>IF([1]weekly_demand!A268="","",[1]weekly_demand!A268)</f>
        <v/>
      </c>
      <c r="B267" s="59" t="str">
        <f>IF($A267="","",[1]weekly_demand!F268)</f>
        <v/>
      </c>
      <c r="C267" s="60" t="str">
        <f>IF($A267="","",[1]weekly_demand!H268)</f>
        <v/>
      </c>
      <c r="D267" s="61" t="str">
        <f>IF($A267="","",IF(SUMIFS([1]Fixture_Capacity_Input!$C:$C,[1]Fixture_Capacity_Input!$A:$A,$B267,[1]Fixture_Capacity_Input!$B:$B,$C267)&gt;0,SUMIFS([1]Fixture_Capacity_Input!$C:$C,[1]Fixture_Capacity_Input!$A:$A,$B267,[1]Fixture_Capacity_Input!$B:$B,$C267),[1]weekly_demand!G268))</f>
        <v/>
      </c>
      <c r="E267" s="62" t="str">
        <f>IF($A267="","",[1]weekly_demand!I268)</f>
        <v/>
      </c>
      <c r="F267" s="61" t="str">
        <f>IF($A267="","",IF($A267&lt;&gt;$A266,IFERROR(INDEX([1]FG_Begin_Inventory!$B:$B,MATCH($A267,[1]FG_Begin_Inventory!$A:$A,0)),0),J266))</f>
        <v/>
      </c>
      <c r="G267" s="61" t="str">
        <f t="shared" si="31"/>
        <v/>
      </c>
      <c r="H267" s="62" t="str">
        <f t="shared" si="32"/>
        <v/>
      </c>
      <c r="I267" s="62" t="str">
        <f t="shared" si="33"/>
        <v/>
      </c>
      <c r="J267" s="62" t="str">
        <f t="shared" si="34"/>
        <v/>
      </c>
      <c r="K267" s="62" t="str">
        <f t="shared" si="35"/>
        <v/>
      </c>
      <c r="L267" s="62" t="str">
        <f t="shared" si="36"/>
        <v/>
      </c>
      <c r="M267" s="63" t="str">
        <f t="shared" si="37"/>
        <v/>
      </c>
      <c r="N267" s="64"/>
    </row>
    <row r="268" spans="1:14" x14ac:dyDescent="0.3">
      <c r="A268" s="58" t="str">
        <f>IF([1]weekly_demand!A269="","",[1]weekly_demand!A269)</f>
        <v/>
      </c>
      <c r="B268" s="59" t="str">
        <f>IF($A268="","",[1]weekly_demand!F269)</f>
        <v/>
      </c>
      <c r="C268" s="60" t="str">
        <f>IF($A268="","",[1]weekly_demand!H269)</f>
        <v/>
      </c>
      <c r="D268" s="61" t="str">
        <f>IF($A268="","",IF(SUMIFS([1]Fixture_Capacity_Input!$C:$C,[1]Fixture_Capacity_Input!$A:$A,$B268,[1]Fixture_Capacity_Input!$B:$B,$C268)&gt;0,SUMIFS([1]Fixture_Capacity_Input!$C:$C,[1]Fixture_Capacity_Input!$A:$A,$B268,[1]Fixture_Capacity_Input!$B:$B,$C268),[1]weekly_demand!G269))</f>
        <v/>
      </c>
      <c r="E268" s="62" t="str">
        <f>IF($A268="","",[1]weekly_demand!I269)</f>
        <v/>
      </c>
      <c r="F268" s="61" t="str">
        <f>IF($A268="","",IF($A268&lt;&gt;$A267,IFERROR(INDEX([1]FG_Begin_Inventory!$B:$B,MATCH($A268,[1]FG_Begin_Inventory!$A:$A,0)),0),J267))</f>
        <v/>
      </c>
      <c r="G268" s="61" t="str">
        <f t="shared" si="31"/>
        <v/>
      </c>
      <c r="H268" s="62" t="str">
        <f t="shared" si="32"/>
        <v/>
      </c>
      <c r="I268" s="62" t="str">
        <f t="shared" si="33"/>
        <v/>
      </c>
      <c r="J268" s="62" t="str">
        <f t="shared" si="34"/>
        <v/>
      </c>
      <c r="K268" s="62" t="str">
        <f t="shared" si="35"/>
        <v/>
      </c>
      <c r="L268" s="62" t="str">
        <f t="shared" si="36"/>
        <v/>
      </c>
      <c r="M268" s="63" t="str">
        <f t="shared" si="37"/>
        <v/>
      </c>
      <c r="N268" s="64"/>
    </row>
    <row r="269" spans="1:14" x14ac:dyDescent="0.3">
      <c r="A269" s="58" t="str">
        <f>IF([1]weekly_demand!A270="","",[1]weekly_demand!A270)</f>
        <v/>
      </c>
      <c r="B269" s="59" t="str">
        <f>IF($A269="","",[1]weekly_demand!F270)</f>
        <v/>
      </c>
      <c r="C269" s="60" t="str">
        <f>IF($A269="","",[1]weekly_demand!H270)</f>
        <v/>
      </c>
      <c r="D269" s="61" t="str">
        <f>IF($A269="","",IF(SUMIFS([1]Fixture_Capacity_Input!$C:$C,[1]Fixture_Capacity_Input!$A:$A,$B269,[1]Fixture_Capacity_Input!$B:$B,$C269)&gt;0,SUMIFS([1]Fixture_Capacity_Input!$C:$C,[1]Fixture_Capacity_Input!$A:$A,$B269,[1]Fixture_Capacity_Input!$B:$B,$C269),[1]weekly_demand!G270))</f>
        <v/>
      </c>
      <c r="E269" s="62" t="str">
        <f>IF($A269="","",[1]weekly_demand!I270)</f>
        <v/>
      </c>
      <c r="F269" s="61" t="str">
        <f>IF($A269="","",IF($A269&lt;&gt;$A268,IFERROR(INDEX([1]FG_Begin_Inventory!$B:$B,MATCH($A269,[1]FG_Begin_Inventory!$A:$A,0)),0),J268))</f>
        <v/>
      </c>
      <c r="G269" s="61" t="str">
        <f t="shared" si="31"/>
        <v/>
      </c>
      <c r="H269" s="62" t="str">
        <f t="shared" si="32"/>
        <v/>
      </c>
      <c r="I269" s="62" t="str">
        <f t="shared" si="33"/>
        <v/>
      </c>
      <c r="J269" s="62" t="str">
        <f t="shared" si="34"/>
        <v/>
      </c>
      <c r="K269" s="62" t="str">
        <f t="shared" si="35"/>
        <v/>
      </c>
      <c r="L269" s="62" t="str">
        <f t="shared" si="36"/>
        <v/>
      </c>
      <c r="M269" s="63" t="str">
        <f t="shared" si="37"/>
        <v/>
      </c>
      <c r="N269" s="64"/>
    </row>
    <row r="270" spans="1:14" x14ac:dyDescent="0.3">
      <c r="A270" s="58" t="str">
        <f>IF([1]weekly_demand!A271="","",[1]weekly_demand!A271)</f>
        <v/>
      </c>
      <c r="B270" s="59" t="str">
        <f>IF($A270="","",[1]weekly_demand!F271)</f>
        <v/>
      </c>
      <c r="C270" s="60" t="str">
        <f>IF($A270="","",[1]weekly_demand!H271)</f>
        <v/>
      </c>
      <c r="D270" s="61" t="str">
        <f>IF($A270="","",IF(SUMIFS([1]Fixture_Capacity_Input!$C:$C,[1]Fixture_Capacity_Input!$A:$A,$B270,[1]Fixture_Capacity_Input!$B:$B,$C270)&gt;0,SUMIFS([1]Fixture_Capacity_Input!$C:$C,[1]Fixture_Capacity_Input!$A:$A,$B270,[1]Fixture_Capacity_Input!$B:$B,$C270),[1]weekly_demand!G271))</f>
        <v/>
      </c>
      <c r="E270" s="62" t="str">
        <f>IF($A270="","",[1]weekly_demand!I271)</f>
        <v/>
      </c>
      <c r="F270" s="61" t="str">
        <f>IF($A270="","",IF($A270&lt;&gt;$A269,IFERROR(INDEX([1]FG_Begin_Inventory!$B:$B,MATCH($A270,[1]FG_Begin_Inventory!$A:$A,0)),0),J269))</f>
        <v/>
      </c>
      <c r="G270" s="61" t="str">
        <f t="shared" si="31"/>
        <v/>
      </c>
      <c r="H270" s="62" t="str">
        <f t="shared" si="32"/>
        <v/>
      </c>
      <c r="I270" s="62" t="str">
        <f t="shared" si="33"/>
        <v/>
      </c>
      <c r="J270" s="62" t="str">
        <f t="shared" si="34"/>
        <v/>
      </c>
      <c r="K270" s="62" t="str">
        <f t="shared" si="35"/>
        <v/>
      </c>
      <c r="L270" s="62" t="str">
        <f t="shared" si="36"/>
        <v/>
      </c>
      <c r="M270" s="63" t="str">
        <f t="shared" si="37"/>
        <v/>
      </c>
      <c r="N270" s="64"/>
    </row>
    <row r="271" spans="1:14" x14ac:dyDescent="0.3">
      <c r="A271" s="58" t="str">
        <f>IF([1]weekly_demand!A272="","",[1]weekly_demand!A272)</f>
        <v/>
      </c>
      <c r="B271" s="59" t="str">
        <f>IF($A271="","",[1]weekly_demand!F272)</f>
        <v/>
      </c>
      <c r="C271" s="60" t="str">
        <f>IF($A271="","",[1]weekly_demand!H272)</f>
        <v/>
      </c>
      <c r="D271" s="61" t="str">
        <f>IF($A271="","",IF(SUMIFS([1]Fixture_Capacity_Input!$C:$C,[1]Fixture_Capacity_Input!$A:$A,$B271,[1]Fixture_Capacity_Input!$B:$B,$C271)&gt;0,SUMIFS([1]Fixture_Capacity_Input!$C:$C,[1]Fixture_Capacity_Input!$A:$A,$B271,[1]Fixture_Capacity_Input!$B:$B,$C271),[1]weekly_demand!G272))</f>
        <v/>
      </c>
      <c r="E271" s="62" t="str">
        <f>IF($A271="","",[1]weekly_demand!I272)</f>
        <v/>
      </c>
      <c r="F271" s="61" t="str">
        <f>IF($A271="","",IF($A271&lt;&gt;$A270,IFERROR(INDEX([1]FG_Begin_Inventory!$B:$B,MATCH($A271,[1]FG_Begin_Inventory!$A:$A,0)),0),J270))</f>
        <v/>
      </c>
      <c r="G271" s="61" t="str">
        <f t="shared" si="31"/>
        <v/>
      </c>
      <c r="H271" s="62" t="str">
        <f t="shared" si="32"/>
        <v/>
      </c>
      <c r="I271" s="62" t="str">
        <f t="shared" si="33"/>
        <v/>
      </c>
      <c r="J271" s="62" t="str">
        <f t="shared" si="34"/>
        <v/>
      </c>
      <c r="K271" s="62" t="str">
        <f t="shared" si="35"/>
        <v/>
      </c>
      <c r="L271" s="62" t="str">
        <f t="shared" si="36"/>
        <v/>
      </c>
      <c r="M271" s="63" t="str">
        <f t="shared" si="37"/>
        <v/>
      </c>
      <c r="N271" s="64"/>
    </row>
    <row r="272" spans="1:14" x14ac:dyDescent="0.3">
      <c r="A272" s="58" t="str">
        <f>IF([1]weekly_demand!A273="","",[1]weekly_demand!A273)</f>
        <v/>
      </c>
      <c r="B272" s="59" t="str">
        <f>IF($A272="","",[1]weekly_demand!F273)</f>
        <v/>
      </c>
      <c r="C272" s="60" t="str">
        <f>IF($A272="","",[1]weekly_demand!H273)</f>
        <v/>
      </c>
      <c r="D272" s="61" t="str">
        <f>IF($A272="","",IF(SUMIFS([1]Fixture_Capacity_Input!$C:$C,[1]Fixture_Capacity_Input!$A:$A,$B272,[1]Fixture_Capacity_Input!$B:$B,$C272)&gt;0,SUMIFS([1]Fixture_Capacity_Input!$C:$C,[1]Fixture_Capacity_Input!$A:$A,$B272,[1]Fixture_Capacity_Input!$B:$B,$C272),[1]weekly_demand!G273))</f>
        <v/>
      </c>
      <c r="E272" s="62" t="str">
        <f>IF($A272="","",[1]weekly_demand!I273)</f>
        <v/>
      </c>
      <c r="F272" s="61" t="str">
        <f>IF($A272="","",IF($A272&lt;&gt;$A271,IFERROR(INDEX([1]FG_Begin_Inventory!$B:$B,MATCH($A272,[1]FG_Begin_Inventory!$A:$A,0)),0),J271))</f>
        <v/>
      </c>
      <c r="G272" s="61" t="str">
        <f t="shared" si="31"/>
        <v/>
      </c>
      <c r="H272" s="62" t="str">
        <f t="shared" si="32"/>
        <v/>
      </c>
      <c r="I272" s="62" t="str">
        <f t="shared" si="33"/>
        <v/>
      </c>
      <c r="J272" s="62" t="str">
        <f t="shared" si="34"/>
        <v/>
      </c>
      <c r="K272" s="62" t="str">
        <f t="shared" si="35"/>
        <v/>
      </c>
      <c r="L272" s="62" t="str">
        <f t="shared" si="36"/>
        <v/>
      </c>
      <c r="M272" s="63" t="str">
        <f t="shared" si="37"/>
        <v/>
      </c>
      <c r="N272" s="64"/>
    </row>
    <row r="273" spans="1:14" x14ac:dyDescent="0.3">
      <c r="A273" s="58" t="str">
        <f>IF([1]weekly_demand!A274="","",[1]weekly_demand!A274)</f>
        <v/>
      </c>
      <c r="B273" s="59" t="str">
        <f>IF($A273="","",[1]weekly_demand!F274)</f>
        <v/>
      </c>
      <c r="C273" s="60" t="str">
        <f>IF($A273="","",[1]weekly_demand!H274)</f>
        <v/>
      </c>
      <c r="D273" s="61" t="str">
        <f>IF($A273="","",IF(SUMIFS([1]Fixture_Capacity_Input!$C:$C,[1]Fixture_Capacity_Input!$A:$A,$B273,[1]Fixture_Capacity_Input!$B:$B,$C273)&gt;0,SUMIFS([1]Fixture_Capacity_Input!$C:$C,[1]Fixture_Capacity_Input!$A:$A,$B273,[1]Fixture_Capacity_Input!$B:$B,$C273),[1]weekly_demand!G274))</f>
        <v/>
      </c>
      <c r="E273" s="62" t="str">
        <f>IF($A273="","",[1]weekly_demand!I274)</f>
        <v/>
      </c>
      <c r="F273" s="61" t="str">
        <f>IF($A273="","",IF($A273&lt;&gt;$A272,IFERROR(INDEX([1]FG_Begin_Inventory!$B:$B,MATCH($A273,[1]FG_Begin_Inventory!$A:$A,0)),0),J272))</f>
        <v/>
      </c>
      <c r="G273" s="61" t="str">
        <f t="shared" si="31"/>
        <v/>
      </c>
      <c r="H273" s="62" t="str">
        <f t="shared" si="32"/>
        <v/>
      </c>
      <c r="I273" s="62" t="str">
        <f t="shared" si="33"/>
        <v/>
      </c>
      <c r="J273" s="62" t="str">
        <f t="shared" si="34"/>
        <v/>
      </c>
      <c r="K273" s="62" t="str">
        <f t="shared" si="35"/>
        <v/>
      </c>
      <c r="L273" s="62" t="str">
        <f t="shared" si="36"/>
        <v/>
      </c>
      <c r="M273" s="63" t="str">
        <f t="shared" si="37"/>
        <v/>
      </c>
      <c r="N273" s="64"/>
    </row>
    <row r="274" spans="1:14" x14ac:dyDescent="0.3">
      <c r="A274" s="58" t="str">
        <f>IF([1]weekly_demand!A275="","",[1]weekly_demand!A275)</f>
        <v/>
      </c>
      <c r="B274" s="59" t="str">
        <f>IF($A274="","",[1]weekly_demand!F275)</f>
        <v/>
      </c>
      <c r="C274" s="60" t="str">
        <f>IF($A274="","",[1]weekly_demand!H275)</f>
        <v/>
      </c>
      <c r="D274" s="61" t="str">
        <f>IF($A274="","",IF(SUMIFS([1]Fixture_Capacity_Input!$C:$C,[1]Fixture_Capacity_Input!$A:$A,$B274,[1]Fixture_Capacity_Input!$B:$B,$C274)&gt;0,SUMIFS([1]Fixture_Capacity_Input!$C:$C,[1]Fixture_Capacity_Input!$A:$A,$B274,[1]Fixture_Capacity_Input!$B:$B,$C274),[1]weekly_demand!G275))</f>
        <v/>
      </c>
      <c r="E274" s="62" t="str">
        <f>IF($A274="","",[1]weekly_demand!I275)</f>
        <v/>
      </c>
      <c r="F274" s="61" t="str">
        <f>IF($A274="","",IF($A274&lt;&gt;$A273,IFERROR(INDEX([1]FG_Begin_Inventory!$B:$B,MATCH($A274,[1]FG_Begin_Inventory!$A:$A,0)),0),J273))</f>
        <v/>
      </c>
      <c r="G274" s="61" t="str">
        <f t="shared" si="31"/>
        <v/>
      </c>
      <c r="H274" s="62" t="str">
        <f t="shared" si="32"/>
        <v/>
      </c>
      <c r="I274" s="62" t="str">
        <f t="shared" si="33"/>
        <v/>
      </c>
      <c r="J274" s="62" t="str">
        <f t="shared" si="34"/>
        <v/>
      </c>
      <c r="K274" s="62" t="str">
        <f t="shared" si="35"/>
        <v/>
      </c>
      <c r="L274" s="62" t="str">
        <f t="shared" si="36"/>
        <v/>
      </c>
      <c r="M274" s="63" t="str">
        <f t="shared" si="37"/>
        <v/>
      </c>
      <c r="N274" s="64"/>
    </row>
    <row r="275" spans="1:14" x14ac:dyDescent="0.3">
      <c r="A275" s="58" t="str">
        <f>IF([1]weekly_demand!A276="","",[1]weekly_demand!A276)</f>
        <v/>
      </c>
      <c r="B275" s="59" t="str">
        <f>IF($A275="","",[1]weekly_demand!F276)</f>
        <v/>
      </c>
      <c r="C275" s="60" t="str">
        <f>IF($A275="","",[1]weekly_demand!H276)</f>
        <v/>
      </c>
      <c r="D275" s="61" t="str">
        <f>IF($A275="","",IF(SUMIFS([1]Fixture_Capacity_Input!$C:$C,[1]Fixture_Capacity_Input!$A:$A,$B275,[1]Fixture_Capacity_Input!$B:$B,$C275)&gt;0,SUMIFS([1]Fixture_Capacity_Input!$C:$C,[1]Fixture_Capacity_Input!$A:$A,$B275,[1]Fixture_Capacity_Input!$B:$B,$C275),[1]weekly_demand!G276))</f>
        <v/>
      </c>
      <c r="E275" s="62" t="str">
        <f>IF($A275="","",[1]weekly_demand!I276)</f>
        <v/>
      </c>
      <c r="F275" s="61" t="str">
        <f>IF($A275="","",IF($A275&lt;&gt;$A274,IFERROR(INDEX([1]FG_Begin_Inventory!$B:$B,MATCH($A275,[1]FG_Begin_Inventory!$A:$A,0)),0),J274))</f>
        <v/>
      </c>
      <c r="G275" s="61" t="str">
        <f t="shared" si="31"/>
        <v/>
      </c>
      <c r="H275" s="62" t="str">
        <f t="shared" si="32"/>
        <v/>
      </c>
      <c r="I275" s="62" t="str">
        <f t="shared" si="33"/>
        <v/>
      </c>
      <c r="J275" s="62" t="str">
        <f t="shared" si="34"/>
        <v/>
      </c>
      <c r="K275" s="62" t="str">
        <f t="shared" si="35"/>
        <v/>
      </c>
      <c r="L275" s="62" t="str">
        <f t="shared" si="36"/>
        <v/>
      </c>
      <c r="M275" s="63" t="str">
        <f t="shared" si="37"/>
        <v/>
      </c>
      <c r="N275" s="64"/>
    </row>
    <row r="276" spans="1:14" x14ac:dyDescent="0.3">
      <c r="A276" s="58" t="str">
        <f>IF([1]weekly_demand!A277="","",[1]weekly_demand!A277)</f>
        <v/>
      </c>
      <c r="B276" s="59" t="str">
        <f>IF($A276="","",[1]weekly_demand!F277)</f>
        <v/>
      </c>
      <c r="C276" s="60" t="str">
        <f>IF($A276="","",[1]weekly_demand!H277)</f>
        <v/>
      </c>
      <c r="D276" s="61" t="str">
        <f>IF($A276="","",IF(SUMIFS([1]Fixture_Capacity_Input!$C:$C,[1]Fixture_Capacity_Input!$A:$A,$B276,[1]Fixture_Capacity_Input!$B:$B,$C276)&gt;0,SUMIFS([1]Fixture_Capacity_Input!$C:$C,[1]Fixture_Capacity_Input!$A:$A,$B276,[1]Fixture_Capacity_Input!$B:$B,$C276),[1]weekly_demand!G277))</f>
        <v/>
      </c>
      <c r="E276" s="62" t="str">
        <f>IF($A276="","",[1]weekly_demand!I277)</f>
        <v/>
      </c>
      <c r="F276" s="61" t="str">
        <f>IF($A276="","",IF($A276&lt;&gt;$A275,IFERROR(INDEX([1]FG_Begin_Inventory!$B:$B,MATCH($A276,[1]FG_Begin_Inventory!$A:$A,0)),0),J275))</f>
        <v/>
      </c>
      <c r="G276" s="61" t="str">
        <f t="shared" si="31"/>
        <v/>
      </c>
      <c r="H276" s="62" t="str">
        <f t="shared" si="32"/>
        <v/>
      </c>
      <c r="I276" s="62" t="str">
        <f t="shared" si="33"/>
        <v/>
      </c>
      <c r="J276" s="62" t="str">
        <f t="shared" si="34"/>
        <v/>
      </c>
      <c r="K276" s="62" t="str">
        <f t="shared" si="35"/>
        <v/>
      </c>
      <c r="L276" s="62" t="str">
        <f t="shared" si="36"/>
        <v/>
      </c>
      <c r="M276" s="63" t="str">
        <f t="shared" si="37"/>
        <v/>
      </c>
      <c r="N276" s="64"/>
    </row>
    <row r="277" spans="1:14" x14ac:dyDescent="0.3">
      <c r="A277" s="58" t="str">
        <f>IF([1]weekly_demand!A278="","",[1]weekly_demand!A278)</f>
        <v/>
      </c>
      <c r="B277" s="59" t="str">
        <f>IF($A277="","",[1]weekly_demand!F278)</f>
        <v/>
      </c>
      <c r="C277" s="60" t="str">
        <f>IF($A277="","",[1]weekly_demand!H278)</f>
        <v/>
      </c>
      <c r="D277" s="61" t="str">
        <f>IF($A277="","",IF(SUMIFS([1]Fixture_Capacity_Input!$C:$C,[1]Fixture_Capacity_Input!$A:$A,$B277,[1]Fixture_Capacity_Input!$B:$B,$C277)&gt;0,SUMIFS([1]Fixture_Capacity_Input!$C:$C,[1]Fixture_Capacity_Input!$A:$A,$B277,[1]Fixture_Capacity_Input!$B:$B,$C277),[1]weekly_demand!G278))</f>
        <v/>
      </c>
      <c r="E277" s="62" t="str">
        <f>IF($A277="","",[1]weekly_demand!I278)</f>
        <v/>
      </c>
      <c r="F277" s="61" t="str">
        <f>IF($A277="","",IF($A277&lt;&gt;$A276,IFERROR(INDEX([1]FG_Begin_Inventory!$B:$B,MATCH($A277,[1]FG_Begin_Inventory!$A:$A,0)),0),J276))</f>
        <v/>
      </c>
      <c r="G277" s="61" t="str">
        <f t="shared" si="31"/>
        <v/>
      </c>
      <c r="H277" s="62" t="str">
        <f t="shared" si="32"/>
        <v/>
      </c>
      <c r="I277" s="62" t="str">
        <f t="shared" si="33"/>
        <v/>
      </c>
      <c r="J277" s="62" t="str">
        <f t="shared" si="34"/>
        <v/>
      </c>
      <c r="K277" s="62" t="str">
        <f t="shared" si="35"/>
        <v/>
      </c>
      <c r="L277" s="62" t="str">
        <f t="shared" si="36"/>
        <v/>
      </c>
      <c r="M277" s="63" t="str">
        <f t="shared" si="37"/>
        <v/>
      </c>
      <c r="N277" s="64"/>
    </row>
    <row r="278" spans="1:14" x14ac:dyDescent="0.3">
      <c r="A278" s="58" t="str">
        <f>IF([1]weekly_demand!A279="","",[1]weekly_demand!A279)</f>
        <v/>
      </c>
      <c r="B278" s="59" t="str">
        <f>IF($A278="","",[1]weekly_demand!F279)</f>
        <v/>
      </c>
      <c r="C278" s="60" t="str">
        <f>IF($A278="","",[1]weekly_demand!H279)</f>
        <v/>
      </c>
      <c r="D278" s="61" t="str">
        <f>IF($A278="","",IF(SUMIFS([1]Fixture_Capacity_Input!$C:$C,[1]Fixture_Capacity_Input!$A:$A,$B278,[1]Fixture_Capacity_Input!$B:$B,$C278)&gt;0,SUMIFS([1]Fixture_Capacity_Input!$C:$C,[1]Fixture_Capacity_Input!$A:$A,$B278,[1]Fixture_Capacity_Input!$B:$B,$C278),[1]weekly_demand!G279))</f>
        <v/>
      </c>
      <c r="E278" s="62" t="str">
        <f>IF($A278="","",[1]weekly_demand!I279)</f>
        <v/>
      </c>
      <c r="F278" s="61" t="str">
        <f>IF($A278="","",IF($A278&lt;&gt;$A277,IFERROR(INDEX([1]FG_Begin_Inventory!$B:$B,MATCH($A278,[1]FG_Begin_Inventory!$A:$A,0)),0),J277))</f>
        <v/>
      </c>
      <c r="G278" s="61" t="str">
        <f t="shared" si="31"/>
        <v/>
      </c>
      <c r="H278" s="62" t="str">
        <f t="shared" si="32"/>
        <v/>
      </c>
      <c r="I278" s="62" t="str">
        <f t="shared" si="33"/>
        <v/>
      </c>
      <c r="J278" s="62" t="str">
        <f t="shared" si="34"/>
        <v/>
      </c>
      <c r="K278" s="62" t="str">
        <f t="shared" si="35"/>
        <v/>
      </c>
      <c r="L278" s="62" t="str">
        <f t="shared" si="36"/>
        <v/>
      </c>
      <c r="M278" s="63" t="str">
        <f t="shared" si="37"/>
        <v/>
      </c>
      <c r="N278" s="64"/>
    </row>
    <row r="279" spans="1:14" x14ac:dyDescent="0.3">
      <c r="A279" s="58" t="str">
        <f>IF([1]weekly_demand!A280="","",[1]weekly_demand!A280)</f>
        <v/>
      </c>
      <c r="B279" s="59" t="str">
        <f>IF($A279="","",[1]weekly_demand!F280)</f>
        <v/>
      </c>
      <c r="C279" s="60" t="str">
        <f>IF($A279="","",[1]weekly_demand!H280)</f>
        <v/>
      </c>
      <c r="D279" s="61" t="str">
        <f>IF($A279="","",IF(SUMIFS([1]Fixture_Capacity_Input!$C:$C,[1]Fixture_Capacity_Input!$A:$A,$B279,[1]Fixture_Capacity_Input!$B:$B,$C279)&gt;0,SUMIFS([1]Fixture_Capacity_Input!$C:$C,[1]Fixture_Capacity_Input!$A:$A,$B279,[1]Fixture_Capacity_Input!$B:$B,$C279),[1]weekly_demand!G280))</f>
        <v/>
      </c>
      <c r="E279" s="62" t="str">
        <f>IF($A279="","",[1]weekly_demand!I280)</f>
        <v/>
      </c>
      <c r="F279" s="61" t="str">
        <f>IF($A279="","",IF($A279&lt;&gt;$A278,IFERROR(INDEX([1]FG_Begin_Inventory!$B:$B,MATCH($A279,[1]FG_Begin_Inventory!$A:$A,0)),0),J278))</f>
        <v/>
      </c>
      <c r="G279" s="61" t="str">
        <f t="shared" si="31"/>
        <v/>
      </c>
      <c r="H279" s="62" t="str">
        <f t="shared" si="32"/>
        <v/>
      </c>
      <c r="I279" s="62" t="str">
        <f t="shared" si="33"/>
        <v/>
      </c>
      <c r="J279" s="62" t="str">
        <f t="shared" si="34"/>
        <v/>
      </c>
      <c r="K279" s="62" t="str">
        <f t="shared" si="35"/>
        <v/>
      </c>
      <c r="L279" s="62" t="str">
        <f t="shared" si="36"/>
        <v/>
      </c>
      <c r="M279" s="63" t="str">
        <f t="shared" si="37"/>
        <v/>
      </c>
      <c r="N279" s="64"/>
    </row>
    <row r="280" spans="1:14" x14ac:dyDescent="0.3">
      <c r="A280" s="58" t="str">
        <f>IF([1]weekly_demand!A281="","",[1]weekly_demand!A281)</f>
        <v/>
      </c>
      <c r="B280" s="59" t="str">
        <f>IF($A280="","",[1]weekly_demand!F281)</f>
        <v/>
      </c>
      <c r="C280" s="60" t="str">
        <f>IF($A280="","",[1]weekly_demand!H281)</f>
        <v/>
      </c>
      <c r="D280" s="61" t="str">
        <f>IF($A280="","",IF(SUMIFS([1]Fixture_Capacity_Input!$C:$C,[1]Fixture_Capacity_Input!$A:$A,$B280,[1]Fixture_Capacity_Input!$B:$B,$C280)&gt;0,SUMIFS([1]Fixture_Capacity_Input!$C:$C,[1]Fixture_Capacity_Input!$A:$A,$B280,[1]Fixture_Capacity_Input!$B:$B,$C280),[1]weekly_demand!G281))</f>
        <v/>
      </c>
      <c r="E280" s="62" t="str">
        <f>IF($A280="","",[1]weekly_demand!I281)</f>
        <v/>
      </c>
      <c r="F280" s="61" t="str">
        <f>IF($A280="","",IF($A280&lt;&gt;$A279,IFERROR(INDEX([1]FG_Begin_Inventory!$B:$B,MATCH($A280,[1]FG_Begin_Inventory!$A:$A,0)),0),J279))</f>
        <v/>
      </c>
      <c r="G280" s="61" t="str">
        <f t="shared" si="31"/>
        <v/>
      </c>
      <c r="H280" s="62" t="str">
        <f t="shared" si="32"/>
        <v/>
      </c>
      <c r="I280" s="62" t="str">
        <f t="shared" si="33"/>
        <v/>
      </c>
      <c r="J280" s="62" t="str">
        <f t="shared" si="34"/>
        <v/>
      </c>
      <c r="K280" s="62" t="str">
        <f t="shared" si="35"/>
        <v/>
      </c>
      <c r="L280" s="62" t="str">
        <f t="shared" si="36"/>
        <v/>
      </c>
      <c r="M280" s="63" t="str">
        <f t="shared" si="37"/>
        <v/>
      </c>
      <c r="N280" s="64"/>
    </row>
    <row r="281" spans="1:14" x14ac:dyDescent="0.3">
      <c r="A281" s="58" t="str">
        <f>IF([1]weekly_demand!A282="","",[1]weekly_demand!A282)</f>
        <v/>
      </c>
      <c r="B281" s="59" t="str">
        <f>IF($A281="","",[1]weekly_demand!F282)</f>
        <v/>
      </c>
      <c r="C281" s="60" t="str">
        <f>IF($A281="","",[1]weekly_demand!H282)</f>
        <v/>
      </c>
      <c r="D281" s="61" t="str">
        <f>IF($A281="","",IF(SUMIFS([1]Fixture_Capacity_Input!$C:$C,[1]Fixture_Capacity_Input!$A:$A,$B281,[1]Fixture_Capacity_Input!$B:$B,$C281)&gt;0,SUMIFS([1]Fixture_Capacity_Input!$C:$C,[1]Fixture_Capacity_Input!$A:$A,$B281,[1]Fixture_Capacity_Input!$B:$B,$C281),[1]weekly_demand!G282))</f>
        <v/>
      </c>
      <c r="E281" s="62" t="str">
        <f>IF($A281="","",[1]weekly_demand!I282)</f>
        <v/>
      </c>
      <c r="F281" s="61" t="str">
        <f>IF($A281="","",IF($A281&lt;&gt;$A280,IFERROR(INDEX([1]FG_Begin_Inventory!$B:$B,MATCH($A281,[1]FG_Begin_Inventory!$A:$A,0)),0),J280))</f>
        <v/>
      </c>
      <c r="G281" s="61" t="str">
        <f t="shared" si="31"/>
        <v/>
      </c>
      <c r="H281" s="62" t="str">
        <f t="shared" si="32"/>
        <v/>
      </c>
      <c r="I281" s="62" t="str">
        <f t="shared" si="33"/>
        <v/>
      </c>
      <c r="J281" s="62" t="str">
        <f t="shared" si="34"/>
        <v/>
      </c>
      <c r="K281" s="62" t="str">
        <f t="shared" si="35"/>
        <v/>
      </c>
      <c r="L281" s="62" t="str">
        <f t="shared" si="36"/>
        <v/>
      </c>
      <c r="M281" s="63" t="str">
        <f t="shared" si="37"/>
        <v/>
      </c>
      <c r="N281" s="64"/>
    </row>
    <row r="282" spans="1:14" x14ac:dyDescent="0.3">
      <c r="A282" s="58" t="str">
        <f>IF([1]weekly_demand!A283="","",[1]weekly_demand!A283)</f>
        <v/>
      </c>
      <c r="B282" s="59" t="str">
        <f>IF($A282="","",[1]weekly_demand!F283)</f>
        <v/>
      </c>
      <c r="C282" s="60" t="str">
        <f>IF($A282="","",[1]weekly_demand!H283)</f>
        <v/>
      </c>
      <c r="D282" s="61" t="str">
        <f>IF($A282="","",IF(SUMIFS([1]Fixture_Capacity_Input!$C:$C,[1]Fixture_Capacity_Input!$A:$A,$B282,[1]Fixture_Capacity_Input!$B:$B,$C282)&gt;0,SUMIFS([1]Fixture_Capacity_Input!$C:$C,[1]Fixture_Capacity_Input!$A:$A,$B282,[1]Fixture_Capacity_Input!$B:$B,$C282),[1]weekly_demand!G283))</f>
        <v/>
      </c>
      <c r="E282" s="62" t="str">
        <f>IF($A282="","",[1]weekly_demand!I283)</f>
        <v/>
      </c>
      <c r="F282" s="61" t="str">
        <f>IF($A282="","",IF($A282&lt;&gt;$A281,IFERROR(INDEX([1]FG_Begin_Inventory!$B:$B,MATCH($A282,[1]FG_Begin_Inventory!$A:$A,0)),0),J281))</f>
        <v/>
      </c>
      <c r="G282" s="61" t="str">
        <f t="shared" si="31"/>
        <v/>
      </c>
      <c r="H282" s="62" t="str">
        <f t="shared" si="32"/>
        <v/>
      </c>
      <c r="I282" s="62" t="str">
        <f t="shared" si="33"/>
        <v/>
      </c>
      <c r="J282" s="62" t="str">
        <f t="shared" si="34"/>
        <v/>
      </c>
      <c r="K282" s="62" t="str">
        <f t="shared" si="35"/>
        <v/>
      </c>
      <c r="L282" s="62" t="str">
        <f t="shared" si="36"/>
        <v/>
      </c>
      <c r="M282" s="63" t="str">
        <f t="shared" si="37"/>
        <v/>
      </c>
      <c r="N282" s="64"/>
    </row>
    <row r="283" spans="1:14" x14ac:dyDescent="0.3">
      <c r="A283" s="58" t="str">
        <f>IF([1]weekly_demand!A284="","",[1]weekly_demand!A284)</f>
        <v/>
      </c>
      <c r="B283" s="59" t="str">
        <f>IF($A283="","",[1]weekly_demand!F284)</f>
        <v/>
      </c>
      <c r="C283" s="60" t="str">
        <f>IF($A283="","",[1]weekly_demand!H284)</f>
        <v/>
      </c>
      <c r="D283" s="61" t="str">
        <f>IF($A283="","",IF(SUMIFS([1]Fixture_Capacity_Input!$C:$C,[1]Fixture_Capacity_Input!$A:$A,$B283,[1]Fixture_Capacity_Input!$B:$B,$C283)&gt;0,SUMIFS([1]Fixture_Capacity_Input!$C:$C,[1]Fixture_Capacity_Input!$A:$A,$B283,[1]Fixture_Capacity_Input!$B:$B,$C283),[1]weekly_demand!G284))</f>
        <v/>
      </c>
      <c r="E283" s="62" t="str">
        <f>IF($A283="","",[1]weekly_demand!I284)</f>
        <v/>
      </c>
      <c r="F283" s="61" t="str">
        <f>IF($A283="","",IF($A283&lt;&gt;$A282,IFERROR(INDEX([1]FG_Begin_Inventory!$B:$B,MATCH($A283,[1]FG_Begin_Inventory!$A:$A,0)),0),J282))</f>
        <v/>
      </c>
      <c r="G283" s="61" t="str">
        <f t="shared" si="31"/>
        <v/>
      </c>
      <c r="H283" s="62" t="str">
        <f t="shared" si="32"/>
        <v/>
      </c>
      <c r="I283" s="62" t="str">
        <f t="shared" si="33"/>
        <v/>
      </c>
      <c r="J283" s="62" t="str">
        <f t="shared" si="34"/>
        <v/>
      </c>
      <c r="K283" s="62" t="str">
        <f t="shared" si="35"/>
        <v/>
      </c>
      <c r="L283" s="62" t="str">
        <f t="shared" si="36"/>
        <v/>
      </c>
      <c r="M283" s="63" t="str">
        <f t="shared" si="37"/>
        <v/>
      </c>
      <c r="N283" s="64"/>
    </row>
    <row r="284" spans="1:14" x14ac:dyDescent="0.3">
      <c r="A284" s="58" t="str">
        <f>IF([1]weekly_demand!A285="","",[1]weekly_demand!A285)</f>
        <v/>
      </c>
      <c r="B284" s="59" t="str">
        <f>IF($A284="","",[1]weekly_demand!F285)</f>
        <v/>
      </c>
      <c r="C284" s="60" t="str">
        <f>IF($A284="","",[1]weekly_demand!H285)</f>
        <v/>
      </c>
      <c r="D284" s="61" t="str">
        <f>IF($A284="","",IF(SUMIFS([1]Fixture_Capacity_Input!$C:$C,[1]Fixture_Capacity_Input!$A:$A,$B284,[1]Fixture_Capacity_Input!$B:$B,$C284)&gt;0,SUMIFS([1]Fixture_Capacity_Input!$C:$C,[1]Fixture_Capacity_Input!$A:$A,$B284,[1]Fixture_Capacity_Input!$B:$B,$C284),[1]weekly_demand!G285))</f>
        <v/>
      </c>
      <c r="E284" s="62" t="str">
        <f>IF($A284="","",[1]weekly_demand!I285)</f>
        <v/>
      </c>
      <c r="F284" s="61" t="str">
        <f>IF($A284="","",IF($A284&lt;&gt;$A283,IFERROR(INDEX([1]FG_Begin_Inventory!$B:$B,MATCH($A284,[1]FG_Begin_Inventory!$A:$A,0)),0),J283))</f>
        <v/>
      </c>
      <c r="G284" s="61" t="str">
        <f t="shared" si="31"/>
        <v/>
      </c>
      <c r="H284" s="62" t="str">
        <f t="shared" si="32"/>
        <v/>
      </c>
      <c r="I284" s="62" t="str">
        <f t="shared" si="33"/>
        <v/>
      </c>
      <c r="J284" s="62" t="str">
        <f t="shared" si="34"/>
        <v/>
      </c>
      <c r="K284" s="62" t="str">
        <f t="shared" si="35"/>
        <v/>
      </c>
      <c r="L284" s="62" t="str">
        <f t="shared" si="36"/>
        <v/>
      </c>
      <c r="M284" s="63" t="str">
        <f t="shared" si="37"/>
        <v/>
      </c>
      <c r="N284" s="64"/>
    </row>
    <row r="285" spans="1:14" x14ac:dyDescent="0.3">
      <c r="A285" s="58" t="str">
        <f>IF([1]weekly_demand!A286="","",[1]weekly_demand!A286)</f>
        <v/>
      </c>
      <c r="B285" s="59" t="str">
        <f>IF($A285="","",[1]weekly_demand!F286)</f>
        <v/>
      </c>
      <c r="C285" s="60" t="str">
        <f>IF($A285="","",[1]weekly_demand!H286)</f>
        <v/>
      </c>
      <c r="D285" s="61" t="str">
        <f>IF($A285="","",IF(SUMIFS([1]Fixture_Capacity_Input!$C:$C,[1]Fixture_Capacity_Input!$A:$A,$B285,[1]Fixture_Capacity_Input!$B:$B,$C285)&gt;0,SUMIFS([1]Fixture_Capacity_Input!$C:$C,[1]Fixture_Capacity_Input!$A:$A,$B285,[1]Fixture_Capacity_Input!$B:$B,$C285),[1]weekly_demand!G286))</f>
        <v/>
      </c>
      <c r="E285" s="62" t="str">
        <f>IF($A285="","",[1]weekly_demand!I286)</f>
        <v/>
      </c>
      <c r="F285" s="61" t="str">
        <f>IF($A285="","",IF($A285&lt;&gt;$A284,IFERROR(INDEX([1]FG_Begin_Inventory!$B:$B,MATCH($A285,[1]FG_Begin_Inventory!$A:$A,0)),0),J284))</f>
        <v/>
      </c>
      <c r="G285" s="61" t="str">
        <f t="shared" si="31"/>
        <v/>
      </c>
      <c r="H285" s="62" t="str">
        <f t="shared" si="32"/>
        <v/>
      </c>
      <c r="I285" s="62" t="str">
        <f t="shared" si="33"/>
        <v/>
      </c>
      <c r="J285" s="62" t="str">
        <f t="shared" si="34"/>
        <v/>
      </c>
      <c r="K285" s="62" t="str">
        <f t="shared" si="35"/>
        <v/>
      </c>
      <c r="L285" s="62" t="str">
        <f t="shared" si="36"/>
        <v/>
      </c>
      <c r="M285" s="63" t="str">
        <f t="shared" si="37"/>
        <v/>
      </c>
      <c r="N285" s="64"/>
    </row>
    <row r="286" spans="1:14" x14ac:dyDescent="0.3">
      <c r="A286" s="58" t="str">
        <f>IF([1]weekly_demand!A287="","",[1]weekly_demand!A287)</f>
        <v/>
      </c>
      <c r="B286" s="59" t="str">
        <f>IF($A286="","",[1]weekly_demand!F287)</f>
        <v/>
      </c>
      <c r="C286" s="60" t="str">
        <f>IF($A286="","",[1]weekly_demand!H287)</f>
        <v/>
      </c>
      <c r="D286" s="61" t="str">
        <f>IF($A286="","",IF(SUMIFS([1]Fixture_Capacity_Input!$C:$C,[1]Fixture_Capacity_Input!$A:$A,$B286,[1]Fixture_Capacity_Input!$B:$B,$C286)&gt;0,SUMIFS([1]Fixture_Capacity_Input!$C:$C,[1]Fixture_Capacity_Input!$A:$A,$B286,[1]Fixture_Capacity_Input!$B:$B,$C286),[1]weekly_demand!G287))</f>
        <v/>
      </c>
      <c r="E286" s="62" t="str">
        <f>IF($A286="","",[1]weekly_demand!I287)</f>
        <v/>
      </c>
      <c r="F286" s="61" t="str">
        <f>IF($A286="","",IF($A286&lt;&gt;$A285,IFERROR(INDEX([1]FG_Begin_Inventory!$B:$B,MATCH($A286,[1]FG_Begin_Inventory!$A:$A,0)),0),J285))</f>
        <v/>
      </c>
      <c r="G286" s="61" t="str">
        <f t="shared" si="31"/>
        <v/>
      </c>
      <c r="H286" s="62" t="str">
        <f t="shared" si="32"/>
        <v/>
      </c>
      <c r="I286" s="62" t="str">
        <f t="shared" si="33"/>
        <v/>
      </c>
      <c r="J286" s="62" t="str">
        <f t="shared" si="34"/>
        <v/>
      </c>
      <c r="K286" s="62" t="str">
        <f t="shared" si="35"/>
        <v/>
      </c>
      <c r="L286" s="62" t="str">
        <f t="shared" si="36"/>
        <v/>
      </c>
      <c r="M286" s="63" t="str">
        <f t="shared" si="37"/>
        <v/>
      </c>
      <c r="N286" s="64"/>
    </row>
    <row r="287" spans="1:14" x14ac:dyDescent="0.3">
      <c r="A287" s="58" t="str">
        <f>IF([1]weekly_demand!A288="","",[1]weekly_demand!A288)</f>
        <v/>
      </c>
      <c r="B287" s="59" t="str">
        <f>IF($A287="","",[1]weekly_demand!F288)</f>
        <v/>
      </c>
      <c r="C287" s="60" t="str">
        <f>IF($A287="","",[1]weekly_demand!H288)</f>
        <v/>
      </c>
      <c r="D287" s="61" t="str">
        <f>IF($A287="","",IF(SUMIFS([1]Fixture_Capacity_Input!$C:$C,[1]Fixture_Capacity_Input!$A:$A,$B287,[1]Fixture_Capacity_Input!$B:$B,$C287)&gt;0,SUMIFS([1]Fixture_Capacity_Input!$C:$C,[1]Fixture_Capacity_Input!$A:$A,$B287,[1]Fixture_Capacity_Input!$B:$B,$C287),[1]weekly_demand!G288))</f>
        <v/>
      </c>
      <c r="E287" s="62" t="str">
        <f>IF($A287="","",[1]weekly_demand!I288)</f>
        <v/>
      </c>
      <c r="F287" s="61" t="str">
        <f>IF($A287="","",IF($A287&lt;&gt;$A286,IFERROR(INDEX([1]FG_Begin_Inventory!$B:$B,MATCH($A287,[1]FG_Begin_Inventory!$A:$A,0)),0),J286))</f>
        <v/>
      </c>
      <c r="G287" s="61" t="str">
        <f t="shared" si="31"/>
        <v/>
      </c>
      <c r="H287" s="62" t="str">
        <f t="shared" si="32"/>
        <v/>
      </c>
      <c r="I287" s="62" t="str">
        <f t="shared" si="33"/>
        <v/>
      </c>
      <c r="J287" s="62" t="str">
        <f t="shared" si="34"/>
        <v/>
      </c>
      <c r="K287" s="62" t="str">
        <f t="shared" si="35"/>
        <v/>
      </c>
      <c r="L287" s="62" t="str">
        <f t="shared" si="36"/>
        <v/>
      </c>
      <c r="M287" s="63" t="str">
        <f t="shared" si="37"/>
        <v/>
      </c>
      <c r="N287" s="64"/>
    </row>
    <row r="288" spans="1:14" x14ac:dyDescent="0.3">
      <c r="A288" s="58" t="str">
        <f>IF([1]weekly_demand!A289="","",[1]weekly_demand!A289)</f>
        <v/>
      </c>
      <c r="B288" s="59" t="str">
        <f>IF($A288="","",[1]weekly_demand!F289)</f>
        <v/>
      </c>
      <c r="C288" s="60" t="str">
        <f>IF($A288="","",[1]weekly_demand!H289)</f>
        <v/>
      </c>
      <c r="D288" s="61" t="str">
        <f>IF($A288="","",IF(SUMIFS([1]Fixture_Capacity_Input!$C:$C,[1]Fixture_Capacity_Input!$A:$A,$B288,[1]Fixture_Capacity_Input!$B:$B,$C288)&gt;0,SUMIFS([1]Fixture_Capacity_Input!$C:$C,[1]Fixture_Capacity_Input!$A:$A,$B288,[1]Fixture_Capacity_Input!$B:$B,$C288),[1]weekly_demand!G289))</f>
        <v/>
      </c>
      <c r="E288" s="62" t="str">
        <f>IF($A288="","",[1]weekly_demand!I289)</f>
        <v/>
      </c>
      <c r="F288" s="61" t="str">
        <f>IF($A288="","",IF($A288&lt;&gt;$A287,IFERROR(INDEX([1]FG_Begin_Inventory!$B:$B,MATCH($A288,[1]FG_Begin_Inventory!$A:$A,0)),0),J287))</f>
        <v/>
      </c>
      <c r="G288" s="61" t="str">
        <f t="shared" si="31"/>
        <v/>
      </c>
      <c r="H288" s="62" t="str">
        <f t="shared" si="32"/>
        <v/>
      </c>
      <c r="I288" s="62" t="str">
        <f t="shared" si="33"/>
        <v/>
      </c>
      <c r="J288" s="62" t="str">
        <f t="shared" si="34"/>
        <v/>
      </c>
      <c r="K288" s="62" t="str">
        <f t="shared" si="35"/>
        <v/>
      </c>
      <c r="L288" s="62" t="str">
        <f t="shared" si="36"/>
        <v/>
      </c>
      <c r="M288" s="63" t="str">
        <f t="shared" si="37"/>
        <v/>
      </c>
      <c r="N288" s="64"/>
    </row>
    <row r="289" spans="1:14" x14ac:dyDescent="0.3">
      <c r="A289" s="58" t="str">
        <f>IF([1]weekly_demand!A290="","",[1]weekly_demand!A290)</f>
        <v/>
      </c>
      <c r="B289" s="59" t="str">
        <f>IF($A289="","",[1]weekly_demand!F290)</f>
        <v/>
      </c>
      <c r="C289" s="60" t="str">
        <f>IF($A289="","",[1]weekly_demand!H290)</f>
        <v/>
      </c>
      <c r="D289" s="61" t="str">
        <f>IF($A289="","",IF(SUMIFS([1]Fixture_Capacity_Input!$C:$C,[1]Fixture_Capacity_Input!$A:$A,$B289,[1]Fixture_Capacity_Input!$B:$B,$C289)&gt;0,SUMIFS([1]Fixture_Capacity_Input!$C:$C,[1]Fixture_Capacity_Input!$A:$A,$B289,[1]Fixture_Capacity_Input!$B:$B,$C289),[1]weekly_demand!G290))</f>
        <v/>
      </c>
      <c r="E289" s="62" t="str">
        <f>IF($A289="","",[1]weekly_demand!I290)</f>
        <v/>
      </c>
      <c r="F289" s="61" t="str">
        <f>IF($A289="","",IF($A289&lt;&gt;$A288,IFERROR(INDEX([1]FG_Begin_Inventory!$B:$B,MATCH($A289,[1]FG_Begin_Inventory!$A:$A,0)),0),J288))</f>
        <v/>
      </c>
      <c r="G289" s="61" t="str">
        <f t="shared" si="31"/>
        <v/>
      </c>
      <c r="H289" s="62" t="str">
        <f t="shared" si="32"/>
        <v/>
      </c>
      <c r="I289" s="62" t="str">
        <f t="shared" si="33"/>
        <v/>
      </c>
      <c r="J289" s="62" t="str">
        <f t="shared" si="34"/>
        <v/>
      </c>
      <c r="K289" s="62" t="str">
        <f t="shared" si="35"/>
        <v/>
      </c>
      <c r="L289" s="62" t="str">
        <f t="shared" si="36"/>
        <v/>
      </c>
      <c r="M289" s="63" t="str">
        <f t="shared" si="37"/>
        <v/>
      </c>
      <c r="N289" s="64"/>
    </row>
    <row r="290" spans="1:14" x14ac:dyDescent="0.3">
      <c r="A290" s="58" t="str">
        <f>IF([1]weekly_demand!A291="","",[1]weekly_demand!A291)</f>
        <v/>
      </c>
      <c r="B290" s="59" t="str">
        <f>IF($A290="","",[1]weekly_demand!F291)</f>
        <v/>
      </c>
      <c r="C290" s="60" t="str">
        <f>IF($A290="","",[1]weekly_demand!H291)</f>
        <v/>
      </c>
      <c r="D290" s="61" t="str">
        <f>IF($A290="","",IF(SUMIFS([1]Fixture_Capacity_Input!$C:$C,[1]Fixture_Capacity_Input!$A:$A,$B290,[1]Fixture_Capacity_Input!$B:$B,$C290)&gt;0,SUMIFS([1]Fixture_Capacity_Input!$C:$C,[1]Fixture_Capacity_Input!$A:$A,$B290,[1]Fixture_Capacity_Input!$B:$B,$C290),[1]weekly_demand!G291))</f>
        <v/>
      </c>
      <c r="E290" s="62" t="str">
        <f>IF($A290="","",[1]weekly_demand!I291)</f>
        <v/>
      </c>
      <c r="F290" s="61" t="str">
        <f>IF($A290="","",IF($A290&lt;&gt;$A289,IFERROR(INDEX([1]FG_Begin_Inventory!$B:$B,MATCH($A290,[1]FG_Begin_Inventory!$A:$A,0)),0),J289))</f>
        <v/>
      </c>
      <c r="G290" s="61" t="str">
        <f t="shared" si="31"/>
        <v/>
      </c>
      <c r="H290" s="62" t="str">
        <f t="shared" si="32"/>
        <v/>
      </c>
      <c r="I290" s="62" t="str">
        <f t="shared" si="33"/>
        <v/>
      </c>
      <c r="J290" s="62" t="str">
        <f t="shared" si="34"/>
        <v/>
      </c>
      <c r="K290" s="62" t="str">
        <f t="shared" si="35"/>
        <v/>
      </c>
      <c r="L290" s="62" t="str">
        <f t="shared" si="36"/>
        <v/>
      </c>
      <c r="M290" s="63" t="str">
        <f t="shared" si="37"/>
        <v/>
      </c>
      <c r="N290" s="64"/>
    </row>
    <row r="291" spans="1:14" x14ac:dyDescent="0.3">
      <c r="A291" s="58" t="str">
        <f>IF([1]weekly_demand!A292="","",[1]weekly_demand!A292)</f>
        <v/>
      </c>
      <c r="B291" s="59" t="str">
        <f>IF($A291="","",[1]weekly_demand!F292)</f>
        <v/>
      </c>
      <c r="C291" s="60" t="str">
        <f>IF($A291="","",[1]weekly_demand!H292)</f>
        <v/>
      </c>
      <c r="D291" s="61" t="str">
        <f>IF($A291="","",IF(SUMIFS([1]Fixture_Capacity_Input!$C:$C,[1]Fixture_Capacity_Input!$A:$A,$B291,[1]Fixture_Capacity_Input!$B:$B,$C291)&gt;0,SUMIFS([1]Fixture_Capacity_Input!$C:$C,[1]Fixture_Capacity_Input!$A:$A,$B291,[1]Fixture_Capacity_Input!$B:$B,$C291),[1]weekly_demand!G292))</f>
        <v/>
      </c>
      <c r="E291" s="62" t="str">
        <f>IF($A291="","",[1]weekly_demand!I292)</f>
        <v/>
      </c>
      <c r="F291" s="61" t="str">
        <f>IF($A291="","",IF($A291&lt;&gt;$A290,IFERROR(INDEX([1]FG_Begin_Inventory!$B:$B,MATCH($A291,[1]FG_Begin_Inventory!$A:$A,0)),0),J290))</f>
        <v/>
      </c>
      <c r="G291" s="61" t="str">
        <f t="shared" si="31"/>
        <v/>
      </c>
      <c r="H291" s="62" t="str">
        <f t="shared" si="32"/>
        <v/>
      </c>
      <c r="I291" s="62" t="str">
        <f t="shared" si="33"/>
        <v/>
      </c>
      <c r="J291" s="62" t="str">
        <f t="shared" si="34"/>
        <v/>
      </c>
      <c r="K291" s="62" t="str">
        <f t="shared" si="35"/>
        <v/>
      </c>
      <c r="L291" s="62" t="str">
        <f t="shared" si="36"/>
        <v/>
      </c>
      <c r="M291" s="63" t="str">
        <f t="shared" si="37"/>
        <v/>
      </c>
      <c r="N291" s="64"/>
    </row>
    <row r="292" spans="1:14" x14ac:dyDescent="0.3">
      <c r="A292" s="58" t="str">
        <f>IF([1]weekly_demand!A293="","",[1]weekly_demand!A293)</f>
        <v/>
      </c>
      <c r="B292" s="59" t="str">
        <f>IF($A292="","",[1]weekly_demand!F293)</f>
        <v/>
      </c>
      <c r="C292" s="60" t="str">
        <f>IF($A292="","",[1]weekly_demand!H293)</f>
        <v/>
      </c>
      <c r="D292" s="61" t="str">
        <f>IF($A292="","",IF(SUMIFS([1]Fixture_Capacity_Input!$C:$C,[1]Fixture_Capacity_Input!$A:$A,$B292,[1]Fixture_Capacity_Input!$B:$B,$C292)&gt;0,SUMIFS([1]Fixture_Capacity_Input!$C:$C,[1]Fixture_Capacity_Input!$A:$A,$B292,[1]Fixture_Capacity_Input!$B:$B,$C292),[1]weekly_demand!G293))</f>
        <v/>
      </c>
      <c r="E292" s="62" t="str">
        <f>IF($A292="","",[1]weekly_demand!I293)</f>
        <v/>
      </c>
      <c r="F292" s="61" t="str">
        <f>IF($A292="","",IF($A292&lt;&gt;$A291,IFERROR(INDEX([1]FG_Begin_Inventory!$B:$B,MATCH($A292,[1]FG_Begin_Inventory!$A:$A,0)),0),J291))</f>
        <v/>
      </c>
      <c r="G292" s="61" t="str">
        <f t="shared" si="31"/>
        <v/>
      </c>
      <c r="H292" s="62" t="str">
        <f t="shared" si="32"/>
        <v/>
      </c>
      <c r="I292" s="62" t="str">
        <f t="shared" si="33"/>
        <v/>
      </c>
      <c r="J292" s="62" t="str">
        <f t="shared" si="34"/>
        <v/>
      </c>
      <c r="K292" s="62" t="str">
        <f t="shared" si="35"/>
        <v/>
      </c>
      <c r="L292" s="62" t="str">
        <f t="shared" si="36"/>
        <v/>
      </c>
      <c r="M292" s="63" t="str">
        <f t="shared" si="37"/>
        <v/>
      </c>
      <c r="N292" s="64"/>
    </row>
    <row r="293" spans="1:14" x14ac:dyDescent="0.3">
      <c r="A293" s="58" t="str">
        <f>IF([1]weekly_demand!A294="","",[1]weekly_demand!A294)</f>
        <v/>
      </c>
      <c r="B293" s="59" t="str">
        <f>IF($A293="","",[1]weekly_demand!F294)</f>
        <v/>
      </c>
      <c r="C293" s="60" t="str">
        <f>IF($A293="","",[1]weekly_demand!H294)</f>
        <v/>
      </c>
      <c r="D293" s="61" t="str">
        <f>IF($A293="","",IF(SUMIFS([1]Fixture_Capacity_Input!$C:$C,[1]Fixture_Capacity_Input!$A:$A,$B293,[1]Fixture_Capacity_Input!$B:$B,$C293)&gt;0,SUMIFS([1]Fixture_Capacity_Input!$C:$C,[1]Fixture_Capacity_Input!$A:$A,$B293,[1]Fixture_Capacity_Input!$B:$B,$C293),[1]weekly_demand!G294))</f>
        <v/>
      </c>
      <c r="E293" s="62" t="str">
        <f>IF($A293="","",[1]weekly_demand!I294)</f>
        <v/>
      </c>
      <c r="F293" s="61" t="str">
        <f>IF($A293="","",IF($A293&lt;&gt;$A292,IFERROR(INDEX([1]FG_Begin_Inventory!$B:$B,MATCH($A293,[1]FG_Begin_Inventory!$A:$A,0)),0),J292))</f>
        <v/>
      </c>
      <c r="G293" s="61" t="str">
        <f t="shared" si="31"/>
        <v/>
      </c>
      <c r="H293" s="62" t="str">
        <f t="shared" si="32"/>
        <v/>
      </c>
      <c r="I293" s="62" t="str">
        <f t="shared" si="33"/>
        <v/>
      </c>
      <c r="J293" s="62" t="str">
        <f t="shared" si="34"/>
        <v/>
      </c>
      <c r="K293" s="62" t="str">
        <f t="shared" si="35"/>
        <v/>
      </c>
      <c r="L293" s="62" t="str">
        <f t="shared" si="36"/>
        <v/>
      </c>
      <c r="M293" s="63" t="str">
        <f t="shared" si="37"/>
        <v/>
      </c>
      <c r="N293" s="64"/>
    </row>
    <row r="294" spans="1:14" x14ac:dyDescent="0.3">
      <c r="A294" s="58" t="str">
        <f>IF([1]weekly_demand!A295="","",[1]weekly_demand!A295)</f>
        <v/>
      </c>
      <c r="B294" s="59" t="str">
        <f>IF($A294="","",[1]weekly_demand!F295)</f>
        <v/>
      </c>
      <c r="C294" s="60" t="str">
        <f>IF($A294="","",[1]weekly_demand!H295)</f>
        <v/>
      </c>
      <c r="D294" s="61" t="str">
        <f>IF($A294="","",IF(SUMIFS([1]Fixture_Capacity_Input!$C:$C,[1]Fixture_Capacity_Input!$A:$A,$B294,[1]Fixture_Capacity_Input!$B:$B,$C294)&gt;0,SUMIFS([1]Fixture_Capacity_Input!$C:$C,[1]Fixture_Capacity_Input!$A:$A,$B294,[1]Fixture_Capacity_Input!$B:$B,$C294),[1]weekly_demand!G295))</f>
        <v/>
      </c>
      <c r="E294" s="62" t="str">
        <f>IF($A294="","",[1]weekly_demand!I295)</f>
        <v/>
      </c>
      <c r="F294" s="61" t="str">
        <f>IF($A294="","",IF($A294&lt;&gt;$A293,IFERROR(INDEX([1]FG_Begin_Inventory!$B:$B,MATCH($A294,[1]FG_Begin_Inventory!$A:$A,0)),0),J293))</f>
        <v/>
      </c>
      <c r="G294" s="61" t="str">
        <f t="shared" si="31"/>
        <v/>
      </c>
      <c r="H294" s="62" t="str">
        <f t="shared" si="32"/>
        <v/>
      </c>
      <c r="I294" s="62" t="str">
        <f t="shared" si="33"/>
        <v/>
      </c>
      <c r="J294" s="62" t="str">
        <f t="shared" si="34"/>
        <v/>
      </c>
      <c r="K294" s="62" t="str">
        <f t="shared" si="35"/>
        <v/>
      </c>
      <c r="L294" s="62" t="str">
        <f t="shared" si="36"/>
        <v/>
      </c>
      <c r="M294" s="63" t="str">
        <f t="shared" si="37"/>
        <v/>
      </c>
      <c r="N294" s="64"/>
    </row>
    <row r="295" spans="1:14" x14ac:dyDescent="0.3">
      <c r="A295" s="58" t="str">
        <f>IF([1]weekly_demand!A296="","",[1]weekly_demand!A296)</f>
        <v/>
      </c>
      <c r="B295" s="59" t="str">
        <f>IF($A295="","",[1]weekly_demand!F296)</f>
        <v/>
      </c>
      <c r="C295" s="60" t="str">
        <f>IF($A295="","",[1]weekly_demand!H296)</f>
        <v/>
      </c>
      <c r="D295" s="61" t="str">
        <f>IF($A295="","",IF(SUMIFS([1]Fixture_Capacity_Input!$C:$C,[1]Fixture_Capacity_Input!$A:$A,$B295,[1]Fixture_Capacity_Input!$B:$B,$C295)&gt;0,SUMIFS([1]Fixture_Capacity_Input!$C:$C,[1]Fixture_Capacity_Input!$A:$A,$B295,[1]Fixture_Capacity_Input!$B:$B,$C295),[1]weekly_demand!G296))</f>
        <v/>
      </c>
      <c r="E295" s="62" t="str">
        <f>IF($A295="","",[1]weekly_demand!I296)</f>
        <v/>
      </c>
      <c r="F295" s="61" t="str">
        <f>IF($A295="","",IF($A295&lt;&gt;$A294,IFERROR(INDEX([1]FG_Begin_Inventory!$B:$B,MATCH($A295,[1]FG_Begin_Inventory!$A:$A,0)),0),J294))</f>
        <v/>
      </c>
      <c r="G295" s="61" t="str">
        <f t="shared" si="31"/>
        <v/>
      </c>
      <c r="H295" s="62" t="str">
        <f t="shared" si="32"/>
        <v/>
      </c>
      <c r="I295" s="62" t="str">
        <f t="shared" si="33"/>
        <v/>
      </c>
      <c r="J295" s="62" t="str">
        <f t="shared" si="34"/>
        <v/>
      </c>
      <c r="K295" s="62" t="str">
        <f t="shared" si="35"/>
        <v/>
      </c>
      <c r="L295" s="62" t="str">
        <f t="shared" si="36"/>
        <v/>
      </c>
      <c r="M295" s="63" t="str">
        <f t="shared" si="37"/>
        <v/>
      </c>
      <c r="N295" s="64"/>
    </row>
    <row r="296" spans="1:14" x14ac:dyDescent="0.3">
      <c r="A296" s="58" t="str">
        <f>IF([1]weekly_demand!A297="","",[1]weekly_demand!A297)</f>
        <v/>
      </c>
      <c r="B296" s="59" t="str">
        <f>IF($A296="","",[1]weekly_demand!F297)</f>
        <v/>
      </c>
      <c r="C296" s="60" t="str">
        <f>IF($A296="","",[1]weekly_demand!H297)</f>
        <v/>
      </c>
      <c r="D296" s="61" t="str">
        <f>IF($A296="","",IF(SUMIFS([1]Fixture_Capacity_Input!$C:$C,[1]Fixture_Capacity_Input!$A:$A,$B296,[1]Fixture_Capacity_Input!$B:$B,$C296)&gt;0,SUMIFS([1]Fixture_Capacity_Input!$C:$C,[1]Fixture_Capacity_Input!$A:$A,$B296,[1]Fixture_Capacity_Input!$B:$B,$C296),[1]weekly_demand!G297))</f>
        <v/>
      </c>
      <c r="E296" s="62" t="str">
        <f>IF($A296="","",[1]weekly_demand!I297)</f>
        <v/>
      </c>
      <c r="F296" s="61" t="str">
        <f>IF($A296="","",IF($A296&lt;&gt;$A295,IFERROR(INDEX([1]FG_Begin_Inventory!$B:$B,MATCH($A296,[1]FG_Begin_Inventory!$A:$A,0)),0),J295))</f>
        <v/>
      </c>
      <c r="G296" s="61" t="str">
        <f t="shared" si="31"/>
        <v/>
      </c>
      <c r="H296" s="62" t="str">
        <f t="shared" si="32"/>
        <v/>
      </c>
      <c r="I296" s="62" t="str">
        <f t="shared" si="33"/>
        <v/>
      </c>
      <c r="J296" s="62" t="str">
        <f t="shared" si="34"/>
        <v/>
      </c>
      <c r="K296" s="62" t="str">
        <f t="shared" si="35"/>
        <v/>
      </c>
      <c r="L296" s="62" t="str">
        <f t="shared" si="36"/>
        <v/>
      </c>
      <c r="M296" s="63" t="str">
        <f t="shared" si="37"/>
        <v/>
      </c>
      <c r="N296" s="64"/>
    </row>
    <row r="297" spans="1:14" x14ac:dyDescent="0.3">
      <c r="A297" s="58" t="str">
        <f>IF([1]weekly_demand!A298="","",[1]weekly_demand!A298)</f>
        <v/>
      </c>
      <c r="B297" s="59" t="str">
        <f>IF($A297="","",[1]weekly_demand!F298)</f>
        <v/>
      </c>
      <c r="C297" s="60" t="str">
        <f>IF($A297="","",[1]weekly_demand!H298)</f>
        <v/>
      </c>
      <c r="D297" s="61" t="str">
        <f>IF($A297="","",IF(SUMIFS([1]Fixture_Capacity_Input!$C:$C,[1]Fixture_Capacity_Input!$A:$A,$B297,[1]Fixture_Capacity_Input!$B:$B,$C297)&gt;0,SUMIFS([1]Fixture_Capacity_Input!$C:$C,[1]Fixture_Capacity_Input!$A:$A,$B297,[1]Fixture_Capacity_Input!$B:$B,$C297),[1]weekly_demand!G298))</f>
        <v/>
      </c>
      <c r="E297" s="62" t="str">
        <f>IF($A297="","",[1]weekly_demand!I298)</f>
        <v/>
      </c>
      <c r="F297" s="61" t="str">
        <f>IF($A297="","",IF($A297&lt;&gt;$A296,IFERROR(INDEX([1]FG_Begin_Inventory!$B:$B,MATCH($A297,[1]FG_Begin_Inventory!$A:$A,0)),0),J296))</f>
        <v/>
      </c>
      <c r="G297" s="61" t="str">
        <f t="shared" si="31"/>
        <v/>
      </c>
      <c r="H297" s="62" t="str">
        <f t="shared" si="32"/>
        <v/>
      </c>
      <c r="I297" s="62" t="str">
        <f t="shared" si="33"/>
        <v/>
      </c>
      <c r="J297" s="62" t="str">
        <f t="shared" si="34"/>
        <v/>
      </c>
      <c r="K297" s="62" t="str">
        <f t="shared" si="35"/>
        <v/>
      </c>
      <c r="L297" s="62" t="str">
        <f t="shared" si="36"/>
        <v/>
      </c>
      <c r="M297" s="63" t="str">
        <f t="shared" si="37"/>
        <v/>
      </c>
      <c r="N297" s="64"/>
    </row>
    <row r="298" spans="1:14" x14ac:dyDescent="0.3">
      <c r="A298" s="58" t="str">
        <f>IF([1]weekly_demand!A299="","",[1]weekly_demand!A299)</f>
        <v/>
      </c>
      <c r="B298" s="59" t="str">
        <f>IF($A298="","",[1]weekly_demand!F299)</f>
        <v/>
      </c>
      <c r="C298" s="60" t="str">
        <f>IF($A298="","",[1]weekly_demand!H299)</f>
        <v/>
      </c>
      <c r="D298" s="61" t="str">
        <f>IF($A298="","",IF(SUMIFS([1]Fixture_Capacity_Input!$C:$C,[1]Fixture_Capacity_Input!$A:$A,$B298,[1]Fixture_Capacity_Input!$B:$B,$C298)&gt;0,SUMIFS([1]Fixture_Capacity_Input!$C:$C,[1]Fixture_Capacity_Input!$A:$A,$B298,[1]Fixture_Capacity_Input!$B:$B,$C298),[1]weekly_demand!G299))</f>
        <v/>
      </c>
      <c r="E298" s="62" t="str">
        <f>IF($A298="","",[1]weekly_demand!I299)</f>
        <v/>
      </c>
      <c r="F298" s="61" t="str">
        <f>IF($A298="","",IF($A298&lt;&gt;$A297,IFERROR(INDEX([1]FG_Begin_Inventory!$B:$B,MATCH($A298,[1]FG_Begin_Inventory!$A:$A,0)),0),J297))</f>
        <v/>
      </c>
      <c r="G298" s="61" t="str">
        <f t="shared" si="31"/>
        <v/>
      </c>
      <c r="H298" s="62" t="str">
        <f t="shared" si="32"/>
        <v/>
      </c>
      <c r="I298" s="62" t="str">
        <f t="shared" si="33"/>
        <v/>
      </c>
      <c r="J298" s="62" t="str">
        <f t="shared" si="34"/>
        <v/>
      </c>
      <c r="K298" s="62" t="str">
        <f t="shared" si="35"/>
        <v/>
      </c>
      <c r="L298" s="62" t="str">
        <f t="shared" si="36"/>
        <v/>
      </c>
      <c r="M298" s="63" t="str">
        <f t="shared" si="37"/>
        <v/>
      </c>
      <c r="N298" s="64"/>
    </row>
    <row r="299" spans="1:14" x14ac:dyDescent="0.3">
      <c r="A299" s="58" t="str">
        <f>IF([1]weekly_demand!A300="","",[1]weekly_demand!A300)</f>
        <v/>
      </c>
      <c r="B299" s="59" t="str">
        <f>IF($A299="","",[1]weekly_demand!F300)</f>
        <v/>
      </c>
      <c r="C299" s="60" t="str">
        <f>IF($A299="","",[1]weekly_demand!H300)</f>
        <v/>
      </c>
      <c r="D299" s="61" t="str">
        <f>IF($A299="","",IF(SUMIFS([1]Fixture_Capacity_Input!$C:$C,[1]Fixture_Capacity_Input!$A:$A,$B299,[1]Fixture_Capacity_Input!$B:$B,$C299)&gt;0,SUMIFS([1]Fixture_Capacity_Input!$C:$C,[1]Fixture_Capacity_Input!$A:$A,$B299,[1]Fixture_Capacity_Input!$B:$B,$C299),[1]weekly_demand!G300))</f>
        <v/>
      </c>
      <c r="E299" s="62" t="str">
        <f>IF($A299="","",[1]weekly_demand!I300)</f>
        <v/>
      </c>
      <c r="F299" s="61" t="str">
        <f>IF($A299="","",IF($A299&lt;&gt;$A298,IFERROR(INDEX([1]FG_Begin_Inventory!$B:$B,MATCH($A299,[1]FG_Begin_Inventory!$A:$A,0)),0),J298))</f>
        <v/>
      </c>
      <c r="G299" s="61" t="str">
        <f t="shared" si="31"/>
        <v/>
      </c>
      <c r="H299" s="62" t="str">
        <f t="shared" si="32"/>
        <v/>
      </c>
      <c r="I299" s="62" t="str">
        <f t="shared" si="33"/>
        <v/>
      </c>
      <c r="J299" s="62" t="str">
        <f t="shared" si="34"/>
        <v/>
      </c>
      <c r="K299" s="62" t="str">
        <f t="shared" si="35"/>
        <v/>
      </c>
      <c r="L299" s="62" t="str">
        <f t="shared" si="36"/>
        <v/>
      </c>
      <c r="M299" s="63" t="str">
        <f t="shared" si="37"/>
        <v/>
      </c>
      <c r="N299" s="64"/>
    </row>
    <row r="300" spans="1:14" x14ac:dyDescent="0.3">
      <c r="A300" s="58" t="str">
        <f>IF([1]weekly_demand!A301="","",[1]weekly_demand!A301)</f>
        <v/>
      </c>
      <c r="B300" s="59" t="str">
        <f>IF($A300="","",[1]weekly_demand!F301)</f>
        <v/>
      </c>
      <c r="C300" s="60" t="str">
        <f>IF($A300="","",[1]weekly_demand!H301)</f>
        <v/>
      </c>
      <c r="D300" s="61" t="str">
        <f>IF($A300="","",IF(SUMIFS([1]Fixture_Capacity_Input!$C:$C,[1]Fixture_Capacity_Input!$A:$A,$B300,[1]Fixture_Capacity_Input!$B:$B,$C300)&gt;0,SUMIFS([1]Fixture_Capacity_Input!$C:$C,[1]Fixture_Capacity_Input!$A:$A,$B300,[1]Fixture_Capacity_Input!$B:$B,$C300),[1]weekly_demand!G301))</f>
        <v/>
      </c>
      <c r="E300" s="62" t="str">
        <f>IF($A300="","",[1]weekly_demand!I301)</f>
        <v/>
      </c>
      <c r="F300" s="61" t="str">
        <f>IF($A300="","",IF($A300&lt;&gt;$A299,IFERROR(INDEX([1]FG_Begin_Inventory!$B:$B,MATCH($A300,[1]FG_Begin_Inventory!$A:$A,0)),0),J299))</f>
        <v/>
      </c>
      <c r="G300" s="61" t="str">
        <f t="shared" si="31"/>
        <v/>
      </c>
      <c r="H300" s="62" t="str">
        <f t="shared" si="32"/>
        <v/>
      </c>
      <c r="I300" s="62" t="str">
        <f t="shared" si="33"/>
        <v/>
      </c>
      <c r="J300" s="62" t="str">
        <f t="shared" si="34"/>
        <v/>
      </c>
      <c r="K300" s="62" t="str">
        <f t="shared" si="35"/>
        <v/>
      </c>
      <c r="L300" s="62" t="str">
        <f t="shared" si="36"/>
        <v/>
      </c>
      <c r="M300" s="63" t="str">
        <f t="shared" si="37"/>
        <v/>
      </c>
      <c r="N300" s="64"/>
    </row>
    <row r="301" spans="1:14" x14ac:dyDescent="0.3">
      <c r="A301" s="58" t="str">
        <f>IF([1]weekly_demand!A302="","",[1]weekly_demand!A302)</f>
        <v/>
      </c>
      <c r="B301" s="59" t="str">
        <f>IF($A301="","",[1]weekly_demand!F302)</f>
        <v/>
      </c>
      <c r="C301" s="60" t="str">
        <f>IF($A301="","",[1]weekly_demand!H302)</f>
        <v/>
      </c>
      <c r="D301" s="61" t="str">
        <f>IF($A301="","",IF(SUMIFS([1]Fixture_Capacity_Input!$C:$C,[1]Fixture_Capacity_Input!$A:$A,$B301,[1]Fixture_Capacity_Input!$B:$B,$C301)&gt;0,SUMIFS([1]Fixture_Capacity_Input!$C:$C,[1]Fixture_Capacity_Input!$A:$A,$B301,[1]Fixture_Capacity_Input!$B:$B,$C301),[1]weekly_demand!G302))</f>
        <v/>
      </c>
      <c r="E301" s="62" t="str">
        <f>IF($A301="","",[1]weekly_demand!I302)</f>
        <v/>
      </c>
      <c r="F301" s="61" t="str">
        <f>IF($A301="","",IF($A301&lt;&gt;$A300,IFERROR(INDEX([1]FG_Begin_Inventory!$B:$B,MATCH($A301,[1]FG_Begin_Inventory!$A:$A,0)),0),J300))</f>
        <v/>
      </c>
      <c r="G301" s="61" t="str">
        <f t="shared" si="31"/>
        <v/>
      </c>
      <c r="H301" s="62" t="str">
        <f t="shared" si="32"/>
        <v/>
      </c>
      <c r="I301" s="62" t="str">
        <f t="shared" si="33"/>
        <v/>
      </c>
      <c r="J301" s="62" t="str">
        <f t="shared" si="34"/>
        <v/>
      </c>
      <c r="K301" s="62" t="str">
        <f t="shared" si="35"/>
        <v/>
      </c>
      <c r="L301" s="62" t="str">
        <f t="shared" si="36"/>
        <v/>
      </c>
      <c r="M301" s="63" t="str">
        <f t="shared" si="37"/>
        <v/>
      </c>
      <c r="N301" s="64"/>
    </row>
    <row r="302" spans="1:14" x14ac:dyDescent="0.3">
      <c r="A302" s="58" t="str">
        <f>IF([1]weekly_demand!A303="","",[1]weekly_demand!A303)</f>
        <v/>
      </c>
      <c r="B302" s="59" t="str">
        <f>IF($A302="","",[1]weekly_demand!F303)</f>
        <v/>
      </c>
      <c r="C302" s="60" t="str">
        <f>IF($A302="","",[1]weekly_demand!H303)</f>
        <v/>
      </c>
      <c r="D302" s="61" t="str">
        <f>IF($A302="","",IF(SUMIFS([1]Fixture_Capacity_Input!$C:$C,[1]Fixture_Capacity_Input!$A:$A,$B302,[1]Fixture_Capacity_Input!$B:$B,$C302)&gt;0,SUMIFS([1]Fixture_Capacity_Input!$C:$C,[1]Fixture_Capacity_Input!$A:$A,$B302,[1]Fixture_Capacity_Input!$B:$B,$C302),[1]weekly_demand!G303))</f>
        <v/>
      </c>
      <c r="E302" s="62" t="str">
        <f>IF($A302="","",[1]weekly_demand!I303)</f>
        <v/>
      </c>
      <c r="F302" s="61" t="str">
        <f>IF($A302="","",IF($A302&lt;&gt;$A301,IFERROR(INDEX([1]FG_Begin_Inventory!$B:$B,MATCH($A302,[1]FG_Begin_Inventory!$A:$A,0)),0),J301))</f>
        <v/>
      </c>
      <c r="G302" s="61" t="str">
        <f t="shared" si="31"/>
        <v/>
      </c>
      <c r="H302" s="62" t="str">
        <f t="shared" si="32"/>
        <v/>
      </c>
      <c r="I302" s="62" t="str">
        <f t="shared" si="33"/>
        <v/>
      </c>
      <c r="J302" s="62" t="str">
        <f t="shared" si="34"/>
        <v/>
      </c>
      <c r="K302" s="62" t="str">
        <f t="shared" si="35"/>
        <v/>
      </c>
      <c r="L302" s="62" t="str">
        <f t="shared" si="36"/>
        <v/>
      </c>
      <c r="M302" s="63" t="str">
        <f t="shared" si="37"/>
        <v/>
      </c>
      <c r="N302" s="64"/>
    </row>
    <row r="303" spans="1:14" x14ac:dyDescent="0.3">
      <c r="A303" s="58" t="str">
        <f>IF([1]weekly_demand!A304="","",[1]weekly_demand!A304)</f>
        <v/>
      </c>
      <c r="B303" s="59" t="str">
        <f>IF($A303="","",[1]weekly_demand!F304)</f>
        <v/>
      </c>
      <c r="C303" s="60" t="str">
        <f>IF($A303="","",[1]weekly_demand!H304)</f>
        <v/>
      </c>
      <c r="D303" s="61" t="str">
        <f>IF($A303="","",IF(SUMIFS([1]Fixture_Capacity_Input!$C:$C,[1]Fixture_Capacity_Input!$A:$A,$B303,[1]Fixture_Capacity_Input!$B:$B,$C303)&gt;0,SUMIFS([1]Fixture_Capacity_Input!$C:$C,[1]Fixture_Capacity_Input!$A:$A,$B303,[1]Fixture_Capacity_Input!$B:$B,$C303),[1]weekly_demand!G304))</f>
        <v/>
      </c>
      <c r="E303" s="62" t="str">
        <f>IF($A303="","",[1]weekly_demand!I304)</f>
        <v/>
      </c>
      <c r="F303" s="61" t="str">
        <f>IF($A303="","",IF($A303&lt;&gt;$A302,IFERROR(INDEX([1]FG_Begin_Inventory!$B:$B,MATCH($A303,[1]FG_Begin_Inventory!$A:$A,0)),0),J302))</f>
        <v/>
      </c>
      <c r="G303" s="61" t="str">
        <f t="shared" si="31"/>
        <v/>
      </c>
      <c r="H303" s="62" t="str">
        <f t="shared" si="32"/>
        <v/>
      </c>
      <c r="I303" s="62" t="str">
        <f t="shared" si="33"/>
        <v/>
      </c>
      <c r="J303" s="62" t="str">
        <f t="shared" si="34"/>
        <v/>
      </c>
      <c r="K303" s="62" t="str">
        <f t="shared" si="35"/>
        <v/>
      </c>
      <c r="L303" s="62" t="str">
        <f t="shared" si="36"/>
        <v/>
      </c>
      <c r="M303" s="63" t="str">
        <f t="shared" si="37"/>
        <v/>
      </c>
      <c r="N303" s="64"/>
    </row>
    <row r="304" spans="1:14" x14ac:dyDescent="0.3">
      <c r="A304" s="58" t="str">
        <f>IF([1]weekly_demand!A305="","",[1]weekly_demand!A305)</f>
        <v/>
      </c>
      <c r="B304" s="59" t="str">
        <f>IF($A304="","",[1]weekly_demand!F305)</f>
        <v/>
      </c>
      <c r="C304" s="60" t="str">
        <f>IF($A304="","",[1]weekly_demand!H305)</f>
        <v/>
      </c>
      <c r="D304" s="61" t="str">
        <f>IF($A304="","",IF(SUMIFS([1]Fixture_Capacity_Input!$C:$C,[1]Fixture_Capacity_Input!$A:$A,$B304,[1]Fixture_Capacity_Input!$B:$B,$C304)&gt;0,SUMIFS([1]Fixture_Capacity_Input!$C:$C,[1]Fixture_Capacity_Input!$A:$A,$B304,[1]Fixture_Capacity_Input!$B:$B,$C304),[1]weekly_demand!G305))</f>
        <v/>
      </c>
      <c r="E304" s="62" t="str">
        <f>IF($A304="","",[1]weekly_demand!I305)</f>
        <v/>
      </c>
      <c r="F304" s="61" t="str">
        <f>IF($A304="","",IF($A304&lt;&gt;$A303,IFERROR(INDEX([1]FG_Begin_Inventory!$B:$B,MATCH($A304,[1]FG_Begin_Inventory!$A:$A,0)),0),J303))</f>
        <v/>
      </c>
      <c r="G304" s="61" t="str">
        <f t="shared" si="31"/>
        <v/>
      </c>
      <c r="H304" s="62" t="str">
        <f t="shared" si="32"/>
        <v/>
      </c>
      <c r="I304" s="62" t="str">
        <f t="shared" si="33"/>
        <v/>
      </c>
      <c r="J304" s="62" t="str">
        <f t="shared" si="34"/>
        <v/>
      </c>
      <c r="K304" s="62" t="str">
        <f t="shared" si="35"/>
        <v/>
      </c>
      <c r="L304" s="62" t="str">
        <f t="shared" si="36"/>
        <v/>
      </c>
      <c r="M304" s="63" t="str">
        <f t="shared" si="37"/>
        <v/>
      </c>
      <c r="N304" s="64"/>
    </row>
    <row r="305" spans="1:14" x14ac:dyDescent="0.3">
      <c r="A305" s="58" t="str">
        <f>IF([1]weekly_demand!A306="","",[1]weekly_demand!A306)</f>
        <v/>
      </c>
      <c r="B305" s="59" t="str">
        <f>IF($A305="","",[1]weekly_demand!F306)</f>
        <v/>
      </c>
      <c r="C305" s="60" t="str">
        <f>IF($A305="","",[1]weekly_demand!H306)</f>
        <v/>
      </c>
      <c r="D305" s="61" t="str">
        <f>IF($A305="","",IF(SUMIFS([1]Fixture_Capacity_Input!$C:$C,[1]Fixture_Capacity_Input!$A:$A,$B305,[1]Fixture_Capacity_Input!$B:$B,$C305)&gt;0,SUMIFS([1]Fixture_Capacity_Input!$C:$C,[1]Fixture_Capacity_Input!$A:$A,$B305,[1]Fixture_Capacity_Input!$B:$B,$C305),[1]weekly_demand!G306))</f>
        <v/>
      </c>
      <c r="E305" s="62" t="str">
        <f>IF($A305="","",[1]weekly_demand!I306)</f>
        <v/>
      </c>
      <c r="F305" s="61" t="str">
        <f>IF($A305="","",IF($A305&lt;&gt;$A304,IFERROR(INDEX([1]FG_Begin_Inventory!$B:$B,MATCH($A305,[1]FG_Begin_Inventory!$A:$A,0)),0),J304))</f>
        <v/>
      </c>
      <c r="G305" s="61" t="str">
        <f t="shared" si="31"/>
        <v/>
      </c>
      <c r="H305" s="62" t="str">
        <f t="shared" si="32"/>
        <v/>
      </c>
      <c r="I305" s="62" t="str">
        <f t="shared" si="33"/>
        <v/>
      </c>
      <c r="J305" s="62" t="str">
        <f t="shared" si="34"/>
        <v/>
      </c>
      <c r="K305" s="62" t="str">
        <f t="shared" si="35"/>
        <v/>
      </c>
      <c r="L305" s="62" t="str">
        <f t="shared" si="36"/>
        <v/>
      </c>
      <c r="M305" s="63" t="str">
        <f t="shared" si="37"/>
        <v/>
      </c>
      <c r="N305" s="64"/>
    </row>
    <row r="306" spans="1:14" x14ac:dyDescent="0.3">
      <c r="A306" s="58" t="str">
        <f>IF([1]weekly_demand!A307="","",[1]weekly_demand!A307)</f>
        <v/>
      </c>
      <c r="B306" s="59" t="str">
        <f>IF($A306="","",[1]weekly_demand!F307)</f>
        <v/>
      </c>
      <c r="C306" s="60" t="str">
        <f>IF($A306="","",[1]weekly_demand!H307)</f>
        <v/>
      </c>
      <c r="D306" s="61" t="str">
        <f>IF($A306="","",IF(SUMIFS([1]Fixture_Capacity_Input!$C:$C,[1]Fixture_Capacity_Input!$A:$A,$B306,[1]Fixture_Capacity_Input!$B:$B,$C306)&gt;0,SUMIFS([1]Fixture_Capacity_Input!$C:$C,[1]Fixture_Capacity_Input!$A:$A,$B306,[1]Fixture_Capacity_Input!$B:$B,$C306),[1]weekly_demand!G307))</f>
        <v/>
      </c>
      <c r="E306" s="62" t="str">
        <f>IF($A306="","",[1]weekly_demand!I307)</f>
        <v/>
      </c>
      <c r="F306" s="61" t="str">
        <f>IF($A306="","",IF($A306&lt;&gt;$A305,IFERROR(INDEX([1]FG_Begin_Inventory!$B:$B,MATCH($A306,[1]FG_Begin_Inventory!$A:$A,0)),0),J305))</f>
        <v/>
      </c>
      <c r="G306" s="61" t="str">
        <f t="shared" si="31"/>
        <v/>
      </c>
      <c r="H306" s="62" t="str">
        <f t="shared" si="32"/>
        <v/>
      </c>
      <c r="I306" s="62" t="str">
        <f t="shared" si="33"/>
        <v/>
      </c>
      <c r="J306" s="62" t="str">
        <f t="shared" si="34"/>
        <v/>
      </c>
      <c r="K306" s="62" t="str">
        <f t="shared" si="35"/>
        <v/>
      </c>
      <c r="L306" s="62" t="str">
        <f t="shared" si="36"/>
        <v/>
      </c>
      <c r="M306" s="63" t="str">
        <f t="shared" si="37"/>
        <v/>
      </c>
      <c r="N306" s="64"/>
    </row>
    <row r="307" spans="1:14" x14ac:dyDescent="0.3">
      <c r="A307" s="58" t="str">
        <f>IF([1]weekly_demand!A308="","",[1]weekly_demand!A308)</f>
        <v/>
      </c>
      <c r="B307" s="59" t="str">
        <f>IF($A307="","",[1]weekly_demand!F308)</f>
        <v/>
      </c>
      <c r="C307" s="60" t="str">
        <f>IF($A307="","",[1]weekly_demand!H308)</f>
        <v/>
      </c>
      <c r="D307" s="61" t="str">
        <f>IF($A307="","",IF(SUMIFS([1]Fixture_Capacity_Input!$C:$C,[1]Fixture_Capacity_Input!$A:$A,$B307,[1]Fixture_Capacity_Input!$B:$B,$C307)&gt;0,SUMIFS([1]Fixture_Capacity_Input!$C:$C,[1]Fixture_Capacity_Input!$A:$A,$B307,[1]Fixture_Capacity_Input!$B:$B,$C307),[1]weekly_demand!G308))</f>
        <v/>
      </c>
      <c r="E307" s="62" t="str">
        <f>IF($A307="","",[1]weekly_demand!I308)</f>
        <v/>
      </c>
      <c r="F307" s="61" t="str">
        <f>IF($A307="","",IF($A307&lt;&gt;$A306,IFERROR(INDEX([1]FG_Begin_Inventory!$B:$B,MATCH($A307,[1]FG_Begin_Inventory!$A:$A,0)),0),J306))</f>
        <v/>
      </c>
      <c r="G307" s="61" t="str">
        <f t="shared" ref="G307:G370" si="38">IF($A307="","",IF($A307&lt;&gt;$A308,0,MAX(0,G308+E308-D308)))</f>
        <v/>
      </c>
      <c r="H307" s="62" t="str">
        <f t="shared" si="32"/>
        <v/>
      </c>
      <c r="I307" s="62" t="str">
        <f t="shared" si="33"/>
        <v/>
      </c>
      <c r="J307" s="62" t="str">
        <f t="shared" si="34"/>
        <v/>
      </c>
      <c r="K307" s="62" t="str">
        <f t="shared" si="35"/>
        <v/>
      </c>
      <c r="L307" s="62" t="str">
        <f t="shared" si="36"/>
        <v/>
      </c>
      <c r="M307" s="63" t="str">
        <f t="shared" si="37"/>
        <v/>
      </c>
      <c r="N307" s="64"/>
    </row>
    <row r="308" spans="1:14" x14ac:dyDescent="0.3">
      <c r="A308" s="58" t="str">
        <f>IF([1]weekly_demand!A309="","",[1]weekly_demand!A309)</f>
        <v/>
      </c>
      <c r="B308" s="59" t="str">
        <f>IF($A308="","",[1]weekly_demand!F309)</f>
        <v/>
      </c>
      <c r="C308" s="60" t="str">
        <f>IF($A308="","",[1]weekly_demand!H309)</f>
        <v/>
      </c>
      <c r="D308" s="61" t="str">
        <f>IF($A308="","",IF(SUMIFS([1]Fixture_Capacity_Input!$C:$C,[1]Fixture_Capacity_Input!$A:$A,$B308,[1]Fixture_Capacity_Input!$B:$B,$C308)&gt;0,SUMIFS([1]Fixture_Capacity_Input!$C:$C,[1]Fixture_Capacity_Input!$A:$A,$B308,[1]Fixture_Capacity_Input!$B:$B,$C308),[1]weekly_demand!G309))</f>
        <v/>
      </c>
      <c r="E308" s="62" t="str">
        <f>IF($A308="","",[1]weekly_demand!I309)</f>
        <v/>
      </c>
      <c r="F308" s="61" t="str">
        <f>IF($A308="","",IF($A308&lt;&gt;$A307,IFERROR(INDEX([1]FG_Begin_Inventory!$B:$B,MATCH($A308,[1]FG_Begin_Inventory!$A:$A,0)),0),J307))</f>
        <v/>
      </c>
      <c r="G308" s="61" t="str">
        <f t="shared" si="38"/>
        <v/>
      </c>
      <c r="H308" s="62" t="str">
        <f t="shared" si="32"/>
        <v/>
      </c>
      <c r="I308" s="62" t="str">
        <f t="shared" si="33"/>
        <v/>
      </c>
      <c r="J308" s="62" t="str">
        <f t="shared" si="34"/>
        <v/>
      </c>
      <c r="K308" s="62" t="str">
        <f t="shared" si="35"/>
        <v/>
      </c>
      <c r="L308" s="62" t="str">
        <f t="shared" si="36"/>
        <v/>
      </c>
      <c r="M308" s="63" t="str">
        <f t="shared" si="37"/>
        <v/>
      </c>
      <c r="N308" s="64"/>
    </row>
    <row r="309" spans="1:14" x14ac:dyDescent="0.3">
      <c r="A309" s="58" t="str">
        <f>IF([1]weekly_demand!A310="","",[1]weekly_demand!A310)</f>
        <v/>
      </c>
      <c r="B309" s="59" t="str">
        <f>IF($A309="","",[1]weekly_demand!F310)</f>
        <v/>
      </c>
      <c r="C309" s="60" t="str">
        <f>IF($A309="","",[1]weekly_demand!H310)</f>
        <v/>
      </c>
      <c r="D309" s="61" t="str">
        <f>IF($A309="","",IF(SUMIFS([1]Fixture_Capacity_Input!$C:$C,[1]Fixture_Capacity_Input!$A:$A,$B309,[1]Fixture_Capacity_Input!$B:$B,$C309)&gt;0,SUMIFS([1]Fixture_Capacity_Input!$C:$C,[1]Fixture_Capacity_Input!$A:$A,$B309,[1]Fixture_Capacity_Input!$B:$B,$C309),[1]weekly_demand!G310))</f>
        <v/>
      </c>
      <c r="E309" s="62" t="str">
        <f>IF($A309="","",[1]weekly_demand!I310)</f>
        <v/>
      </c>
      <c r="F309" s="61" t="str">
        <f>IF($A309="","",IF($A309&lt;&gt;$A308,IFERROR(INDEX([1]FG_Begin_Inventory!$B:$B,MATCH($A309,[1]FG_Begin_Inventory!$A:$A,0)),0),J308))</f>
        <v/>
      </c>
      <c r="G309" s="61" t="str">
        <f t="shared" si="38"/>
        <v/>
      </c>
      <c r="H309" s="62" t="str">
        <f t="shared" si="32"/>
        <v/>
      </c>
      <c r="I309" s="62" t="str">
        <f t="shared" si="33"/>
        <v/>
      </c>
      <c r="J309" s="62" t="str">
        <f t="shared" si="34"/>
        <v/>
      </c>
      <c r="K309" s="62" t="str">
        <f t="shared" si="35"/>
        <v/>
      </c>
      <c r="L309" s="62" t="str">
        <f t="shared" si="36"/>
        <v/>
      </c>
      <c r="M309" s="63" t="str">
        <f t="shared" si="37"/>
        <v/>
      </c>
      <c r="N309" s="64"/>
    </row>
    <row r="310" spans="1:14" x14ac:dyDescent="0.3">
      <c r="A310" s="58" t="str">
        <f>IF([1]weekly_demand!A311="","",[1]weekly_demand!A311)</f>
        <v/>
      </c>
      <c r="B310" s="59" t="str">
        <f>IF($A310="","",[1]weekly_demand!F311)</f>
        <v/>
      </c>
      <c r="C310" s="60" t="str">
        <f>IF($A310="","",[1]weekly_demand!H311)</f>
        <v/>
      </c>
      <c r="D310" s="61" t="str">
        <f>IF($A310="","",IF(SUMIFS([1]Fixture_Capacity_Input!$C:$C,[1]Fixture_Capacity_Input!$A:$A,$B310,[1]Fixture_Capacity_Input!$B:$B,$C310)&gt;0,SUMIFS([1]Fixture_Capacity_Input!$C:$C,[1]Fixture_Capacity_Input!$A:$A,$B310,[1]Fixture_Capacity_Input!$B:$B,$C310),[1]weekly_demand!G311))</f>
        <v/>
      </c>
      <c r="E310" s="62" t="str">
        <f>IF($A310="","",[1]weekly_demand!I311)</f>
        <v/>
      </c>
      <c r="F310" s="61" t="str">
        <f>IF($A310="","",IF($A310&lt;&gt;$A309,IFERROR(INDEX([1]FG_Begin_Inventory!$B:$B,MATCH($A310,[1]FG_Begin_Inventory!$A:$A,0)),0),J309))</f>
        <v/>
      </c>
      <c r="G310" s="61" t="str">
        <f t="shared" si="38"/>
        <v/>
      </c>
      <c r="H310" s="62" t="str">
        <f t="shared" si="32"/>
        <v/>
      </c>
      <c r="I310" s="62" t="str">
        <f t="shared" si="33"/>
        <v/>
      </c>
      <c r="J310" s="62" t="str">
        <f t="shared" si="34"/>
        <v/>
      </c>
      <c r="K310" s="62" t="str">
        <f t="shared" si="35"/>
        <v/>
      </c>
      <c r="L310" s="62" t="str">
        <f t="shared" si="36"/>
        <v/>
      </c>
      <c r="M310" s="63" t="str">
        <f t="shared" si="37"/>
        <v/>
      </c>
      <c r="N310" s="64"/>
    </row>
    <row r="311" spans="1:14" x14ac:dyDescent="0.3">
      <c r="A311" s="58" t="str">
        <f>IF([1]weekly_demand!A312="","",[1]weekly_demand!A312)</f>
        <v/>
      </c>
      <c r="B311" s="59" t="str">
        <f>IF($A311="","",[1]weekly_demand!F312)</f>
        <v/>
      </c>
      <c r="C311" s="60" t="str">
        <f>IF($A311="","",[1]weekly_demand!H312)</f>
        <v/>
      </c>
      <c r="D311" s="61" t="str">
        <f>IF($A311="","",IF(SUMIFS([1]Fixture_Capacity_Input!$C:$C,[1]Fixture_Capacity_Input!$A:$A,$B311,[1]Fixture_Capacity_Input!$B:$B,$C311)&gt;0,SUMIFS([1]Fixture_Capacity_Input!$C:$C,[1]Fixture_Capacity_Input!$A:$A,$B311,[1]Fixture_Capacity_Input!$B:$B,$C311),[1]weekly_demand!G312))</f>
        <v/>
      </c>
      <c r="E311" s="62" t="str">
        <f>IF($A311="","",[1]weekly_demand!I312)</f>
        <v/>
      </c>
      <c r="F311" s="61" t="str">
        <f>IF($A311="","",IF($A311&lt;&gt;$A310,IFERROR(INDEX([1]FG_Begin_Inventory!$B:$B,MATCH($A311,[1]FG_Begin_Inventory!$A:$A,0)),0),J310))</f>
        <v/>
      </c>
      <c r="G311" s="61" t="str">
        <f t="shared" si="38"/>
        <v/>
      </c>
      <c r="H311" s="62" t="str">
        <f t="shared" si="32"/>
        <v/>
      </c>
      <c r="I311" s="62" t="str">
        <f t="shared" si="33"/>
        <v/>
      </c>
      <c r="J311" s="62" t="str">
        <f t="shared" si="34"/>
        <v/>
      </c>
      <c r="K311" s="62" t="str">
        <f t="shared" si="35"/>
        <v/>
      </c>
      <c r="L311" s="62" t="str">
        <f t="shared" si="36"/>
        <v/>
      </c>
      <c r="M311" s="63" t="str">
        <f t="shared" si="37"/>
        <v/>
      </c>
      <c r="N311" s="64"/>
    </row>
    <row r="312" spans="1:14" x14ac:dyDescent="0.3">
      <c r="A312" s="58" t="str">
        <f>IF([1]weekly_demand!A313="","",[1]weekly_demand!A313)</f>
        <v/>
      </c>
      <c r="B312" s="59" t="str">
        <f>IF($A312="","",[1]weekly_demand!F313)</f>
        <v/>
      </c>
      <c r="C312" s="60" t="str">
        <f>IF($A312="","",[1]weekly_demand!H313)</f>
        <v/>
      </c>
      <c r="D312" s="61" t="str">
        <f>IF($A312="","",IF(SUMIFS([1]Fixture_Capacity_Input!$C:$C,[1]Fixture_Capacity_Input!$A:$A,$B312,[1]Fixture_Capacity_Input!$B:$B,$C312)&gt;0,SUMIFS([1]Fixture_Capacity_Input!$C:$C,[1]Fixture_Capacity_Input!$A:$A,$B312,[1]Fixture_Capacity_Input!$B:$B,$C312),[1]weekly_demand!G313))</f>
        <v/>
      </c>
      <c r="E312" s="62" t="str">
        <f>IF($A312="","",[1]weekly_demand!I313)</f>
        <v/>
      </c>
      <c r="F312" s="61" t="str">
        <f>IF($A312="","",IF($A312&lt;&gt;$A311,IFERROR(INDEX([1]FG_Begin_Inventory!$B:$B,MATCH($A312,[1]FG_Begin_Inventory!$A:$A,0)),0),J311))</f>
        <v/>
      </c>
      <c r="G312" s="61" t="str">
        <f t="shared" si="38"/>
        <v/>
      </c>
      <c r="H312" s="62" t="str">
        <f t="shared" si="32"/>
        <v/>
      </c>
      <c r="I312" s="62" t="str">
        <f t="shared" si="33"/>
        <v/>
      </c>
      <c r="J312" s="62" t="str">
        <f t="shared" si="34"/>
        <v/>
      </c>
      <c r="K312" s="62" t="str">
        <f t="shared" si="35"/>
        <v/>
      </c>
      <c r="L312" s="62" t="str">
        <f t="shared" si="36"/>
        <v/>
      </c>
      <c r="M312" s="63" t="str">
        <f t="shared" si="37"/>
        <v/>
      </c>
      <c r="N312" s="64"/>
    </row>
    <row r="313" spans="1:14" x14ac:dyDescent="0.3">
      <c r="A313" s="58" t="str">
        <f>IF([1]weekly_demand!A314="","",[1]weekly_demand!A314)</f>
        <v/>
      </c>
      <c r="B313" s="59" t="str">
        <f>IF($A313="","",[1]weekly_demand!F314)</f>
        <v/>
      </c>
      <c r="C313" s="60" t="str">
        <f>IF($A313="","",[1]weekly_demand!H314)</f>
        <v/>
      </c>
      <c r="D313" s="61" t="str">
        <f>IF($A313="","",IF(SUMIFS([1]Fixture_Capacity_Input!$C:$C,[1]Fixture_Capacity_Input!$A:$A,$B313,[1]Fixture_Capacity_Input!$B:$B,$C313)&gt;0,SUMIFS([1]Fixture_Capacity_Input!$C:$C,[1]Fixture_Capacity_Input!$A:$A,$B313,[1]Fixture_Capacity_Input!$B:$B,$C313),[1]weekly_demand!G314))</f>
        <v/>
      </c>
      <c r="E313" s="62" t="str">
        <f>IF($A313="","",[1]weekly_demand!I314)</f>
        <v/>
      </c>
      <c r="F313" s="61" t="str">
        <f>IF($A313="","",IF($A313&lt;&gt;$A312,IFERROR(INDEX([1]FG_Begin_Inventory!$B:$B,MATCH($A313,[1]FG_Begin_Inventory!$A:$A,0)),0),J312))</f>
        <v/>
      </c>
      <c r="G313" s="61" t="str">
        <f t="shared" si="38"/>
        <v/>
      </c>
      <c r="H313" s="62" t="str">
        <f t="shared" si="32"/>
        <v/>
      </c>
      <c r="I313" s="62" t="str">
        <f t="shared" si="33"/>
        <v/>
      </c>
      <c r="J313" s="62" t="str">
        <f t="shared" si="34"/>
        <v/>
      </c>
      <c r="K313" s="62" t="str">
        <f t="shared" si="35"/>
        <v/>
      </c>
      <c r="L313" s="62" t="str">
        <f t="shared" si="36"/>
        <v/>
      </c>
      <c r="M313" s="63" t="str">
        <f t="shared" si="37"/>
        <v/>
      </c>
      <c r="N313" s="64"/>
    </row>
    <row r="314" spans="1:14" x14ac:dyDescent="0.3">
      <c r="A314" s="58" t="str">
        <f>IF([1]weekly_demand!A315="","",[1]weekly_demand!A315)</f>
        <v/>
      </c>
      <c r="B314" s="59" t="str">
        <f>IF($A314="","",[1]weekly_demand!F315)</f>
        <v/>
      </c>
      <c r="C314" s="60" t="str">
        <f>IF($A314="","",[1]weekly_demand!H315)</f>
        <v/>
      </c>
      <c r="D314" s="61" t="str">
        <f>IF($A314="","",IF(SUMIFS([1]Fixture_Capacity_Input!$C:$C,[1]Fixture_Capacity_Input!$A:$A,$B314,[1]Fixture_Capacity_Input!$B:$B,$C314)&gt;0,SUMIFS([1]Fixture_Capacity_Input!$C:$C,[1]Fixture_Capacity_Input!$A:$A,$B314,[1]Fixture_Capacity_Input!$B:$B,$C314),[1]weekly_demand!G315))</f>
        <v/>
      </c>
      <c r="E314" s="62" t="str">
        <f>IF($A314="","",[1]weekly_demand!I315)</f>
        <v/>
      </c>
      <c r="F314" s="61" t="str">
        <f>IF($A314="","",IF($A314&lt;&gt;$A313,IFERROR(INDEX([1]FG_Begin_Inventory!$B:$B,MATCH($A314,[1]FG_Begin_Inventory!$A:$A,0)),0),J313))</f>
        <v/>
      </c>
      <c r="G314" s="61" t="str">
        <f t="shared" si="38"/>
        <v/>
      </c>
      <c r="H314" s="62" t="str">
        <f t="shared" si="32"/>
        <v/>
      </c>
      <c r="I314" s="62" t="str">
        <f t="shared" si="33"/>
        <v/>
      </c>
      <c r="J314" s="62" t="str">
        <f t="shared" si="34"/>
        <v/>
      </c>
      <c r="K314" s="62" t="str">
        <f t="shared" si="35"/>
        <v/>
      </c>
      <c r="L314" s="62" t="str">
        <f t="shared" si="36"/>
        <v/>
      </c>
      <c r="M314" s="63" t="str">
        <f t="shared" si="37"/>
        <v/>
      </c>
      <c r="N314" s="64"/>
    </row>
    <row r="315" spans="1:14" x14ac:dyDescent="0.3">
      <c r="A315" s="58" t="str">
        <f>IF([1]weekly_demand!A316="","",[1]weekly_demand!A316)</f>
        <v/>
      </c>
      <c r="B315" s="59" t="str">
        <f>IF($A315="","",[1]weekly_demand!F316)</f>
        <v/>
      </c>
      <c r="C315" s="60" t="str">
        <f>IF($A315="","",[1]weekly_demand!H316)</f>
        <v/>
      </c>
      <c r="D315" s="61" t="str">
        <f>IF($A315="","",IF(SUMIFS([1]Fixture_Capacity_Input!$C:$C,[1]Fixture_Capacity_Input!$A:$A,$B315,[1]Fixture_Capacity_Input!$B:$B,$C315)&gt;0,SUMIFS([1]Fixture_Capacity_Input!$C:$C,[1]Fixture_Capacity_Input!$A:$A,$B315,[1]Fixture_Capacity_Input!$B:$B,$C315),[1]weekly_demand!G316))</f>
        <v/>
      </c>
      <c r="E315" s="62" t="str">
        <f>IF($A315="","",[1]weekly_demand!I316)</f>
        <v/>
      </c>
      <c r="F315" s="61" t="str">
        <f>IF($A315="","",IF($A315&lt;&gt;$A314,IFERROR(INDEX([1]FG_Begin_Inventory!$B:$B,MATCH($A315,[1]FG_Begin_Inventory!$A:$A,0)),0),J314))</f>
        <v/>
      </c>
      <c r="G315" s="61" t="str">
        <f t="shared" si="38"/>
        <v/>
      </c>
      <c r="H315" s="62" t="str">
        <f t="shared" si="32"/>
        <v/>
      </c>
      <c r="I315" s="62" t="str">
        <f t="shared" si="33"/>
        <v/>
      </c>
      <c r="J315" s="62" t="str">
        <f t="shared" si="34"/>
        <v/>
      </c>
      <c r="K315" s="62" t="str">
        <f t="shared" si="35"/>
        <v/>
      </c>
      <c r="L315" s="62" t="str">
        <f t="shared" si="36"/>
        <v/>
      </c>
      <c r="M315" s="63" t="str">
        <f t="shared" si="37"/>
        <v/>
      </c>
      <c r="N315" s="64"/>
    </row>
    <row r="316" spans="1:14" x14ac:dyDescent="0.3">
      <c r="A316" s="58" t="str">
        <f>IF([1]weekly_demand!A317="","",[1]weekly_demand!A317)</f>
        <v/>
      </c>
      <c r="B316" s="59" t="str">
        <f>IF($A316="","",[1]weekly_demand!F317)</f>
        <v/>
      </c>
      <c r="C316" s="60" t="str">
        <f>IF($A316="","",[1]weekly_demand!H317)</f>
        <v/>
      </c>
      <c r="D316" s="61" t="str">
        <f>IF($A316="","",IF(SUMIFS([1]Fixture_Capacity_Input!$C:$C,[1]Fixture_Capacity_Input!$A:$A,$B316,[1]Fixture_Capacity_Input!$B:$B,$C316)&gt;0,SUMIFS([1]Fixture_Capacity_Input!$C:$C,[1]Fixture_Capacity_Input!$A:$A,$B316,[1]Fixture_Capacity_Input!$B:$B,$C316),[1]weekly_demand!G317))</f>
        <v/>
      </c>
      <c r="E316" s="62" t="str">
        <f>IF($A316="","",[1]weekly_demand!I317)</f>
        <v/>
      </c>
      <c r="F316" s="61" t="str">
        <f>IF($A316="","",IF($A316&lt;&gt;$A315,IFERROR(INDEX([1]FG_Begin_Inventory!$B:$B,MATCH($A316,[1]FG_Begin_Inventory!$A:$A,0)),0),J315))</f>
        <v/>
      </c>
      <c r="G316" s="61" t="str">
        <f t="shared" si="38"/>
        <v/>
      </c>
      <c r="H316" s="62" t="str">
        <f t="shared" si="32"/>
        <v/>
      </c>
      <c r="I316" s="62" t="str">
        <f t="shared" si="33"/>
        <v/>
      </c>
      <c r="J316" s="62" t="str">
        <f t="shared" si="34"/>
        <v/>
      </c>
      <c r="K316" s="62" t="str">
        <f t="shared" si="35"/>
        <v/>
      </c>
      <c r="L316" s="62" t="str">
        <f t="shared" si="36"/>
        <v/>
      </c>
      <c r="M316" s="63" t="str">
        <f t="shared" si="37"/>
        <v/>
      </c>
      <c r="N316" s="64"/>
    </row>
    <row r="317" spans="1:14" x14ac:dyDescent="0.3">
      <c r="A317" s="58" t="str">
        <f>IF([1]weekly_demand!A318="","",[1]weekly_demand!A318)</f>
        <v/>
      </c>
      <c r="B317" s="59" t="str">
        <f>IF($A317="","",[1]weekly_demand!F318)</f>
        <v/>
      </c>
      <c r="C317" s="60" t="str">
        <f>IF($A317="","",[1]weekly_demand!H318)</f>
        <v/>
      </c>
      <c r="D317" s="61" t="str">
        <f>IF($A317="","",IF(SUMIFS([1]Fixture_Capacity_Input!$C:$C,[1]Fixture_Capacity_Input!$A:$A,$B317,[1]Fixture_Capacity_Input!$B:$B,$C317)&gt;0,SUMIFS([1]Fixture_Capacity_Input!$C:$C,[1]Fixture_Capacity_Input!$A:$A,$B317,[1]Fixture_Capacity_Input!$B:$B,$C317),[1]weekly_demand!G318))</f>
        <v/>
      </c>
      <c r="E317" s="62" t="str">
        <f>IF($A317="","",[1]weekly_demand!I318)</f>
        <v/>
      </c>
      <c r="F317" s="61" t="str">
        <f>IF($A317="","",IF($A317&lt;&gt;$A316,IFERROR(INDEX([1]FG_Begin_Inventory!$B:$B,MATCH($A317,[1]FG_Begin_Inventory!$A:$A,0)),0),J316))</f>
        <v/>
      </c>
      <c r="G317" s="61" t="str">
        <f t="shared" si="38"/>
        <v/>
      </c>
      <c r="H317" s="62" t="str">
        <f t="shared" si="32"/>
        <v/>
      </c>
      <c r="I317" s="62" t="str">
        <f t="shared" si="33"/>
        <v/>
      </c>
      <c r="J317" s="62" t="str">
        <f t="shared" si="34"/>
        <v/>
      </c>
      <c r="K317" s="62" t="str">
        <f t="shared" si="35"/>
        <v/>
      </c>
      <c r="L317" s="62" t="str">
        <f t="shared" si="36"/>
        <v/>
      </c>
      <c r="M317" s="63" t="str">
        <f t="shared" si="37"/>
        <v/>
      </c>
      <c r="N317" s="64"/>
    </row>
    <row r="318" spans="1:14" x14ac:dyDescent="0.3">
      <c r="A318" s="58" t="str">
        <f>IF([1]weekly_demand!A319="","",[1]weekly_demand!A319)</f>
        <v/>
      </c>
      <c r="B318" s="59" t="str">
        <f>IF($A318="","",[1]weekly_demand!F319)</f>
        <v/>
      </c>
      <c r="C318" s="60" t="str">
        <f>IF($A318="","",[1]weekly_demand!H319)</f>
        <v/>
      </c>
      <c r="D318" s="61" t="str">
        <f>IF($A318="","",IF(SUMIFS([1]Fixture_Capacity_Input!$C:$C,[1]Fixture_Capacity_Input!$A:$A,$B318,[1]Fixture_Capacity_Input!$B:$B,$C318)&gt;0,SUMIFS([1]Fixture_Capacity_Input!$C:$C,[1]Fixture_Capacity_Input!$A:$A,$B318,[1]Fixture_Capacity_Input!$B:$B,$C318),[1]weekly_demand!G319))</f>
        <v/>
      </c>
      <c r="E318" s="62" t="str">
        <f>IF($A318="","",[1]weekly_demand!I319)</f>
        <v/>
      </c>
      <c r="F318" s="61" t="str">
        <f>IF($A318="","",IF($A318&lt;&gt;$A317,IFERROR(INDEX([1]FG_Begin_Inventory!$B:$B,MATCH($A318,[1]FG_Begin_Inventory!$A:$A,0)),0),J317))</f>
        <v/>
      </c>
      <c r="G318" s="61" t="str">
        <f t="shared" si="38"/>
        <v/>
      </c>
      <c r="H318" s="62" t="str">
        <f t="shared" si="32"/>
        <v/>
      </c>
      <c r="I318" s="62" t="str">
        <f t="shared" si="33"/>
        <v/>
      </c>
      <c r="J318" s="62" t="str">
        <f t="shared" si="34"/>
        <v/>
      </c>
      <c r="K318" s="62" t="str">
        <f t="shared" si="35"/>
        <v/>
      </c>
      <c r="L318" s="62" t="str">
        <f t="shared" si="36"/>
        <v/>
      </c>
      <c r="M318" s="63" t="str">
        <f t="shared" si="37"/>
        <v/>
      </c>
      <c r="N318" s="64"/>
    </row>
    <row r="319" spans="1:14" x14ac:dyDescent="0.3">
      <c r="A319" s="58" t="str">
        <f>IF([1]weekly_demand!A320="","",[1]weekly_demand!A320)</f>
        <v/>
      </c>
      <c r="B319" s="59" t="str">
        <f>IF($A319="","",[1]weekly_demand!F320)</f>
        <v/>
      </c>
      <c r="C319" s="60" t="str">
        <f>IF($A319="","",[1]weekly_demand!H320)</f>
        <v/>
      </c>
      <c r="D319" s="61" t="str">
        <f>IF($A319="","",IF(SUMIFS([1]Fixture_Capacity_Input!$C:$C,[1]Fixture_Capacity_Input!$A:$A,$B319,[1]Fixture_Capacity_Input!$B:$B,$C319)&gt;0,SUMIFS([1]Fixture_Capacity_Input!$C:$C,[1]Fixture_Capacity_Input!$A:$A,$B319,[1]Fixture_Capacity_Input!$B:$B,$C319),[1]weekly_demand!G320))</f>
        <v/>
      </c>
      <c r="E319" s="62" t="str">
        <f>IF($A319="","",[1]weekly_demand!I320)</f>
        <v/>
      </c>
      <c r="F319" s="61" t="str">
        <f>IF($A319="","",IF($A319&lt;&gt;$A318,IFERROR(INDEX([1]FG_Begin_Inventory!$B:$B,MATCH($A319,[1]FG_Begin_Inventory!$A:$A,0)),0),J318))</f>
        <v/>
      </c>
      <c r="G319" s="61" t="str">
        <f t="shared" si="38"/>
        <v/>
      </c>
      <c r="H319" s="62" t="str">
        <f t="shared" si="32"/>
        <v/>
      </c>
      <c r="I319" s="62" t="str">
        <f t="shared" si="33"/>
        <v/>
      </c>
      <c r="J319" s="62" t="str">
        <f t="shared" si="34"/>
        <v/>
      </c>
      <c r="K319" s="62" t="str">
        <f t="shared" si="35"/>
        <v/>
      </c>
      <c r="L319" s="62" t="str">
        <f t="shared" si="36"/>
        <v/>
      </c>
      <c r="M319" s="63" t="str">
        <f t="shared" si="37"/>
        <v/>
      </c>
      <c r="N319" s="64"/>
    </row>
    <row r="320" spans="1:14" x14ac:dyDescent="0.3">
      <c r="A320" s="58" t="str">
        <f>IF([1]weekly_demand!A321="","",[1]weekly_demand!A321)</f>
        <v/>
      </c>
      <c r="B320" s="59" t="str">
        <f>IF($A320="","",[1]weekly_demand!F321)</f>
        <v/>
      </c>
      <c r="C320" s="60" t="str">
        <f>IF($A320="","",[1]weekly_demand!H321)</f>
        <v/>
      </c>
      <c r="D320" s="61" t="str">
        <f>IF($A320="","",IF(SUMIFS([1]Fixture_Capacity_Input!$C:$C,[1]Fixture_Capacity_Input!$A:$A,$B320,[1]Fixture_Capacity_Input!$B:$B,$C320)&gt;0,SUMIFS([1]Fixture_Capacity_Input!$C:$C,[1]Fixture_Capacity_Input!$A:$A,$B320,[1]Fixture_Capacity_Input!$B:$B,$C320),[1]weekly_demand!G321))</f>
        <v/>
      </c>
      <c r="E320" s="62" t="str">
        <f>IF($A320="","",[1]weekly_demand!I321)</f>
        <v/>
      </c>
      <c r="F320" s="61" t="str">
        <f>IF($A320="","",IF($A320&lt;&gt;$A319,IFERROR(INDEX([1]FG_Begin_Inventory!$B:$B,MATCH($A320,[1]FG_Begin_Inventory!$A:$A,0)),0),J319))</f>
        <v/>
      </c>
      <c r="G320" s="61" t="str">
        <f t="shared" si="38"/>
        <v/>
      </c>
      <c r="H320" s="62" t="str">
        <f t="shared" si="32"/>
        <v/>
      </c>
      <c r="I320" s="62" t="str">
        <f t="shared" si="33"/>
        <v/>
      </c>
      <c r="J320" s="62" t="str">
        <f t="shared" si="34"/>
        <v/>
      </c>
      <c r="K320" s="62" t="str">
        <f t="shared" si="35"/>
        <v/>
      </c>
      <c r="L320" s="62" t="str">
        <f t="shared" si="36"/>
        <v/>
      </c>
      <c r="M320" s="63" t="str">
        <f t="shared" si="37"/>
        <v/>
      </c>
      <c r="N320" s="64"/>
    </row>
    <row r="321" spans="1:14" x14ac:dyDescent="0.3">
      <c r="A321" s="58" t="str">
        <f>IF([1]weekly_demand!A322="","",[1]weekly_demand!A322)</f>
        <v/>
      </c>
      <c r="B321" s="59" t="str">
        <f>IF($A321="","",[1]weekly_demand!F322)</f>
        <v/>
      </c>
      <c r="C321" s="60" t="str">
        <f>IF($A321="","",[1]weekly_demand!H322)</f>
        <v/>
      </c>
      <c r="D321" s="61" t="str">
        <f>IF($A321="","",IF(SUMIFS([1]Fixture_Capacity_Input!$C:$C,[1]Fixture_Capacity_Input!$A:$A,$B321,[1]Fixture_Capacity_Input!$B:$B,$C321)&gt;0,SUMIFS([1]Fixture_Capacity_Input!$C:$C,[1]Fixture_Capacity_Input!$A:$A,$B321,[1]Fixture_Capacity_Input!$B:$B,$C321),[1]weekly_demand!G322))</f>
        <v/>
      </c>
      <c r="E321" s="62" t="str">
        <f>IF($A321="","",[1]weekly_demand!I322)</f>
        <v/>
      </c>
      <c r="F321" s="61" t="str">
        <f>IF($A321="","",IF($A321&lt;&gt;$A320,IFERROR(INDEX([1]FG_Begin_Inventory!$B:$B,MATCH($A321,[1]FG_Begin_Inventory!$A:$A,0)),0),J320))</f>
        <v/>
      </c>
      <c r="G321" s="61" t="str">
        <f t="shared" si="38"/>
        <v/>
      </c>
      <c r="H321" s="62" t="str">
        <f t="shared" si="32"/>
        <v/>
      </c>
      <c r="I321" s="62" t="str">
        <f t="shared" si="33"/>
        <v/>
      </c>
      <c r="J321" s="62" t="str">
        <f t="shared" si="34"/>
        <v/>
      </c>
      <c r="K321" s="62" t="str">
        <f t="shared" si="35"/>
        <v/>
      </c>
      <c r="L321" s="62" t="str">
        <f t="shared" si="36"/>
        <v/>
      </c>
      <c r="M321" s="63" t="str">
        <f t="shared" si="37"/>
        <v/>
      </c>
      <c r="N321" s="64"/>
    </row>
    <row r="322" spans="1:14" x14ac:dyDescent="0.3">
      <c r="A322" s="58" t="str">
        <f>IF([1]weekly_demand!A323="","",[1]weekly_demand!A323)</f>
        <v/>
      </c>
      <c r="B322" s="59" t="str">
        <f>IF($A322="","",[1]weekly_demand!F323)</f>
        <v/>
      </c>
      <c r="C322" s="60" t="str">
        <f>IF($A322="","",[1]weekly_demand!H323)</f>
        <v/>
      </c>
      <c r="D322" s="61" t="str">
        <f>IF($A322="","",IF(SUMIFS([1]Fixture_Capacity_Input!$C:$C,[1]Fixture_Capacity_Input!$A:$A,$B322,[1]Fixture_Capacity_Input!$B:$B,$C322)&gt;0,SUMIFS([1]Fixture_Capacity_Input!$C:$C,[1]Fixture_Capacity_Input!$A:$A,$B322,[1]Fixture_Capacity_Input!$B:$B,$C322),[1]weekly_demand!G323))</f>
        <v/>
      </c>
      <c r="E322" s="62" t="str">
        <f>IF($A322="","",[1]weekly_demand!I323)</f>
        <v/>
      </c>
      <c r="F322" s="61" t="str">
        <f>IF($A322="","",IF($A322&lt;&gt;$A321,IFERROR(INDEX([1]FG_Begin_Inventory!$B:$B,MATCH($A322,[1]FG_Begin_Inventory!$A:$A,0)),0),J321))</f>
        <v/>
      </c>
      <c r="G322" s="61" t="str">
        <f t="shared" si="38"/>
        <v/>
      </c>
      <c r="H322" s="62" t="str">
        <f t="shared" ref="H322:H385" si="39">IF($A322="","",MAX(0,E322+G322-F322))</f>
        <v/>
      </c>
      <c r="I322" s="62" t="str">
        <f t="shared" ref="I322:I385" si="40">IF($A322="","",MIN(D322,H322))</f>
        <v/>
      </c>
      <c r="J322" s="62" t="str">
        <f t="shared" ref="J322:J385" si="41">IF($A322="","",MAX(0,F322+I322-E322))</f>
        <v/>
      </c>
      <c r="K322" s="62" t="str">
        <f t="shared" ref="K322:K385" si="42">IF($A322="","",MAX(0,E322-F322-I322))</f>
        <v/>
      </c>
      <c r="L322" s="62" t="str">
        <f t="shared" ref="L322:L385" si="43">IF($A322="","",MAX(0,F322+I322-E322))</f>
        <v/>
      </c>
      <c r="M322" s="63" t="str">
        <f t="shared" ref="M322:M385" si="44">IF($A322="","",IFERROR(I322/D322,0))</f>
        <v/>
      </c>
      <c r="N322" s="64"/>
    </row>
    <row r="323" spans="1:14" x14ac:dyDescent="0.3">
      <c r="A323" s="58" t="str">
        <f>IF([1]weekly_demand!A324="","",[1]weekly_demand!A324)</f>
        <v/>
      </c>
      <c r="B323" s="59" t="str">
        <f>IF($A323="","",[1]weekly_demand!F324)</f>
        <v/>
      </c>
      <c r="C323" s="60" t="str">
        <f>IF($A323="","",[1]weekly_demand!H324)</f>
        <v/>
      </c>
      <c r="D323" s="61" t="str">
        <f>IF($A323="","",IF(SUMIFS([1]Fixture_Capacity_Input!$C:$C,[1]Fixture_Capacity_Input!$A:$A,$B323,[1]Fixture_Capacity_Input!$B:$B,$C323)&gt;0,SUMIFS([1]Fixture_Capacity_Input!$C:$C,[1]Fixture_Capacity_Input!$A:$A,$B323,[1]Fixture_Capacity_Input!$B:$B,$C323),[1]weekly_demand!G324))</f>
        <v/>
      </c>
      <c r="E323" s="62" t="str">
        <f>IF($A323="","",[1]weekly_demand!I324)</f>
        <v/>
      </c>
      <c r="F323" s="61" t="str">
        <f>IF($A323="","",IF($A323&lt;&gt;$A322,IFERROR(INDEX([1]FG_Begin_Inventory!$B:$B,MATCH($A323,[1]FG_Begin_Inventory!$A:$A,0)),0),J322))</f>
        <v/>
      </c>
      <c r="G323" s="61" t="str">
        <f t="shared" si="38"/>
        <v/>
      </c>
      <c r="H323" s="62" t="str">
        <f t="shared" si="39"/>
        <v/>
      </c>
      <c r="I323" s="62" t="str">
        <f t="shared" si="40"/>
        <v/>
      </c>
      <c r="J323" s="62" t="str">
        <f t="shared" si="41"/>
        <v/>
      </c>
      <c r="K323" s="62" t="str">
        <f t="shared" si="42"/>
        <v/>
      </c>
      <c r="L323" s="62" t="str">
        <f t="shared" si="43"/>
        <v/>
      </c>
      <c r="M323" s="63" t="str">
        <f t="shared" si="44"/>
        <v/>
      </c>
      <c r="N323" s="64"/>
    </row>
    <row r="324" spans="1:14" x14ac:dyDescent="0.3">
      <c r="A324" s="58" t="str">
        <f>IF([1]weekly_demand!A325="","",[1]weekly_demand!A325)</f>
        <v/>
      </c>
      <c r="B324" s="59" t="str">
        <f>IF($A324="","",[1]weekly_demand!F325)</f>
        <v/>
      </c>
      <c r="C324" s="60" t="str">
        <f>IF($A324="","",[1]weekly_demand!H325)</f>
        <v/>
      </c>
      <c r="D324" s="61" t="str">
        <f>IF($A324="","",IF(SUMIFS([1]Fixture_Capacity_Input!$C:$C,[1]Fixture_Capacity_Input!$A:$A,$B324,[1]Fixture_Capacity_Input!$B:$B,$C324)&gt;0,SUMIFS([1]Fixture_Capacity_Input!$C:$C,[1]Fixture_Capacity_Input!$A:$A,$B324,[1]Fixture_Capacity_Input!$B:$B,$C324),[1]weekly_demand!G325))</f>
        <v/>
      </c>
      <c r="E324" s="62" t="str">
        <f>IF($A324="","",[1]weekly_demand!I325)</f>
        <v/>
      </c>
      <c r="F324" s="61" t="str">
        <f>IF($A324="","",IF($A324&lt;&gt;$A323,IFERROR(INDEX([1]FG_Begin_Inventory!$B:$B,MATCH($A324,[1]FG_Begin_Inventory!$A:$A,0)),0),J323))</f>
        <v/>
      </c>
      <c r="G324" s="61" t="str">
        <f t="shared" si="38"/>
        <v/>
      </c>
      <c r="H324" s="62" t="str">
        <f t="shared" si="39"/>
        <v/>
      </c>
      <c r="I324" s="62" t="str">
        <f t="shared" si="40"/>
        <v/>
      </c>
      <c r="J324" s="62" t="str">
        <f t="shared" si="41"/>
        <v/>
      </c>
      <c r="K324" s="62" t="str">
        <f t="shared" si="42"/>
        <v/>
      </c>
      <c r="L324" s="62" t="str">
        <f t="shared" si="43"/>
        <v/>
      </c>
      <c r="M324" s="63" t="str">
        <f t="shared" si="44"/>
        <v/>
      </c>
      <c r="N324" s="64"/>
    </row>
    <row r="325" spans="1:14" x14ac:dyDescent="0.3">
      <c r="A325" s="58" t="str">
        <f>IF([1]weekly_demand!A326="","",[1]weekly_demand!A326)</f>
        <v/>
      </c>
      <c r="B325" s="59" t="str">
        <f>IF($A325="","",[1]weekly_demand!F326)</f>
        <v/>
      </c>
      <c r="C325" s="60" t="str">
        <f>IF($A325="","",[1]weekly_demand!H326)</f>
        <v/>
      </c>
      <c r="D325" s="61" t="str">
        <f>IF($A325="","",IF(SUMIFS([1]Fixture_Capacity_Input!$C:$C,[1]Fixture_Capacity_Input!$A:$A,$B325,[1]Fixture_Capacity_Input!$B:$B,$C325)&gt;0,SUMIFS([1]Fixture_Capacity_Input!$C:$C,[1]Fixture_Capacity_Input!$A:$A,$B325,[1]Fixture_Capacity_Input!$B:$B,$C325),[1]weekly_demand!G326))</f>
        <v/>
      </c>
      <c r="E325" s="62" t="str">
        <f>IF($A325="","",[1]weekly_demand!I326)</f>
        <v/>
      </c>
      <c r="F325" s="61" t="str">
        <f>IF($A325="","",IF($A325&lt;&gt;$A324,IFERROR(INDEX([1]FG_Begin_Inventory!$B:$B,MATCH($A325,[1]FG_Begin_Inventory!$A:$A,0)),0),J324))</f>
        <v/>
      </c>
      <c r="G325" s="61" t="str">
        <f t="shared" si="38"/>
        <v/>
      </c>
      <c r="H325" s="62" t="str">
        <f t="shared" si="39"/>
        <v/>
      </c>
      <c r="I325" s="62" t="str">
        <f t="shared" si="40"/>
        <v/>
      </c>
      <c r="J325" s="62" t="str">
        <f t="shared" si="41"/>
        <v/>
      </c>
      <c r="K325" s="62" t="str">
        <f t="shared" si="42"/>
        <v/>
      </c>
      <c r="L325" s="62" t="str">
        <f t="shared" si="43"/>
        <v/>
      </c>
      <c r="M325" s="63" t="str">
        <f t="shared" si="44"/>
        <v/>
      </c>
      <c r="N325" s="64"/>
    </row>
    <row r="326" spans="1:14" x14ac:dyDescent="0.3">
      <c r="A326" s="58" t="str">
        <f>IF([1]weekly_demand!A327="","",[1]weekly_demand!A327)</f>
        <v/>
      </c>
      <c r="B326" s="59" t="str">
        <f>IF($A326="","",[1]weekly_demand!F327)</f>
        <v/>
      </c>
      <c r="C326" s="60" t="str">
        <f>IF($A326="","",[1]weekly_demand!H327)</f>
        <v/>
      </c>
      <c r="D326" s="61" t="str">
        <f>IF($A326="","",IF(SUMIFS([1]Fixture_Capacity_Input!$C:$C,[1]Fixture_Capacity_Input!$A:$A,$B326,[1]Fixture_Capacity_Input!$B:$B,$C326)&gt;0,SUMIFS([1]Fixture_Capacity_Input!$C:$C,[1]Fixture_Capacity_Input!$A:$A,$B326,[1]Fixture_Capacity_Input!$B:$B,$C326),[1]weekly_demand!G327))</f>
        <v/>
      </c>
      <c r="E326" s="62" t="str">
        <f>IF($A326="","",[1]weekly_demand!I327)</f>
        <v/>
      </c>
      <c r="F326" s="61" t="str">
        <f>IF($A326="","",IF($A326&lt;&gt;$A325,IFERROR(INDEX([1]FG_Begin_Inventory!$B:$B,MATCH($A326,[1]FG_Begin_Inventory!$A:$A,0)),0),J325))</f>
        <v/>
      </c>
      <c r="G326" s="61" t="str">
        <f t="shared" si="38"/>
        <v/>
      </c>
      <c r="H326" s="62" t="str">
        <f t="shared" si="39"/>
        <v/>
      </c>
      <c r="I326" s="62" t="str">
        <f t="shared" si="40"/>
        <v/>
      </c>
      <c r="J326" s="62" t="str">
        <f t="shared" si="41"/>
        <v/>
      </c>
      <c r="K326" s="62" t="str">
        <f t="shared" si="42"/>
        <v/>
      </c>
      <c r="L326" s="62" t="str">
        <f t="shared" si="43"/>
        <v/>
      </c>
      <c r="M326" s="63" t="str">
        <f t="shared" si="44"/>
        <v/>
      </c>
      <c r="N326" s="64"/>
    </row>
    <row r="327" spans="1:14" x14ac:dyDescent="0.3">
      <c r="A327" s="58" t="str">
        <f>IF([1]weekly_demand!A328="","",[1]weekly_demand!A328)</f>
        <v/>
      </c>
      <c r="B327" s="59" t="str">
        <f>IF($A327="","",[1]weekly_demand!F328)</f>
        <v/>
      </c>
      <c r="C327" s="60" t="str">
        <f>IF($A327="","",[1]weekly_demand!H328)</f>
        <v/>
      </c>
      <c r="D327" s="61" t="str">
        <f>IF($A327="","",IF(SUMIFS([1]Fixture_Capacity_Input!$C:$C,[1]Fixture_Capacity_Input!$A:$A,$B327,[1]Fixture_Capacity_Input!$B:$B,$C327)&gt;0,SUMIFS([1]Fixture_Capacity_Input!$C:$C,[1]Fixture_Capacity_Input!$A:$A,$B327,[1]Fixture_Capacity_Input!$B:$B,$C327),[1]weekly_demand!G328))</f>
        <v/>
      </c>
      <c r="E327" s="62" t="str">
        <f>IF($A327="","",[1]weekly_demand!I328)</f>
        <v/>
      </c>
      <c r="F327" s="61" t="str">
        <f>IF($A327="","",IF($A327&lt;&gt;$A326,IFERROR(INDEX([1]FG_Begin_Inventory!$B:$B,MATCH($A327,[1]FG_Begin_Inventory!$A:$A,0)),0),J326))</f>
        <v/>
      </c>
      <c r="G327" s="61" t="str">
        <f t="shared" si="38"/>
        <v/>
      </c>
      <c r="H327" s="62" t="str">
        <f t="shared" si="39"/>
        <v/>
      </c>
      <c r="I327" s="62" t="str">
        <f t="shared" si="40"/>
        <v/>
      </c>
      <c r="J327" s="62" t="str">
        <f t="shared" si="41"/>
        <v/>
      </c>
      <c r="K327" s="62" t="str">
        <f t="shared" si="42"/>
        <v/>
      </c>
      <c r="L327" s="62" t="str">
        <f t="shared" si="43"/>
        <v/>
      </c>
      <c r="M327" s="63" t="str">
        <f t="shared" si="44"/>
        <v/>
      </c>
      <c r="N327" s="64"/>
    </row>
    <row r="328" spans="1:14" x14ac:dyDescent="0.3">
      <c r="A328" s="58" t="str">
        <f>IF([1]weekly_demand!A329="","",[1]weekly_demand!A329)</f>
        <v/>
      </c>
      <c r="B328" s="59" t="str">
        <f>IF($A328="","",[1]weekly_demand!F329)</f>
        <v/>
      </c>
      <c r="C328" s="60" t="str">
        <f>IF($A328="","",[1]weekly_demand!H329)</f>
        <v/>
      </c>
      <c r="D328" s="61" t="str">
        <f>IF($A328="","",IF(SUMIFS([1]Fixture_Capacity_Input!$C:$C,[1]Fixture_Capacity_Input!$A:$A,$B328,[1]Fixture_Capacity_Input!$B:$B,$C328)&gt;0,SUMIFS([1]Fixture_Capacity_Input!$C:$C,[1]Fixture_Capacity_Input!$A:$A,$B328,[1]Fixture_Capacity_Input!$B:$B,$C328),[1]weekly_demand!G329))</f>
        <v/>
      </c>
      <c r="E328" s="62" t="str">
        <f>IF($A328="","",[1]weekly_demand!I329)</f>
        <v/>
      </c>
      <c r="F328" s="61" t="str">
        <f>IF($A328="","",IF($A328&lt;&gt;$A327,IFERROR(INDEX([1]FG_Begin_Inventory!$B:$B,MATCH($A328,[1]FG_Begin_Inventory!$A:$A,0)),0),J327))</f>
        <v/>
      </c>
      <c r="G328" s="61" t="str">
        <f t="shared" si="38"/>
        <v/>
      </c>
      <c r="H328" s="62" t="str">
        <f t="shared" si="39"/>
        <v/>
      </c>
      <c r="I328" s="62" t="str">
        <f t="shared" si="40"/>
        <v/>
      </c>
      <c r="J328" s="62" t="str">
        <f t="shared" si="41"/>
        <v/>
      </c>
      <c r="K328" s="62" t="str">
        <f t="shared" si="42"/>
        <v/>
      </c>
      <c r="L328" s="62" t="str">
        <f t="shared" si="43"/>
        <v/>
      </c>
      <c r="M328" s="63" t="str">
        <f t="shared" si="44"/>
        <v/>
      </c>
      <c r="N328" s="64"/>
    </row>
    <row r="329" spans="1:14" x14ac:dyDescent="0.3">
      <c r="A329" s="58" t="str">
        <f>IF([1]weekly_demand!A330="","",[1]weekly_demand!A330)</f>
        <v/>
      </c>
      <c r="B329" s="59" t="str">
        <f>IF($A329="","",[1]weekly_demand!F330)</f>
        <v/>
      </c>
      <c r="C329" s="60" t="str">
        <f>IF($A329="","",[1]weekly_demand!H330)</f>
        <v/>
      </c>
      <c r="D329" s="61" t="str">
        <f>IF($A329="","",IF(SUMIFS([1]Fixture_Capacity_Input!$C:$C,[1]Fixture_Capacity_Input!$A:$A,$B329,[1]Fixture_Capacity_Input!$B:$B,$C329)&gt;0,SUMIFS([1]Fixture_Capacity_Input!$C:$C,[1]Fixture_Capacity_Input!$A:$A,$B329,[1]Fixture_Capacity_Input!$B:$B,$C329),[1]weekly_demand!G330))</f>
        <v/>
      </c>
      <c r="E329" s="62" t="str">
        <f>IF($A329="","",[1]weekly_demand!I330)</f>
        <v/>
      </c>
      <c r="F329" s="61" t="str">
        <f>IF($A329="","",IF($A329&lt;&gt;$A328,IFERROR(INDEX([1]FG_Begin_Inventory!$B:$B,MATCH($A329,[1]FG_Begin_Inventory!$A:$A,0)),0),J328))</f>
        <v/>
      </c>
      <c r="G329" s="61" t="str">
        <f t="shared" si="38"/>
        <v/>
      </c>
      <c r="H329" s="62" t="str">
        <f t="shared" si="39"/>
        <v/>
      </c>
      <c r="I329" s="62" t="str">
        <f t="shared" si="40"/>
        <v/>
      </c>
      <c r="J329" s="62" t="str">
        <f t="shared" si="41"/>
        <v/>
      </c>
      <c r="K329" s="62" t="str">
        <f t="shared" si="42"/>
        <v/>
      </c>
      <c r="L329" s="62" t="str">
        <f t="shared" si="43"/>
        <v/>
      </c>
      <c r="M329" s="63" t="str">
        <f t="shared" si="44"/>
        <v/>
      </c>
      <c r="N329" s="64"/>
    </row>
    <row r="330" spans="1:14" x14ac:dyDescent="0.3">
      <c r="A330" s="58" t="str">
        <f>IF([1]weekly_demand!A331="","",[1]weekly_demand!A331)</f>
        <v/>
      </c>
      <c r="B330" s="59" t="str">
        <f>IF($A330="","",[1]weekly_demand!F331)</f>
        <v/>
      </c>
      <c r="C330" s="60" t="str">
        <f>IF($A330="","",[1]weekly_demand!H331)</f>
        <v/>
      </c>
      <c r="D330" s="61" t="str">
        <f>IF($A330="","",IF(SUMIFS([1]Fixture_Capacity_Input!$C:$C,[1]Fixture_Capacity_Input!$A:$A,$B330,[1]Fixture_Capacity_Input!$B:$B,$C330)&gt;0,SUMIFS([1]Fixture_Capacity_Input!$C:$C,[1]Fixture_Capacity_Input!$A:$A,$B330,[1]Fixture_Capacity_Input!$B:$B,$C330),[1]weekly_demand!G331))</f>
        <v/>
      </c>
      <c r="E330" s="62" t="str">
        <f>IF($A330="","",[1]weekly_demand!I331)</f>
        <v/>
      </c>
      <c r="F330" s="61" t="str">
        <f>IF($A330="","",IF($A330&lt;&gt;$A329,IFERROR(INDEX([1]FG_Begin_Inventory!$B:$B,MATCH($A330,[1]FG_Begin_Inventory!$A:$A,0)),0),J329))</f>
        <v/>
      </c>
      <c r="G330" s="61" t="str">
        <f t="shared" si="38"/>
        <v/>
      </c>
      <c r="H330" s="62" t="str">
        <f t="shared" si="39"/>
        <v/>
      </c>
      <c r="I330" s="62" t="str">
        <f t="shared" si="40"/>
        <v/>
      </c>
      <c r="J330" s="62" t="str">
        <f t="shared" si="41"/>
        <v/>
      </c>
      <c r="K330" s="62" t="str">
        <f t="shared" si="42"/>
        <v/>
      </c>
      <c r="L330" s="62" t="str">
        <f t="shared" si="43"/>
        <v/>
      </c>
      <c r="M330" s="63" t="str">
        <f t="shared" si="44"/>
        <v/>
      </c>
      <c r="N330" s="64"/>
    </row>
    <row r="331" spans="1:14" x14ac:dyDescent="0.3">
      <c r="A331" s="58" t="str">
        <f>IF([1]weekly_demand!A332="","",[1]weekly_demand!A332)</f>
        <v/>
      </c>
      <c r="B331" s="59" t="str">
        <f>IF($A331="","",[1]weekly_demand!F332)</f>
        <v/>
      </c>
      <c r="C331" s="60" t="str">
        <f>IF($A331="","",[1]weekly_demand!H332)</f>
        <v/>
      </c>
      <c r="D331" s="61" t="str">
        <f>IF($A331="","",IF(SUMIFS([1]Fixture_Capacity_Input!$C:$C,[1]Fixture_Capacity_Input!$A:$A,$B331,[1]Fixture_Capacity_Input!$B:$B,$C331)&gt;0,SUMIFS([1]Fixture_Capacity_Input!$C:$C,[1]Fixture_Capacity_Input!$A:$A,$B331,[1]Fixture_Capacity_Input!$B:$B,$C331),[1]weekly_demand!G332))</f>
        <v/>
      </c>
      <c r="E331" s="62" t="str">
        <f>IF($A331="","",[1]weekly_demand!I332)</f>
        <v/>
      </c>
      <c r="F331" s="61" t="str">
        <f>IF($A331="","",IF($A331&lt;&gt;$A330,IFERROR(INDEX([1]FG_Begin_Inventory!$B:$B,MATCH($A331,[1]FG_Begin_Inventory!$A:$A,0)),0),J330))</f>
        <v/>
      </c>
      <c r="G331" s="61" t="str">
        <f t="shared" si="38"/>
        <v/>
      </c>
      <c r="H331" s="62" t="str">
        <f t="shared" si="39"/>
        <v/>
      </c>
      <c r="I331" s="62" t="str">
        <f t="shared" si="40"/>
        <v/>
      </c>
      <c r="J331" s="62" t="str">
        <f t="shared" si="41"/>
        <v/>
      </c>
      <c r="K331" s="62" t="str">
        <f t="shared" si="42"/>
        <v/>
      </c>
      <c r="L331" s="62" t="str">
        <f t="shared" si="43"/>
        <v/>
      </c>
      <c r="M331" s="63" t="str">
        <f t="shared" si="44"/>
        <v/>
      </c>
      <c r="N331" s="64"/>
    </row>
    <row r="332" spans="1:14" x14ac:dyDescent="0.3">
      <c r="A332" s="58" t="str">
        <f>IF([1]weekly_demand!A333="","",[1]weekly_demand!A333)</f>
        <v/>
      </c>
      <c r="B332" s="59" t="str">
        <f>IF($A332="","",[1]weekly_demand!F333)</f>
        <v/>
      </c>
      <c r="C332" s="60" t="str">
        <f>IF($A332="","",[1]weekly_demand!H333)</f>
        <v/>
      </c>
      <c r="D332" s="61" t="str">
        <f>IF($A332="","",IF(SUMIFS([1]Fixture_Capacity_Input!$C:$C,[1]Fixture_Capacity_Input!$A:$A,$B332,[1]Fixture_Capacity_Input!$B:$B,$C332)&gt;0,SUMIFS([1]Fixture_Capacity_Input!$C:$C,[1]Fixture_Capacity_Input!$A:$A,$B332,[1]Fixture_Capacity_Input!$B:$B,$C332),[1]weekly_demand!G333))</f>
        <v/>
      </c>
      <c r="E332" s="62" t="str">
        <f>IF($A332="","",[1]weekly_demand!I333)</f>
        <v/>
      </c>
      <c r="F332" s="61" t="str">
        <f>IF($A332="","",IF($A332&lt;&gt;$A331,IFERROR(INDEX([1]FG_Begin_Inventory!$B:$B,MATCH($A332,[1]FG_Begin_Inventory!$A:$A,0)),0),J331))</f>
        <v/>
      </c>
      <c r="G332" s="61" t="str">
        <f t="shared" si="38"/>
        <v/>
      </c>
      <c r="H332" s="62" t="str">
        <f t="shared" si="39"/>
        <v/>
      </c>
      <c r="I332" s="62" t="str">
        <f t="shared" si="40"/>
        <v/>
      </c>
      <c r="J332" s="62" t="str">
        <f t="shared" si="41"/>
        <v/>
      </c>
      <c r="K332" s="62" t="str">
        <f t="shared" si="42"/>
        <v/>
      </c>
      <c r="L332" s="62" t="str">
        <f t="shared" si="43"/>
        <v/>
      </c>
      <c r="M332" s="63" t="str">
        <f t="shared" si="44"/>
        <v/>
      </c>
      <c r="N332" s="64"/>
    </row>
    <row r="333" spans="1:14" x14ac:dyDescent="0.3">
      <c r="A333" s="58" t="str">
        <f>IF([1]weekly_demand!A334="","",[1]weekly_demand!A334)</f>
        <v/>
      </c>
      <c r="B333" s="59" t="str">
        <f>IF($A333="","",[1]weekly_demand!F334)</f>
        <v/>
      </c>
      <c r="C333" s="60" t="str">
        <f>IF($A333="","",[1]weekly_demand!H334)</f>
        <v/>
      </c>
      <c r="D333" s="61" t="str">
        <f>IF($A333="","",IF(SUMIFS([1]Fixture_Capacity_Input!$C:$C,[1]Fixture_Capacity_Input!$A:$A,$B333,[1]Fixture_Capacity_Input!$B:$B,$C333)&gt;0,SUMIFS([1]Fixture_Capacity_Input!$C:$C,[1]Fixture_Capacity_Input!$A:$A,$B333,[1]Fixture_Capacity_Input!$B:$B,$C333),[1]weekly_demand!G334))</f>
        <v/>
      </c>
      <c r="E333" s="62" t="str">
        <f>IF($A333="","",[1]weekly_demand!I334)</f>
        <v/>
      </c>
      <c r="F333" s="61" t="str">
        <f>IF($A333="","",IF($A333&lt;&gt;$A332,IFERROR(INDEX([1]FG_Begin_Inventory!$B:$B,MATCH($A333,[1]FG_Begin_Inventory!$A:$A,0)),0),J332))</f>
        <v/>
      </c>
      <c r="G333" s="61" t="str">
        <f t="shared" si="38"/>
        <v/>
      </c>
      <c r="H333" s="62" t="str">
        <f t="shared" si="39"/>
        <v/>
      </c>
      <c r="I333" s="62" t="str">
        <f t="shared" si="40"/>
        <v/>
      </c>
      <c r="J333" s="62" t="str">
        <f t="shared" si="41"/>
        <v/>
      </c>
      <c r="K333" s="62" t="str">
        <f t="shared" si="42"/>
        <v/>
      </c>
      <c r="L333" s="62" t="str">
        <f t="shared" si="43"/>
        <v/>
      </c>
      <c r="M333" s="63" t="str">
        <f t="shared" si="44"/>
        <v/>
      </c>
      <c r="N333" s="64"/>
    </row>
    <row r="334" spans="1:14" x14ac:dyDescent="0.3">
      <c r="A334" s="58" t="str">
        <f>IF([1]weekly_demand!A335="","",[1]weekly_demand!A335)</f>
        <v/>
      </c>
      <c r="B334" s="59" t="str">
        <f>IF($A334="","",[1]weekly_demand!F335)</f>
        <v/>
      </c>
      <c r="C334" s="60" t="str">
        <f>IF($A334="","",[1]weekly_demand!H335)</f>
        <v/>
      </c>
      <c r="D334" s="61" t="str">
        <f>IF($A334="","",IF(SUMIFS([1]Fixture_Capacity_Input!$C:$C,[1]Fixture_Capacity_Input!$A:$A,$B334,[1]Fixture_Capacity_Input!$B:$B,$C334)&gt;0,SUMIFS([1]Fixture_Capacity_Input!$C:$C,[1]Fixture_Capacity_Input!$A:$A,$B334,[1]Fixture_Capacity_Input!$B:$B,$C334),[1]weekly_demand!G335))</f>
        <v/>
      </c>
      <c r="E334" s="62" t="str">
        <f>IF($A334="","",[1]weekly_demand!I335)</f>
        <v/>
      </c>
      <c r="F334" s="61" t="str">
        <f>IF($A334="","",IF($A334&lt;&gt;$A333,IFERROR(INDEX([1]FG_Begin_Inventory!$B:$B,MATCH($A334,[1]FG_Begin_Inventory!$A:$A,0)),0),J333))</f>
        <v/>
      </c>
      <c r="G334" s="61" t="str">
        <f t="shared" si="38"/>
        <v/>
      </c>
      <c r="H334" s="62" t="str">
        <f t="shared" si="39"/>
        <v/>
      </c>
      <c r="I334" s="62" t="str">
        <f t="shared" si="40"/>
        <v/>
      </c>
      <c r="J334" s="62" t="str">
        <f t="shared" si="41"/>
        <v/>
      </c>
      <c r="K334" s="62" t="str">
        <f t="shared" si="42"/>
        <v/>
      </c>
      <c r="L334" s="62" t="str">
        <f t="shared" si="43"/>
        <v/>
      </c>
      <c r="M334" s="63" t="str">
        <f t="shared" si="44"/>
        <v/>
      </c>
      <c r="N334" s="64"/>
    </row>
    <row r="335" spans="1:14" x14ac:dyDescent="0.3">
      <c r="A335" s="58" t="str">
        <f>IF([1]weekly_demand!A336="","",[1]weekly_demand!A336)</f>
        <v/>
      </c>
      <c r="B335" s="59" t="str">
        <f>IF($A335="","",[1]weekly_demand!F336)</f>
        <v/>
      </c>
      <c r="C335" s="60" t="str">
        <f>IF($A335="","",[1]weekly_demand!H336)</f>
        <v/>
      </c>
      <c r="D335" s="61" t="str">
        <f>IF($A335="","",IF(SUMIFS([1]Fixture_Capacity_Input!$C:$C,[1]Fixture_Capacity_Input!$A:$A,$B335,[1]Fixture_Capacity_Input!$B:$B,$C335)&gt;0,SUMIFS([1]Fixture_Capacity_Input!$C:$C,[1]Fixture_Capacity_Input!$A:$A,$B335,[1]Fixture_Capacity_Input!$B:$B,$C335),[1]weekly_demand!G336))</f>
        <v/>
      </c>
      <c r="E335" s="62" t="str">
        <f>IF($A335="","",[1]weekly_demand!I336)</f>
        <v/>
      </c>
      <c r="F335" s="61" t="str">
        <f>IF($A335="","",IF($A335&lt;&gt;$A334,IFERROR(INDEX([1]FG_Begin_Inventory!$B:$B,MATCH($A335,[1]FG_Begin_Inventory!$A:$A,0)),0),J334))</f>
        <v/>
      </c>
      <c r="G335" s="61" t="str">
        <f t="shared" si="38"/>
        <v/>
      </c>
      <c r="H335" s="62" t="str">
        <f t="shared" si="39"/>
        <v/>
      </c>
      <c r="I335" s="62" t="str">
        <f t="shared" si="40"/>
        <v/>
      </c>
      <c r="J335" s="62" t="str">
        <f t="shared" si="41"/>
        <v/>
      </c>
      <c r="K335" s="62" t="str">
        <f t="shared" si="42"/>
        <v/>
      </c>
      <c r="L335" s="62" t="str">
        <f t="shared" si="43"/>
        <v/>
      </c>
      <c r="M335" s="63" t="str">
        <f t="shared" si="44"/>
        <v/>
      </c>
      <c r="N335" s="64"/>
    </row>
    <row r="336" spans="1:14" x14ac:dyDescent="0.3">
      <c r="A336" s="58" t="str">
        <f>IF([1]weekly_demand!A337="","",[1]weekly_demand!A337)</f>
        <v/>
      </c>
      <c r="B336" s="59" t="str">
        <f>IF($A336="","",[1]weekly_demand!F337)</f>
        <v/>
      </c>
      <c r="C336" s="60" t="str">
        <f>IF($A336="","",[1]weekly_demand!H337)</f>
        <v/>
      </c>
      <c r="D336" s="61" t="str">
        <f>IF($A336="","",IF(SUMIFS([1]Fixture_Capacity_Input!$C:$C,[1]Fixture_Capacity_Input!$A:$A,$B336,[1]Fixture_Capacity_Input!$B:$B,$C336)&gt;0,SUMIFS([1]Fixture_Capacity_Input!$C:$C,[1]Fixture_Capacity_Input!$A:$A,$B336,[1]Fixture_Capacity_Input!$B:$B,$C336),[1]weekly_demand!G337))</f>
        <v/>
      </c>
      <c r="E336" s="62" t="str">
        <f>IF($A336="","",[1]weekly_demand!I337)</f>
        <v/>
      </c>
      <c r="F336" s="61" t="str">
        <f>IF($A336="","",IF($A336&lt;&gt;$A335,IFERROR(INDEX([1]FG_Begin_Inventory!$B:$B,MATCH($A336,[1]FG_Begin_Inventory!$A:$A,0)),0),J335))</f>
        <v/>
      </c>
      <c r="G336" s="61" t="str">
        <f t="shared" si="38"/>
        <v/>
      </c>
      <c r="H336" s="62" t="str">
        <f t="shared" si="39"/>
        <v/>
      </c>
      <c r="I336" s="62" t="str">
        <f t="shared" si="40"/>
        <v/>
      </c>
      <c r="J336" s="62" t="str">
        <f t="shared" si="41"/>
        <v/>
      </c>
      <c r="K336" s="62" t="str">
        <f t="shared" si="42"/>
        <v/>
      </c>
      <c r="L336" s="62" t="str">
        <f t="shared" si="43"/>
        <v/>
      </c>
      <c r="M336" s="63" t="str">
        <f t="shared" si="44"/>
        <v/>
      </c>
      <c r="N336" s="64"/>
    </row>
    <row r="337" spans="1:14" x14ac:dyDescent="0.3">
      <c r="A337" s="58" t="str">
        <f>IF([1]weekly_demand!A338="","",[1]weekly_demand!A338)</f>
        <v/>
      </c>
      <c r="B337" s="59" t="str">
        <f>IF($A337="","",[1]weekly_demand!F338)</f>
        <v/>
      </c>
      <c r="C337" s="60" t="str">
        <f>IF($A337="","",[1]weekly_demand!H338)</f>
        <v/>
      </c>
      <c r="D337" s="61" t="str">
        <f>IF($A337="","",IF(SUMIFS([1]Fixture_Capacity_Input!$C:$C,[1]Fixture_Capacity_Input!$A:$A,$B337,[1]Fixture_Capacity_Input!$B:$B,$C337)&gt;0,SUMIFS([1]Fixture_Capacity_Input!$C:$C,[1]Fixture_Capacity_Input!$A:$A,$B337,[1]Fixture_Capacity_Input!$B:$B,$C337),[1]weekly_demand!G338))</f>
        <v/>
      </c>
      <c r="E337" s="62" t="str">
        <f>IF($A337="","",[1]weekly_demand!I338)</f>
        <v/>
      </c>
      <c r="F337" s="61" t="str">
        <f>IF($A337="","",IF($A337&lt;&gt;$A336,IFERROR(INDEX([1]FG_Begin_Inventory!$B:$B,MATCH($A337,[1]FG_Begin_Inventory!$A:$A,0)),0),J336))</f>
        <v/>
      </c>
      <c r="G337" s="61" t="str">
        <f t="shared" si="38"/>
        <v/>
      </c>
      <c r="H337" s="62" t="str">
        <f t="shared" si="39"/>
        <v/>
      </c>
      <c r="I337" s="62" t="str">
        <f t="shared" si="40"/>
        <v/>
      </c>
      <c r="J337" s="62" t="str">
        <f t="shared" si="41"/>
        <v/>
      </c>
      <c r="K337" s="62" t="str">
        <f t="shared" si="42"/>
        <v/>
      </c>
      <c r="L337" s="62" t="str">
        <f t="shared" si="43"/>
        <v/>
      </c>
      <c r="M337" s="63" t="str">
        <f t="shared" si="44"/>
        <v/>
      </c>
      <c r="N337" s="64"/>
    </row>
    <row r="338" spans="1:14" x14ac:dyDescent="0.3">
      <c r="A338" s="58" t="str">
        <f>IF([1]weekly_demand!A339="","",[1]weekly_demand!A339)</f>
        <v/>
      </c>
      <c r="B338" s="59" t="str">
        <f>IF($A338="","",[1]weekly_demand!F339)</f>
        <v/>
      </c>
      <c r="C338" s="60" t="str">
        <f>IF($A338="","",[1]weekly_demand!H339)</f>
        <v/>
      </c>
      <c r="D338" s="61" t="str">
        <f>IF($A338="","",IF(SUMIFS([1]Fixture_Capacity_Input!$C:$C,[1]Fixture_Capacity_Input!$A:$A,$B338,[1]Fixture_Capacity_Input!$B:$B,$C338)&gt;0,SUMIFS([1]Fixture_Capacity_Input!$C:$C,[1]Fixture_Capacity_Input!$A:$A,$B338,[1]Fixture_Capacity_Input!$B:$B,$C338),[1]weekly_demand!G339))</f>
        <v/>
      </c>
      <c r="E338" s="62" t="str">
        <f>IF($A338="","",[1]weekly_demand!I339)</f>
        <v/>
      </c>
      <c r="F338" s="61" t="str">
        <f>IF($A338="","",IF($A338&lt;&gt;$A337,IFERROR(INDEX([1]FG_Begin_Inventory!$B:$B,MATCH($A338,[1]FG_Begin_Inventory!$A:$A,0)),0),J337))</f>
        <v/>
      </c>
      <c r="G338" s="61" t="str">
        <f t="shared" si="38"/>
        <v/>
      </c>
      <c r="H338" s="62" t="str">
        <f t="shared" si="39"/>
        <v/>
      </c>
      <c r="I338" s="62" t="str">
        <f t="shared" si="40"/>
        <v/>
      </c>
      <c r="J338" s="62" t="str">
        <f t="shared" si="41"/>
        <v/>
      </c>
      <c r="K338" s="62" t="str">
        <f t="shared" si="42"/>
        <v/>
      </c>
      <c r="L338" s="62" t="str">
        <f t="shared" si="43"/>
        <v/>
      </c>
      <c r="M338" s="63" t="str">
        <f t="shared" si="44"/>
        <v/>
      </c>
      <c r="N338" s="64"/>
    </row>
    <row r="339" spans="1:14" x14ac:dyDescent="0.3">
      <c r="A339" s="58" t="str">
        <f>IF([1]weekly_demand!A340="","",[1]weekly_demand!A340)</f>
        <v/>
      </c>
      <c r="B339" s="59" t="str">
        <f>IF($A339="","",[1]weekly_demand!F340)</f>
        <v/>
      </c>
      <c r="C339" s="60" t="str">
        <f>IF($A339="","",[1]weekly_demand!H340)</f>
        <v/>
      </c>
      <c r="D339" s="61" t="str">
        <f>IF($A339="","",IF(SUMIFS([1]Fixture_Capacity_Input!$C:$C,[1]Fixture_Capacity_Input!$A:$A,$B339,[1]Fixture_Capacity_Input!$B:$B,$C339)&gt;0,SUMIFS([1]Fixture_Capacity_Input!$C:$C,[1]Fixture_Capacity_Input!$A:$A,$B339,[1]Fixture_Capacity_Input!$B:$B,$C339),[1]weekly_demand!G340))</f>
        <v/>
      </c>
      <c r="E339" s="62" t="str">
        <f>IF($A339="","",[1]weekly_demand!I340)</f>
        <v/>
      </c>
      <c r="F339" s="61" t="str">
        <f>IF($A339="","",IF($A339&lt;&gt;$A338,IFERROR(INDEX([1]FG_Begin_Inventory!$B:$B,MATCH($A339,[1]FG_Begin_Inventory!$A:$A,0)),0),J338))</f>
        <v/>
      </c>
      <c r="G339" s="61" t="str">
        <f t="shared" si="38"/>
        <v/>
      </c>
      <c r="H339" s="62" t="str">
        <f t="shared" si="39"/>
        <v/>
      </c>
      <c r="I339" s="62" t="str">
        <f t="shared" si="40"/>
        <v/>
      </c>
      <c r="J339" s="62" t="str">
        <f t="shared" si="41"/>
        <v/>
      </c>
      <c r="K339" s="62" t="str">
        <f t="shared" si="42"/>
        <v/>
      </c>
      <c r="L339" s="62" t="str">
        <f t="shared" si="43"/>
        <v/>
      </c>
      <c r="M339" s="63" t="str">
        <f t="shared" si="44"/>
        <v/>
      </c>
      <c r="N339" s="64"/>
    </row>
    <row r="340" spans="1:14" x14ac:dyDescent="0.3">
      <c r="A340" s="58" t="str">
        <f>IF([1]weekly_demand!A341="","",[1]weekly_demand!A341)</f>
        <v/>
      </c>
      <c r="B340" s="59" t="str">
        <f>IF($A340="","",[1]weekly_demand!F341)</f>
        <v/>
      </c>
      <c r="C340" s="60" t="str">
        <f>IF($A340="","",[1]weekly_demand!H341)</f>
        <v/>
      </c>
      <c r="D340" s="61" t="str">
        <f>IF($A340="","",IF(SUMIFS([1]Fixture_Capacity_Input!$C:$C,[1]Fixture_Capacity_Input!$A:$A,$B340,[1]Fixture_Capacity_Input!$B:$B,$C340)&gt;0,SUMIFS([1]Fixture_Capacity_Input!$C:$C,[1]Fixture_Capacity_Input!$A:$A,$B340,[1]Fixture_Capacity_Input!$B:$B,$C340),[1]weekly_demand!G341))</f>
        <v/>
      </c>
      <c r="E340" s="62" t="str">
        <f>IF($A340="","",[1]weekly_demand!I341)</f>
        <v/>
      </c>
      <c r="F340" s="61" t="str">
        <f>IF($A340="","",IF($A340&lt;&gt;$A339,IFERROR(INDEX([1]FG_Begin_Inventory!$B:$B,MATCH($A340,[1]FG_Begin_Inventory!$A:$A,0)),0),J339))</f>
        <v/>
      </c>
      <c r="G340" s="61" t="str">
        <f t="shared" si="38"/>
        <v/>
      </c>
      <c r="H340" s="62" t="str">
        <f t="shared" si="39"/>
        <v/>
      </c>
      <c r="I340" s="62" t="str">
        <f t="shared" si="40"/>
        <v/>
      </c>
      <c r="J340" s="62" t="str">
        <f t="shared" si="41"/>
        <v/>
      </c>
      <c r="K340" s="62" t="str">
        <f t="shared" si="42"/>
        <v/>
      </c>
      <c r="L340" s="62" t="str">
        <f t="shared" si="43"/>
        <v/>
      </c>
      <c r="M340" s="63" t="str">
        <f t="shared" si="44"/>
        <v/>
      </c>
      <c r="N340" s="64"/>
    </row>
    <row r="341" spans="1:14" x14ac:dyDescent="0.3">
      <c r="A341" s="58" t="str">
        <f>IF([1]weekly_demand!A342="","",[1]weekly_demand!A342)</f>
        <v/>
      </c>
      <c r="B341" s="59" t="str">
        <f>IF($A341="","",[1]weekly_demand!F342)</f>
        <v/>
      </c>
      <c r="C341" s="60" t="str">
        <f>IF($A341="","",[1]weekly_demand!H342)</f>
        <v/>
      </c>
      <c r="D341" s="61" t="str">
        <f>IF($A341="","",IF(SUMIFS([1]Fixture_Capacity_Input!$C:$C,[1]Fixture_Capacity_Input!$A:$A,$B341,[1]Fixture_Capacity_Input!$B:$B,$C341)&gt;0,SUMIFS([1]Fixture_Capacity_Input!$C:$C,[1]Fixture_Capacity_Input!$A:$A,$B341,[1]Fixture_Capacity_Input!$B:$B,$C341),[1]weekly_demand!G342))</f>
        <v/>
      </c>
      <c r="E341" s="62" t="str">
        <f>IF($A341="","",[1]weekly_demand!I342)</f>
        <v/>
      </c>
      <c r="F341" s="61" t="str">
        <f>IF($A341="","",IF($A341&lt;&gt;$A340,IFERROR(INDEX([1]FG_Begin_Inventory!$B:$B,MATCH($A341,[1]FG_Begin_Inventory!$A:$A,0)),0),J340))</f>
        <v/>
      </c>
      <c r="G341" s="61" t="str">
        <f t="shared" si="38"/>
        <v/>
      </c>
      <c r="H341" s="62" t="str">
        <f t="shared" si="39"/>
        <v/>
      </c>
      <c r="I341" s="62" t="str">
        <f t="shared" si="40"/>
        <v/>
      </c>
      <c r="J341" s="62" t="str">
        <f t="shared" si="41"/>
        <v/>
      </c>
      <c r="K341" s="62" t="str">
        <f t="shared" si="42"/>
        <v/>
      </c>
      <c r="L341" s="62" t="str">
        <f t="shared" si="43"/>
        <v/>
      </c>
      <c r="M341" s="63" t="str">
        <f t="shared" si="44"/>
        <v/>
      </c>
      <c r="N341" s="64"/>
    </row>
    <row r="342" spans="1:14" x14ac:dyDescent="0.3">
      <c r="A342" s="58" t="str">
        <f>IF([1]weekly_demand!A343="","",[1]weekly_demand!A343)</f>
        <v/>
      </c>
      <c r="B342" s="59" t="str">
        <f>IF($A342="","",[1]weekly_demand!F343)</f>
        <v/>
      </c>
      <c r="C342" s="60" t="str">
        <f>IF($A342="","",[1]weekly_demand!H343)</f>
        <v/>
      </c>
      <c r="D342" s="61" t="str">
        <f>IF($A342="","",IF(SUMIFS([1]Fixture_Capacity_Input!$C:$C,[1]Fixture_Capacity_Input!$A:$A,$B342,[1]Fixture_Capacity_Input!$B:$B,$C342)&gt;0,SUMIFS([1]Fixture_Capacity_Input!$C:$C,[1]Fixture_Capacity_Input!$A:$A,$B342,[1]Fixture_Capacity_Input!$B:$B,$C342),[1]weekly_demand!G343))</f>
        <v/>
      </c>
      <c r="E342" s="62" t="str">
        <f>IF($A342="","",[1]weekly_demand!I343)</f>
        <v/>
      </c>
      <c r="F342" s="61" t="str">
        <f>IF($A342="","",IF($A342&lt;&gt;$A341,IFERROR(INDEX([1]FG_Begin_Inventory!$B:$B,MATCH($A342,[1]FG_Begin_Inventory!$A:$A,0)),0),J341))</f>
        <v/>
      </c>
      <c r="G342" s="61" t="str">
        <f t="shared" si="38"/>
        <v/>
      </c>
      <c r="H342" s="62" t="str">
        <f t="shared" si="39"/>
        <v/>
      </c>
      <c r="I342" s="62" t="str">
        <f t="shared" si="40"/>
        <v/>
      </c>
      <c r="J342" s="62" t="str">
        <f t="shared" si="41"/>
        <v/>
      </c>
      <c r="K342" s="62" t="str">
        <f t="shared" si="42"/>
        <v/>
      </c>
      <c r="L342" s="62" t="str">
        <f t="shared" si="43"/>
        <v/>
      </c>
      <c r="M342" s="63" t="str">
        <f t="shared" si="44"/>
        <v/>
      </c>
      <c r="N342" s="64"/>
    </row>
    <row r="343" spans="1:14" x14ac:dyDescent="0.3">
      <c r="A343" s="58" t="str">
        <f>IF([1]weekly_demand!A344="","",[1]weekly_demand!A344)</f>
        <v/>
      </c>
      <c r="B343" s="59" t="str">
        <f>IF($A343="","",[1]weekly_demand!F344)</f>
        <v/>
      </c>
      <c r="C343" s="60" t="str">
        <f>IF($A343="","",[1]weekly_demand!H344)</f>
        <v/>
      </c>
      <c r="D343" s="61" t="str">
        <f>IF($A343="","",IF(SUMIFS([1]Fixture_Capacity_Input!$C:$C,[1]Fixture_Capacity_Input!$A:$A,$B343,[1]Fixture_Capacity_Input!$B:$B,$C343)&gt;0,SUMIFS([1]Fixture_Capacity_Input!$C:$C,[1]Fixture_Capacity_Input!$A:$A,$B343,[1]Fixture_Capacity_Input!$B:$B,$C343),[1]weekly_demand!G344))</f>
        <v/>
      </c>
      <c r="E343" s="62" t="str">
        <f>IF($A343="","",[1]weekly_demand!I344)</f>
        <v/>
      </c>
      <c r="F343" s="61" t="str">
        <f>IF($A343="","",IF($A343&lt;&gt;$A342,IFERROR(INDEX([1]FG_Begin_Inventory!$B:$B,MATCH($A343,[1]FG_Begin_Inventory!$A:$A,0)),0),J342))</f>
        <v/>
      </c>
      <c r="G343" s="61" t="str">
        <f t="shared" si="38"/>
        <v/>
      </c>
      <c r="H343" s="62" t="str">
        <f t="shared" si="39"/>
        <v/>
      </c>
      <c r="I343" s="62" t="str">
        <f t="shared" si="40"/>
        <v/>
      </c>
      <c r="J343" s="62" t="str">
        <f t="shared" si="41"/>
        <v/>
      </c>
      <c r="K343" s="62" t="str">
        <f t="shared" si="42"/>
        <v/>
      </c>
      <c r="L343" s="62" t="str">
        <f t="shared" si="43"/>
        <v/>
      </c>
      <c r="M343" s="63" t="str">
        <f t="shared" si="44"/>
        <v/>
      </c>
      <c r="N343" s="64"/>
    </row>
    <row r="344" spans="1:14" x14ac:dyDescent="0.3">
      <c r="A344" s="58" t="str">
        <f>IF([1]weekly_demand!A345="","",[1]weekly_demand!A345)</f>
        <v/>
      </c>
      <c r="B344" s="59" t="str">
        <f>IF($A344="","",[1]weekly_demand!F345)</f>
        <v/>
      </c>
      <c r="C344" s="60" t="str">
        <f>IF($A344="","",[1]weekly_demand!H345)</f>
        <v/>
      </c>
      <c r="D344" s="61" t="str">
        <f>IF($A344="","",IF(SUMIFS([1]Fixture_Capacity_Input!$C:$C,[1]Fixture_Capacity_Input!$A:$A,$B344,[1]Fixture_Capacity_Input!$B:$B,$C344)&gt;0,SUMIFS([1]Fixture_Capacity_Input!$C:$C,[1]Fixture_Capacity_Input!$A:$A,$B344,[1]Fixture_Capacity_Input!$B:$B,$C344),[1]weekly_demand!G345))</f>
        <v/>
      </c>
      <c r="E344" s="62" t="str">
        <f>IF($A344="","",[1]weekly_demand!I345)</f>
        <v/>
      </c>
      <c r="F344" s="61" t="str">
        <f>IF($A344="","",IF($A344&lt;&gt;$A343,IFERROR(INDEX([1]FG_Begin_Inventory!$B:$B,MATCH($A344,[1]FG_Begin_Inventory!$A:$A,0)),0),J343))</f>
        <v/>
      </c>
      <c r="G344" s="61" t="str">
        <f t="shared" si="38"/>
        <v/>
      </c>
      <c r="H344" s="62" t="str">
        <f t="shared" si="39"/>
        <v/>
      </c>
      <c r="I344" s="62" t="str">
        <f t="shared" si="40"/>
        <v/>
      </c>
      <c r="J344" s="62" t="str">
        <f t="shared" si="41"/>
        <v/>
      </c>
      <c r="K344" s="62" t="str">
        <f t="shared" si="42"/>
        <v/>
      </c>
      <c r="L344" s="62" t="str">
        <f t="shared" si="43"/>
        <v/>
      </c>
      <c r="M344" s="63" t="str">
        <f t="shared" si="44"/>
        <v/>
      </c>
      <c r="N344" s="64"/>
    </row>
    <row r="345" spans="1:14" x14ac:dyDescent="0.3">
      <c r="A345" s="58" t="str">
        <f>IF([1]weekly_demand!A346="","",[1]weekly_demand!A346)</f>
        <v/>
      </c>
      <c r="B345" s="59" t="str">
        <f>IF($A345="","",[1]weekly_demand!F346)</f>
        <v/>
      </c>
      <c r="C345" s="60" t="str">
        <f>IF($A345="","",[1]weekly_demand!H346)</f>
        <v/>
      </c>
      <c r="D345" s="61" t="str">
        <f>IF($A345="","",IF(SUMIFS([1]Fixture_Capacity_Input!$C:$C,[1]Fixture_Capacity_Input!$A:$A,$B345,[1]Fixture_Capacity_Input!$B:$B,$C345)&gt;0,SUMIFS([1]Fixture_Capacity_Input!$C:$C,[1]Fixture_Capacity_Input!$A:$A,$B345,[1]Fixture_Capacity_Input!$B:$B,$C345),[1]weekly_demand!G346))</f>
        <v/>
      </c>
      <c r="E345" s="62" t="str">
        <f>IF($A345="","",[1]weekly_demand!I346)</f>
        <v/>
      </c>
      <c r="F345" s="61" t="str">
        <f>IF($A345="","",IF($A345&lt;&gt;$A344,IFERROR(INDEX([1]FG_Begin_Inventory!$B:$B,MATCH($A345,[1]FG_Begin_Inventory!$A:$A,0)),0),J344))</f>
        <v/>
      </c>
      <c r="G345" s="61" t="str">
        <f t="shared" si="38"/>
        <v/>
      </c>
      <c r="H345" s="62" t="str">
        <f t="shared" si="39"/>
        <v/>
      </c>
      <c r="I345" s="62" t="str">
        <f t="shared" si="40"/>
        <v/>
      </c>
      <c r="J345" s="62" t="str">
        <f t="shared" si="41"/>
        <v/>
      </c>
      <c r="K345" s="62" t="str">
        <f t="shared" si="42"/>
        <v/>
      </c>
      <c r="L345" s="62" t="str">
        <f t="shared" si="43"/>
        <v/>
      </c>
      <c r="M345" s="63" t="str">
        <f t="shared" si="44"/>
        <v/>
      </c>
      <c r="N345" s="64"/>
    </row>
    <row r="346" spans="1:14" x14ac:dyDescent="0.3">
      <c r="A346" s="58" t="str">
        <f>IF([1]weekly_demand!A347="","",[1]weekly_demand!A347)</f>
        <v/>
      </c>
      <c r="B346" s="59" t="str">
        <f>IF($A346="","",[1]weekly_demand!F347)</f>
        <v/>
      </c>
      <c r="C346" s="60" t="str">
        <f>IF($A346="","",[1]weekly_demand!H347)</f>
        <v/>
      </c>
      <c r="D346" s="61" t="str">
        <f>IF($A346="","",IF(SUMIFS([1]Fixture_Capacity_Input!$C:$C,[1]Fixture_Capacity_Input!$A:$A,$B346,[1]Fixture_Capacity_Input!$B:$B,$C346)&gt;0,SUMIFS([1]Fixture_Capacity_Input!$C:$C,[1]Fixture_Capacity_Input!$A:$A,$B346,[1]Fixture_Capacity_Input!$B:$B,$C346),[1]weekly_demand!G347))</f>
        <v/>
      </c>
      <c r="E346" s="62" t="str">
        <f>IF($A346="","",[1]weekly_demand!I347)</f>
        <v/>
      </c>
      <c r="F346" s="61" t="str">
        <f>IF($A346="","",IF($A346&lt;&gt;$A345,IFERROR(INDEX([1]FG_Begin_Inventory!$B:$B,MATCH($A346,[1]FG_Begin_Inventory!$A:$A,0)),0),J345))</f>
        <v/>
      </c>
      <c r="G346" s="61" t="str">
        <f t="shared" si="38"/>
        <v/>
      </c>
      <c r="H346" s="62" t="str">
        <f t="shared" si="39"/>
        <v/>
      </c>
      <c r="I346" s="62" t="str">
        <f t="shared" si="40"/>
        <v/>
      </c>
      <c r="J346" s="62" t="str">
        <f t="shared" si="41"/>
        <v/>
      </c>
      <c r="K346" s="62" t="str">
        <f t="shared" si="42"/>
        <v/>
      </c>
      <c r="L346" s="62" t="str">
        <f t="shared" si="43"/>
        <v/>
      </c>
      <c r="M346" s="63" t="str">
        <f t="shared" si="44"/>
        <v/>
      </c>
      <c r="N346" s="64"/>
    </row>
    <row r="347" spans="1:14" x14ac:dyDescent="0.3">
      <c r="A347" s="58" t="str">
        <f>IF([1]weekly_demand!A348="","",[1]weekly_demand!A348)</f>
        <v/>
      </c>
      <c r="B347" s="59" t="str">
        <f>IF($A347="","",[1]weekly_demand!F348)</f>
        <v/>
      </c>
      <c r="C347" s="60" t="str">
        <f>IF($A347="","",[1]weekly_demand!H348)</f>
        <v/>
      </c>
      <c r="D347" s="61" t="str">
        <f>IF($A347="","",IF(SUMIFS([1]Fixture_Capacity_Input!$C:$C,[1]Fixture_Capacity_Input!$A:$A,$B347,[1]Fixture_Capacity_Input!$B:$B,$C347)&gt;0,SUMIFS([1]Fixture_Capacity_Input!$C:$C,[1]Fixture_Capacity_Input!$A:$A,$B347,[1]Fixture_Capacity_Input!$B:$B,$C347),[1]weekly_demand!G348))</f>
        <v/>
      </c>
      <c r="E347" s="62" t="str">
        <f>IF($A347="","",[1]weekly_demand!I348)</f>
        <v/>
      </c>
      <c r="F347" s="61" t="str">
        <f>IF($A347="","",IF($A347&lt;&gt;$A346,IFERROR(INDEX([1]FG_Begin_Inventory!$B:$B,MATCH($A347,[1]FG_Begin_Inventory!$A:$A,0)),0),J346))</f>
        <v/>
      </c>
      <c r="G347" s="61" t="str">
        <f t="shared" si="38"/>
        <v/>
      </c>
      <c r="H347" s="62" t="str">
        <f t="shared" si="39"/>
        <v/>
      </c>
      <c r="I347" s="62" t="str">
        <f t="shared" si="40"/>
        <v/>
      </c>
      <c r="J347" s="62" t="str">
        <f t="shared" si="41"/>
        <v/>
      </c>
      <c r="K347" s="62" t="str">
        <f t="shared" si="42"/>
        <v/>
      </c>
      <c r="L347" s="62" t="str">
        <f t="shared" si="43"/>
        <v/>
      </c>
      <c r="M347" s="63" t="str">
        <f t="shared" si="44"/>
        <v/>
      </c>
      <c r="N347" s="64"/>
    </row>
    <row r="348" spans="1:14" x14ac:dyDescent="0.3">
      <c r="A348" s="58" t="str">
        <f>IF([1]weekly_demand!A349="","",[1]weekly_demand!A349)</f>
        <v/>
      </c>
      <c r="B348" s="59" t="str">
        <f>IF($A348="","",[1]weekly_demand!F349)</f>
        <v/>
      </c>
      <c r="C348" s="60" t="str">
        <f>IF($A348="","",[1]weekly_demand!H349)</f>
        <v/>
      </c>
      <c r="D348" s="61" t="str">
        <f>IF($A348="","",IF(SUMIFS([1]Fixture_Capacity_Input!$C:$C,[1]Fixture_Capacity_Input!$A:$A,$B348,[1]Fixture_Capacity_Input!$B:$B,$C348)&gt;0,SUMIFS([1]Fixture_Capacity_Input!$C:$C,[1]Fixture_Capacity_Input!$A:$A,$B348,[1]Fixture_Capacity_Input!$B:$B,$C348),[1]weekly_demand!G349))</f>
        <v/>
      </c>
      <c r="E348" s="62" t="str">
        <f>IF($A348="","",[1]weekly_demand!I349)</f>
        <v/>
      </c>
      <c r="F348" s="61" t="str">
        <f>IF($A348="","",IF($A348&lt;&gt;$A347,IFERROR(INDEX([1]FG_Begin_Inventory!$B:$B,MATCH($A348,[1]FG_Begin_Inventory!$A:$A,0)),0),J347))</f>
        <v/>
      </c>
      <c r="G348" s="61" t="str">
        <f t="shared" si="38"/>
        <v/>
      </c>
      <c r="H348" s="62" t="str">
        <f t="shared" si="39"/>
        <v/>
      </c>
      <c r="I348" s="62" t="str">
        <f t="shared" si="40"/>
        <v/>
      </c>
      <c r="J348" s="62" t="str">
        <f t="shared" si="41"/>
        <v/>
      </c>
      <c r="K348" s="62" t="str">
        <f t="shared" si="42"/>
        <v/>
      </c>
      <c r="L348" s="62" t="str">
        <f t="shared" si="43"/>
        <v/>
      </c>
      <c r="M348" s="63" t="str">
        <f t="shared" si="44"/>
        <v/>
      </c>
      <c r="N348" s="64"/>
    </row>
    <row r="349" spans="1:14" x14ac:dyDescent="0.3">
      <c r="A349" s="58" t="str">
        <f>IF([1]weekly_demand!A350="","",[1]weekly_demand!A350)</f>
        <v/>
      </c>
      <c r="B349" s="59" t="str">
        <f>IF($A349="","",[1]weekly_demand!F350)</f>
        <v/>
      </c>
      <c r="C349" s="60" t="str">
        <f>IF($A349="","",[1]weekly_demand!H350)</f>
        <v/>
      </c>
      <c r="D349" s="61" t="str">
        <f>IF($A349="","",IF(SUMIFS([1]Fixture_Capacity_Input!$C:$C,[1]Fixture_Capacity_Input!$A:$A,$B349,[1]Fixture_Capacity_Input!$B:$B,$C349)&gt;0,SUMIFS([1]Fixture_Capacity_Input!$C:$C,[1]Fixture_Capacity_Input!$A:$A,$B349,[1]Fixture_Capacity_Input!$B:$B,$C349),[1]weekly_demand!G350))</f>
        <v/>
      </c>
      <c r="E349" s="62" t="str">
        <f>IF($A349="","",[1]weekly_demand!I350)</f>
        <v/>
      </c>
      <c r="F349" s="61" t="str">
        <f>IF($A349="","",IF($A349&lt;&gt;$A348,IFERROR(INDEX([1]FG_Begin_Inventory!$B:$B,MATCH($A349,[1]FG_Begin_Inventory!$A:$A,0)),0),J348))</f>
        <v/>
      </c>
      <c r="G349" s="61" t="str">
        <f t="shared" si="38"/>
        <v/>
      </c>
      <c r="H349" s="62" t="str">
        <f t="shared" si="39"/>
        <v/>
      </c>
      <c r="I349" s="62" t="str">
        <f t="shared" si="40"/>
        <v/>
      </c>
      <c r="J349" s="62" t="str">
        <f t="shared" si="41"/>
        <v/>
      </c>
      <c r="K349" s="62" t="str">
        <f t="shared" si="42"/>
        <v/>
      </c>
      <c r="L349" s="62" t="str">
        <f t="shared" si="43"/>
        <v/>
      </c>
      <c r="M349" s="63" t="str">
        <f t="shared" si="44"/>
        <v/>
      </c>
      <c r="N349" s="64"/>
    </row>
    <row r="350" spans="1:14" x14ac:dyDescent="0.3">
      <c r="A350" s="58" t="str">
        <f>IF([1]weekly_demand!A351="","",[1]weekly_demand!A351)</f>
        <v/>
      </c>
      <c r="B350" s="59" t="str">
        <f>IF($A350="","",[1]weekly_demand!F351)</f>
        <v/>
      </c>
      <c r="C350" s="60" t="str">
        <f>IF($A350="","",[1]weekly_demand!H351)</f>
        <v/>
      </c>
      <c r="D350" s="61" t="str">
        <f>IF($A350="","",IF(SUMIFS([1]Fixture_Capacity_Input!$C:$C,[1]Fixture_Capacity_Input!$A:$A,$B350,[1]Fixture_Capacity_Input!$B:$B,$C350)&gt;0,SUMIFS([1]Fixture_Capacity_Input!$C:$C,[1]Fixture_Capacity_Input!$A:$A,$B350,[1]Fixture_Capacity_Input!$B:$B,$C350),[1]weekly_demand!G351))</f>
        <v/>
      </c>
      <c r="E350" s="62" t="str">
        <f>IF($A350="","",[1]weekly_demand!I351)</f>
        <v/>
      </c>
      <c r="F350" s="61" t="str">
        <f>IF($A350="","",IF($A350&lt;&gt;$A349,IFERROR(INDEX([1]FG_Begin_Inventory!$B:$B,MATCH($A350,[1]FG_Begin_Inventory!$A:$A,0)),0),J349))</f>
        <v/>
      </c>
      <c r="G350" s="61" t="str">
        <f t="shared" si="38"/>
        <v/>
      </c>
      <c r="H350" s="62" t="str">
        <f t="shared" si="39"/>
        <v/>
      </c>
      <c r="I350" s="62" t="str">
        <f t="shared" si="40"/>
        <v/>
      </c>
      <c r="J350" s="62" t="str">
        <f t="shared" si="41"/>
        <v/>
      </c>
      <c r="K350" s="62" t="str">
        <f t="shared" si="42"/>
        <v/>
      </c>
      <c r="L350" s="62" t="str">
        <f t="shared" si="43"/>
        <v/>
      </c>
      <c r="M350" s="63" t="str">
        <f t="shared" si="44"/>
        <v/>
      </c>
      <c r="N350" s="64"/>
    </row>
    <row r="351" spans="1:14" x14ac:dyDescent="0.3">
      <c r="A351" s="58" t="str">
        <f>IF([1]weekly_demand!A352="","",[1]weekly_demand!A352)</f>
        <v/>
      </c>
      <c r="B351" s="59" t="str">
        <f>IF($A351="","",[1]weekly_demand!F352)</f>
        <v/>
      </c>
      <c r="C351" s="60" t="str">
        <f>IF($A351="","",[1]weekly_demand!H352)</f>
        <v/>
      </c>
      <c r="D351" s="61" t="str">
        <f>IF($A351="","",IF(SUMIFS([1]Fixture_Capacity_Input!$C:$C,[1]Fixture_Capacity_Input!$A:$A,$B351,[1]Fixture_Capacity_Input!$B:$B,$C351)&gt;0,SUMIFS([1]Fixture_Capacity_Input!$C:$C,[1]Fixture_Capacity_Input!$A:$A,$B351,[1]Fixture_Capacity_Input!$B:$B,$C351),[1]weekly_demand!G352))</f>
        <v/>
      </c>
      <c r="E351" s="62" t="str">
        <f>IF($A351="","",[1]weekly_demand!I352)</f>
        <v/>
      </c>
      <c r="F351" s="61" t="str">
        <f>IF($A351="","",IF($A351&lt;&gt;$A350,IFERROR(INDEX([1]FG_Begin_Inventory!$B:$B,MATCH($A351,[1]FG_Begin_Inventory!$A:$A,0)),0),J350))</f>
        <v/>
      </c>
      <c r="G351" s="61" t="str">
        <f t="shared" si="38"/>
        <v/>
      </c>
      <c r="H351" s="62" t="str">
        <f t="shared" si="39"/>
        <v/>
      </c>
      <c r="I351" s="62" t="str">
        <f t="shared" si="40"/>
        <v/>
      </c>
      <c r="J351" s="62" t="str">
        <f t="shared" si="41"/>
        <v/>
      </c>
      <c r="K351" s="62" t="str">
        <f t="shared" si="42"/>
        <v/>
      </c>
      <c r="L351" s="62" t="str">
        <f t="shared" si="43"/>
        <v/>
      </c>
      <c r="M351" s="63" t="str">
        <f t="shared" si="44"/>
        <v/>
      </c>
      <c r="N351" s="64"/>
    </row>
    <row r="352" spans="1:14" x14ac:dyDescent="0.3">
      <c r="A352" s="58" t="str">
        <f>IF([1]weekly_demand!A353="","",[1]weekly_demand!A353)</f>
        <v/>
      </c>
      <c r="B352" s="59" t="str">
        <f>IF($A352="","",[1]weekly_demand!F353)</f>
        <v/>
      </c>
      <c r="C352" s="60" t="str">
        <f>IF($A352="","",[1]weekly_demand!H353)</f>
        <v/>
      </c>
      <c r="D352" s="61" t="str">
        <f>IF($A352="","",IF(SUMIFS([1]Fixture_Capacity_Input!$C:$C,[1]Fixture_Capacity_Input!$A:$A,$B352,[1]Fixture_Capacity_Input!$B:$B,$C352)&gt;0,SUMIFS([1]Fixture_Capacity_Input!$C:$C,[1]Fixture_Capacity_Input!$A:$A,$B352,[1]Fixture_Capacity_Input!$B:$B,$C352),[1]weekly_demand!G353))</f>
        <v/>
      </c>
      <c r="E352" s="62" t="str">
        <f>IF($A352="","",[1]weekly_demand!I353)</f>
        <v/>
      </c>
      <c r="F352" s="61" t="str">
        <f>IF($A352="","",IF($A352&lt;&gt;$A351,IFERROR(INDEX([1]FG_Begin_Inventory!$B:$B,MATCH($A352,[1]FG_Begin_Inventory!$A:$A,0)),0),J351))</f>
        <v/>
      </c>
      <c r="G352" s="61" t="str">
        <f t="shared" si="38"/>
        <v/>
      </c>
      <c r="H352" s="62" t="str">
        <f t="shared" si="39"/>
        <v/>
      </c>
      <c r="I352" s="62" t="str">
        <f t="shared" si="40"/>
        <v/>
      </c>
      <c r="J352" s="62" t="str">
        <f t="shared" si="41"/>
        <v/>
      </c>
      <c r="K352" s="62" t="str">
        <f t="shared" si="42"/>
        <v/>
      </c>
      <c r="L352" s="62" t="str">
        <f t="shared" si="43"/>
        <v/>
      </c>
      <c r="M352" s="63" t="str">
        <f t="shared" si="44"/>
        <v/>
      </c>
      <c r="N352" s="64"/>
    </row>
    <row r="353" spans="1:14" x14ac:dyDescent="0.3">
      <c r="A353" s="58" t="str">
        <f>IF([1]weekly_demand!A354="","",[1]weekly_demand!A354)</f>
        <v/>
      </c>
      <c r="B353" s="59" t="str">
        <f>IF($A353="","",[1]weekly_demand!F354)</f>
        <v/>
      </c>
      <c r="C353" s="60" t="str">
        <f>IF($A353="","",[1]weekly_demand!H354)</f>
        <v/>
      </c>
      <c r="D353" s="61" t="str">
        <f>IF($A353="","",IF(SUMIFS([1]Fixture_Capacity_Input!$C:$C,[1]Fixture_Capacity_Input!$A:$A,$B353,[1]Fixture_Capacity_Input!$B:$B,$C353)&gt;0,SUMIFS([1]Fixture_Capacity_Input!$C:$C,[1]Fixture_Capacity_Input!$A:$A,$B353,[1]Fixture_Capacity_Input!$B:$B,$C353),[1]weekly_demand!G354))</f>
        <v/>
      </c>
      <c r="E353" s="62" t="str">
        <f>IF($A353="","",[1]weekly_demand!I354)</f>
        <v/>
      </c>
      <c r="F353" s="61" t="str">
        <f>IF($A353="","",IF($A353&lt;&gt;$A352,IFERROR(INDEX([1]FG_Begin_Inventory!$B:$B,MATCH($A353,[1]FG_Begin_Inventory!$A:$A,0)),0),J352))</f>
        <v/>
      </c>
      <c r="G353" s="61" t="str">
        <f t="shared" si="38"/>
        <v/>
      </c>
      <c r="H353" s="62" t="str">
        <f t="shared" si="39"/>
        <v/>
      </c>
      <c r="I353" s="62" t="str">
        <f t="shared" si="40"/>
        <v/>
      </c>
      <c r="J353" s="62" t="str">
        <f t="shared" si="41"/>
        <v/>
      </c>
      <c r="K353" s="62" t="str">
        <f t="shared" si="42"/>
        <v/>
      </c>
      <c r="L353" s="62" t="str">
        <f t="shared" si="43"/>
        <v/>
      </c>
      <c r="M353" s="63" t="str">
        <f t="shared" si="44"/>
        <v/>
      </c>
      <c r="N353" s="64"/>
    </row>
    <row r="354" spans="1:14" x14ac:dyDescent="0.3">
      <c r="A354" s="58" t="str">
        <f>IF([1]weekly_demand!A355="","",[1]weekly_demand!A355)</f>
        <v/>
      </c>
      <c r="B354" s="59" t="str">
        <f>IF($A354="","",[1]weekly_demand!F355)</f>
        <v/>
      </c>
      <c r="C354" s="60" t="str">
        <f>IF($A354="","",[1]weekly_demand!H355)</f>
        <v/>
      </c>
      <c r="D354" s="61" t="str">
        <f>IF($A354="","",IF(SUMIFS([1]Fixture_Capacity_Input!$C:$C,[1]Fixture_Capacity_Input!$A:$A,$B354,[1]Fixture_Capacity_Input!$B:$B,$C354)&gt;0,SUMIFS([1]Fixture_Capacity_Input!$C:$C,[1]Fixture_Capacity_Input!$A:$A,$B354,[1]Fixture_Capacity_Input!$B:$B,$C354),[1]weekly_demand!G355))</f>
        <v/>
      </c>
      <c r="E354" s="62" t="str">
        <f>IF($A354="","",[1]weekly_demand!I355)</f>
        <v/>
      </c>
      <c r="F354" s="61" t="str">
        <f>IF($A354="","",IF($A354&lt;&gt;$A353,IFERROR(INDEX([1]FG_Begin_Inventory!$B:$B,MATCH($A354,[1]FG_Begin_Inventory!$A:$A,0)),0),J353))</f>
        <v/>
      </c>
      <c r="G354" s="61" t="str">
        <f t="shared" si="38"/>
        <v/>
      </c>
      <c r="H354" s="62" t="str">
        <f t="shared" si="39"/>
        <v/>
      </c>
      <c r="I354" s="62" t="str">
        <f t="shared" si="40"/>
        <v/>
      </c>
      <c r="J354" s="62" t="str">
        <f t="shared" si="41"/>
        <v/>
      </c>
      <c r="K354" s="62" t="str">
        <f t="shared" si="42"/>
        <v/>
      </c>
      <c r="L354" s="62" t="str">
        <f t="shared" si="43"/>
        <v/>
      </c>
      <c r="M354" s="63" t="str">
        <f t="shared" si="44"/>
        <v/>
      </c>
      <c r="N354" s="64"/>
    </row>
    <row r="355" spans="1:14" x14ac:dyDescent="0.3">
      <c r="A355" s="58" t="str">
        <f>IF([1]weekly_demand!A356="","",[1]weekly_demand!A356)</f>
        <v/>
      </c>
      <c r="B355" s="59" t="str">
        <f>IF($A355="","",[1]weekly_demand!F356)</f>
        <v/>
      </c>
      <c r="C355" s="60" t="str">
        <f>IF($A355="","",[1]weekly_demand!H356)</f>
        <v/>
      </c>
      <c r="D355" s="61" t="str">
        <f>IF($A355="","",IF(SUMIFS([1]Fixture_Capacity_Input!$C:$C,[1]Fixture_Capacity_Input!$A:$A,$B355,[1]Fixture_Capacity_Input!$B:$B,$C355)&gt;0,SUMIFS([1]Fixture_Capacity_Input!$C:$C,[1]Fixture_Capacity_Input!$A:$A,$B355,[1]Fixture_Capacity_Input!$B:$B,$C355),[1]weekly_demand!G356))</f>
        <v/>
      </c>
      <c r="E355" s="62" t="str">
        <f>IF($A355="","",[1]weekly_demand!I356)</f>
        <v/>
      </c>
      <c r="F355" s="61" t="str">
        <f>IF($A355="","",IF($A355&lt;&gt;$A354,IFERROR(INDEX([1]FG_Begin_Inventory!$B:$B,MATCH($A355,[1]FG_Begin_Inventory!$A:$A,0)),0),J354))</f>
        <v/>
      </c>
      <c r="G355" s="61" t="str">
        <f t="shared" si="38"/>
        <v/>
      </c>
      <c r="H355" s="62" t="str">
        <f t="shared" si="39"/>
        <v/>
      </c>
      <c r="I355" s="62" t="str">
        <f t="shared" si="40"/>
        <v/>
      </c>
      <c r="J355" s="62" t="str">
        <f t="shared" si="41"/>
        <v/>
      </c>
      <c r="K355" s="62" t="str">
        <f t="shared" si="42"/>
        <v/>
      </c>
      <c r="L355" s="62" t="str">
        <f t="shared" si="43"/>
        <v/>
      </c>
      <c r="M355" s="63" t="str">
        <f t="shared" si="44"/>
        <v/>
      </c>
      <c r="N355" s="64"/>
    </row>
    <row r="356" spans="1:14" x14ac:dyDescent="0.3">
      <c r="A356" s="58" t="str">
        <f>IF([1]weekly_demand!A357="","",[1]weekly_demand!A357)</f>
        <v/>
      </c>
      <c r="B356" s="59" t="str">
        <f>IF($A356="","",[1]weekly_demand!F357)</f>
        <v/>
      </c>
      <c r="C356" s="60" t="str">
        <f>IF($A356="","",[1]weekly_demand!H357)</f>
        <v/>
      </c>
      <c r="D356" s="61" t="str">
        <f>IF($A356="","",IF(SUMIFS([1]Fixture_Capacity_Input!$C:$C,[1]Fixture_Capacity_Input!$A:$A,$B356,[1]Fixture_Capacity_Input!$B:$B,$C356)&gt;0,SUMIFS([1]Fixture_Capacity_Input!$C:$C,[1]Fixture_Capacity_Input!$A:$A,$B356,[1]Fixture_Capacity_Input!$B:$B,$C356),[1]weekly_demand!G357))</f>
        <v/>
      </c>
      <c r="E356" s="62" t="str">
        <f>IF($A356="","",[1]weekly_demand!I357)</f>
        <v/>
      </c>
      <c r="F356" s="61" t="str">
        <f>IF($A356="","",IF($A356&lt;&gt;$A355,IFERROR(INDEX([1]FG_Begin_Inventory!$B:$B,MATCH($A356,[1]FG_Begin_Inventory!$A:$A,0)),0),J355))</f>
        <v/>
      </c>
      <c r="G356" s="61" t="str">
        <f t="shared" si="38"/>
        <v/>
      </c>
      <c r="H356" s="62" t="str">
        <f t="shared" si="39"/>
        <v/>
      </c>
      <c r="I356" s="62" t="str">
        <f t="shared" si="40"/>
        <v/>
      </c>
      <c r="J356" s="62" t="str">
        <f t="shared" si="41"/>
        <v/>
      </c>
      <c r="K356" s="62" t="str">
        <f t="shared" si="42"/>
        <v/>
      </c>
      <c r="L356" s="62" t="str">
        <f t="shared" si="43"/>
        <v/>
      </c>
      <c r="M356" s="63" t="str">
        <f t="shared" si="44"/>
        <v/>
      </c>
      <c r="N356" s="64"/>
    </row>
    <row r="357" spans="1:14" x14ac:dyDescent="0.3">
      <c r="A357" s="58" t="str">
        <f>IF([1]weekly_demand!A358="","",[1]weekly_demand!A358)</f>
        <v/>
      </c>
      <c r="B357" s="59" t="str">
        <f>IF($A357="","",[1]weekly_demand!F358)</f>
        <v/>
      </c>
      <c r="C357" s="60" t="str">
        <f>IF($A357="","",[1]weekly_demand!H358)</f>
        <v/>
      </c>
      <c r="D357" s="61" t="str">
        <f>IF($A357="","",IF(SUMIFS([1]Fixture_Capacity_Input!$C:$C,[1]Fixture_Capacity_Input!$A:$A,$B357,[1]Fixture_Capacity_Input!$B:$B,$C357)&gt;0,SUMIFS([1]Fixture_Capacity_Input!$C:$C,[1]Fixture_Capacity_Input!$A:$A,$B357,[1]Fixture_Capacity_Input!$B:$B,$C357),[1]weekly_demand!G358))</f>
        <v/>
      </c>
      <c r="E357" s="62" t="str">
        <f>IF($A357="","",[1]weekly_demand!I358)</f>
        <v/>
      </c>
      <c r="F357" s="61" t="str">
        <f>IF($A357="","",IF($A357&lt;&gt;$A356,IFERROR(INDEX([1]FG_Begin_Inventory!$B:$B,MATCH($A357,[1]FG_Begin_Inventory!$A:$A,0)),0),J356))</f>
        <v/>
      </c>
      <c r="G357" s="61" t="str">
        <f t="shared" si="38"/>
        <v/>
      </c>
      <c r="H357" s="62" t="str">
        <f t="shared" si="39"/>
        <v/>
      </c>
      <c r="I357" s="62" t="str">
        <f t="shared" si="40"/>
        <v/>
      </c>
      <c r="J357" s="62" t="str">
        <f t="shared" si="41"/>
        <v/>
      </c>
      <c r="K357" s="62" t="str">
        <f t="shared" si="42"/>
        <v/>
      </c>
      <c r="L357" s="62" t="str">
        <f t="shared" si="43"/>
        <v/>
      </c>
      <c r="M357" s="63" t="str">
        <f t="shared" si="44"/>
        <v/>
      </c>
      <c r="N357" s="64"/>
    </row>
    <row r="358" spans="1:14" x14ac:dyDescent="0.3">
      <c r="A358" s="58" t="str">
        <f>IF([1]weekly_demand!A359="","",[1]weekly_demand!A359)</f>
        <v/>
      </c>
      <c r="B358" s="59" t="str">
        <f>IF($A358="","",[1]weekly_demand!F359)</f>
        <v/>
      </c>
      <c r="C358" s="60" t="str">
        <f>IF($A358="","",[1]weekly_demand!H359)</f>
        <v/>
      </c>
      <c r="D358" s="61" t="str">
        <f>IF($A358="","",IF(SUMIFS([1]Fixture_Capacity_Input!$C:$C,[1]Fixture_Capacity_Input!$A:$A,$B358,[1]Fixture_Capacity_Input!$B:$B,$C358)&gt;0,SUMIFS([1]Fixture_Capacity_Input!$C:$C,[1]Fixture_Capacity_Input!$A:$A,$B358,[1]Fixture_Capacity_Input!$B:$B,$C358),[1]weekly_demand!G359))</f>
        <v/>
      </c>
      <c r="E358" s="62" t="str">
        <f>IF($A358="","",[1]weekly_demand!I359)</f>
        <v/>
      </c>
      <c r="F358" s="61" t="str">
        <f>IF($A358="","",IF($A358&lt;&gt;$A357,IFERROR(INDEX([1]FG_Begin_Inventory!$B:$B,MATCH($A358,[1]FG_Begin_Inventory!$A:$A,0)),0),J357))</f>
        <v/>
      </c>
      <c r="G358" s="61" t="str">
        <f t="shared" si="38"/>
        <v/>
      </c>
      <c r="H358" s="62" t="str">
        <f t="shared" si="39"/>
        <v/>
      </c>
      <c r="I358" s="62" t="str">
        <f t="shared" si="40"/>
        <v/>
      </c>
      <c r="J358" s="62" t="str">
        <f t="shared" si="41"/>
        <v/>
      </c>
      <c r="K358" s="62" t="str">
        <f t="shared" si="42"/>
        <v/>
      </c>
      <c r="L358" s="62" t="str">
        <f t="shared" si="43"/>
        <v/>
      </c>
      <c r="M358" s="63" t="str">
        <f t="shared" si="44"/>
        <v/>
      </c>
      <c r="N358" s="64"/>
    </row>
    <row r="359" spans="1:14" x14ac:dyDescent="0.3">
      <c r="A359" s="58" t="str">
        <f>IF([1]weekly_demand!A360="","",[1]weekly_demand!A360)</f>
        <v/>
      </c>
      <c r="B359" s="59" t="str">
        <f>IF($A359="","",[1]weekly_demand!F360)</f>
        <v/>
      </c>
      <c r="C359" s="60" t="str">
        <f>IF($A359="","",[1]weekly_demand!H360)</f>
        <v/>
      </c>
      <c r="D359" s="61" t="str">
        <f>IF($A359="","",IF(SUMIFS([1]Fixture_Capacity_Input!$C:$C,[1]Fixture_Capacity_Input!$A:$A,$B359,[1]Fixture_Capacity_Input!$B:$B,$C359)&gt;0,SUMIFS([1]Fixture_Capacity_Input!$C:$C,[1]Fixture_Capacity_Input!$A:$A,$B359,[1]Fixture_Capacity_Input!$B:$B,$C359),[1]weekly_demand!G360))</f>
        <v/>
      </c>
      <c r="E359" s="62" t="str">
        <f>IF($A359="","",[1]weekly_demand!I360)</f>
        <v/>
      </c>
      <c r="F359" s="61" t="str">
        <f>IF($A359="","",IF($A359&lt;&gt;$A358,IFERROR(INDEX([1]FG_Begin_Inventory!$B:$B,MATCH($A359,[1]FG_Begin_Inventory!$A:$A,0)),0),J358))</f>
        <v/>
      </c>
      <c r="G359" s="61" t="str">
        <f t="shared" si="38"/>
        <v/>
      </c>
      <c r="H359" s="62" t="str">
        <f t="shared" si="39"/>
        <v/>
      </c>
      <c r="I359" s="62" t="str">
        <f t="shared" si="40"/>
        <v/>
      </c>
      <c r="J359" s="62" t="str">
        <f t="shared" si="41"/>
        <v/>
      </c>
      <c r="K359" s="62" t="str">
        <f t="shared" si="42"/>
        <v/>
      </c>
      <c r="L359" s="62" t="str">
        <f t="shared" si="43"/>
        <v/>
      </c>
      <c r="M359" s="63" t="str">
        <f t="shared" si="44"/>
        <v/>
      </c>
      <c r="N359" s="64"/>
    </row>
    <row r="360" spans="1:14" x14ac:dyDescent="0.3">
      <c r="A360" s="58" t="str">
        <f>IF([1]weekly_demand!A361="","",[1]weekly_demand!A361)</f>
        <v/>
      </c>
      <c r="B360" s="59" t="str">
        <f>IF($A360="","",[1]weekly_demand!F361)</f>
        <v/>
      </c>
      <c r="C360" s="60" t="str">
        <f>IF($A360="","",[1]weekly_demand!H361)</f>
        <v/>
      </c>
      <c r="D360" s="61" t="str">
        <f>IF($A360="","",IF(SUMIFS([1]Fixture_Capacity_Input!$C:$C,[1]Fixture_Capacity_Input!$A:$A,$B360,[1]Fixture_Capacity_Input!$B:$B,$C360)&gt;0,SUMIFS([1]Fixture_Capacity_Input!$C:$C,[1]Fixture_Capacity_Input!$A:$A,$B360,[1]Fixture_Capacity_Input!$B:$B,$C360),[1]weekly_demand!G361))</f>
        <v/>
      </c>
      <c r="E360" s="62" t="str">
        <f>IF($A360="","",[1]weekly_demand!I361)</f>
        <v/>
      </c>
      <c r="F360" s="61" t="str">
        <f>IF($A360="","",IF($A360&lt;&gt;$A359,IFERROR(INDEX([1]FG_Begin_Inventory!$B:$B,MATCH($A360,[1]FG_Begin_Inventory!$A:$A,0)),0),J359))</f>
        <v/>
      </c>
      <c r="G360" s="61" t="str">
        <f t="shared" si="38"/>
        <v/>
      </c>
      <c r="H360" s="62" t="str">
        <f t="shared" si="39"/>
        <v/>
      </c>
      <c r="I360" s="62" t="str">
        <f t="shared" si="40"/>
        <v/>
      </c>
      <c r="J360" s="62" t="str">
        <f t="shared" si="41"/>
        <v/>
      </c>
      <c r="K360" s="62" t="str">
        <f t="shared" si="42"/>
        <v/>
      </c>
      <c r="L360" s="62" t="str">
        <f t="shared" si="43"/>
        <v/>
      </c>
      <c r="M360" s="63" t="str">
        <f t="shared" si="44"/>
        <v/>
      </c>
      <c r="N360" s="64"/>
    </row>
    <row r="361" spans="1:14" x14ac:dyDescent="0.3">
      <c r="A361" s="58" t="str">
        <f>IF([1]weekly_demand!A362="","",[1]weekly_demand!A362)</f>
        <v/>
      </c>
      <c r="B361" s="59" t="str">
        <f>IF($A361="","",[1]weekly_demand!F362)</f>
        <v/>
      </c>
      <c r="C361" s="60" t="str">
        <f>IF($A361="","",[1]weekly_demand!H362)</f>
        <v/>
      </c>
      <c r="D361" s="61" t="str">
        <f>IF($A361="","",IF(SUMIFS([1]Fixture_Capacity_Input!$C:$C,[1]Fixture_Capacity_Input!$A:$A,$B361,[1]Fixture_Capacity_Input!$B:$B,$C361)&gt;0,SUMIFS([1]Fixture_Capacity_Input!$C:$C,[1]Fixture_Capacity_Input!$A:$A,$B361,[1]Fixture_Capacity_Input!$B:$B,$C361),[1]weekly_demand!G362))</f>
        <v/>
      </c>
      <c r="E361" s="62" t="str">
        <f>IF($A361="","",[1]weekly_demand!I362)</f>
        <v/>
      </c>
      <c r="F361" s="61" t="str">
        <f>IF($A361="","",IF($A361&lt;&gt;$A360,IFERROR(INDEX([1]FG_Begin_Inventory!$B:$B,MATCH($A361,[1]FG_Begin_Inventory!$A:$A,0)),0),J360))</f>
        <v/>
      </c>
      <c r="G361" s="61" t="str">
        <f t="shared" si="38"/>
        <v/>
      </c>
      <c r="H361" s="62" t="str">
        <f t="shared" si="39"/>
        <v/>
      </c>
      <c r="I361" s="62" t="str">
        <f t="shared" si="40"/>
        <v/>
      </c>
      <c r="J361" s="62" t="str">
        <f t="shared" si="41"/>
        <v/>
      </c>
      <c r="K361" s="62" t="str">
        <f t="shared" si="42"/>
        <v/>
      </c>
      <c r="L361" s="62" t="str">
        <f t="shared" si="43"/>
        <v/>
      </c>
      <c r="M361" s="63" t="str">
        <f t="shared" si="44"/>
        <v/>
      </c>
      <c r="N361" s="64"/>
    </row>
    <row r="362" spans="1:14" x14ac:dyDescent="0.3">
      <c r="A362" s="58" t="str">
        <f>IF([1]weekly_demand!A363="","",[1]weekly_demand!A363)</f>
        <v/>
      </c>
      <c r="B362" s="59" t="str">
        <f>IF($A362="","",[1]weekly_demand!F363)</f>
        <v/>
      </c>
      <c r="C362" s="60" t="str">
        <f>IF($A362="","",[1]weekly_demand!H363)</f>
        <v/>
      </c>
      <c r="D362" s="61" t="str">
        <f>IF($A362="","",IF(SUMIFS([1]Fixture_Capacity_Input!$C:$C,[1]Fixture_Capacity_Input!$A:$A,$B362,[1]Fixture_Capacity_Input!$B:$B,$C362)&gt;0,SUMIFS([1]Fixture_Capacity_Input!$C:$C,[1]Fixture_Capacity_Input!$A:$A,$B362,[1]Fixture_Capacity_Input!$B:$B,$C362),[1]weekly_demand!G363))</f>
        <v/>
      </c>
      <c r="E362" s="62" t="str">
        <f>IF($A362="","",[1]weekly_demand!I363)</f>
        <v/>
      </c>
      <c r="F362" s="61" t="str">
        <f>IF($A362="","",IF($A362&lt;&gt;$A361,IFERROR(INDEX([1]FG_Begin_Inventory!$B:$B,MATCH($A362,[1]FG_Begin_Inventory!$A:$A,0)),0),J361))</f>
        <v/>
      </c>
      <c r="G362" s="61" t="str">
        <f t="shared" si="38"/>
        <v/>
      </c>
      <c r="H362" s="62" t="str">
        <f t="shared" si="39"/>
        <v/>
      </c>
      <c r="I362" s="62" t="str">
        <f t="shared" si="40"/>
        <v/>
      </c>
      <c r="J362" s="62" t="str">
        <f t="shared" si="41"/>
        <v/>
      </c>
      <c r="K362" s="62" t="str">
        <f t="shared" si="42"/>
        <v/>
      </c>
      <c r="L362" s="62" t="str">
        <f t="shared" si="43"/>
        <v/>
      </c>
      <c r="M362" s="63" t="str">
        <f t="shared" si="44"/>
        <v/>
      </c>
      <c r="N362" s="64"/>
    </row>
    <row r="363" spans="1:14" x14ac:dyDescent="0.3">
      <c r="A363" s="58" t="str">
        <f>IF([1]weekly_demand!A364="","",[1]weekly_demand!A364)</f>
        <v/>
      </c>
      <c r="B363" s="59" t="str">
        <f>IF($A363="","",[1]weekly_demand!F364)</f>
        <v/>
      </c>
      <c r="C363" s="60" t="str">
        <f>IF($A363="","",[1]weekly_demand!H364)</f>
        <v/>
      </c>
      <c r="D363" s="61" t="str">
        <f>IF($A363="","",IF(SUMIFS([1]Fixture_Capacity_Input!$C:$C,[1]Fixture_Capacity_Input!$A:$A,$B363,[1]Fixture_Capacity_Input!$B:$B,$C363)&gt;0,SUMIFS([1]Fixture_Capacity_Input!$C:$C,[1]Fixture_Capacity_Input!$A:$A,$B363,[1]Fixture_Capacity_Input!$B:$B,$C363),[1]weekly_demand!G364))</f>
        <v/>
      </c>
      <c r="E363" s="62" t="str">
        <f>IF($A363="","",[1]weekly_demand!I364)</f>
        <v/>
      </c>
      <c r="F363" s="61" t="str">
        <f>IF($A363="","",IF($A363&lt;&gt;$A362,IFERROR(INDEX([1]FG_Begin_Inventory!$B:$B,MATCH($A363,[1]FG_Begin_Inventory!$A:$A,0)),0),J362))</f>
        <v/>
      </c>
      <c r="G363" s="61" t="str">
        <f t="shared" si="38"/>
        <v/>
      </c>
      <c r="H363" s="62" t="str">
        <f t="shared" si="39"/>
        <v/>
      </c>
      <c r="I363" s="62" t="str">
        <f t="shared" si="40"/>
        <v/>
      </c>
      <c r="J363" s="62" t="str">
        <f t="shared" si="41"/>
        <v/>
      </c>
      <c r="K363" s="62" t="str">
        <f t="shared" si="42"/>
        <v/>
      </c>
      <c r="L363" s="62" t="str">
        <f t="shared" si="43"/>
        <v/>
      </c>
      <c r="M363" s="63" t="str">
        <f t="shared" si="44"/>
        <v/>
      </c>
      <c r="N363" s="64"/>
    </row>
    <row r="364" spans="1:14" x14ac:dyDescent="0.3">
      <c r="A364" s="58" t="str">
        <f>IF([1]weekly_demand!A365="","",[1]weekly_demand!A365)</f>
        <v/>
      </c>
      <c r="B364" s="59" t="str">
        <f>IF($A364="","",[1]weekly_demand!F365)</f>
        <v/>
      </c>
      <c r="C364" s="60" t="str">
        <f>IF($A364="","",[1]weekly_demand!H365)</f>
        <v/>
      </c>
      <c r="D364" s="61" t="str">
        <f>IF($A364="","",IF(SUMIFS([1]Fixture_Capacity_Input!$C:$C,[1]Fixture_Capacity_Input!$A:$A,$B364,[1]Fixture_Capacity_Input!$B:$B,$C364)&gt;0,SUMIFS([1]Fixture_Capacity_Input!$C:$C,[1]Fixture_Capacity_Input!$A:$A,$B364,[1]Fixture_Capacity_Input!$B:$B,$C364),[1]weekly_demand!G365))</f>
        <v/>
      </c>
      <c r="E364" s="62" t="str">
        <f>IF($A364="","",[1]weekly_demand!I365)</f>
        <v/>
      </c>
      <c r="F364" s="61" t="str">
        <f>IF($A364="","",IF($A364&lt;&gt;$A363,IFERROR(INDEX([1]FG_Begin_Inventory!$B:$B,MATCH($A364,[1]FG_Begin_Inventory!$A:$A,0)),0),J363))</f>
        <v/>
      </c>
      <c r="G364" s="61" t="str">
        <f t="shared" si="38"/>
        <v/>
      </c>
      <c r="H364" s="62" t="str">
        <f t="shared" si="39"/>
        <v/>
      </c>
      <c r="I364" s="62" t="str">
        <f t="shared" si="40"/>
        <v/>
      </c>
      <c r="J364" s="62" t="str">
        <f t="shared" si="41"/>
        <v/>
      </c>
      <c r="K364" s="62" t="str">
        <f t="shared" si="42"/>
        <v/>
      </c>
      <c r="L364" s="62" t="str">
        <f t="shared" si="43"/>
        <v/>
      </c>
      <c r="M364" s="63" t="str">
        <f t="shared" si="44"/>
        <v/>
      </c>
      <c r="N364" s="64"/>
    </row>
    <row r="365" spans="1:14" x14ac:dyDescent="0.3">
      <c r="A365" s="58" t="str">
        <f>IF([1]weekly_demand!A366="","",[1]weekly_demand!A366)</f>
        <v/>
      </c>
      <c r="B365" s="59" t="str">
        <f>IF($A365="","",[1]weekly_demand!F366)</f>
        <v/>
      </c>
      <c r="C365" s="60" t="str">
        <f>IF($A365="","",[1]weekly_demand!H366)</f>
        <v/>
      </c>
      <c r="D365" s="61" t="str">
        <f>IF($A365="","",IF(SUMIFS([1]Fixture_Capacity_Input!$C:$C,[1]Fixture_Capacity_Input!$A:$A,$B365,[1]Fixture_Capacity_Input!$B:$B,$C365)&gt;0,SUMIFS([1]Fixture_Capacity_Input!$C:$C,[1]Fixture_Capacity_Input!$A:$A,$B365,[1]Fixture_Capacity_Input!$B:$B,$C365),[1]weekly_demand!G366))</f>
        <v/>
      </c>
      <c r="E365" s="62" t="str">
        <f>IF($A365="","",[1]weekly_demand!I366)</f>
        <v/>
      </c>
      <c r="F365" s="61" t="str">
        <f>IF($A365="","",IF($A365&lt;&gt;$A364,IFERROR(INDEX([1]FG_Begin_Inventory!$B:$B,MATCH($A365,[1]FG_Begin_Inventory!$A:$A,0)),0),J364))</f>
        <v/>
      </c>
      <c r="G365" s="61" t="str">
        <f t="shared" si="38"/>
        <v/>
      </c>
      <c r="H365" s="62" t="str">
        <f t="shared" si="39"/>
        <v/>
      </c>
      <c r="I365" s="62" t="str">
        <f t="shared" si="40"/>
        <v/>
      </c>
      <c r="J365" s="62" t="str">
        <f t="shared" si="41"/>
        <v/>
      </c>
      <c r="K365" s="62" t="str">
        <f t="shared" si="42"/>
        <v/>
      </c>
      <c r="L365" s="62" t="str">
        <f t="shared" si="43"/>
        <v/>
      </c>
      <c r="M365" s="63" t="str">
        <f t="shared" si="44"/>
        <v/>
      </c>
      <c r="N365" s="64"/>
    </row>
    <row r="366" spans="1:14" x14ac:dyDescent="0.3">
      <c r="A366" s="58" t="str">
        <f>IF([1]weekly_demand!A367="","",[1]weekly_demand!A367)</f>
        <v/>
      </c>
      <c r="B366" s="59" t="str">
        <f>IF($A366="","",[1]weekly_demand!F367)</f>
        <v/>
      </c>
      <c r="C366" s="60" t="str">
        <f>IF($A366="","",[1]weekly_demand!H367)</f>
        <v/>
      </c>
      <c r="D366" s="61" t="str">
        <f>IF($A366="","",IF(SUMIFS([1]Fixture_Capacity_Input!$C:$C,[1]Fixture_Capacity_Input!$A:$A,$B366,[1]Fixture_Capacity_Input!$B:$B,$C366)&gt;0,SUMIFS([1]Fixture_Capacity_Input!$C:$C,[1]Fixture_Capacity_Input!$A:$A,$B366,[1]Fixture_Capacity_Input!$B:$B,$C366),[1]weekly_demand!G367))</f>
        <v/>
      </c>
      <c r="E366" s="62" t="str">
        <f>IF($A366="","",[1]weekly_demand!I367)</f>
        <v/>
      </c>
      <c r="F366" s="61" t="str">
        <f>IF($A366="","",IF($A366&lt;&gt;$A365,IFERROR(INDEX([1]FG_Begin_Inventory!$B:$B,MATCH($A366,[1]FG_Begin_Inventory!$A:$A,0)),0),J365))</f>
        <v/>
      </c>
      <c r="G366" s="61" t="str">
        <f t="shared" si="38"/>
        <v/>
      </c>
      <c r="H366" s="62" t="str">
        <f t="shared" si="39"/>
        <v/>
      </c>
      <c r="I366" s="62" t="str">
        <f t="shared" si="40"/>
        <v/>
      </c>
      <c r="J366" s="62" t="str">
        <f t="shared" si="41"/>
        <v/>
      </c>
      <c r="K366" s="62" t="str">
        <f t="shared" si="42"/>
        <v/>
      </c>
      <c r="L366" s="62" t="str">
        <f t="shared" si="43"/>
        <v/>
      </c>
      <c r="M366" s="63" t="str">
        <f t="shared" si="44"/>
        <v/>
      </c>
      <c r="N366" s="64"/>
    </row>
    <row r="367" spans="1:14" x14ac:dyDescent="0.3">
      <c r="A367" s="58" t="str">
        <f>IF([1]weekly_demand!A368="","",[1]weekly_demand!A368)</f>
        <v/>
      </c>
      <c r="B367" s="59" t="str">
        <f>IF($A367="","",[1]weekly_demand!F368)</f>
        <v/>
      </c>
      <c r="C367" s="60" t="str">
        <f>IF($A367="","",[1]weekly_demand!H368)</f>
        <v/>
      </c>
      <c r="D367" s="61" t="str">
        <f>IF($A367="","",IF(SUMIFS([1]Fixture_Capacity_Input!$C:$C,[1]Fixture_Capacity_Input!$A:$A,$B367,[1]Fixture_Capacity_Input!$B:$B,$C367)&gt;0,SUMIFS([1]Fixture_Capacity_Input!$C:$C,[1]Fixture_Capacity_Input!$A:$A,$B367,[1]Fixture_Capacity_Input!$B:$B,$C367),[1]weekly_demand!G368))</f>
        <v/>
      </c>
      <c r="E367" s="62" t="str">
        <f>IF($A367="","",[1]weekly_demand!I368)</f>
        <v/>
      </c>
      <c r="F367" s="61" t="str">
        <f>IF($A367="","",IF($A367&lt;&gt;$A366,IFERROR(INDEX([1]FG_Begin_Inventory!$B:$B,MATCH($A367,[1]FG_Begin_Inventory!$A:$A,0)),0),J366))</f>
        <v/>
      </c>
      <c r="G367" s="61" t="str">
        <f t="shared" si="38"/>
        <v/>
      </c>
      <c r="H367" s="62" t="str">
        <f t="shared" si="39"/>
        <v/>
      </c>
      <c r="I367" s="62" t="str">
        <f t="shared" si="40"/>
        <v/>
      </c>
      <c r="J367" s="62" t="str">
        <f t="shared" si="41"/>
        <v/>
      </c>
      <c r="K367" s="62" t="str">
        <f t="shared" si="42"/>
        <v/>
      </c>
      <c r="L367" s="62" t="str">
        <f t="shared" si="43"/>
        <v/>
      </c>
      <c r="M367" s="63" t="str">
        <f t="shared" si="44"/>
        <v/>
      </c>
      <c r="N367" s="64"/>
    </row>
    <row r="368" spans="1:14" x14ac:dyDescent="0.3">
      <c r="A368" s="58" t="str">
        <f>IF([1]weekly_demand!A369="","",[1]weekly_demand!A369)</f>
        <v/>
      </c>
      <c r="B368" s="59" t="str">
        <f>IF($A368="","",[1]weekly_demand!F369)</f>
        <v/>
      </c>
      <c r="C368" s="60" t="str">
        <f>IF($A368="","",[1]weekly_demand!H369)</f>
        <v/>
      </c>
      <c r="D368" s="61" t="str">
        <f>IF($A368="","",IF(SUMIFS([1]Fixture_Capacity_Input!$C:$C,[1]Fixture_Capacity_Input!$A:$A,$B368,[1]Fixture_Capacity_Input!$B:$B,$C368)&gt;0,SUMIFS([1]Fixture_Capacity_Input!$C:$C,[1]Fixture_Capacity_Input!$A:$A,$B368,[1]Fixture_Capacity_Input!$B:$B,$C368),[1]weekly_demand!G369))</f>
        <v/>
      </c>
      <c r="E368" s="62" t="str">
        <f>IF($A368="","",[1]weekly_demand!I369)</f>
        <v/>
      </c>
      <c r="F368" s="61" t="str">
        <f>IF($A368="","",IF($A368&lt;&gt;$A367,IFERROR(INDEX([1]FG_Begin_Inventory!$B:$B,MATCH($A368,[1]FG_Begin_Inventory!$A:$A,0)),0),J367))</f>
        <v/>
      </c>
      <c r="G368" s="61" t="str">
        <f t="shared" si="38"/>
        <v/>
      </c>
      <c r="H368" s="62" t="str">
        <f t="shared" si="39"/>
        <v/>
      </c>
      <c r="I368" s="62" t="str">
        <f t="shared" si="40"/>
        <v/>
      </c>
      <c r="J368" s="62" t="str">
        <f t="shared" si="41"/>
        <v/>
      </c>
      <c r="K368" s="62" t="str">
        <f t="shared" si="42"/>
        <v/>
      </c>
      <c r="L368" s="62" t="str">
        <f t="shared" si="43"/>
        <v/>
      </c>
      <c r="M368" s="63" t="str">
        <f t="shared" si="44"/>
        <v/>
      </c>
      <c r="N368" s="64"/>
    </row>
    <row r="369" spans="1:14" x14ac:dyDescent="0.3">
      <c r="A369" s="58" t="str">
        <f>IF([1]weekly_demand!A370="","",[1]weekly_demand!A370)</f>
        <v/>
      </c>
      <c r="B369" s="59" t="str">
        <f>IF($A369="","",[1]weekly_demand!F370)</f>
        <v/>
      </c>
      <c r="C369" s="60" t="str">
        <f>IF($A369="","",[1]weekly_demand!H370)</f>
        <v/>
      </c>
      <c r="D369" s="61" t="str">
        <f>IF($A369="","",IF(SUMIFS([1]Fixture_Capacity_Input!$C:$C,[1]Fixture_Capacity_Input!$A:$A,$B369,[1]Fixture_Capacity_Input!$B:$B,$C369)&gt;0,SUMIFS([1]Fixture_Capacity_Input!$C:$C,[1]Fixture_Capacity_Input!$A:$A,$B369,[1]Fixture_Capacity_Input!$B:$B,$C369),[1]weekly_demand!G370))</f>
        <v/>
      </c>
      <c r="E369" s="62" t="str">
        <f>IF($A369="","",[1]weekly_demand!I370)</f>
        <v/>
      </c>
      <c r="F369" s="61" t="str">
        <f>IF($A369="","",IF($A369&lt;&gt;$A368,IFERROR(INDEX([1]FG_Begin_Inventory!$B:$B,MATCH($A369,[1]FG_Begin_Inventory!$A:$A,0)),0),J368))</f>
        <v/>
      </c>
      <c r="G369" s="61" t="str">
        <f t="shared" si="38"/>
        <v/>
      </c>
      <c r="H369" s="62" t="str">
        <f t="shared" si="39"/>
        <v/>
      </c>
      <c r="I369" s="62" t="str">
        <f t="shared" si="40"/>
        <v/>
      </c>
      <c r="J369" s="62" t="str">
        <f t="shared" si="41"/>
        <v/>
      </c>
      <c r="K369" s="62" t="str">
        <f t="shared" si="42"/>
        <v/>
      </c>
      <c r="L369" s="62" t="str">
        <f t="shared" si="43"/>
        <v/>
      </c>
      <c r="M369" s="63" t="str">
        <f t="shared" si="44"/>
        <v/>
      </c>
      <c r="N369" s="64"/>
    </row>
    <row r="370" spans="1:14" x14ac:dyDescent="0.3">
      <c r="A370" s="58" t="str">
        <f>IF([1]weekly_demand!A371="","",[1]weekly_demand!A371)</f>
        <v/>
      </c>
      <c r="B370" s="59" t="str">
        <f>IF($A370="","",[1]weekly_demand!F371)</f>
        <v/>
      </c>
      <c r="C370" s="60" t="str">
        <f>IF($A370="","",[1]weekly_demand!H371)</f>
        <v/>
      </c>
      <c r="D370" s="61" t="str">
        <f>IF($A370="","",IF(SUMIFS([1]Fixture_Capacity_Input!$C:$C,[1]Fixture_Capacity_Input!$A:$A,$B370,[1]Fixture_Capacity_Input!$B:$B,$C370)&gt;0,SUMIFS([1]Fixture_Capacity_Input!$C:$C,[1]Fixture_Capacity_Input!$A:$A,$B370,[1]Fixture_Capacity_Input!$B:$B,$C370),[1]weekly_demand!G371))</f>
        <v/>
      </c>
      <c r="E370" s="62" t="str">
        <f>IF($A370="","",[1]weekly_demand!I371)</f>
        <v/>
      </c>
      <c r="F370" s="61" t="str">
        <f>IF($A370="","",IF($A370&lt;&gt;$A369,IFERROR(INDEX([1]FG_Begin_Inventory!$B:$B,MATCH($A370,[1]FG_Begin_Inventory!$A:$A,0)),0),J369))</f>
        <v/>
      </c>
      <c r="G370" s="61" t="str">
        <f t="shared" si="38"/>
        <v/>
      </c>
      <c r="H370" s="62" t="str">
        <f t="shared" si="39"/>
        <v/>
      </c>
      <c r="I370" s="62" t="str">
        <f t="shared" si="40"/>
        <v/>
      </c>
      <c r="J370" s="62" t="str">
        <f t="shared" si="41"/>
        <v/>
      </c>
      <c r="K370" s="62" t="str">
        <f t="shared" si="42"/>
        <v/>
      </c>
      <c r="L370" s="62" t="str">
        <f t="shared" si="43"/>
        <v/>
      </c>
      <c r="M370" s="63" t="str">
        <f t="shared" si="44"/>
        <v/>
      </c>
      <c r="N370" s="64"/>
    </row>
    <row r="371" spans="1:14" x14ac:dyDescent="0.3">
      <c r="A371" s="58" t="str">
        <f>IF([1]weekly_demand!A372="","",[1]weekly_demand!A372)</f>
        <v/>
      </c>
      <c r="B371" s="59" t="str">
        <f>IF($A371="","",[1]weekly_demand!F372)</f>
        <v/>
      </c>
      <c r="C371" s="60" t="str">
        <f>IF($A371="","",[1]weekly_demand!H372)</f>
        <v/>
      </c>
      <c r="D371" s="61" t="str">
        <f>IF($A371="","",IF(SUMIFS([1]Fixture_Capacity_Input!$C:$C,[1]Fixture_Capacity_Input!$A:$A,$B371,[1]Fixture_Capacity_Input!$B:$B,$C371)&gt;0,SUMIFS([1]Fixture_Capacity_Input!$C:$C,[1]Fixture_Capacity_Input!$A:$A,$B371,[1]Fixture_Capacity_Input!$B:$B,$C371),[1]weekly_demand!G372))</f>
        <v/>
      </c>
      <c r="E371" s="62" t="str">
        <f>IF($A371="","",[1]weekly_demand!I372)</f>
        <v/>
      </c>
      <c r="F371" s="61" t="str">
        <f>IF($A371="","",IF($A371&lt;&gt;$A370,IFERROR(INDEX([1]FG_Begin_Inventory!$B:$B,MATCH($A371,[1]FG_Begin_Inventory!$A:$A,0)),0),J370))</f>
        <v/>
      </c>
      <c r="G371" s="61" t="str">
        <f t="shared" ref="G371:G434" si="45">IF($A371="","",IF($A371&lt;&gt;$A372,0,MAX(0,G372+E372-D372)))</f>
        <v/>
      </c>
      <c r="H371" s="62" t="str">
        <f t="shared" si="39"/>
        <v/>
      </c>
      <c r="I371" s="62" t="str">
        <f t="shared" si="40"/>
        <v/>
      </c>
      <c r="J371" s="62" t="str">
        <f t="shared" si="41"/>
        <v/>
      </c>
      <c r="K371" s="62" t="str">
        <f t="shared" si="42"/>
        <v/>
      </c>
      <c r="L371" s="62" t="str">
        <f t="shared" si="43"/>
        <v/>
      </c>
      <c r="M371" s="63" t="str">
        <f t="shared" si="44"/>
        <v/>
      </c>
      <c r="N371" s="64"/>
    </row>
    <row r="372" spans="1:14" x14ac:dyDescent="0.3">
      <c r="A372" s="58" t="str">
        <f>IF([1]weekly_demand!A373="","",[1]weekly_demand!A373)</f>
        <v/>
      </c>
      <c r="B372" s="59" t="str">
        <f>IF($A372="","",[1]weekly_demand!F373)</f>
        <v/>
      </c>
      <c r="C372" s="60" t="str">
        <f>IF($A372="","",[1]weekly_demand!H373)</f>
        <v/>
      </c>
      <c r="D372" s="61" t="str">
        <f>IF($A372="","",IF(SUMIFS([1]Fixture_Capacity_Input!$C:$C,[1]Fixture_Capacity_Input!$A:$A,$B372,[1]Fixture_Capacity_Input!$B:$B,$C372)&gt;0,SUMIFS([1]Fixture_Capacity_Input!$C:$C,[1]Fixture_Capacity_Input!$A:$A,$B372,[1]Fixture_Capacity_Input!$B:$B,$C372),[1]weekly_demand!G373))</f>
        <v/>
      </c>
      <c r="E372" s="62" t="str">
        <f>IF($A372="","",[1]weekly_demand!I373)</f>
        <v/>
      </c>
      <c r="F372" s="61" t="str">
        <f>IF($A372="","",IF($A372&lt;&gt;$A371,IFERROR(INDEX([1]FG_Begin_Inventory!$B:$B,MATCH($A372,[1]FG_Begin_Inventory!$A:$A,0)),0),J371))</f>
        <v/>
      </c>
      <c r="G372" s="61" t="str">
        <f t="shared" si="45"/>
        <v/>
      </c>
      <c r="H372" s="62" t="str">
        <f t="shared" si="39"/>
        <v/>
      </c>
      <c r="I372" s="62" t="str">
        <f t="shared" si="40"/>
        <v/>
      </c>
      <c r="J372" s="62" t="str">
        <f t="shared" si="41"/>
        <v/>
      </c>
      <c r="K372" s="62" t="str">
        <f t="shared" si="42"/>
        <v/>
      </c>
      <c r="L372" s="62" t="str">
        <f t="shared" si="43"/>
        <v/>
      </c>
      <c r="M372" s="63" t="str">
        <f t="shared" si="44"/>
        <v/>
      </c>
      <c r="N372" s="64"/>
    </row>
    <row r="373" spans="1:14" x14ac:dyDescent="0.3">
      <c r="A373" s="58" t="str">
        <f>IF([1]weekly_demand!A374="","",[1]weekly_demand!A374)</f>
        <v/>
      </c>
      <c r="B373" s="59" t="str">
        <f>IF($A373="","",[1]weekly_demand!F374)</f>
        <v/>
      </c>
      <c r="C373" s="60" t="str">
        <f>IF($A373="","",[1]weekly_demand!H374)</f>
        <v/>
      </c>
      <c r="D373" s="61" t="str">
        <f>IF($A373="","",IF(SUMIFS([1]Fixture_Capacity_Input!$C:$C,[1]Fixture_Capacity_Input!$A:$A,$B373,[1]Fixture_Capacity_Input!$B:$B,$C373)&gt;0,SUMIFS([1]Fixture_Capacity_Input!$C:$C,[1]Fixture_Capacity_Input!$A:$A,$B373,[1]Fixture_Capacity_Input!$B:$B,$C373),[1]weekly_demand!G374))</f>
        <v/>
      </c>
      <c r="E373" s="62" t="str">
        <f>IF($A373="","",[1]weekly_demand!I374)</f>
        <v/>
      </c>
      <c r="F373" s="61" t="str">
        <f>IF($A373="","",IF($A373&lt;&gt;$A372,IFERROR(INDEX([1]FG_Begin_Inventory!$B:$B,MATCH($A373,[1]FG_Begin_Inventory!$A:$A,0)),0),J372))</f>
        <v/>
      </c>
      <c r="G373" s="61" t="str">
        <f t="shared" si="45"/>
        <v/>
      </c>
      <c r="H373" s="62" t="str">
        <f t="shared" si="39"/>
        <v/>
      </c>
      <c r="I373" s="62" t="str">
        <f t="shared" si="40"/>
        <v/>
      </c>
      <c r="J373" s="62" t="str">
        <f t="shared" si="41"/>
        <v/>
      </c>
      <c r="K373" s="62" t="str">
        <f t="shared" si="42"/>
        <v/>
      </c>
      <c r="L373" s="62" t="str">
        <f t="shared" si="43"/>
        <v/>
      </c>
      <c r="M373" s="63" t="str">
        <f t="shared" si="44"/>
        <v/>
      </c>
      <c r="N373" s="64"/>
    </row>
    <row r="374" spans="1:14" x14ac:dyDescent="0.3">
      <c r="A374" s="58" t="str">
        <f>IF([1]weekly_demand!A375="","",[1]weekly_demand!A375)</f>
        <v/>
      </c>
      <c r="B374" s="59" t="str">
        <f>IF($A374="","",[1]weekly_demand!F375)</f>
        <v/>
      </c>
      <c r="C374" s="60" t="str">
        <f>IF($A374="","",[1]weekly_demand!H375)</f>
        <v/>
      </c>
      <c r="D374" s="61" t="str">
        <f>IF($A374="","",IF(SUMIFS([1]Fixture_Capacity_Input!$C:$C,[1]Fixture_Capacity_Input!$A:$A,$B374,[1]Fixture_Capacity_Input!$B:$B,$C374)&gt;0,SUMIFS([1]Fixture_Capacity_Input!$C:$C,[1]Fixture_Capacity_Input!$A:$A,$B374,[1]Fixture_Capacity_Input!$B:$B,$C374),[1]weekly_demand!G375))</f>
        <v/>
      </c>
      <c r="E374" s="62" t="str">
        <f>IF($A374="","",[1]weekly_demand!I375)</f>
        <v/>
      </c>
      <c r="F374" s="61" t="str">
        <f>IF($A374="","",IF($A374&lt;&gt;$A373,IFERROR(INDEX([1]FG_Begin_Inventory!$B:$B,MATCH($A374,[1]FG_Begin_Inventory!$A:$A,0)),0),J373))</f>
        <v/>
      </c>
      <c r="G374" s="61" t="str">
        <f t="shared" si="45"/>
        <v/>
      </c>
      <c r="H374" s="62" t="str">
        <f t="shared" si="39"/>
        <v/>
      </c>
      <c r="I374" s="62" t="str">
        <f t="shared" si="40"/>
        <v/>
      </c>
      <c r="J374" s="62" t="str">
        <f t="shared" si="41"/>
        <v/>
      </c>
      <c r="K374" s="62" t="str">
        <f t="shared" si="42"/>
        <v/>
      </c>
      <c r="L374" s="62" t="str">
        <f t="shared" si="43"/>
        <v/>
      </c>
      <c r="M374" s="63" t="str">
        <f t="shared" si="44"/>
        <v/>
      </c>
      <c r="N374" s="64"/>
    </row>
    <row r="375" spans="1:14" x14ac:dyDescent="0.3">
      <c r="A375" s="58" t="str">
        <f>IF([1]weekly_demand!A376="","",[1]weekly_demand!A376)</f>
        <v/>
      </c>
      <c r="B375" s="59" t="str">
        <f>IF($A375="","",[1]weekly_demand!F376)</f>
        <v/>
      </c>
      <c r="C375" s="60" t="str">
        <f>IF($A375="","",[1]weekly_demand!H376)</f>
        <v/>
      </c>
      <c r="D375" s="61" t="str">
        <f>IF($A375="","",IF(SUMIFS([1]Fixture_Capacity_Input!$C:$C,[1]Fixture_Capacity_Input!$A:$A,$B375,[1]Fixture_Capacity_Input!$B:$B,$C375)&gt;0,SUMIFS([1]Fixture_Capacity_Input!$C:$C,[1]Fixture_Capacity_Input!$A:$A,$B375,[1]Fixture_Capacity_Input!$B:$B,$C375),[1]weekly_demand!G376))</f>
        <v/>
      </c>
      <c r="E375" s="62" t="str">
        <f>IF($A375="","",[1]weekly_demand!I376)</f>
        <v/>
      </c>
      <c r="F375" s="61" t="str">
        <f>IF($A375="","",IF($A375&lt;&gt;$A374,IFERROR(INDEX([1]FG_Begin_Inventory!$B:$B,MATCH($A375,[1]FG_Begin_Inventory!$A:$A,0)),0),J374))</f>
        <v/>
      </c>
      <c r="G375" s="61" t="str">
        <f t="shared" si="45"/>
        <v/>
      </c>
      <c r="H375" s="62" t="str">
        <f t="shared" si="39"/>
        <v/>
      </c>
      <c r="I375" s="62" t="str">
        <f t="shared" si="40"/>
        <v/>
      </c>
      <c r="J375" s="62" t="str">
        <f t="shared" si="41"/>
        <v/>
      </c>
      <c r="K375" s="62" t="str">
        <f t="shared" si="42"/>
        <v/>
      </c>
      <c r="L375" s="62" t="str">
        <f t="shared" si="43"/>
        <v/>
      </c>
      <c r="M375" s="63" t="str">
        <f t="shared" si="44"/>
        <v/>
      </c>
      <c r="N375" s="64"/>
    </row>
    <row r="376" spans="1:14" x14ac:dyDescent="0.3">
      <c r="A376" s="58" t="str">
        <f>IF([1]weekly_demand!A377="","",[1]weekly_demand!A377)</f>
        <v/>
      </c>
      <c r="B376" s="59" t="str">
        <f>IF($A376="","",[1]weekly_demand!F377)</f>
        <v/>
      </c>
      <c r="C376" s="60" t="str">
        <f>IF($A376="","",[1]weekly_demand!H377)</f>
        <v/>
      </c>
      <c r="D376" s="61" t="str">
        <f>IF($A376="","",IF(SUMIFS([1]Fixture_Capacity_Input!$C:$C,[1]Fixture_Capacity_Input!$A:$A,$B376,[1]Fixture_Capacity_Input!$B:$B,$C376)&gt;0,SUMIFS([1]Fixture_Capacity_Input!$C:$C,[1]Fixture_Capacity_Input!$A:$A,$B376,[1]Fixture_Capacity_Input!$B:$B,$C376),[1]weekly_demand!G377))</f>
        <v/>
      </c>
      <c r="E376" s="62" t="str">
        <f>IF($A376="","",[1]weekly_demand!I377)</f>
        <v/>
      </c>
      <c r="F376" s="61" t="str">
        <f>IF($A376="","",IF($A376&lt;&gt;$A375,IFERROR(INDEX([1]FG_Begin_Inventory!$B:$B,MATCH($A376,[1]FG_Begin_Inventory!$A:$A,0)),0),J375))</f>
        <v/>
      </c>
      <c r="G376" s="61" t="str">
        <f t="shared" si="45"/>
        <v/>
      </c>
      <c r="H376" s="62" t="str">
        <f t="shared" si="39"/>
        <v/>
      </c>
      <c r="I376" s="62" t="str">
        <f t="shared" si="40"/>
        <v/>
      </c>
      <c r="J376" s="62" t="str">
        <f t="shared" si="41"/>
        <v/>
      </c>
      <c r="K376" s="62" t="str">
        <f t="shared" si="42"/>
        <v/>
      </c>
      <c r="L376" s="62" t="str">
        <f t="shared" si="43"/>
        <v/>
      </c>
      <c r="M376" s="63" t="str">
        <f t="shared" si="44"/>
        <v/>
      </c>
      <c r="N376" s="64"/>
    </row>
    <row r="377" spans="1:14" x14ac:dyDescent="0.3">
      <c r="A377" s="58" t="str">
        <f>IF([1]weekly_demand!A378="","",[1]weekly_demand!A378)</f>
        <v/>
      </c>
      <c r="B377" s="59" t="str">
        <f>IF($A377="","",[1]weekly_demand!F378)</f>
        <v/>
      </c>
      <c r="C377" s="60" t="str">
        <f>IF($A377="","",[1]weekly_demand!H378)</f>
        <v/>
      </c>
      <c r="D377" s="61" t="str">
        <f>IF($A377="","",IF(SUMIFS([1]Fixture_Capacity_Input!$C:$C,[1]Fixture_Capacity_Input!$A:$A,$B377,[1]Fixture_Capacity_Input!$B:$B,$C377)&gt;0,SUMIFS([1]Fixture_Capacity_Input!$C:$C,[1]Fixture_Capacity_Input!$A:$A,$B377,[1]Fixture_Capacity_Input!$B:$B,$C377),[1]weekly_demand!G378))</f>
        <v/>
      </c>
      <c r="E377" s="62" t="str">
        <f>IF($A377="","",[1]weekly_demand!I378)</f>
        <v/>
      </c>
      <c r="F377" s="61" t="str">
        <f>IF($A377="","",IF($A377&lt;&gt;$A376,IFERROR(INDEX([1]FG_Begin_Inventory!$B:$B,MATCH($A377,[1]FG_Begin_Inventory!$A:$A,0)),0),J376))</f>
        <v/>
      </c>
      <c r="G377" s="61" t="str">
        <f t="shared" si="45"/>
        <v/>
      </c>
      <c r="H377" s="62" t="str">
        <f t="shared" si="39"/>
        <v/>
      </c>
      <c r="I377" s="62" t="str">
        <f t="shared" si="40"/>
        <v/>
      </c>
      <c r="J377" s="62" t="str">
        <f t="shared" si="41"/>
        <v/>
      </c>
      <c r="K377" s="62" t="str">
        <f t="shared" si="42"/>
        <v/>
      </c>
      <c r="L377" s="62" t="str">
        <f t="shared" si="43"/>
        <v/>
      </c>
      <c r="M377" s="63" t="str">
        <f t="shared" si="44"/>
        <v/>
      </c>
      <c r="N377" s="64"/>
    </row>
    <row r="378" spans="1:14" x14ac:dyDescent="0.3">
      <c r="A378" s="58" t="str">
        <f>IF([1]weekly_demand!A379="","",[1]weekly_demand!A379)</f>
        <v/>
      </c>
      <c r="B378" s="59" t="str">
        <f>IF($A378="","",[1]weekly_demand!F379)</f>
        <v/>
      </c>
      <c r="C378" s="60" t="str">
        <f>IF($A378="","",[1]weekly_demand!H379)</f>
        <v/>
      </c>
      <c r="D378" s="61" t="str">
        <f>IF($A378="","",IF(SUMIFS([1]Fixture_Capacity_Input!$C:$C,[1]Fixture_Capacity_Input!$A:$A,$B378,[1]Fixture_Capacity_Input!$B:$B,$C378)&gt;0,SUMIFS([1]Fixture_Capacity_Input!$C:$C,[1]Fixture_Capacity_Input!$A:$A,$B378,[1]Fixture_Capacity_Input!$B:$B,$C378),[1]weekly_demand!G379))</f>
        <v/>
      </c>
      <c r="E378" s="62" t="str">
        <f>IF($A378="","",[1]weekly_demand!I379)</f>
        <v/>
      </c>
      <c r="F378" s="61" t="str">
        <f>IF($A378="","",IF($A378&lt;&gt;$A377,IFERROR(INDEX([1]FG_Begin_Inventory!$B:$B,MATCH($A378,[1]FG_Begin_Inventory!$A:$A,0)),0),J377))</f>
        <v/>
      </c>
      <c r="G378" s="61" t="str">
        <f t="shared" si="45"/>
        <v/>
      </c>
      <c r="H378" s="62" t="str">
        <f t="shared" si="39"/>
        <v/>
      </c>
      <c r="I378" s="62" t="str">
        <f t="shared" si="40"/>
        <v/>
      </c>
      <c r="J378" s="62" t="str">
        <f t="shared" si="41"/>
        <v/>
      </c>
      <c r="K378" s="62" t="str">
        <f t="shared" si="42"/>
        <v/>
      </c>
      <c r="L378" s="62" t="str">
        <f t="shared" si="43"/>
        <v/>
      </c>
      <c r="M378" s="63" t="str">
        <f t="shared" si="44"/>
        <v/>
      </c>
      <c r="N378" s="64"/>
    </row>
    <row r="379" spans="1:14" x14ac:dyDescent="0.3">
      <c r="A379" s="58" t="str">
        <f>IF([1]weekly_demand!A380="","",[1]weekly_demand!A380)</f>
        <v/>
      </c>
      <c r="B379" s="59" t="str">
        <f>IF($A379="","",[1]weekly_demand!F380)</f>
        <v/>
      </c>
      <c r="C379" s="60" t="str">
        <f>IF($A379="","",[1]weekly_demand!H380)</f>
        <v/>
      </c>
      <c r="D379" s="61" t="str">
        <f>IF($A379="","",IF(SUMIFS([1]Fixture_Capacity_Input!$C:$C,[1]Fixture_Capacity_Input!$A:$A,$B379,[1]Fixture_Capacity_Input!$B:$B,$C379)&gt;0,SUMIFS([1]Fixture_Capacity_Input!$C:$C,[1]Fixture_Capacity_Input!$A:$A,$B379,[1]Fixture_Capacity_Input!$B:$B,$C379),[1]weekly_demand!G380))</f>
        <v/>
      </c>
      <c r="E379" s="62" t="str">
        <f>IF($A379="","",[1]weekly_demand!I380)</f>
        <v/>
      </c>
      <c r="F379" s="61" t="str">
        <f>IF($A379="","",IF($A379&lt;&gt;$A378,IFERROR(INDEX([1]FG_Begin_Inventory!$B:$B,MATCH($A379,[1]FG_Begin_Inventory!$A:$A,0)),0),J378))</f>
        <v/>
      </c>
      <c r="G379" s="61" t="str">
        <f t="shared" si="45"/>
        <v/>
      </c>
      <c r="H379" s="62" t="str">
        <f t="shared" si="39"/>
        <v/>
      </c>
      <c r="I379" s="62" t="str">
        <f t="shared" si="40"/>
        <v/>
      </c>
      <c r="J379" s="62" t="str">
        <f t="shared" si="41"/>
        <v/>
      </c>
      <c r="K379" s="62" t="str">
        <f t="shared" si="42"/>
        <v/>
      </c>
      <c r="L379" s="62" t="str">
        <f t="shared" si="43"/>
        <v/>
      </c>
      <c r="M379" s="63" t="str">
        <f t="shared" si="44"/>
        <v/>
      </c>
      <c r="N379" s="64"/>
    </row>
    <row r="380" spans="1:14" x14ac:dyDescent="0.3">
      <c r="A380" s="58" t="str">
        <f>IF([1]weekly_demand!A381="","",[1]weekly_demand!A381)</f>
        <v/>
      </c>
      <c r="B380" s="59" t="str">
        <f>IF($A380="","",[1]weekly_demand!F381)</f>
        <v/>
      </c>
      <c r="C380" s="60" t="str">
        <f>IF($A380="","",[1]weekly_demand!H381)</f>
        <v/>
      </c>
      <c r="D380" s="61" t="str">
        <f>IF($A380="","",IF(SUMIFS([1]Fixture_Capacity_Input!$C:$C,[1]Fixture_Capacity_Input!$A:$A,$B380,[1]Fixture_Capacity_Input!$B:$B,$C380)&gt;0,SUMIFS([1]Fixture_Capacity_Input!$C:$C,[1]Fixture_Capacity_Input!$A:$A,$B380,[1]Fixture_Capacity_Input!$B:$B,$C380),[1]weekly_demand!G381))</f>
        <v/>
      </c>
      <c r="E380" s="62" t="str">
        <f>IF($A380="","",[1]weekly_demand!I381)</f>
        <v/>
      </c>
      <c r="F380" s="61" t="str">
        <f>IF($A380="","",IF($A380&lt;&gt;$A379,IFERROR(INDEX([1]FG_Begin_Inventory!$B:$B,MATCH($A380,[1]FG_Begin_Inventory!$A:$A,0)),0),J379))</f>
        <v/>
      </c>
      <c r="G380" s="61" t="str">
        <f t="shared" si="45"/>
        <v/>
      </c>
      <c r="H380" s="62" t="str">
        <f t="shared" si="39"/>
        <v/>
      </c>
      <c r="I380" s="62" t="str">
        <f t="shared" si="40"/>
        <v/>
      </c>
      <c r="J380" s="62" t="str">
        <f t="shared" si="41"/>
        <v/>
      </c>
      <c r="K380" s="62" t="str">
        <f t="shared" si="42"/>
        <v/>
      </c>
      <c r="L380" s="62" t="str">
        <f t="shared" si="43"/>
        <v/>
      </c>
      <c r="M380" s="63" t="str">
        <f t="shared" si="44"/>
        <v/>
      </c>
      <c r="N380" s="64"/>
    </row>
    <row r="381" spans="1:14" x14ac:dyDescent="0.3">
      <c r="A381" s="58" t="str">
        <f>IF([1]weekly_demand!A382="","",[1]weekly_demand!A382)</f>
        <v/>
      </c>
      <c r="B381" s="59" t="str">
        <f>IF($A381="","",[1]weekly_demand!F382)</f>
        <v/>
      </c>
      <c r="C381" s="60" t="str">
        <f>IF($A381="","",[1]weekly_demand!H382)</f>
        <v/>
      </c>
      <c r="D381" s="61" t="str">
        <f>IF($A381="","",IF(SUMIFS([1]Fixture_Capacity_Input!$C:$C,[1]Fixture_Capacity_Input!$A:$A,$B381,[1]Fixture_Capacity_Input!$B:$B,$C381)&gt;0,SUMIFS([1]Fixture_Capacity_Input!$C:$C,[1]Fixture_Capacity_Input!$A:$A,$B381,[1]Fixture_Capacity_Input!$B:$B,$C381),[1]weekly_demand!G382))</f>
        <v/>
      </c>
      <c r="E381" s="62" t="str">
        <f>IF($A381="","",[1]weekly_demand!I382)</f>
        <v/>
      </c>
      <c r="F381" s="61" t="str">
        <f>IF($A381="","",IF($A381&lt;&gt;$A380,IFERROR(INDEX([1]FG_Begin_Inventory!$B:$B,MATCH($A381,[1]FG_Begin_Inventory!$A:$A,0)),0),J380))</f>
        <v/>
      </c>
      <c r="G381" s="61" t="str">
        <f t="shared" si="45"/>
        <v/>
      </c>
      <c r="H381" s="62" t="str">
        <f t="shared" si="39"/>
        <v/>
      </c>
      <c r="I381" s="62" t="str">
        <f t="shared" si="40"/>
        <v/>
      </c>
      <c r="J381" s="62" t="str">
        <f t="shared" si="41"/>
        <v/>
      </c>
      <c r="K381" s="62" t="str">
        <f t="shared" si="42"/>
        <v/>
      </c>
      <c r="L381" s="62" t="str">
        <f t="shared" si="43"/>
        <v/>
      </c>
      <c r="M381" s="63" t="str">
        <f t="shared" si="44"/>
        <v/>
      </c>
      <c r="N381" s="64"/>
    </row>
    <row r="382" spans="1:14" x14ac:dyDescent="0.3">
      <c r="A382" s="58" t="str">
        <f>IF([1]weekly_demand!A383="","",[1]weekly_demand!A383)</f>
        <v/>
      </c>
      <c r="B382" s="59" t="str">
        <f>IF($A382="","",[1]weekly_demand!F383)</f>
        <v/>
      </c>
      <c r="C382" s="60" t="str">
        <f>IF($A382="","",[1]weekly_demand!H383)</f>
        <v/>
      </c>
      <c r="D382" s="61" t="str">
        <f>IF($A382="","",IF(SUMIFS([1]Fixture_Capacity_Input!$C:$C,[1]Fixture_Capacity_Input!$A:$A,$B382,[1]Fixture_Capacity_Input!$B:$B,$C382)&gt;0,SUMIFS([1]Fixture_Capacity_Input!$C:$C,[1]Fixture_Capacity_Input!$A:$A,$B382,[1]Fixture_Capacity_Input!$B:$B,$C382),[1]weekly_demand!G383))</f>
        <v/>
      </c>
      <c r="E382" s="62" t="str">
        <f>IF($A382="","",[1]weekly_demand!I383)</f>
        <v/>
      </c>
      <c r="F382" s="61" t="str">
        <f>IF($A382="","",IF($A382&lt;&gt;$A381,IFERROR(INDEX([1]FG_Begin_Inventory!$B:$B,MATCH($A382,[1]FG_Begin_Inventory!$A:$A,0)),0),J381))</f>
        <v/>
      </c>
      <c r="G382" s="61" t="str">
        <f t="shared" si="45"/>
        <v/>
      </c>
      <c r="H382" s="62" t="str">
        <f t="shared" si="39"/>
        <v/>
      </c>
      <c r="I382" s="62" t="str">
        <f t="shared" si="40"/>
        <v/>
      </c>
      <c r="J382" s="62" t="str">
        <f t="shared" si="41"/>
        <v/>
      </c>
      <c r="K382" s="62" t="str">
        <f t="shared" si="42"/>
        <v/>
      </c>
      <c r="L382" s="62" t="str">
        <f t="shared" si="43"/>
        <v/>
      </c>
      <c r="M382" s="63" t="str">
        <f t="shared" si="44"/>
        <v/>
      </c>
      <c r="N382" s="64"/>
    </row>
    <row r="383" spans="1:14" x14ac:dyDescent="0.3">
      <c r="A383" s="58" t="str">
        <f>IF([1]weekly_demand!A384="","",[1]weekly_demand!A384)</f>
        <v/>
      </c>
      <c r="B383" s="59" t="str">
        <f>IF($A383="","",[1]weekly_demand!F384)</f>
        <v/>
      </c>
      <c r="C383" s="60" t="str">
        <f>IF($A383="","",[1]weekly_demand!H384)</f>
        <v/>
      </c>
      <c r="D383" s="61" t="str">
        <f>IF($A383="","",IF(SUMIFS([1]Fixture_Capacity_Input!$C:$C,[1]Fixture_Capacity_Input!$A:$A,$B383,[1]Fixture_Capacity_Input!$B:$B,$C383)&gt;0,SUMIFS([1]Fixture_Capacity_Input!$C:$C,[1]Fixture_Capacity_Input!$A:$A,$B383,[1]Fixture_Capacity_Input!$B:$B,$C383),[1]weekly_demand!G384))</f>
        <v/>
      </c>
      <c r="E383" s="62" t="str">
        <f>IF($A383="","",[1]weekly_demand!I384)</f>
        <v/>
      </c>
      <c r="F383" s="61" t="str">
        <f>IF($A383="","",IF($A383&lt;&gt;$A382,IFERROR(INDEX([1]FG_Begin_Inventory!$B:$B,MATCH($A383,[1]FG_Begin_Inventory!$A:$A,0)),0),J382))</f>
        <v/>
      </c>
      <c r="G383" s="61" t="str">
        <f t="shared" si="45"/>
        <v/>
      </c>
      <c r="H383" s="62" t="str">
        <f t="shared" si="39"/>
        <v/>
      </c>
      <c r="I383" s="62" t="str">
        <f t="shared" si="40"/>
        <v/>
      </c>
      <c r="J383" s="62" t="str">
        <f t="shared" si="41"/>
        <v/>
      </c>
      <c r="K383" s="62" t="str">
        <f t="shared" si="42"/>
        <v/>
      </c>
      <c r="L383" s="62" t="str">
        <f t="shared" si="43"/>
        <v/>
      </c>
      <c r="M383" s="63" t="str">
        <f t="shared" si="44"/>
        <v/>
      </c>
      <c r="N383" s="64"/>
    </row>
    <row r="384" spans="1:14" x14ac:dyDescent="0.3">
      <c r="A384" s="58" t="str">
        <f>IF([1]weekly_demand!A385="","",[1]weekly_demand!A385)</f>
        <v/>
      </c>
      <c r="B384" s="59" t="str">
        <f>IF($A384="","",[1]weekly_demand!F385)</f>
        <v/>
      </c>
      <c r="C384" s="60" t="str">
        <f>IF($A384="","",[1]weekly_demand!H385)</f>
        <v/>
      </c>
      <c r="D384" s="61" t="str">
        <f>IF($A384="","",IF(SUMIFS([1]Fixture_Capacity_Input!$C:$C,[1]Fixture_Capacity_Input!$A:$A,$B384,[1]Fixture_Capacity_Input!$B:$B,$C384)&gt;0,SUMIFS([1]Fixture_Capacity_Input!$C:$C,[1]Fixture_Capacity_Input!$A:$A,$B384,[1]Fixture_Capacity_Input!$B:$B,$C384),[1]weekly_demand!G385))</f>
        <v/>
      </c>
      <c r="E384" s="62" t="str">
        <f>IF($A384="","",[1]weekly_demand!I385)</f>
        <v/>
      </c>
      <c r="F384" s="61" t="str">
        <f>IF($A384="","",IF($A384&lt;&gt;$A383,IFERROR(INDEX([1]FG_Begin_Inventory!$B:$B,MATCH($A384,[1]FG_Begin_Inventory!$A:$A,0)),0),J383))</f>
        <v/>
      </c>
      <c r="G384" s="61" t="str">
        <f t="shared" si="45"/>
        <v/>
      </c>
      <c r="H384" s="62" t="str">
        <f t="shared" si="39"/>
        <v/>
      </c>
      <c r="I384" s="62" t="str">
        <f t="shared" si="40"/>
        <v/>
      </c>
      <c r="J384" s="62" t="str">
        <f t="shared" si="41"/>
        <v/>
      </c>
      <c r="K384" s="62" t="str">
        <f t="shared" si="42"/>
        <v/>
      </c>
      <c r="L384" s="62" t="str">
        <f t="shared" si="43"/>
        <v/>
      </c>
      <c r="M384" s="63" t="str">
        <f t="shared" si="44"/>
        <v/>
      </c>
      <c r="N384" s="64"/>
    </row>
    <row r="385" spans="1:14" x14ac:dyDescent="0.3">
      <c r="A385" s="58" t="str">
        <f>IF([1]weekly_demand!A386="","",[1]weekly_demand!A386)</f>
        <v/>
      </c>
      <c r="B385" s="59" t="str">
        <f>IF($A385="","",[1]weekly_demand!F386)</f>
        <v/>
      </c>
      <c r="C385" s="60" t="str">
        <f>IF($A385="","",[1]weekly_demand!H386)</f>
        <v/>
      </c>
      <c r="D385" s="61" t="str">
        <f>IF($A385="","",IF(SUMIFS([1]Fixture_Capacity_Input!$C:$C,[1]Fixture_Capacity_Input!$A:$A,$B385,[1]Fixture_Capacity_Input!$B:$B,$C385)&gt;0,SUMIFS([1]Fixture_Capacity_Input!$C:$C,[1]Fixture_Capacity_Input!$A:$A,$B385,[1]Fixture_Capacity_Input!$B:$B,$C385),[1]weekly_demand!G386))</f>
        <v/>
      </c>
      <c r="E385" s="62" t="str">
        <f>IF($A385="","",[1]weekly_demand!I386)</f>
        <v/>
      </c>
      <c r="F385" s="61" t="str">
        <f>IF($A385="","",IF($A385&lt;&gt;$A384,IFERROR(INDEX([1]FG_Begin_Inventory!$B:$B,MATCH($A385,[1]FG_Begin_Inventory!$A:$A,0)),0),J384))</f>
        <v/>
      </c>
      <c r="G385" s="61" t="str">
        <f t="shared" si="45"/>
        <v/>
      </c>
      <c r="H385" s="62" t="str">
        <f t="shared" si="39"/>
        <v/>
      </c>
      <c r="I385" s="62" t="str">
        <f t="shared" si="40"/>
        <v/>
      </c>
      <c r="J385" s="62" t="str">
        <f t="shared" si="41"/>
        <v/>
      </c>
      <c r="K385" s="62" t="str">
        <f t="shared" si="42"/>
        <v/>
      </c>
      <c r="L385" s="62" t="str">
        <f t="shared" si="43"/>
        <v/>
      </c>
      <c r="M385" s="63" t="str">
        <f t="shared" si="44"/>
        <v/>
      </c>
      <c r="N385" s="64"/>
    </row>
    <row r="386" spans="1:14" x14ac:dyDescent="0.3">
      <c r="A386" s="58" t="str">
        <f>IF([1]weekly_demand!A387="","",[1]weekly_demand!A387)</f>
        <v/>
      </c>
      <c r="B386" s="59" t="str">
        <f>IF($A386="","",[1]weekly_demand!F387)</f>
        <v/>
      </c>
      <c r="C386" s="60" t="str">
        <f>IF($A386="","",[1]weekly_demand!H387)</f>
        <v/>
      </c>
      <c r="D386" s="61" t="str">
        <f>IF($A386="","",IF(SUMIFS([1]Fixture_Capacity_Input!$C:$C,[1]Fixture_Capacity_Input!$A:$A,$B386,[1]Fixture_Capacity_Input!$B:$B,$C386)&gt;0,SUMIFS([1]Fixture_Capacity_Input!$C:$C,[1]Fixture_Capacity_Input!$A:$A,$B386,[1]Fixture_Capacity_Input!$B:$B,$C386),[1]weekly_demand!G387))</f>
        <v/>
      </c>
      <c r="E386" s="62" t="str">
        <f>IF($A386="","",[1]weekly_demand!I387)</f>
        <v/>
      </c>
      <c r="F386" s="61" t="str">
        <f>IF($A386="","",IF($A386&lt;&gt;$A385,IFERROR(INDEX([1]FG_Begin_Inventory!$B:$B,MATCH($A386,[1]FG_Begin_Inventory!$A:$A,0)),0),J385))</f>
        <v/>
      </c>
      <c r="G386" s="61" t="str">
        <f t="shared" si="45"/>
        <v/>
      </c>
      <c r="H386" s="62" t="str">
        <f t="shared" ref="H386:H449" si="46">IF($A386="","",MAX(0,E386+G386-F386))</f>
        <v/>
      </c>
      <c r="I386" s="62" t="str">
        <f t="shared" ref="I386:I449" si="47">IF($A386="","",MIN(D386,H386))</f>
        <v/>
      </c>
      <c r="J386" s="62" t="str">
        <f t="shared" ref="J386:J449" si="48">IF($A386="","",MAX(0,F386+I386-E386))</f>
        <v/>
      </c>
      <c r="K386" s="62" t="str">
        <f t="shared" ref="K386:K449" si="49">IF($A386="","",MAX(0,E386-F386-I386))</f>
        <v/>
      </c>
      <c r="L386" s="62" t="str">
        <f t="shared" ref="L386:L449" si="50">IF($A386="","",MAX(0,F386+I386-E386))</f>
        <v/>
      </c>
      <c r="M386" s="63" t="str">
        <f t="shared" ref="M386:M449" si="51">IF($A386="","",IFERROR(I386/D386,0))</f>
        <v/>
      </c>
      <c r="N386" s="64"/>
    </row>
    <row r="387" spans="1:14" x14ac:dyDescent="0.3">
      <c r="A387" s="58" t="str">
        <f>IF([1]weekly_demand!A388="","",[1]weekly_demand!A388)</f>
        <v/>
      </c>
      <c r="B387" s="59" t="str">
        <f>IF($A387="","",[1]weekly_demand!F388)</f>
        <v/>
      </c>
      <c r="C387" s="60" t="str">
        <f>IF($A387="","",[1]weekly_demand!H388)</f>
        <v/>
      </c>
      <c r="D387" s="61" t="str">
        <f>IF($A387="","",IF(SUMIFS([1]Fixture_Capacity_Input!$C:$C,[1]Fixture_Capacity_Input!$A:$A,$B387,[1]Fixture_Capacity_Input!$B:$B,$C387)&gt;0,SUMIFS([1]Fixture_Capacity_Input!$C:$C,[1]Fixture_Capacity_Input!$A:$A,$B387,[1]Fixture_Capacity_Input!$B:$B,$C387),[1]weekly_demand!G388))</f>
        <v/>
      </c>
      <c r="E387" s="62" t="str">
        <f>IF($A387="","",[1]weekly_demand!I388)</f>
        <v/>
      </c>
      <c r="F387" s="61" t="str">
        <f>IF($A387="","",IF($A387&lt;&gt;$A386,IFERROR(INDEX([1]FG_Begin_Inventory!$B:$B,MATCH($A387,[1]FG_Begin_Inventory!$A:$A,0)),0),J386))</f>
        <v/>
      </c>
      <c r="G387" s="61" t="str">
        <f t="shared" si="45"/>
        <v/>
      </c>
      <c r="H387" s="62" t="str">
        <f t="shared" si="46"/>
        <v/>
      </c>
      <c r="I387" s="62" t="str">
        <f t="shared" si="47"/>
        <v/>
      </c>
      <c r="J387" s="62" t="str">
        <f t="shared" si="48"/>
        <v/>
      </c>
      <c r="K387" s="62" t="str">
        <f t="shared" si="49"/>
        <v/>
      </c>
      <c r="L387" s="62" t="str">
        <f t="shared" si="50"/>
        <v/>
      </c>
      <c r="M387" s="63" t="str">
        <f t="shared" si="51"/>
        <v/>
      </c>
      <c r="N387" s="64"/>
    </row>
    <row r="388" spans="1:14" x14ac:dyDescent="0.3">
      <c r="A388" s="58" t="str">
        <f>IF([1]weekly_demand!A389="","",[1]weekly_demand!A389)</f>
        <v/>
      </c>
      <c r="B388" s="59" t="str">
        <f>IF($A388="","",[1]weekly_demand!F389)</f>
        <v/>
      </c>
      <c r="C388" s="60" t="str">
        <f>IF($A388="","",[1]weekly_demand!H389)</f>
        <v/>
      </c>
      <c r="D388" s="61" t="str">
        <f>IF($A388="","",IF(SUMIFS([1]Fixture_Capacity_Input!$C:$C,[1]Fixture_Capacity_Input!$A:$A,$B388,[1]Fixture_Capacity_Input!$B:$B,$C388)&gt;0,SUMIFS([1]Fixture_Capacity_Input!$C:$C,[1]Fixture_Capacity_Input!$A:$A,$B388,[1]Fixture_Capacity_Input!$B:$B,$C388),[1]weekly_demand!G389))</f>
        <v/>
      </c>
      <c r="E388" s="62" t="str">
        <f>IF($A388="","",[1]weekly_demand!I389)</f>
        <v/>
      </c>
      <c r="F388" s="61" t="str">
        <f>IF($A388="","",IF($A388&lt;&gt;$A387,IFERROR(INDEX([1]FG_Begin_Inventory!$B:$B,MATCH($A388,[1]FG_Begin_Inventory!$A:$A,0)),0),J387))</f>
        <v/>
      </c>
      <c r="G388" s="61" t="str">
        <f t="shared" si="45"/>
        <v/>
      </c>
      <c r="H388" s="62" t="str">
        <f t="shared" si="46"/>
        <v/>
      </c>
      <c r="I388" s="62" t="str">
        <f t="shared" si="47"/>
        <v/>
      </c>
      <c r="J388" s="62" t="str">
        <f t="shared" si="48"/>
        <v/>
      </c>
      <c r="K388" s="62" t="str">
        <f t="shared" si="49"/>
        <v/>
      </c>
      <c r="L388" s="62" t="str">
        <f t="shared" si="50"/>
        <v/>
      </c>
      <c r="M388" s="63" t="str">
        <f t="shared" si="51"/>
        <v/>
      </c>
      <c r="N388" s="64"/>
    </row>
    <row r="389" spans="1:14" x14ac:dyDescent="0.3">
      <c r="A389" s="58" t="str">
        <f>IF([1]weekly_demand!A390="","",[1]weekly_demand!A390)</f>
        <v/>
      </c>
      <c r="B389" s="59" t="str">
        <f>IF($A389="","",[1]weekly_demand!F390)</f>
        <v/>
      </c>
      <c r="C389" s="60" t="str">
        <f>IF($A389="","",[1]weekly_demand!H390)</f>
        <v/>
      </c>
      <c r="D389" s="61" t="str">
        <f>IF($A389="","",IF(SUMIFS([1]Fixture_Capacity_Input!$C:$C,[1]Fixture_Capacity_Input!$A:$A,$B389,[1]Fixture_Capacity_Input!$B:$B,$C389)&gt;0,SUMIFS([1]Fixture_Capacity_Input!$C:$C,[1]Fixture_Capacity_Input!$A:$A,$B389,[1]Fixture_Capacity_Input!$B:$B,$C389),[1]weekly_demand!G390))</f>
        <v/>
      </c>
      <c r="E389" s="62" t="str">
        <f>IF($A389="","",[1]weekly_demand!I390)</f>
        <v/>
      </c>
      <c r="F389" s="61" t="str">
        <f>IF($A389="","",IF($A389&lt;&gt;$A388,IFERROR(INDEX([1]FG_Begin_Inventory!$B:$B,MATCH($A389,[1]FG_Begin_Inventory!$A:$A,0)),0),J388))</f>
        <v/>
      </c>
      <c r="G389" s="61" t="str">
        <f t="shared" si="45"/>
        <v/>
      </c>
      <c r="H389" s="62" t="str">
        <f t="shared" si="46"/>
        <v/>
      </c>
      <c r="I389" s="62" t="str">
        <f t="shared" si="47"/>
        <v/>
      </c>
      <c r="J389" s="62" t="str">
        <f t="shared" si="48"/>
        <v/>
      </c>
      <c r="K389" s="62" t="str">
        <f t="shared" si="49"/>
        <v/>
      </c>
      <c r="L389" s="62" t="str">
        <f t="shared" si="50"/>
        <v/>
      </c>
      <c r="M389" s="63" t="str">
        <f t="shared" si="51"/>
        <v/>
      </c>
      <c r="N389" s="64"/>
    </row>
    <row r="390" spans="1:14" x14ac:dyDescent="0.3">
      <c r="A390" s="58" t="str">
        <f>IF([1]weekly_demand!A391="","",[1]weekly_demand!A391)</f>
        <v/>
      </c>
      <c r="B390" s="59" t="str">
        <f>IF($A390="","",[1]weekly_demand!F391)</f>
        <v/>
      </c>
      <c r="C390" s="60" t="str">
        <f>IF($A390="","",[1]weekly_demand!H391)</f>
        <v/>
      </c>
      <c r="D390" s="61" t="str">
        <f>IF($A390="","",IF(SUMIFS([1]Fixture_Capacity_Input!$C:$C,[1]Fixture_Capacity_Input!$A:$A,$B390,[1]Fixture_Capacity_Input!$B:$B,$C390)&gt;0,SUMIFS([1]Fixture_Capacity_Input!$C:$C,[1]Fixture_Capacity_Input!$A:$A,$B390,[1]Fixture_Capacity_Input!$B:$B,$C390),[1]weekly_demand!G391))</f>
        <v/>
      </c>
      <c r="E390" s="62" t="str">
        <f>IF($A390="","",[1]weekly_demand!I391)</f>
        <v/>
      </c>
      <c r="F390" s="61" t="str">
        <f>IF($A390="","",IF($A390&lt;&gt;$A389,IFERROR(INDEX([1]FG_Begin_Inventory!$B:$B,MATCH($A390,[1]FG_Begin_Inventory!$A:$A,0)),0),J389))</f>
        <v/>
      </c>
      <c r="G390" s="61" t="str">
        <f t="shared" si="45"/>
        <v/>
      </c>
      <c r="H390" s="62" t="str">
        <f t="shared" si="46"/>
        <v/>
      </c>
      <c r="I390" s="62" t="str">
        <f t="shared" si="47"/>
        <v/>
      </c>
      <c r="J390" s="62" t="str">
        <f t="shared" si="48"/>
        <v/>
      </c>
      <c r="K390" s="62" t="str">
        <f t="shared" si="49"/>
        <v/>
      </c>
      <c r="L390" s="62" t="str">
        <f t="shared" si="50"/>
        <v/>
      </c>
      <c r="M390" s="63" t="str">
        <f t="shared" si="51"/>
        <v/>
      </c>
      <c r="N390" s="64"/>
    </row>
    <row r="391" spans="1:14" x14ac:dyDescent="0.3">
      <c r="A391" s="58" t="str">
        <f>IF([1]weekly_demand!A392="","",[1]weekly_demand!A392)</f>
        <v/>
      </c>
      <c r="B391" s="59" t="str">
        <f>IF($A391="","",[1]weekly_demand!F392)</f>
        <v/>
      </c>
      <c r="C391" s="60" t="str">
        <f>IF($A391="","",[1]weekly_demand!H392)</f>
        <v/>
      </c>
      <c r="D391" s="61" t="str">
        <f>IF($A391="","",IF(SUMIFS([1]Fixture_Capacity_Input!$C:$C,[1]Fixture_Capacity_Input!$A:$A,$B391,[1]Fixture_Capacity_Input!$B:$B,$C391)&gt;0,SUMIFS([1]Fixture_Capacity_Input!$C:$C,[1]Fixture_Capacity_Input!$A:$A,$B391,[1]Fixture_Capacity_Input!$B:$B,$C391),[1]weekly_demand!G392))</f>
        <v/>
      </c>
      <c r="E391" s="62" t="str">
        <f>IF($A391="","",[1]weekly_demand!I392)</f>
        <v/>
      </c>
      <c r="F391" s="61" t="str">
        <f>IF($A391="","",IF($A391&lt;&gt;$A390,IFERROR(INDEX([1]FG_Begin_Inventory!$B:$B,MATCH($A391,[1]FG_Begin_Inventory!$A:$A,0)),0),J390))</f>
        <v/>
      </c>
      <c r="G391" s="61" t="str">
        <f t="shared" si="45"/>
        <v/>
      </c>
      <c r="H391" s="62" t="str">
        <f t="shared" si="46"/>
        <v/>
      </c>
      <c r="I391" s="62" t="str">
        <f t="shared" si="47"/>
        <v/>
      </c>
      <c r="J391" s="62" t="str">
        <f t="shared" si="48"/>
        <v/>
      </c>
      <c r="K391" s="62" t="str">
        <f t="shared" si="49"/>
        <v/>
      </c>
      <c r="L391" s="62" t="str">
        <f t="shared" si="50"/>
        <v/>
      </c>
      <c r="M391" s="63" t="str">
        <f t="shared" si="51"/>
        <v/>
      </c>
      <c r="N391" s="64"/>
    </row>
    <row r="392" spans="1:14" x14ac:dyDescent="0.3">
      <c r="A392" s="58" t="str">
        <f>IF([1]weekly_demand!A393="","",[1]weekly_demand!A393)</f>
        <v/>
      </c>
      <c r="B392" s="59" t="str">
        <f>IF($A392="","",[1]weekly_demand!F393)</f>
        <v/>
      </c>
      <c r="C392" s="60" t="str">
        <f>IF($A392="","",[1]weekly_demand!H393)</f>
        <v/>
      </c>
      <c r="D392" s="61" t="str">
        <f>IF($A392="","",IF(SUMIFS([1]Fixture_Capacity_Input!$C:$C,[1]Fixture_Capacity_Input!$A:$A,$B392,[1]Fixture_Capacity_Input!$B:$B,$C392)&gt;0,SUMIFS([1]Fixture_Capacity_Input!$C:$C,[1]Fixture_Capacity_Input!$A:$A,$B392,[1]Fixture_Capacity_Input!$B:$B,$C392),[1]weekly_demand!G393))</f>
        <v/>
      </c>
      <c r="E392" s="62" t="str">
        <f>IF($A392="","",[1]weekly_demand!I393)</f>
        <v/>
      </c>
      <c r="F392" s="61" t="str">
        <f>IF($A392="","",IF($A392&lt;&gt;$A391,IFERROR(INDEX([1]FG_Begin_Inventory!$B:$B,MATCH($A392,[1]FG_Begin_Inventory!$A:$A,0)),0),J391))</f>
        <v/>
      </c>
      <c r="G392" s="61" t="str">
        <f t="shared" si="45"/>
        <v/>
      </c>
      <c r="H392" s="62" t="str">
        <f t="shared" si="46"/>
        <v/>
      </c>
      <c r="I392" s="62" t="str">
        <f t="shared" si="47"/>
        <v/>
      </c>
      <c r="J392" s="62" t="str">
        <f t="shared" si="48"/>
        <v/>
      </c>
      <c r="K392" s="62" t="str">
        <f t="shared" si="49"/>
        <v/>
      </c>
      <c r="L392" s="62" t="str">
        <f t="shared" si="50"/>
        <v/>
      </c>
      <c r="M392" s="63" t="str">
        <f t="shared" si="51"/>
        <v/>
      </c>
      <c r="N392" s="64"/>
    </row>
    <row r="393" spans="1:14" x14ac:dyDescent="0.3">
      <c r="A393" s="58" t="str">
        <f>IF([1]weekly_demand!A394="","",[1]weekly_demand!A394)</f>
        <v/>
      </c>
      <c r="B393" s="59" t="str">
        <f>IF($A393="","",[1]weekly_demand!F394)</f>
        <v/>
      </c>
      <c r="C393" s="60" t="str">
        <f>IF($A393="","",[1]weekly_demand!H394)</f>
        <v/>
      </c>
      <c r="D393" s="61" t="str">
        <f>IF($A393="","",IF(SUMIFS([1]Fixture_Capacity_Input!$C:$C,[1]Fixture_Capacity_Input!$A:$A,$B393,[1]Fixture_Capacity_Input!$B:$B,$C393)&gt;0,SUMIFS([1]Fixture_Capacity_Input!$C:$C,[1]Fixture_Capacity_Input!$A:$A,$B393,[1]Fixture_Capacity_Input!$B:$B,$C393),[1]weekly_demand!G394))</f>
        <v/>
      </c>
      <c r="E393" s="62" t="str">
        <f>IF($A393="","",[1]weekly_demand!I394)</f>
        <v/>
      </c>
      <c r="F393" s="61" t="str">
        <f>IF($A393="","",IF($A393&lt;&gt;$A392,IFERROR(INDEX([1]FG_Begin_Inventory!$B:$B,MATCH($A393,[1]FG_Begin_Inventory!$A:$A,0)),0),J392))</f>
        <v/>
      </c>
      <c r="G393" s="61" t="str">
        <f t="shared" si="45"/>
        <v/>
      </c>
      <c r="H393" s="62" t="str">
        <f t="shared" si="46"/>
        <v/>
      </c>
      <c r="I393" s="62" t="str">
        <f t="shared" si="47"/>
        <v/>
      </c>
      <c r="J393" s="62" t="str">
        <f t="shared" si="48"/>
        <v/>
      </c>
      <c r="K393" s="62" t="str">
        <f t="shared" si="49"/>
        <v/>
      </c>
      <c r="L393" s="62" t="str">
        <f t="shared" si="50"/>
        <v/>
      </c>
      <c r="M393" s="63" t="str">
        <f t="shared" si="51"/>
        <v/>
      </c>
      <c r="N393" s="64"/>
    </row>
    <row r="394" spans="1:14" x14ac:dyDescent="0.3">
      <c r="A394" s="58" t="str">
        <f>IF([1]weekly_demand!A395="","",[1]weekly_demand!A395)</f>
        <v/>
      </c>
      <c r="B394" s="59" t="str">
        <f>IF($A394="","",[1]weekly_demand!F395)</f>
        <v/>
      </c>
      <c r="C394" s="60" t="str">
        <f>IF($A394="","",[1]weekly_demand!H395)</f>
        <v/>
      </c>
      <c r="D394" s="61" t="str">
        <f>IF($A394="","",IF(SUMIFS([1]Fixture_Capacity_Input!$C:$C,[1]Fixture_Capacity_Input!$A:$A,$B394,[1]Fixture_Capacity_Input!$B:$B,$C394)&gt;0,SUMIFS([1]Fixture_Capacity_Input!$C:$C,[1]Fixture_Capacity_Input!$A:$A,$B394,[1]Fixture_Capacity_Input!$B:$B,$C394),[1]weekly_demand!G395))</f>
        <v/>
      </c>
      <c r="E394" s="62" t="str">
        <f>IF($A394="","",[1]weekly_demand!I395)</f>
        <v/>
      </c>
      <c r="F394" s="61" t="str">
        <f>IF($A394="","",IF($A394&lt;&gt;$A393,IFERROR(INDEX([1]FG_Begin_Inventory!$B:$B,MATCH($A394,[1]FG_Begin_Inventory!$A:$A,0)),0),J393))</f>
        <v/>
      </c>
      <c r="G394" s="61" t="str">
        <f t="shared" si="45"/>
        <v/>
      </c>
      <c r="H394" s="62" t="str">
        <f t="shared" si="46"/>
        <v/>
      </c>
      <c r="I394" s="62" t="str">
        <f t="shared" si="47"/>
        <v/>
      </c>
      <c r="J394" s="62" t="str">
        <f t="shared" si="48"/>
        <v/>
      </c>
      <c r="K394" s="62" t="str">
        <f t="shared" si="49"/>
        <v/>
      </c>
      <c r="L394" s="62" t="str">
        <f t="shared" si="50"/>
        <v/>
      </c>
      <c r="M394" s="63" t="str">
        <f t="shared" si="51"/>
        <v/>
      </c>
      <c r="N394" s="64"/>
    </row>
    <row r="395" spans="1:14" x14ac:dyDescent="0.3">
      <c r="A395" s="58" t="str">
        <f>IF([1]weekly_demand!A396="","",[1]weekly_demand!A396)</f>
        <v/>
      </c>
      <c r="B395" s="59" t="str">
        <f>IF($A395="","",[1]weekly_demand!F396)</f>
        <v/>
      </c>
      <c r="C395" s="60" t="str">
        <f>IF($A395="","",[1]weekly_demand!H396)</f>
        <v/>
      </c>
      <c r="D395" s="61" t="str">
        <f>IF($A395="","",IF(SUMIFS([1]Fixture_Capacity_Input!$C:$C,[1]Fixture_Capacity_Input!$A:$A,$B395,[1]Fixture_Capacity_Input!$B:$B,$C395)&gt;0,SUMIFS([1]Fixture_Capacity_Input!$C:$C,[1]Fixture_Capacity_Input!$A:$A,$B395,[1]Fixture_Capacity_Input!$B:$B,$C395),[1]weekly_demand!G396))</f>
        <v/>
      </c>
      <c r="E395" s="62" t="str">
        <f>IF($A395="","",[1]weekly_demand!I396)</f>
        <v/>
      </c>
      <c r="F395" s="61" t="str">
        <f>IF($A395="","",IF($A395&lt;&gt;$A394,IFERROR(INDEX([1]FG_Begin_Inventory!$B:$B,MATCH($A395,[1]FG_Begin_Inventory!$A:$A,0)),0),J394))</f>
        <v/>
      </c>
      <c r="G395" s="61" t="str">
        <f t="shared" si="45"/>
        <v/>
      </c>
      <c r="H395" s="62" t="str">
        <f t="shared" si="46"/>
        <v/>
      </c>
      <c r="I395" s="62" t="str">
        <f t="shared" si="47"/>
        <v/>
      </c>
      <c r="J395" s="62" t="str">
        <f t="shared" si="48"/>
        <v/>
      </c>
      <c r="K395" s="62" t="str">
        <f t="shared" si="49"/>
        <v/>
      </c>
      <c r="L395" s="62" t="str">
        <f t="shared" si="50"/>
        <v/>
      </c>
      <c r="M395" s="63" t="str">
        <f t="shared" si="51"/>
        <v/>
      </c>
      <c r="N395" s="64"/>
    </row>
    <row r="396" spans="1:14" x14ac:dyDescent="0.3">
      <c r="A396" s="58" t="str">
        <f>IF([1]weekly_demand!A397="","",[1]weekly_demand!A397)</f>
        <v/>
      </c>
      <c r="B396" s="59" t="str">
        <f>IF($A396="","",[1]weekly_demand!F397)</f>
        <v/>
      </c>
      <c r="C396" s="60" t="str">
        <f>IF($A396="","",[1]weekly_demand!H397)</f>
        <v/>
      </c>
      <c r="D396" s="61" t="str">
        <f>IF($A396="","",IF(SUMIFS([1]Fixture_Capacity_Input!$C:$C,[1]Fixture_Capacity_Input!$A:$A,$B396,[1]Fixture_Capacity_Input!$B:$B,$C396)&gt;0,SUMIFS([1]Fixture_Capacity_Input!$C:$C,[1]Fixture_Capacity_Input!$A:$A,$B396,[1]Fixture_Capacity_Input!$B:$B,$C396),[1]weekly_demand!G397))</f>
        <v/>
      </c>
      <c r="E396" s="62" t="str">
        <f>IF($A396="","",[1]weekly_demand!I397)</f>
        <v/>
      </c>
      <c r="F396" s="61" t="str">
        <f>IF($A396="","",IF($A396&lt;&gt;$A395,IFERROR(INDEX([1]FG_Begin_Inventory!$B:$B,MATCH($A396,[1]FG_Begin_Inventory!$A:$A,0)),0),J395))</f>
        <v/>
      </c>
      <c r="G396" s="61" t="str">
        <f t="shared" si="45"/>
        <v/>
      </c>
      <c r="H396" s="62" t="str">
        <f t="shared" si="46"/>
        <v/>
      </c>
      <c r="I396" s="62" t="str">
        <f t="shared" si="47"/>
        <v/>
      </c>
      <c r="J396" s="62" t="str">
        <f t="shared" si="48"/>
        <v/>
      </c>
      <c r="K396" s="62" t="str">
        <f t="shared" si="49"/>
        <v/>
      </c>
      <c r="L396" s="62" t="str">
        <f t="shared" si="50"/>
        <v/>
      </c>
      <c r="M396" s="63" t="str">
        <f t="shared" si="51"/>
        <v/>
      </c>
      <c r="N396" s="64"/>
    </row>
    <row r="397" spans="1:14" x14ac:dyDescent="0.3">
      <c r="A397" s="58" t="str">
        <f>IF([1]weekly_demand!A398="","",[1]weekly_demand!A398)</f>
        <v/>
      </c>
      <c r="B397" s="59" t="str">
        <f>IF($A397="","",[1]weekly_demand!F398)</f>
        <v/>
      </c>
      <c r="C397" s="60" t="str">
        <f>IF($A397="","",[1]weekly_demand!H398)</f>
        <v/>
      </c>
      <c r="D397" s="61" t="str">
        <f>IF($A397="","",IF(SUMIFS([1]Fixture_Capacity_Input!$C:$C,[1]Fixture_Capacity_Input!$A:$A,$B397,[1]Fixture_Capacity_Input!$B:$B,$C397)&gt;0,SUMIFS([1]Fixture_Capacity_Input!$C:$C,[1]Fixture_Capacity_Input!$A:$A,$B397,[1]Fixture_Capacity_Input!$B:$B,$C397),[1]weekly_demand!G398))</f>
        <v/>
      </c>
      <c r="E397" s="62" t="str">
        <f>IF($A397="","",[1]weekly_demand!I398)</f>
        <v/>
      </c>
      <c r="F397" s="61" t="str">
        <f>IF($A397="","",IF($A397&lt;&gt;$A396,IFERROR(INDEX([1]FG_Begin_Inventory!$B:$B,MATCH($A397,[1]FG_Begin_Inventory!$A:$A,0)),0),J396))</f>
        <v/>
      </c>
      <c r="G397" s="61" t="str">
        <f t="shared" si="45"/>
        <v/>
      </c>
      <c r="H397" s="62" t="str">
        <f t="shared" si="46"/>
        <v/>
      </c>
      <c r="I397" s="62" t="str">
        <f t="shared" si="47"/>
        <v/>
      </c>
      <c r="J397" s="62" t="str">
        <f t="shared" si="48"/>
        <v/>
      </c>
      <c r="K397" s="62" t="str">
        <f t="shared" si="49"/>
        <v/>
      </c>
      <c r="L397" s="62" t="str">
        <f t="shared" si="50"/>
        <v/>
      </c>
      <c r="M397" s="63" t="str">
        <f t="shared" si="51"/>
        <v/>
      </c>
      <c r="N397" s="64"/>
    </row>
    <row r="398" spans="1:14" x14ac:dyDescent="0.3">
      <c r="A398" s="58" t="str">
        <f>IF([1]weekly_demand!A399="","",[1]weekly_demand!A399)</f>
        <v/>
      </c>
      <c r="B398" s="59" t="str">
        <f>IF($A398="","",[1]weekly_demand!F399)</f>
        <v/>
      </c>
      <c r="C398" s="60" t="str">
        <f>IF($A398="","",[1]weekly_demand!H399)</f>
        <v/>
      </c>
      <c r="D398" s="61" t="str">
        <f>IF($A398="","",IF(SUMIFS([1]Fixture_Capacity_Input!$C:$C,[1]Fixture_Capacity_Input!$A:$A,$B398,[1]Fixture_Capacity_Input!$B:$B,$C398)&gt;0,SUMIFS([1]Fixture_Capacity_Input!$C:$C,[1]Fixture_Capacity_Input!$A:$A,$B398,[1]Fixture_Capacity_Input!$B:$B,$C398),[1]weekly_demand!G399))</f>
        <v/>
      </c>
      <c r="E398" s="62" t="str">
        <f>IF($A398="","",[1]weekly_demand!I399)</f>
        <v/>
      </c>
      <c r="F398" s="61" t="str">
        <f>IF($A398="","",IF($A398&lt;&gt;$A397,IFERROR(INDEX([1]FG_Begin_Inventory!$B:$B,MATCH($A398,[1]FG_Begin_Inventory!$A:$A,0)),0),J397))</f>
        <v/>
      </c>
      <c r="G398" s="61" t="str">
        <f t="shared" si="45"/>
        <v/>
      </c>
      <c r="H398" s="62" t="str">
        <f t="shared" si="46"/>
        <v/>
      </c>
      <c r="I398" s="62" t="str">
        <f t="shared" si="47"/>
        <v/>
      </c>
      <c r="J398" s="62" t="str">
        <f t="shared" si="48"/>
        <v/>
      </c>
      <c r="K398" s="62" t="str">
        <f t="shared" si="49"/>
        <v/>
      </c>
      <c r="L398" s="62" t="str">
        <f t="shared" si="50"/>
        <v/>
      </c>
      <c r="M398" s="63" t="str">
        <f t="shared" si="51"/>
        <v/>
      </c>
      <c r="N398" s="64"/>
    </row>
    <row r="399" spans="1:14" x14ac:dyDescent="0.3">
      <c r="A399" s="58" t="str">
        <f>IF([1]weekly_demand!A400="","",[1]weekly_demand!A400)</f>
        <v/>
      </c>
      <c r="B399" s="59" t="str">
        <f>IF($A399="","",[1]weekly_demand!F400)</f>
        <v/>
      </c>
      <c r="C399" s="60" t="str">
        <f>IF($A399="","",[1]weekly_demand!H400)</f>
        <v/>
      </c>
      <c r="D399" s="61" t="str">
        <f>IF($A399="","",IF(SUMIFS([1]Fixture_Capacity_Input!$C:$C,[1]Fixture_Capacity_Input!$A:$A,$B399,[1]Fixture_Capacity_Input!$B:$B,$C399)&gt;0,SUMIFS([1]Fixture_Capacity_Input!$C:$C,[1]Fixture_Capacity_Input!$A:$A,$B399,[1]Fixture_Capacity_Input!$B:$B,$C399),[1]weekly_demand!G400))</f>
        <v/>
      </c>
      <c r="E399" s="62" t="str">
        <f>IF($A399="","",[1]weekly_demand!I400)</f>
        <v/>
      </c>
      <c r="F399" s="61" t="str">
        <f>IF($A399="","",IF($A399&lt;&gt;$A398,IFERROR(INDEX([1]FG_Begin_Inventory!$B:$B,MATCH($A399,[1]FG_Begin_Inventory!$A:$A,0)),0),J398))</f>
        <v/>
      </c>
      <c r="G399" s="61" t="str">
        <f t="shared" si="45"/>
        <v/>
      </c>
      <c r="H399" s="62" t="str">
        <f t="shared" si="46"/>
        <v/>
      </c>
      <c r="I399" s="62" t="str">
        <f t="shared" si="47"/>
        <v/>
      </c>
      <c r="J399" s="62" t="str">
        <f t="shared" si="48"/>
        <v/>
      </c>
      <c r="K399" s="62" t="str">
        <f t="shared" si="49"/>
        <v/>
      </c>
      <c r="L399" s="62" t="str">
        <f t="shared" si="50"/>
        <v/>
      </c>
      <c r="M399" s="63" t="str">
        <f t="shared" si="51"/>
        <v/>
      </c>
      <c r="N399" s="64"/>
    </row>
    <row r="400" spans="1:14" x14ac:dyDescent="0.3">
      <c r="A400" s="58" t="str">
        <f>IF([1]weekly_demand!A401="","",[1]weekly_demand!A401)</f>
        <v/>
      </c>
      <c r="B400" s="59" t="str">
        <f>IF($A400="","",[1]weekly_demand!F401)</f>
        <v/>
      </c>
      <c r="C400" s="60" t="str">
        <f>IF($A400="","",[1]weekly_demand!H401)</f>
        <v/>
      </c>
      <c r="D400" s="61" t="str">
        <f>IF($A400="","",IF(SUMIFS([1]Fixture_Capacity_Input!$C:$C,[1]Fixture_Capacity_Input!$A:$A,$B400,[1]Fixture_Capacity_Input!$B:$B,$C400)&gt;0,SUMIFS([1]Fixture_Capacity_Input!$C:$C,[1]Fixture_Capacity_Input!$A:$A,$B400,[1]Fixture_Capacity_Input!$B:$B,$C400),[1]weekly_demand!G401))</f>
        <v/>
      </c>
      <c r="E400" s="62" t="str">
        <f>IF($A400="","",[1]weekly_demand!I401)</f>
        <v/>
      </c>
      <c r="F400" s="61" t="str">
        <f>IF($A400="","",IF($A400&lt;&gt;$A399,IFERROR(INDEX([1]FG_Begin_Inventory!$B:$B,MATCH($A400,[1]FG_Begin_Inventory!$A:$A,0)),0),J399))</f>
        <v/>
      </c>
      <c r="G400" s="61" t="str">
        <f t="shared" si="45"/>
        <v/>
      </c>
      <c r="H400" s="62" t="str">
        <f t="shared" si="46"/>
        <v/>
      </c>
      <c r="I400" s="62" t="str">
        <f t="shared" si="47"/>
        <v/>
      </c>
      <c r="J400" s="62" t="str">
        <f t="shared" si="48"/>
        <v/>
      </c>
      <c r="K400" s="62" t="str">
        <f t="shared" si="49"/>
        <v/>
      </c>
      <c r="L400" s="62" t="str">
        <f t="shared" si="50"/>
        <v/>
      </c>
      <c r="M400" s="63" t="str">
        <f t="shared" si="51"/>
        <v/>
      </c>
      <c r="N400" s="64"/>
    </row>
    <row r="401" spans="1:14" x14ac:dyDescent="0.3">
      <c r="A401" s="58" t="str">
        <f>IF([1]weekly_demand!A402="","",[1]weekly_demand!A402)</f>
        <v/>
      </c>
      <c r="B401" s="59" t="str">
        <f>IF($A401="","",[1]weekly_demand!F402)</f>
        <v/>
      </c>
      <c r="C401" s="60" t="str">
        <f>IF($A401="","",[1]weekly_demand!H402)</f>
        <v/>
      </c>
      <c r="D401" s="61" t="str">
        <f>IF($A401="","",IF(SUMIFS([1]Fixture_Capacity_Input!$C:$C,[1]Fixture_Capacity_Input!$A:$A,$B401,[1]Fixture_Capacity_Input!$B:$B,$C401)&gt;0,SUMIFS([1]Fixture_Capacity_Input!$C:$C,[1]Fixture_Capacity_Input!$A:$A,$B401,[1]Fixture_Capacity_Input!$B:$B,$C401),[1]weekly_demand!G402))</f>
        <v/>
      </c>
      <c r="E401" s="62" t="str">
        <f>IF($A401="","",[1]weekly_demand!I402)</f>
        <v/>
      </c>
      <c r="F401" s="61" t="str">
        <f>IF($A401="","",IF($A401&lt;&gt;$A400,IFERROR(INDEX([1]FG_Begin_Inventory!$B:$B,MATCH($A401,[1]FG_Begin_Inventory!$A:$A,0)),0),J400))</f>
        <v/>
      </c>
      <c r="G401" s="61" t="str">
        <f t="shared" si="45"/>
        <v/>
      </c>
      <c r="H401" s="62" t="str">
        <f t="shared" si="46"/>
        <v/>
      </c>
      <c r="I401" s="62" t="str">
        <f t="shared" si="47"/>
        <v/>
      </c>
      <c r="J401" s="62" t="str">
        <f t="shared" si="48"/>
        <v/>
      </c>
      <c r="K401" s="62" t="str">
        <f t="shared" si="49"/>
        <v/>
      </c>
      <c r="L401" s="62" t="str">
        <f t="shared" si="50"/>
        <v/>
      </c>
      <c r="M401" s="63" t="str">
        <f t="shared" si="51"/>
        <v/>
      </c>
      <c r="N401" s="64"/>
    </row>
    <row r="402" spans="1:14" x14ac:dyDescent="0.3">
      <c r="A402" s="58" t="str">
        <f>IF([1]weekly_demand!A403="","",[1]weekly_demand!A403)</f>
        <v/>
      </c>
      <c r="B402" s="59" t="str">
        <f>IF($A402="","",[1]weekly_demand!F403)</f>
        <v/>
      </c>
      <c r="C402" s="60" t="str">
        <f>IF($A402="","",[1]weekly_demand!H403)</f>
        <v/>
      </c>
      <c r="D402" s="61" t="str">
        <f>IF($A402="","",IF(SUMIFS([1]Fixture_Capacity_Input!$C:$C,[1]Fixture_Capacity_Input!$A:$A,$B402,[1]Fixture_Capacity_Input!$B:$B,$C402)&gt;0,SUMIFS([1]Fixture_Capacity_Input!$C:$C,[1]Fixture_Capacity_Input!$A:$A,$B402,[1]Fixture_Capacity_Input!$B:$B,$C402),[1]weekly_demand!G403))</f>
        <v/>
      </c>
      <c r="E402" s="62" t="str">
        <f>IF($A402="","",[1]weekly_demand!I403)</f>
        <v/>
      </c>
      <c r="F402" s="61" t="str">
        <f>IF($A402="","",IF($A402&lt;&gt;$A401,IFERROR(INDEX([1]FG_Begin_Inventory!$B:$B,MATCH($A402,[1]FG_Begin_Inventory!$A:$A,0)),0),J401))</f>
        <v/>
      </c>
      <c r="G402" s="61" t="str">
        <f t="shared" si="45"/>
        <v/>
      </c>
      <c r="H402" s="62" t="str">
        <f t="shared" si="46"/>
        <v/>
      </c>
      <c r="I402" s="62" t="str">
        <f t="shared" si="47"/>
        <v/>
      </c>
      <c r="J402" s="62" t="str">
        <f t="shared" si="48"/>
        <v/>
      </c>
      <c r="K402" s="62" t="str">
        <f t="shared" si="49"/>
        <v/>
      </c>
      <c r="L402" s="62" t="str">
        <f t="shared" si="50"/>
        <v/>
      </c>
      <c r="M402" s="63" t="str">
        <f t="shared" si="51"/>
        <v/>
      </c>
      <c r="N402" s="64"/>
    </row>
    <row r="403" spans="1:14" x14ac:dyDescent="0.3">
      <c r="A403" s="58" t="str">
        <f>IF([1]weekly_demand!A404="","",[1]weekly_demand!A404)</f>
        <v/>
      </c>
      <c r="B403" s="59" t="str">
        <f>IF($A403="","",[1]weekly_demand!F404)</f>
        <v/>
      </c>
      <c r="C403" s="60" t="str">
        <f>IF($A403="","",[1]weekly_demand!H404)</f>
        <v/>
      </c>
      <c r="D403" s="61" t="str">
        <f>IF($A403="","",IF(SUMIFS([1]Fixture_Capacity_Input!$C:$C,[1]Fixture_Capacity_Input!$A:$A,$B403,[1]Fixture_Capacity_Input!$B:$B,$C403)&gt;0,SUMIFS([1]Fixture_Capacity_Input!$C:$C,[1]Fixture_Capacity_Input!$A:$A,$B403,[1]Fixture_Capacity_Input!$B:$B,$C403),[1]weekly_demand!G404))</f>
        <v/>
      </c>
      <c r="E403" s="62" t="str">
        <f>IF($A403="","",[1]weekly_demand!I404)</f>
        <v/>
      </c>
      <c r="F403" s="61" t="str">
        <f>IF($A403="","",IF($A403&lt;&gt;$A402,IFERROR(INDEX([1]FG_Begin_Inventory!$B:$B,MATCH($A403,[1]FG_Begin_Inventory!$A:$A,0)),0),J402))</f>
        <v/>
      </c>
      <c r="G403" s="61" t="str">
        <f t="shared" si="45"/>
        <v/>
      </c>
      <c r="H403" s="62" t="str">
        <f t="shared" si="46"/>
        <v/>
      </c>
      <c r="I403" s="62" t="str">
        <f t="shared" si="47"/>
        <v/>
      </c>
      <c r="J403" s="62" t="str">
        <f t="shared" si="48"/>
        <v/>
      </c>
      <c r="K403" s="62" t="str">
        <f t="shared" si="49"/>
        <v/>
      </c>
      <c r="L403" s="62" t="str">
        <f t="shared" si="50"/>
        <v/>
      </c>
      <c r="M403" s="63" t="str">
        <f t="shared" si="51"/>
        <v/>
      </c>
      <c r="N403" s="64"/>
    </row>
    <row r="404" spans="1:14" x14ac:dyDescent="0.3">
      <c r="A404" s="58" t="str">
        <f>IF([1]weekly_demand!A405="","",[1]weekly_demand!A405)</f>
        <v/>
      </c>
      <c r="B404" s="59" t="str">
        <f>IF($A404="","",[1]weekly_demand!F405)</f>
        <v/>
      </c>
      <c r="C404" s="60" t="str">
        <f>IF($A404="","",[1]weekly_demand!H405)</f>
        <v/>
      </c>
      <c r="D404" s="61" t="str">
        <f>IF($A404="","",IF(SUMIFS([1]Fixture_Capacity_Input!$C:$C,[1]Fixture_Capacity_Input!$A:$A,$B404,[1]Fixture_Capacity_Input!$B:$B,$C404)&gt;0,SUMIFS([1]Fixture_Capacity_Input!$C:$C,[1]Fixture_Capacity_Input!$A:$A,$B404,[1]Fixture_Capacity_Input!$B:$B,$C404),[1]weekly_demand!G405))</f>
        <v/>
      </c>
      <c r="E404" s="62" t="str">
        <f>IF($A404="","",[1]weekly_demand!I405)</f>
        <v/>
      </c>
      <c r="F404" s="61" t="str">
        <f>IF($A404="","",IF($A404&lt;&gt;$A403,IFERROR(INDEX([1]FG_Begin_Inventory!$B:$B,MATCH($A404,[1]FG_Begin_Inventory!$A:$A,0)),0),J403))</f>
        <v/>
      </c>
      <c r="G404" s="61" t="str">
        <f t="shared" si="45"/>
        <v/>
      </c>
      <c r="H404" s="62" t="str">
        <f t="shared" si="46"/>
        <v/>
      </c>
      <c r="I404" s="62" t="str">
        <f t="shared" si="47"/>
        <v/>
      </c>
      <c r="J404" s="62" t="str">
        <f t="shared" si="48"/>
        <v/>
      </c>
      <c r="K404" s="62" t="str">
        <f t="shared" si="49"/>
        <v/>
      </c>
      <c r="L404" s="62" t="str">
        <f t="shared" si="50"/>
        <v/>
      </c>
      <c r="M404" s="63" t="str">
        <f t="shared" si="51"/>
        <v/>
      </c>
      <c r="N404" s="64"/>
    </row>
    <row r="405" spans="1:14" x14ac:dyDescent="0.3">
      <c r="A405" s="58" t="str">
        <f>IF([1]weekly_demand!A406="","",[1]weekly_demand!A406)</f>
        <v/>
      </c>
      <c r="B405" s="59" t="str">
        <f>IF($A405="","",[1]weekly_demand!F406)</f>
        <v/>
      </c>
      <c r="C405" s="60" t="str">
        <f>IF($A405="","",[1]weekly_demand!H406)</f>
        <v/>
      </c>
      <c r="D405" s="61" t="str">
        <f>IF($A405="","",IF(SUMIFS([1]Fixture_Capacity_Input!$C:$C,[1]Fixture_Capacity_Input!$A:$A,$B405,[1]Fixture_Capacity_Input!$B:$B,$C405)&gt;0,SUMIFS([1]Fixture_Capacity_Input!$C:$C,[1]Fixture_Capacity_Input!$A:$A,$B405,[1]Fixture_Capacity_Input!$B:$B,$C405),[1]weekly_demand!G406))</f>
        <v/>
      </c>
      <c r="E405" s="62" t="str">
        <f>IF($A405="","",[1]weekly_demand!I406)</f>
        <v/>
      </c>
      <c r="F405" s="61" t="str">
        <f>IF($A405="","",IF($A405&lt;&gt;$A404,IFERROR(INDEX([1]FG_Begin_Inventory!$B:$B,MATCH($A405,[1]FG_Begin_Inventory!$A:$A,0)),0),J404))</f>
        <v/>
      </c>
      <c r="G405" s="61" t="str">
        <f t="shared" si="45"/>
        <v/>
      </c>
      <c r="H405" s="62" t="str">
        <f t="shared" si="46"/>
        <v/>
      </c>
      <c r="I405" s="62" t="str">
        <f t="shared" si="47"/>
        <v/>
      </c>
      <c r="J405" s="62" t="str">
        <f t="shared" si="48"/>
        <v/>
      </c>
      <c r="K405" s="62" t="str">
        <f t="shared" si="49"/>
        <v/>
      </c>
      <c r="L405" s="62" t="str">
        <f t="shared" si="50"/>
        <v/>
      </c>
      <c r="M405" s="63" t="str">
        <f t="shared" si="51"/>
        <v/>
      </c>
      <c r="N405" s="64"/>
    </row>
    <row r="406" spans="1:14" x14ac:dyDescent="0.3">
      <c r="A406" s="58" t="str">
        <f>IF([1]weekly_demand!A407="","",[1]weekly_demand!A407)</f>
        <v/>
      </c>
      <c r="B406" s="59" t="str">
        <f>IF($A406="","",[1]weekly_demand!F407)</f>
        <v/>
      </c>
      <c r="C406" s="60" t="str">
        <f>IF($A406="","",[1]weekly_demand!H407)</f>
        <v/>
      </c>
      <c r="D406" s="61" t="str">
        <f>IF($A406="","",IF(SUMIFS([1]Fixture_Capacity_Input!$C:$C,[1]Fixture_Capacity_Input!$A:$A,$B406,[1]Fixture_Capacity_Input!$B:$B,$C406)&gt;0,SUMIFS([1]Fixture_Capacity_Input!$C:$C,[1]Fixture_Capacity_Input!$A:$A,$B406,[1]Fixture_Capacity_Input!$B:$B,$C406),[1]weekly_demand!G407))</f>
        <v/>
      </c>
      <c r="E406" s="62" t="str">
        <f>IF($A406="","",[1]weekly_demand!I407)</f>
        <v/>
      </c>
      <c r="F406" s="61" t="str">
        <f>IF($A406="","",IF($A406&lt;&gt;$A405,IFERROR(INDEX([1]FG_Begin_Inventory!$B:$B,MATCH($A406,[1]FG_Begin_Inventory!$A:$A,0)),0),J405))</f>
        <v/>
      </c>
      <c r="G406" s="61" t="str">
        <f t="shared" si="45"/>
        <v/>
      </c>
      <c r="H406" s="62" t="str">
        <f t="shared" si="46"/>
        <v/>
      </c>
      <c r="I406" s="62" t="str">
        <f t="shared" si="47"/>
        <v/>
      </c>
      <c r="J406" s="62" t="str">
        <f t="shared" si="48"/>
        <v/>
      </c>
      <c r="K406" s="62" t="str">
        <f t="shared" si="49"/>
        <v/>
      </c>
      <c r="L406" s="62" t="str">
        <f t="shared" si="50"/>
        <v/>
      </c>
      <c r="M406" s="63" t="str">
        <f t="shared" si="51"/>
        <v/>
      </c>
      <c r="N406" s="64"/>
    </row>
    <row r="407" spans="1:14" x14ac:dyDescent="0.3">
      <c r="A407" s="58" t="str">
        <f>IF([1]weekly_demand!A408="","",[1]weekly_demand!A408)</f>
        <v/>
      </c>
      <c r="B407" s="59" t="str">
        <f>IF($A407="","",[1]weekly_demand!F408)</f>
        <v/>
      </c>
      <c r="C407" s="60" t="str">
        <f>IF($A407="","",[1]weekly_demand!H408)</f>
        <v/>
      </c>
      <c r="D407" s="61" t="str">
        <f>IF($A407="","",IF(SUMIFS([1]Fixture_Capacity_Input!$C:$C,[1]Fixture_Capacity_Input!$A:$A,$B407,[1]Fixture_Capacity_Input!$B:$B,$C407)&gt;0,SUMIFS([1]Fixture_Capacity_Input!$C:$C,[1]Fixture_Capacity_Input!$A:$A,$B407,[1]Fixture_Capacity_Input!$B:$B,$C407),[1]weekly_demand!G408))</f>
        <v/>
      </c>
      <c r="E407" s="62" t="str">
        <f>IF($A407="","",[1]weekly_demand!I408)</f>
        <v/>
      </c>
      <c r="F407" s="61" t="str">
        <f>IF($A407="","",IF($A407&lt;&gt;$A406,IFERROR(INDEX([1]FG_Begin_Inventory!$B:$B,MATCH($A407,[1]FG_Begin_Inventory!$A:$A,0)),0),J406))</f>
        <v/>
      </c>
      <c r="G407" s="61" t="str">
        <f t="shared" si="45"/>
        <v/>
      </c>
      <c r="H407" s="62" t="str">
        <f t="shared" si="46"/>
        <v/>
      </c>
      <c r="I407" s="62" t="str">
        <f t="shared" si="47"/>
        <v/>
      </c>
      <c r="J407" s="62" t="str">
        <f t="shared" si="48"/>
        <v/>
      </c>
      <c r="K407" s="62" t="str">
        <f t="shared" si="49"/>
        <v/>
      </c>
      <c r="L407" s="62" t="str">
        <f t="shared" si="50"/>
        <v/>
      </c>
      <c r="M407" s="63" t="str">
        <f t="shared" si="51"/>
        <v/>
      </c>
      <c r="N407" s="64"/>
    </row>
    <row r="408" spans="1:14" x14ac:dyDescent="0.3">
      <c r="A408" s="58" t="str">
        <f>IF([1]weekly_demand!A409="","",[1]weekly_demand!A409)</f>
        <v/>
      </c>
      <c r="B408" s="59" t="str">
        <f>IF($A408="","",[1]weekly_demand!F409)</f>
        <v/>
      </c>
      <c r="C408" s="60" t="str">
        <f>IF($A408="","",[1]weekly_demand!H409)</f>
        <v/>
      </c>
      <c r="D408" s="61" t="str">
        <f>IF($A408="","",IF(SUMIFS([1]Fixture_Capacity_Input!$C:$C,[1]Fixture_Capacity_Input!$A:$A,$B408,[1]Fixture_Capacity_Input!$B:$B,$C408)&gt;0,SUMIFS([1]Fixture_Capacity_Input!$C:$C,[1]Fixture_Capacity_Input!$A:$A,$B408,[1]Fixture_Capacity_Input!$B:$B,$C408),[1]weekly_demand!G409))</f>
        <v/>
      </c>
      <c r="E408" s="62" t="str">
        <f>IF($A408="","",[1]weekly_demand!I409)</f>
        <v/>
      </c>
      <c r="F408" s="61" t="str">
        <f>IF($A408="","",IF($A408&lt;&gt;$A407,IFERROR(INDEX([1]FG_Begin_Inventory!$B:$B,MATCH($A408,[1]FG_Begin_Inventory!$A:$A,0)),0),J407))</f>
        <v/>
      </c>
      <c r="G408" s="61" t="str">
        <f t="shared" si="45"/>
        <v/>
      </c>
      <c r="H408" s="62" t="str">
        <f t="shared" si="46"/>
        <v/>
      </c>
      <c r="I408" s="62" t="str">
        <f t="shared" si="47"/>
        <v/>
      </c>
      <c r="J408" s="62" t="str">
        <f t="shared" si="48"/>
        <v/>
      </c>
      <c r="K408" s="62" t="str">
        <f t="shared" si="49"/>
        <v/>
      </c>
      <c r="L408" s="62" t="str">
        <f t="shared" si="50"/>
        <v/>
      </c>
      <c r="M408" s="63" t="str">
        <f t="shared" si="51"/>
        <v/>
      </c>
      <c r="N408" s="64"/>
    </row>
    <row r="409" spans="1:14" x14ac:dyDescent="0.3">
      <c r="A409" s="58" t="str">
        <f>IF([1]weekly_demand!A410="","",[1]weekly_demand!A410)</f>
        <v/>
      </c>
      <c r="B409" s="59" t="str">
        <f>IF($A409="","",[1]weekly_demand!F410)</f>
        <v/>
      </c>
      <c r="C409" s="60" t="str">
        <f>IF($A409="","",[1]weekly_demand!H410)</f>
        <v/>
      </c>
      <c r="D409" s="61" t="str">
        <f>IF($A409="","",IF(SUMIFS([1]Fixture_Capacity_Input!$C:$C,[1]Fixture_Capacity_Input!$A:$A,$B409,[1]Fixture_Capacity_Input!$B:$B,$C409)&gt;0,SUMIFS([1]Fixture_Capacity_Input!$C:$C,[1]Fixture_Capacity_Input!$A:$A,$B409,[1]Fixture_Capacity_Input!$B:$B,$C409),[1]weekly_demand!G410))</f>
        <v/>
      </c>
      <c r="E409" s="62" t="str">
        <f>IF($A409="","",[1]weekly_demand!I410)</f>
        <v/>
      </c>
      <c r="F409" s="61" t="str">
        <f>IF($A409="","",IF($A409&lt;&gt;$A408,IFERROR(INDEX([1]FG_Begin_Inventory!$B:$B,MATCH($A409,[1]FG_Begin_Inventory!$A:$A,0)),0),J408))</f>
        <v/>
      </c>
      <c r="G409" s="61" t="str">
        <f t="shared" si="45"/>
        <v/>
      </c>
      <c r="H409" s="62" t="str">
        <f t="shared" si="46"/>
        <v/>
      </c>
      <c r="I409" s="62" t="str">
        <f t="shared" si="47"/>
        <v/>
      </c>
      <c r="J409" s="62" t="str">
        <f t="shared" si="48"/>
        <v/>
      </c>
      <c r="K409" s="62" t="str">
        <f t="shared" si="49"/>
        <v/>
      </c>
      <c r="L409" s="62" t="str">
        <f t="shared" si="50"/>
        <v/>
      </c>
      <c r="M409" s="63" t="str">
        <f t="shared" si="51"/>
        <v/>
      </c>
      <c r="N409" s="64"/>
    </row>
    <row r="410" spans="1:14" x14ac:dyDescent="0.3">
      <c r="A410" s="58" t="str">
        <f>IF([1]weekly_demand!A411="","",[1]weekly_demand!A411)</f>
        <v/>
      </c>
      <c r="B410" s="59" t="str">
        <f>IF($A410="","",[1]weekly_demand!F411)</f>
        <v/>
      </c>
      <c r="C410" s="60" t="str">
        <f>IF($A410="","",[1]weekly_demand!H411)</f>
        <v/>
      </c>
      <c r="D410" s="61" t="str">
        <f>IF($A410="","",IF(SUMIFS([1]Fixture_Capacity_Input!$C:$C,[1]Fixture_Capacity_Input!$A:$A,$B410,[1]Fixture_Capacity_Input!$B:$B,$C410)&gt;0,SUMIFS([1]Fixture_Capacity_Input!$C:$C,[1]Fixture_Capacity_Input!$A:$A,$B410,[1]Fixture_Capacity_Input!$B:$B,$C410),[1]weekly_demand!G411))</f>
        <v/>
      </c>
      <c r="E410" s="62" t="str">
        <f>IF($A410="","",[1]weekly_demand!I411)</f>
        <v/>
      </c>
      <c r="F410" s="61" t="str">
        <f>IF($A410="","",IF($A410&lt;&gt;$A409,IFERROR(INDEX([1]FG_Begin_Inventory!$B:$B,MATCH($A410,[1]FG_Begin_Inventory!$A:$A,0)),0),J409))</f>
        <v/>
      </c>
      <c r="G410" s="61" t="str">
        <f t="shared" si="45"/>
        <v/>
      </c>
      <c r="H410" s="62" t="str">
        <f t="shared" si="46"/>
        <v/>
      </c>
      <c r="I410" s="62" t="str">
        <f t="shared" si="47"/>
        <v/>
      </c>
      <c r="J410" s="62" t="str">
        <f t="shared" si="48"/>
        <v/>
      </c>
      <c r="K410" s="62" t="str">
        <f t="shared" si="49"/>
        <v/>
      </c>
      <c r="L410" s="62" t="str">
        <f t="shared" si="50"/>
        <v/>
      </c>
      <c r="M410" s="63" t="str">
        <f t="shared" si="51"/>
        <v/>
      </c>
      <c r="N410" s="64"/>
    </row>
    <row r="411" spans="1:14" x14ac:dyDescent="0.3">
      <c r="A411" s="58" t="str">
        <f>IF([1]weekly_demand!A412="","",[1]weekly_demand!A412)</f>
        <v/>
      </c>
      <c r="B411" s="59" t="str">
        <f>IF($A411="","",[1]weekly_demand!F412)</f>
        <v/>
      </c>
      <c r="C411" s="60" t="str">
        <f>IF($A411="","",[1]weekly_demand!H412)</f>
        <v/>
      </c>
      <c r="D411" s="61" t="str">
        <f>IF($A411="","",IF(SUMIFS([1]Fixture_Capacity_Input!$C:$C,[1]Fixture_Capacity_Input!$A:$A,$B411,[1]Fixture_Capacity_Input!$B:$B,$C411)&gt;0,SUMIFS([1]Fixture_Capacity_Input!$C:$C,[1]Fixture_Capacity_Input!$A:$A,$B411,[1]Fixture_Capacity_Input!$B:$B,$C411),[1]weekly_demand!G412))</f>
        <v/>
      </c>
      <c r="E411" s="62" t="str">
        <f>IF($A411="","",[1]weekly_demand!I412)</f>
        <v/>
      </c>
      <c r="F411" s="61" t="str">
        <f>IF($A411="","",IF($A411&lt;&gt;$A410,IFERROR(INDEX([1]FG_Begin_Inventory!$B:$B,MATCH($A411,[1]FG_Begin_Inventory!$A:$A,0)),0),J410))</f>
        <v/>
      </c>
      <c r="G411" s="61" t="str">
        <f t="shared" si="45"/>
        <v/>
      </c>
      <c r="H411" s="62" t="str">
        <f t="shared" si="46"/>
        <v/>
      </c>
      <c r="I411" s="62" t="str">
        <f t="shared" si="47"/>
        <v/>
      </c>
      <c r="J411" s="62" t="str">
        <f t="shared" si="48"/>
        <v/>
      </c>
      <c r="K411" s="62" t="str">
        <f t="shared" si="49"/>
        <v/>
      </c>
      <c r="L411" s="62" t="str">
        <f t="shared" si="50"/>
        <v/>
      </c>
      <c r="M411" s="63" t="str">
        <f t="shared" si="51"/>
        <v/>
      </c>
      <c r="N411" s="64"/>
    </row>
    <row r="412" spans="1:14" x14ac:dyDescent="0.3">
      <c r="A412" s="58" t="str">
        <f>IF([1]weekly_demand!A413="","",[1]weekly_demand!A413)</f>
        <v/>
      </c>
      <c r="B412" s="59" t="str">
        <f>IF($A412="","",[1]weekly_demand!F413)</f>
        <v/>
      </c>
      <c r="C412" s="60" t="str">
        <f>IF($A412="","",[1]weekly_demand!H413)</f>
        <v/>
      </c>
      <c r="D412" s="61" t="str">
        <f>IF($A412="","",IF(SUMIFS([1]Fixture_Capacity_Input!$C:$C,[1]Fixture_Capacity_Input!$A:$A,$B412,[1]Fixture_Capacity_Input!$B:$B,$C412)&gt;0,SUMIFS([1]Fixture_Capacity_Input!$C:$C,[1]Fixture_Capacity_Input!$A:$A,$B412,[1]Fixture_Capacity_Input!$B:$B,$C412),[1]weekly_demand!G413))</f>
        <v/>
      </c>
      <c r="E412" s="62" t="str">
        <f>IF($A412="","",[1]weekly_demand!I413)</f>
        <v/>
      </c>
      <c r="F412" s="61" t="str">
        <f>IF($A412="","",IF($A412&lt;&gt;$A411,IFERROR(INDEX([1]FG_Begin_Inventory!$B:$B,MATCH($A412,[1]FG_Begin_Inventory!$A:$A,0)),0),J411))</f>
        <v/>
      </c>
      <c r="G412" s="61" t="str">
        <f t="shared" si="45"/>
        <v/>
      </c>
      <c r="H412" s="62" t="str">
        <f t="shared" si="46"/>
        <v/>
      </c>
      <c r="I412" s="62" t="str">
        <f t="shared" si="47"/>
        <v/>
      </c>
      <c r="J412" s="62" t="str">
        <f t="shared" si="48"/>
        <v/>
      </c>
      <c r="K412" s="62" t="str">
        <f t="shared" si="49"/>
        <v/>
      </c>
      <c r="L412" s="62" t="str">
        <f t="shared" si="50"/>
        <v/>
      </c>
      <c r="M412" s="63" t="str">
        <f t="shared" si="51"/>
        <v/>
      </c>
      <c r="N412" s="64"/>
    </row>
    <row r="413" spans="1:14" x14ac:dyDescent="0.3">
      <c r="A413" s="58" t="str">
        <f>IF([1]weekly_demand!A414="","",[1]weekly_demand!A414)</f>
        <v/>
      </c>
      <c r="B413" s="59" t="str">
        <f>IF($A413="","",[1]weekly_demand!F414)</f>
        <v/>
      </c>
      <c r="C413" s="60" t="str">
        <f>IF($A413="","",[1]weekly_demand!H414)</f>
        <v/>
      </c>
      <c r="D413" s="61" t="str">
        <f>IF($A413="","",IF(SUMIFS([1]Fixture_Capacity_Input!$C:$C,[1]Fixture_Capacity_Input!$A:$A,$B413,[1]Fixture_Capacity_Input!$B:$B,$C413)&gt;0,SUMIFS([1]Fixture_Capacity_Input!$C:$C,[1]Fixture_Capacity_Input!$A:$A,$B413,[1]Fixture_Capacity_Input!$B:$B,$C413),[1]weekly_demand!G414))</f>
        <v/>
      </c>
      <c r="E413" s="62" t="str">
        <f>IF($A413="","",[1]weekly_demand!I414)</f>
        <v/>
      </c>
      <c r="F413" s="61" t="str">
        <f>IF($A413="","",IF($A413&lt;&gt;$A412,IFERROR(INDEX([1]FG_Begin_Inventory!$B:$B,MATCH($A413,[1]FG_Begin_Inventory!$A:$A,0)),0),J412))</f>
        <v/>
      </c>
      <c r="G413" s="61" t="str">
        <f t="shared" si="45"/>
        <v/>
      </c>
      <c r="H413" s="62" t="str">
        <f t="shared" si="46"/>
        <v/>
      </c>
      <c r="I413" s="62" t="str">
        <f t="shared" si="47"/>
        <v/>
      </c>
      <c r="J413" s="62" t="str">
        <f t="shared" si="48"/>
        <v/>
      </c>
      <c r="K413" s="62" t="str">
        <f t="shared" si="49"/>
        <v/>
      </c>
      <c r="L413" s="62" t="str">
        <f t="shared" si="50"/>
        <v/>
      </c>
      <c r="M413" s="63" t="str">
        <f t="shared" si="51"/>
        <v/>
      </c>
      <c r="N413" s="64"/>
    </row>
    <row r="414" spans="1:14" x14ac:dyDescent="0.3">
      <c r="A414" s="58" t="str">
        <f>IF([1]weekly_demand!A415="","",[1]weekly_demand!A415)</f>
        <v/>
      </c>
      <c r="B414" s="59" t="str">
        <f>IF($A414="","",[1]weekly_demand!F415)</f>
        <v/>
      </c>
      <c r="C414" s="60" t="str">
        <f>IF($A414="","",[1]weekly_demand!H415)</f>
        <v/>
      </c>
      <c r="D414" s="61" t="str">
        <f>IF($A414="","",IF(SUMIFS([1]Fixture_Capacity_Input!$C:$C,[1]Fixture_Capacity_Input!$A:$A,$B414,[1]Fixture_Capacity_Input!$B:$B,$C414)&gt;0,SUMIFS([1]Fixture_Capacity_Input!$C:$C,[1]Fixture_Capacity_Input!$A:$A,$B414,[1]Fixture_Capacity_Input!$B:$B,$C414),[1]weekly_demand!G415))</f>
        <v/>
      </c>
      <c r="E414" s="62" t="str">
        <f>IF($A414="","",[1]weekly_demand!I415)</f>
        <v/>
      </c>
      <c r="F414" s="61" t="str">
        <f>IF($A414="","",IF($A414&lt;&gt;$A413,IFERROR(INDEX([1]FG_Begin_Inventory!$B:$B,MATCH($A414,[1]FG_Begin_Inventory!$A:$A,0)),0),J413))</f>
        <v/>
      </c>
      <c r="G414" s="61" t="str">
        <f t="shared" si="45"/>
        <v/>
      </c>
      <c r="H414" s="62" t="str">
        <f t="shared" si="46"/>
        <v/>
      </c>
      <c r="I414" s="62" t="str">
        <f t="shared" si="47"/>
        <v/>
      </c>
      <c r="J414" s="62" t="str">
        <f t="shared" si="48"/>
        <v/>
      </c>
      <c r="K414" s="62" t="str">
        <f t="shared" si="49"/>
        <v/>
      </c>
      <c r="L414" s="62" t="str">
        <f t="shared" si="50"/>
        <v/>
      </c>
      <c r="M414" s="63" t="str">
        <f t="shared" si="51"/>
        <v/>
      </c>
      <c r="N414" s="64"/>
    </row>
    <row r="415" spans="1:14" x14ac:dyDescent="0.3">
      <c r="A415" s="58" t="str">
        <f>IF([1]weekly_demand!A416="","",[1]weekly_demand!A416)</f>
        <v/>
      </c>
      <c r="B415" s="59" t="str">
        <f>IF($A415="","",[1]weekly_demand!F416)</f>
        <v/>
      </c>
      <c r="C415" s="60" t="str">
        <f>IF($A415="","",[1]weekly_demand!H416)</f>
        <v/>
      </c>
      <c r="D415" s="61" t="str">
        <f>IF($A415="","",IF(SUMIFS([1]Fixture_Capacity_Input!$C:$C,[1]Fixture_Capacity_Input!$A:$A,$B415,[1]Fixture_Capacity_Input!$B:$B,$C415)&gt;0,SUMIFS([1]Fixture_Capacity_Input!$C:$C,[1]Fixture_Capacity_Input!$A:$A,$B415,[1]Fixture_Capacity_Input!$B:$B,$C415),[1]weekly_demand!G416))</f>
        <v/>
      </c>
      <c r="E415" s="62" t="str">
        <f>IF($A415="","",[1]weekly_demand!I416)</f>
        <v/>
      </c>
      <c r="F415" s="61" t="str">
        <f>IF($A415="","",IF($A415&lt;&gt;$A414,IFERROR(INDEX([1]FG_Begin_Inventory!$B:$B,MATCH($A415,[1]FG_Begin_Inventory!$A:$A,0)),0),J414))</f>
        <v/>
      </c>
      <c r="G415" s="61" t="str">
        <f t="shared" si="45"/>
        <v/>
      </c>
      <c r="H415" s="62" t="str">
        <f t="shared" si="46"/>
        <v/>
      </c>
      <c r="I415" s="62" t="str">
        <f t="shared" si="47"/>
        <v/>
      </c>
      <c r="J415" s="62" t="str">
        <f t="shared" si="48"/>
        <v/>
      </c>
      <c r="K415" s="62" t="str">
        <f t="shared" si="49"/>
        <v/>
      </c>
      <c r="L415" s="62" t="str">
        <f t="shared" si="50"/>
        <v/>
      </c>
      <c r="M415" s="63" t="str">
        <f t="shared" si="51"/>
        <v/>
      </c>
      <c r="N415" s="64"/>
    </row>
    <row r="416" spans="1:14" x14ac:dyDescent="0.3">
      <c r="A416" s="58" t="str">
        <f>IF([1]weekly_demand!A417="","",[1]weekly_demand!A417)</f>
        <v/>
      </c>
      <c r="B416" s="59" t="str">
        <f>IF($A416="","",[1]weekly_demand!F417)</f>
        <v/>
      </c>
      <c r="C416" s="60" t="str">
        <f>IF($A416="","",[1]weekly_demand!H417)</f>
        <v/>
      </c>
      <c r="D416" s="61" t="str">
        <f>IF($A416="","",IF(SUMIFS([1]Fixture_Capacity_Input!$C:$C,[1]Fixture_Capacity_Input!$A:$A,$B416,[1]Fixture_Capacity_Input!$B:$B,$C416)&gt;0,SUMIFS([1]Fixture_Capacity_Input!$C:$C,[1]Fixture_Capacity_Input!$A:$A,$B416,[1]Fixture_Capacity_Input!$B:$B,$C416),[1]weekly_demand!G417))</f>
        <v/>
      </c>
      <c r="E416" s="62" t="str">
        <f>IF($A416="","",[1]weekly_demand!I417)</f>
        <v/>
      </c>
      <c r="F416" s="61" t="str">
        <f>IF($A416="","",IF($A416&lt;&gt;$A415,IFERROR(INDEX([1]FG_Begin_Inventory!$B:$B,MATCH($A416,[1]FG_Begin_Inventory!$A:$A,0)),0),J415))</f>
        <v/>
      </c>
      <c r="G416" s="61" t="str">
        <f t="shared" si="45"/>
        <v/>
      </c>
      <c r="H416" s="62" t="str">
        <f t="shared" si="46"/>
        <v/>
      </c>
      <c r="I416" s="62" t="str">
        <f t="shared" si="47"/>
        <v/>
      </c>
      <c r="J416" s="62" t="str">
        <f t="shared" si="48"/>
        <v/>
      </c>
      <c r="K416" s="62" t="str">
        <f t="shared" si="49"/>
        <v/>
      </c>
      <c r="L416" s="62" t="str">
        <f t="shared" si="50"/>
        <v/>
      </c>
      <c r="M416" s="63" t="str">
        <f t="shared" si="51"/>
        <v/>
      </c>
      <c r="N416" s="64"/>
    </row>
    <row r="417" spans="1:14" x14ac:dyDescent="0.3">
      <c r="A417" s="58" t="str">
        <f>IF([1]weekly_demand!A418="","",[1]weekly_demand!A418)</f>
        <v/>
      </c>
      <c r="B417" s="59" t="str">
        <f>IF($A417="","",[1]weekly_demand!F418)</f>
        <v/>
      </c>
      <c r="C417" s="60" t="str">
        <f>IF($A417="","",[1]weekly_demand!H418)</f>
        <v/>
      </c>
      <c r="D417" s="61" t="str">
        <f>IF($A417="","",IF(SUMIFS([1]Fixture_Capacity_Input!$C:$C,[1]Fixture_Capacity_Input!$A:$A,$B417,[1]Fixture_Capacity_Input!$B:$B,$C417)&gt;0,SUMIFS([1]Fixture_Capacity_Input!$C:$C,[1]Fixture_Capacity_Input!$A:$A,$B417,[1]Fixture_Capacity_Input!$B:$B,$C417),[1]weekly_demand!G418))</f>
        <v/>
      </c>
      <c r="E417" s="62" t="str">
        <f>IF($A417="","",[1]weekly_demand!I418)</f>
        <v/>
      </c>
      <c r="F417" s="61" t="str">
        <f>IF($A417="","",IF($A417&lt;&gt;$A416,IFERROR(INDEX([1]FG_Begin_Inventory!$B:$B,MATCH($A417,[1]FG_Begin_Inventory!$A:$A,0)),0),J416))</f>
        <v/>
      </c>
      <c r="G417" s="61" t="str">
        <f t="shared" si="45"/>
        <v/>
      </c>
      <c r="H417" s="62" t="str">
        <f t="shared" si="46"/>
        <v/>
      </c>
      <c r="I417" s="62" t="str">
        <f t="shared" si="47"/>
        <v/>
      </c>
      <c r="J417" s="62" t="str">
        <f t="shared" si="48"/>
        <v/>
      </c>
      <c r="K417" s="62" t="str">
        <f t="shared" si="49"/>
        <v/>
      </c>
      <c r="L417" s="62" t="str">
        <f t="shared" si="50"/>
        <v/>
      </c>
      <c r="M417" s="63" t="str">
        <f t="shared" si="51"/>
        <v/>
      </c>
      <c r="N417" s="64"/>
    </row>
    <row r="418" spans="1:14" x14ac:dyDescent="0.3">
      <c r="A418" s="58" t="str">
        <f>IF([1]weekly_demand!A419="","",[1]weekly_demand!A419)</f>
        <v/>
      </c>
      <c r="B418" s="59" t="str">
        <f>IF($A418="","",[1]weekly_demand!F419)</f>
        <v/>
      </c>
      <c r="C418" s="60" t="str">
        <f>IF($A418="","",[1]weekly_demand!H419)</f>
        <v/>
      </c>
      <c r="D418" s="61" t="str">
        <f>IF($A418="","",IF(SUMIFS([1]Fixture_Capacity_Input!$C:$C,[1]Fixture_Capacity_Input!$A:$A,$B418,[1]Fixture_Capacity_Input!$B:$B,$C418)&gt;0,SUMIFS([1]Fixture_Capacity_Input!$C:$C,[1]Fixture_Capacity_Input!$A:$A,$B418,[1]Fixture_Capacity_Input!$B:$B,$C418),[1]weekly_demand!G419))</f>
        <v/>
      </c>
      <c r="E418" s="62" t="str">
        <f>IF($A418="","",[1]weekly_demand!I419)</f>
        <v/>
      </c>
      <c r="F418" s="61" t="str">
        <f>IF($A418="","",IF($A418&lt;&gt;$A417,IFERROR(INDEX([1]FG_Begin_Inventory!$B:$B,MATCH($A418,[1]FG_Begin_Inventory!$A:$A,0)),0),J417))</f>
        <v/>
      </c>
      <c r="G418" s="61" t="str">
        <f t="shared" si="45"/>
        <v/>
      </c>
      <c r="H418" s="62" t="str">
        <f t="shared" si="46"/>
        <v/>
      </c>
      <c r="I418" s="62" t="str">
        <f t="shared" si="47"/>
        <v/>
      </c>
      <c r="J418" s="62" t="str">
        <f t="shared" si="48"/>
        <v/>
      </c>
      <c r="K418" s="62" t="str">
        <f t="shared" si="49"/>
        <v/>
      </c>
      <c r="L418" s="62" t="str">
        <f t="shared" si="50"/>
        <v/>
      </c>
      <c r="M418" s="63" t="str">
        <f t="shared" si="51"/>
        <v/>
      </c>
      <c r="N418" s="64"/>
    </row>
    <row r="419" spans="1:14" x14ac:dyDescent="0.3">
      <c r="A419" s="58" t="str">
        <f>IF([1]weekly_demand!A420="","",[1]weekly_demand!A420)</f>
        <v/>
      </c>
      <c r="B419" s="59" t="str">
        <f>IF($A419="","",[1]weekly_demand!F420)</f>
        <v/>
      </c>
      <c r="C419" s="60" t="str">
        <f>IF($A419="","",[1]weekly_demand!H420)</f>
        <v/>
      </c>
      <c r="D419" s="61" t="str">
        <f>IF($A419="","",IF(SUMIFS([1]Fixture_Capacity_Input!$C:$C,[1]Fixture_Capacity_Input!$A:$A,$B419,[1]Fixture_Capacity_Input!$B:$B,$C419)&gt;0,SUMIFS([1]Fixture_Capacity_Input!$C:$C,[1]Fixture_Capacity_Input!$A:$A,$B419,[1]Fixture_Capacity_Input!$B:$B,$C419),[1]weekly_demand!G420))</f>
        <v/>
      </c>
      <c r="E419" s="62" t="str">
        <f>IF($A419="","",[1]weekly_demand!I420)</f>
        <v/>
      </c>
      <c r="F419" s="61" t="str">
        <f>IF($A419="","",IF($A419&lt;&gt;$A418,IFERROR(INDEX([1]FG_Begin_Inventory!$B:$B,MATCH($A419,[1]FG_Begin_Inventory!$A:$A,0)),0),J418))</f>
        <v/>
      </c>
      <c r="G419" s="61" t="str">
        <f t="shared" si="45"/>
        <v/>
      </c>
      <c r="H419" s="62" t="str">
        <f t="shared" si="46"/>
        <v/>
      </c>
      <c r="I419" s="62" t="str">
        <f t="shared" si="47"/>
        <v/>
      </c>
      <c r="J419" s="62" t="str">
        <f t="shared" si="48"/>
        <v/>
      </c>
      <c r="K419" s="62" t="str">
        <f t="shared" si="49"/>
        <v/>
      </c>
      <c r="L419" s="62" t="str">
        <f t="shared" si="50"/>
        <v/>
      </c>
      <c r="M419" s="63" t="str">
        <f t="shared" si="51"/>
        <v/>
      </c>
      <c r="N419" s="64"/>
    </row>
    <row r="420" spans="1:14" x14ac:dyDescent="0.3">
      <c r="A420" s="58" t="str">
        <f>IF([1]weekly_demand!A421="","",[1]weekly_demand!A421)</f>
        <v/>
      </c>
      <c r="B420" s="59" t="str">
        <f>IF($A420="","",[1]weekly_demand!F421)</f>
        <v/>
      </c>
      <c r="C420" s="60" t="str">
        <f>IF($A420="","",[1]weekly_demand!H421)</f>
        <v/>
      </c>
      <c r="D420" s="61" t="str">
        <f>IF($A420="","",IF(SUMIFS([1]Fixture_Capacity_Input!$C:$C,[1]Fixture_Capacity_Input!$A:$A,$B420,[1]Fixture_Capacity_Input!$B:$B,$C420)&gt;0,SUMIFS([1]Fixture_Capacity_Input!$C:$C,[1]Fixture_Capacity_Input!$A:$A,$B420,[1]Fixture_Capacity_Input!$B:$B,$C420),[1]weekly_demand!G421))</f>
        <v/>
      </c>
      <c r="E420" s="62" t="str">
        <f>IF($A420="","",[1]weekly_demand!I421)</f>
        <v/>
      </c>
      <c r="F420" s="61" t="str">
        <f>IF($A420="","",IF($A420&lt;&gt;$A419,IFERROR(INDEX([1]FG_Begin_Inventory!$B:$B,MATCH($A420,[1]FG_Begin_Inventory!$A:$A,0)),0),J419))</f>
        <v/>
      </c>
      <c r="G420" s="61" t="str">
        <f t="shared" si="45"/>
        <v/>
      </c>
      <c r="H420" s="62" t="str">
        <f t="shared" si="46"/>
        <v/>
      </c>
      <c r="I420" s="62" t="str">
        <f t="shared" si="47"/>
        <v/>
      </c>
      <c r="J420" s="62" t="str">
        <f t="shared" si="48"/>
        <v/>
      </c>
      <c r="K420" s="62" t="str">
        <f t="shared" si="49"/>
        <v/>
      </c>
      <c r="L420" s="62" t="str">
        <f t="shared" si="50"/>
        <v/>
      </c>
      <c r="M420" s="63" t="str">
        <f t="shared" si="51"/>
        <v/>
      </c>
      <c r="N420" s="64"/>
    </row>
    <row r="421" spans="1:14" x14ac:dyDescent="0.3">
      <c r="A421" s="58" t="str">
        <f>IF([1]weekly_demand!A422="","",[1]weekly_demand!A422)</f>
        <v/>
      </c>
      <c r="B421" s="59" t="str">
        <f>IF($A421="","",[1]weekly_demand!F422)</f>
        <v/>
      </c>
      <c r="C421" s="60" t="str">
        <f>IF($A421="","",[1]weekly_demand!H422)</f>
        <v/>
      </c>
      <c r="D421" s="61" t="str">
        <f>IF($A421="","",IF(SUMIFS([1]Fixture_Capacity_Input!$C:$C,[1]Fixture_Capacity_Input!$A:$A,$B421,[1]Fixture_Capacity_Input!$B:$B,$C421)&gt;0,SUMIFS([1]Fixture_Capacity_Input!$C:$C,[1]Fixture_Capacity_Input!$A:$A,$B421,[1]Fixture_Capacity_Input!$B:$B,$C421),[1]weekly_demand!G422))</f>
        <v/>
      </c>
      <c r="E421" s="62" t="str">
        <f>IF($A421="","",[1]weekly_demand!I422)</f>
        <v/>
      </c>
      <c r="F421" s="61" t="str">
        <f>IF($A421="","",IF($A421&lt;&gt;$A420,IFERROR(INDEX([1]FG_Begin_Inventory!$B:$B,MATCH($A421,[1]FG_Begin_Inventory!$A:$A,0)),0),J420))</f>
        <v/>
      </c>
      <c r="G421" s="61" t="str">
        <f t="shared" si="45"/>
        <v/>
      </c>
      <c r="H421" s="62" t="str">
        <f t="shared" si="46"/>
        <v/>
      </c>
      <c r="I421" s="62" t="str">
        <f t="shared" si="47"/>
        <v/>
      </c>
      <c r="J421" s="62" t="str">
        <f t="shared" si="48"/>
        <v/>
      </c>
      <c r="K421" s="62" t="str">
        <f t="shared" si="49"/>
        <v/>
      </c>
      <c r="L421" s="62" t="str">
        <f t="shared" si="50"/>
        <v/>
      </c>
      <c r="M421" s="63" t="str">
        <f t="shared" si="51"/>
        <v/>
      </c>
      <c r="N421" s="64"/>
    </row>
    <row r="422" spans="1:14" x14ac:dyDescent="0.3">
      <c r="A422" s="58" t="str">
        <f>IF([1]weekly_demand!A423="","",[1]weekly_demand!A423)</f>
        <v/>
      </c>
      <c r="B422" s="59" t="str">
        <f>IF($A422="","",[1]weekly_demand!F423)</f>
        <v/>
      </c>
      <c r="C422" s="60" t="str">
        <f>IF($A422="","",[1]weekly_demand!H423)</f>
        <v/>
      </c>
      <c r="D422" s="61" t="str">
        <f>IF($A422="","",IF(SUMIFS([1]Fixture_Capacity_Input!$C:$C,[1]Fixture_Capacity_Input!$A:$A,$B422,[1]Fixture_Capacity_Input!$B:$B,$C422)&gt;0,SUMIFS([1]Fixture_Capacity_Input!$C:$C,[1]Fixture_Capacity_Input!$A:$A,$B422,[1]Fixture_Capacity_Input!$B:$B,$C422),[1]weekly_demand!G423))</f>
        <v/>
      </c>
      <c r="E422" s="62" t="str">
        <f>IF($A422="","",[1]weekly_demand!I423)</f>
        <v/>
      </c>
      <c r="F422" s="61" t="str">
        <f>IF($A422="","",IF($A422&lt;&gt;$A421,IFERROR(INDEX([1]FG_Begin_Inventory!$B:$B,MATCH($A422,[1]FG_Begin_Inventory!$A:$A,0)),0),J421))</f>
        <v/>
      </c>
      <c r="G422" s="61" t="str">
        <f t="shared" si="45"/>
        <v/>
      </c>
      <c r="H422" s="62" t="str">
        <f t="shared" si="46"/>
        <v/>
      </c>
      <c r="I422" s="62" t="str">
        <f t="shared" si="47"/>
        <v/>
      </c>
      <c r="J422" s="62" t="str">
        <f t="shared" si="48"/>
        <v/>
      </c>
      <c r="K422" s="62" t="str">
        <f t="shared" si="49"/>
        <v/>
      </c>
      <c r="L422" s="62" t="str">
        <f t="shared" si="50"/>
        <v/>
      </c>
      <c r="M422" s="63" t="str">
        <f t="shared" si="51"/>
        <v/>
      </c>
      <c r="N422" s="64"/>
    </row>
    <row r="423" spans="1:14" x14ac:dyDescent="0.3">
      <c r="A423" s="58" t="str">
        <f>IF([1]weekly_demand!A424="","",[1]weekly_demand!A424)</f>
        <v/>
      </c>
      <c r="B423" s="59" t="str">
        <f>IF($A423="","",[1]weekly_demand!F424)</f>
        <v/>
      </c>
      <c r="C423" s="60" t="str">
        <f>IF($A423="","",[1]weekly_demand!H424)</f>
        <v/>
      </c>
      <c r="D423" s="61" t="str">
        <f>IF($A423="","",IF(SUMIFS([1]Fixture_Capacity_Input!$C:$C,[1]Fixture_Capacity_Input!$A:$A,$B423,[1]Fixture_Capacity_Input!$B:$B,$C423)&gt;0,SUMIFS([1]Fixture_Capacity_Input!$C:$C,[1]Fixture_Capacity_Input!$A:$A,$B423,[1]Fixture_Capacity_Input!$B:$B,$C423),[1]weekly_demand!G424))</f>
        <v/>
      </c>
      <c r="E423" s="62" t="str">
        <f>IF($A423="","",[1]weekly_demand!I424)</f>
        <v/>
      </c>
      <c r="F423" s="61" t="str">
        <f>IF($A423="","",IF($A423&lt;&gt;$A422,IFERROR(INDEX([1]FG_Begin_Inventory!$B:$B,MATCH($A423,[1]FG_Begin_Inventory!$A:$A,0)),0),J422))</f>
        <v/>
      </c>
      <c r="G423" s="61" t="str">
        <f t="shared" si="45"/>
        <v/>
      </c>
      <c r="H423" s="62" t="str">
        <f t="shared" si="46"/>
        <v/>
      </c>
      <c r="I423" s="62" t="str">
        <f t="shared" si="47"/>
        <v/>
      </c>
      <c r="J423" s="62" t="str">
        <f t="shared" si="48"/>
        <v/>
      </c>
      <c r="K423" s="62" t="str">
        <f t="shared" si="49"/>
        <v/>
      </c>
      <c r="L423" s="62" t="str">
        <f t="shared" si="50"/>
        <v/>
      </c>
      <c r="M423" s="63" t="str">
        <f t="shared" si="51"/>
        <v/>
      </c>
      <c r="N423" s="64"/>
    </row>
    <row r="424" spans="1:14" x14ac:dyDescent="0.3">
      <c r="A424" s="58" t="str">
        <f>IF([1]weekly_demand!A425="","",[1]weekly_demand!A425)</f>
        <v/>
      </c>
      <c r="B424" s="59" t="str">
        <f>IF($A424="","",[1]weekly_demand!F425)</f>
        <v/>
      </c>
      <c r="C424" s="60" t="str">
        <f>IF($A424="","",[1]weekly_demand!H425)</f>
        <v/>
      </c>
      <c r="D424" s="61" t="str">
        <f>IF($A424="","",IF(SUMIFS([1]Fixture_Capacity_Input!$C:$C,[1]Fixture_Capacity_Input!$A:$A,$B424,[1]Fixture_Capacity_Input!$B:$B,$C424)&gt;0,SUMIFS([1]Fixture_Capacity_Input!$C:$C,[1]Fixture_Capacity_Input!$A:$A,$B424,[1]Fixture_Capacity_Input!$B:$B,$C424),[1]weekly_demand!G425))</f>
        <v/>
      </c>
      <c r="E424" s="62" t="str">
        <f>IF($A424="","",[1]weekly_demand!I425)</f>
        <v/>
      </c>
      <c r="F424" s="61" t="str">
        <f>IF($A424="","",IF($A424&lt;&gt;$A423,IFERROR(INDEX([1]FG_Begin_Inventory!$B:$B,MATCH($A424,[1]FG_Begin_Inventory!$A:$A,0)),0),J423))</f>
        <v/>
      </c>
      <c r="G424" s="61" t="str">
        <f t="shared" si="45"/>
        <v/>
      </c>
      <c r="H424" s="62" t="str">
        <f t="shared" si="46"/>
        <v/>
      </c>
      <c r="I424" s="62" t="str">
        <f t="shared" si="47"/>
        <v/>
      </c>
      <c r="J424" s="62" t="str">
        <f t="shared" si="48"/>
        <v/>
      </c>
      <c r="K424" s="62" t="str">
        <f t="shared" si="49"/>
        <v/>
      </c>
      <c r="L424" s="62" t="str">
        <f t="shared" si="50"/>
        <v/>
      </c>
      <c r="M424" s="63" t="str">
        <f t="shared" si="51"/>
        <v/>
      </c>
      <c r="N424" s="64"/>
    </row>
    <row r="425" spans="1:14" x14ac:dyDescent="0.3">
      <c r="A425" s="58" t="str">
        <f>IF([1]weekly_demand!A426="","",[1]weekly_demand!A426)</f>
        <v/>
      </c>
      <c r="B425" s="59" t="str">
        <f>IF($A425="","",[1]weekly_demand!F426)</f>
        <v/>
      </c>
      <c r="C425" s="60" t="str">
        <f>IF($A425="","",[1]weekly_demand!H426)</f>
        <v/>
      </c>
      <c r="D425" s="61" t="str">
        <f>IF($A425="","",IF(SUMIFS([1]Fixture_Capacity_Input!$C:$C,[1]Fixture_Capacity_Input!$A:$A,$B425,[1]Fixture_Capacity_Input!$B:$B,$C425)&gt;0,SUMIFS([1]Fixture_Capacity_Input!$C:$C,[1]Fixture_Capacity_Input!$A:$A,$B425,[1]Fixture_Capacity_Input!$B:$B,$C425),[1]weekly_demand!G426))</f>
        <v/>
      </c>
      <c r="E425" s="62" t="str">
        <f>IF($A425="","",[1]weekly_demand!I426)</f>
        <v/>
      </c>
      <c r="F425" s="61" t="str">
        <f>IF($A425="","",IF($A425&lt;&gt;$A424,IFERROR(INDEX([1]FG_Begin_Inventory!$B:$B,MATCH($A425,[1]FG_Begin_Inventory!$A:$A,0)),0),J424))</f>
        <v/>
      </c>
      <c r="G425" s="61" t="str">
        <f t="shared" si="45"/>
        <v/>
      </c>
      <c r="H425" s="62" t="str">
        <f t="shared" si="46"/>
        <v/>
      </c>
      <c r="I425" s="62" t="str">
        <f t="shared" si="47"/>
        <v/>
      </c>
      <c r="J425" s="62" t="str">
        <f t="shared" si="48"/>
        <v/>
      </c>
      <c r="K425" s="62" t="str">
        <f t="shared" si="49"/>
        <v/>
      </c>
      <c r="L425" s="62" t="str">
        <f t="shared" si="50"/>
        <v/>
      </c>
      <c r="M425" s="63" t="str">
        <f t="shared" si="51"/>
        <v/>
      </c>
      <c r="N425" s="64"/>
    </row>
    <row r="426" spans="1:14" x14ac:dyDescent="0.3">
      <c r="A426" s="58" t="str">
        <f>IF([1]weekly_demand!A427="","",[1]weekly_demand!A427)</f>
        <v/>
      </c>
      <c r="B426" s="59" t="str">
        <f>IF($A426="","",[1]weekly_demand!F427)</f>
        <v/>
      </c>
      <c r="C426" s="60" t="str">
        <f>IF($A426="","",[1]weekly_demand!H427)</f>
        <v/>
      </c>
      <c r="D426" s="61" t="str">
        <f>IF($A426="","",IF(SUMIFS([1]Fixture_Capacity_Input!$C:$C,[1]Fixture_Capacity_Input!$A:$A,$B426,[1]Fixture_Capacity_Input!$B:$B,$C426)&gt;0,SUMIFS([1]Fixture_Capacity_Input!$C:$C,[1]Fixture_Capacity_Input!$A:$A,$B426,[1]Fixture_Capacity_Input!$B:$B,$C426),[1]weekly_demand!G427))</f>
        <v/>
      </c>
      <c r="E426" s="62" t="str">
        <f>IF($A426="","",[1]weekly_demand!I427)</f>
        <v/>
      </c>
      <c r="F426" s="61" t="str">
        <f>IF($A426="","",IF($A426&lt;&gt;$A425,IFERROR(INDEX([1]FG_Begin_Inventory!$B:$B,MATCH($A426,[1]FG_Begin_Inventory!$A:$A,0)),0),J425))</f>
        <v/>
      </c>
      <c r="G426" s="61" t="str">
        <f t="shared" si="45"/>
        <v/>
      </c>
      <c r="H426" s="62" t="str">
        <f t="shared" si="46"/>
        <v/>
      </c>
      <c r="I426" s="62" t="str">
        <f t="shared" si="47"/>
        <v/>
      </c>
      <c r="J426" s="62" t="str">
        <f t="shared" si="48"/>
        <v/>
      </c>
      <c r="K426" s="62" t="str">
        <f t="shared" si="49"/>
        <v/>
      </c>
      <c r="L426" s="62" t="str">
        <f t="shared" si="50"/>
        <v/>
      </c>
      <c r="M426" s="63" t="str">
        <f t="shared" si="51"/>
        <v/>
      </c>
      <c r="N426" s="64"/>
    </row>
    <row r="427" spans="1:14" x14ac:dyDescent="0.3">
      <c r="A427" s="58" t="str">
        <f>IF([1]weekly_demand!A428="","",[1]weekly_demand!A428)</f>
        <v/>
      </c>
      <c r="B427" s="59" t="str">
        <f>IF($A427="","",[1]weekly_demand!F428)</f>
        <v/>
      </c>
      <c r="C427" s="60" t="str">
        <f>IF($A427="","",[1]weekly_demand!H428)</f>
        <v/>
      </c>
      <c r="D427" s="61" t="str">
        <f>IF($A427="","",IF(SUMIFS([1]Fixture_Capacity_Input!$C:$C,[1]Fixture_Capacity_Input!$A:$A,$B427,[1]Fixture_Capacity_Input!$B:$B,$C427)&gt;0,SUMIFS([1]Fixture_Capacity_Input!$C:$C,[1]Fixture_Capacity_Input!$A:$A,$B427,[1]Fixture_Capacity_Input!$B:$B,$C427),[1]weekly_demand!G428))</f>
        <v/>
      </c>
      <c r="E427" s="62" t="str">
        <f>IF($A427="","",[1]weekly_demand!I428)</f>
        <v/>
      </c>
      <c r="F427" s="61" t="str">
        <f>IF($A427="","",IF($A427&lt;&gt;$A426,IFERROR(INDEX([1]FG_Begin_Inventory!$B:$B,MATCH($A427,[1]FG_Begin_Inventory!$A:$A,0)),0),J426))</f>
        <v/>
      </c>
      <c r="G427" s="61" t="str">
        <f t="shared" si="45"/>
        <v/>
      </c>
      <c r="H427" s="62" t="str">
        <f t="shared" si="46"/>
        <v/>
      </c>
      <c r="I427" s="62" t="str">
        <f t="shared" si="47"/>
        <v/>
      </c>
      <c r="J427" s="62" t="str">
        <f t="shared" si="48"/>
        <v/>
      </c>
      <c r="K427" s="62" t="str">
        <f t="shared" si="49"/>
        <v/>
      </c>
      <c r="L427" s="62" t="str">
        <f t="shared" si="50"/>
        <v/>
      </c>
      <c r="M427" s="63" t="str">
        <f t="shared" si="51"/>
        <v/>
      </c>
      <c r="N427" s="64"/>
    </row>
    <row r="428" spans="1:14" x14ac:dyDescent="0.3">
      <c r="A428" s="58" t="str">
        <f>IF([1]weekly_demand!A429="","",[1]weekly_demand!A429)</f>
        <v/>
      </c>
      <c r="B428" s="59" t="str">
        <f>IF($A428="","",[1]weekly_demand!F429)</f>
        <v/>
      </c>
      <c r="C428" s="60" t="str">
        <f>IF($A428="","",[1]weekly_demand!H429)</f>
        <v/>
      </c>
      <c r="D428" s="61" t="str">
        <f>IF($A428="","",IF(SUMIFS([1]Fixture_Capacity_Input!$C:$C,[1]Fixture_Capacity_Input!$A:$A,$B428,[1]Fixture_Capacity_Input!$B:$B,$C428)&gt;0,SUMIFS([1]Fixture_Capacity_Input!$C:$C,[1]Fixture_Capacity_Input!$A:$A,$B428,[1]Fixture_Capacity_Input!$B:$B,$C428),[1]weekly_demand!G429))</f>
        <v/>
      </c>
      <c r="E428" s="62" t="str">
        <f>IF($A428="","",[1]weekly_demand!I429)</f>
        <v/>
      </c>
      <c r="F428" s="61" t="str">
        <f>IF($A428="","",IF($A428&lt;&gt;$A427,IFERROR(INDEX([1]FG_Begin_Inventory!$B:$B,MATCH($A428,[1]FG_Begin_Inventory!$A:$A,0)),0),J427))</f>
        <v/>
      </c>
      <c r="G428" s="61" t="str">
        <f t="shared" si="45"/>
        <v/>
      </c>
      <c r="H428" s="62" t="str">
        <f t="shared" si="46"/>
        <v/>
      </c>
      <c r="I428" s="62" t="str">
        <f t="shared" si="47"/>
        <v/>
      </c>
      <c r="J428" s="62" t="str">
        <f t="shared" si="48"/>
        <v/>
      </c>
      <c r="K428" s="62" t="str">
        <f t="shared" si="49"/>
        <v/>
      </c>
      <c r="L428" s="62" t="str">
        <f t="shared" si="50"/>
        <v/>
      </c>
      <c r="M428" s="63" t="str">
        <f t="shared" si="51"/>
        <v/>
      </c>
      <c r="N428" s="64"/>
    </row>
    <row r="429" spans="1:14" x14ac:dyDescent="0.3">
      <c r="A429" s="58" t="str">
        <f>IF([1]weekly_demand!A430="","",[1]weekly_demand!A430)</f>
        <v/>
      </c>
      <c r="B429" s="59" t="str">
        <f>IF($A429="","",[1]weekly_demand!F430)</f>
        <v/>
      </c>
      <c r="C429" s="60" t="str">
        <f>IF($A429="","",[1]weekly_demand!H430)</f>
        <v/>
      </c>
      <c r="D429" s="61" t="str">
        <f>IF($A429="","",IF(SUMIFS([1]Fixture_Capacity_Input!$C:$C,[1]Fixture_Capacity_Input!$A:$A,$B429,[1]Fixture_Capacity_Input!$B:$B,$C429)&gt;0,SUMIFS([1]Fixture_Capacity_Input!$C:$C,[1]Fixture_Capacity_Input!$A:$A,$B429,[1]Fixture_Capacity_Input!$B:$B,$C429),[1]weekly_demand!G430))</f>
        <v/>
      </c>
      <c r="E429" s="62" t="str">
        <f>IF($A429="","",[1]weekly_demand!I430)</f>
        <v/>
      </c>
      <c r="F429" s="61" t="str">
        <f>IF($A429="","",IF($A429&lt;&gt;$A428,IFERROR(INDEX([1]FG_Begin_Inventory!$B:$B,MATCH($A429,[1]FG_Begin_Inventory!$A:$A,0)),0),J428))</f>
        <v/>
      </c>
      <c r="G429" s="61" t="str">
        <f t="shared" si="45"/>
        <v/>
      </c>
      <c r="H429" s="62" t="str">
        <f t="shared" si="46"/>
        <v/>
      </c>
      <c r="I429" s="62" t="str">
        <f t="shared" si="47"/>
        <v/>
      </c>
      <c r="J429" s="62" t="str">
        <f t="shared" si="48"/>
        <v/>
      </c>
      <c r="K429" s="62" t="str">
        <f t="shared" si="49"/>
        <v/>
      </c>
      <c r="L429" s="62" t="str">
        <f t="shared" si="50"/>
        <v/>
      </c>
      <c r="M429" s="63" t="str">
        <f t="shared" si="51"/>
        <v/>
      </c>
      <c r="N429" s="64"/>
    </row>
    <row r="430" spans="1:14" x14ac:dyDescent="0.3">
      <c r="A430" s="58" t="str">
        <f>IF([1]weekly_demand!A431="","",[1]weekly_demand!A431)</f>
        <v/>
      </c>
      <c r="B430" s="59" t="str">
        <f>IF($A430="","",[1]weekly_demand!F431)</f>
        <v/>
      </c>
      <c r="C430" s="60" t="str">
        <f>IF($A430="","",[1]weekly_demand!H431)</f>
        <v/>
      </c>
      <c r="D430" s="61" t="str">
        <f>IF($A430="","",IF(SUMIFS([1]Fixture_Capacity_Input!$C:$C,[1]Fixture_Capacity_Input!$A:$A,$B430,[1]Fixture_Capacity_Input!$B:$B,$C430)&gt;0,SUMIFS([1]Fixture_Capacity_Input!$C:$C,[1]Fixture_Capacity_Input!$A:$A,$B430,[1]Fixture_Capacity_Input!$B:$B,$C430),[1]weekly_demand!G431))</f>
        <v/>
      </c>
      <c r="E430" s="62" t="str">
        <f>IF($A430="","",[1]weekly_demand!I431)</f>
        <v/>
      </c>
      <c r="F430" s="61" t="str">
        <f>IF($A430="","",IF($A430&lt;&gt;$A429,IFERROR(INDEX([1]FG_Begin_Inventory!$B:$B,MATCH($A430,[1]FG_Begin_Inventory!$A:$A,0)),0),J429))</f>
        <v/>
      </c>
      <c r="G430" s="61" t="str">
        <f t="shared" si="45"/>
        <v/>
      </c>
      <c r="H430" s="62" t="str">
        <f t="shared" si="46"/>
        <v/>
      </c>
      <c r="I430" s="62" t="str">
        <f t="shared" si="47"/>
        <v/>
      </c>
      <c r="J430" s="62" t="str">
        <f t="shared" si="48"/>
        <v/>
      </c>
      <c r="K430" s="62" t="str">
        <f t="shared" si="49"/>
        <v/>
      </c>
      <c r="L430" s="62" t="str">
        <f t="shared" si="50"/>
        <v/>
      </c>
      <c r="M430" s="63" t="str">
        <f t="shared" si="51"/>
        <v/>
      </c>
      <c r="N430" s="64"/>
    </row>
    <row r="431" spans="1:14" x14ac:dyDescent="0.3">
      <c r="A431" s="58" t="str">
        <f>IF([1]weekly_demand!A432="","",[1]weekly_demand!A432)</f>
        <v/>
      </c>
      <c r="B431" s="59" t="str">
        <f>IF($A431="","",[1]weekly_demand!F432)</f>
        <v/>
      </c>
      <c r="C431" s="60" t="str">
        <f>IF($A431="","",[1]weekly_demand!H432)</f>
        <v/>
      </c>
      <c r="D431" s="61" t="str">
        <f>IF($A431="","",IF(SUMIFS([1]Fixture_Capacity_Input!$C:$C,[1]Fixture_Capacity_Input!$A:$A,$B431,[1]Fixture_Capacity_Input!$B:$B,$C431)&gt;0,SUMIFS([1]Fixture_Capacity_Input!$C:$C,[1]Fixture_Capacity_Input!$A:$A,$B431,[1]Fixture_Capacity_Input!$B:$B,$C431),[1]weekly_demand!G432))</f>
        <v/>
      </c>
      <c r="E431" s="62" t="str">
        <f>IF($A431="","",[1]weekly_demand!I432)</f>
        <v/>
      </c>
      <c r="F431" s="61" t="str">
        <f>IF($A431="","",IF($A431&lt;&gt;$A430,IFERROR(INDEX([1]FG_Begin_Inventory!$B:$B,MATCH($A431,[1]FG_Begin_Inventory!$A:$A,0)),0),J430))</f>
        <v/>
      </c>
      <c r="G431" s="61" t="str">
        <f t="shared" si="45"/>
        <v/>
      </c>
      <c r="H431" s="62" t="str">
        <f t="shared" si="46"/>
        <v/>
      </c>
      <c r="I431" s="62" t="str">
        <f t="shared" si="47"/>
        <v/>
      </c>
      <c r="J431" s="62" t="str">
        <f t="shared" si="48"/>
        <v/>
      </c>
      <c r="K431" s="62" t="str">
        <f t="shared" si="49"/>
        <v/>
      </c>
      <c r="L431" s="62" t="str">
        <f t="shared" si="50"/>
        <v/>
      </c>
      <c r="M431" s="63" t="str">
        <f t="shared" si="51"/>
        <v/>
      </c>
      <c r="N431" s="64"/>
    </row>
    <row r="432" spans="1:14" x14ac:dyDescent="0.3">
      <c r="A432" s="58" t="str">
        <f>IF([1]weekly_demand!A433="","",[1]weekly_demand!A433)</f>
        <v/>
      </c>
      <c r="B432" s="59" t="str">
        <f>IF($A432="","",[1]weekly_demand!F433)</f>
        <v/>
      </c>
      <c r="C432" s="60" t="str">
        <f>IF($A432="","",[1]weekly_demand!H433)</f>
        <v/>
      </c>
      <c r="D432" s="61" t="str">
        <f>IF($A432="","",IF(SUMIFS([1]Fixture_Capacity_Input!$C:$C,[1]Fixture_Capacity_Input!$A:$A,$B432,[1]Fixture_Capacity_Input!$B:$B,$C432)&gt;0,SUMIFS([1]Fixture_Capacity_Input!$C:$C,[1]Fixture_Capacity_Input!$A:$A,$B432,[1]Fixture_Capacity_Input!$B:$B,$C432),[1]weekly_demand!G433))</f>
        <v/>
      </c>
      <c r="E432" s="62" t="str">
        <f>IF($A432="","",[1]weekly_demand!I433)</f>
        <v/>
      </c>
      <c r="F432" s="61" t="str">
        <f>IF($A432="","",IF($A432&lt;&gt;$A431,IFERROR(INDEX([1]FG_Begin_Inventory!$B:$B,MATCH($A432,[1]FG_Begin_Inventory!$A:$A,0)),0),J431))</f>
        <v/>
      </c>
      <c r="G432" s="61" t="str">
        <f t="shared" si="45"/>
        <v/>
      </c>
      <c r="H432" s="62" t="str">
        <f t="shared" si="46"/>
        <v/>
      </c>
      <c r="I432" s="62" t="str">
        <f t="shared" si="47"/>
        <v/>
      </c>
      <c r="J432" s="62" t="str">
        <f t="shared" si="48"/>
        <v/>
      </c>
      <c r="K432" s="62" t="str">
        <f t="shared" si="49"/>
        <v/>
      </c>
      <c r="L432" s="62" t="str">
        <f t="shared" si="50"/>
        <v/>
      </c>
      <c r="M432" s="63" t="str">
        <f t="shared" si="51"/>
        <v/>
      </c>
      <c r="N432" s="64"/>
    </row>
    <row r="433" spans="1:14" x14ac:dyDescent="0.3">
      <c r="A433" s="58" t="str">
        <f>IF([1]weekly_demand!A434="","",[1]weekly_demand!A434)</f>
        <v/>
      </c>
      <c r="B433" s="59" t="str">
        <f>IF($A433="","",[1]weekly_demand!F434)</f>
        <v/>
      </c>
      <c r="C433" s="60" t="str">
        <f>IF($A433="","",[1]weekly_demand!H434)</f>
        <v/>
      </c>
      <c r="D433" s="61" t="str">
        <f>IF($A433="","",IF(SUMIFS([1]Fixture_Capacity_Input!$C:$C,[1]Fixture_Capacity_Input!$A:$A,$B433,[1]Fixture_Capacity_Input!$B:$B,$C433)&gt;0,SUMIFS([1]Fixture_Capacity_Input!$C:$C,[1]Fixture_Capacity_Input!$A:$A,$B433,[1]Fixture_Capacity_Input!$B:$B,$C433),[1]weekly_demand!G434))</f>
        <v/>
      </c>
      <c r="E433" s="62" t="str">
        <f>IF($A433="","",[1]weekly_demand!I434)</f>
        <v/>
      </c>
      <c r="F433" s="61" t="str">
        <f>IF($A433="","",IF($A433&lt;&gt;$A432,IFERROR(INDEX([1]FG_Begin_Inventory!$B:$B,MATCH($A433,[1]FG_Begin_Inventory!$A:$A,0)),0),J432))</f>
        <v/>
      </c>
      <c r="G433" s="61" t="str">
        <f t="shared" si="45"/>
        <v/>
      </c>
      <c r="H433" s="62" t="str">
        <f t="shared" si="46"/>
        <v/>
      </c>
      <c r="I433" s="62" t="str">
        <f t="shared" si="47"/>
        <v/>
      </c>
      <c r="J433" s="62" t="str">
        <f t="shared" si="48"/>
        <v/>
      </c>
      <c r="K433" s="62" t="str">
        <f t="shared" si="49"/>
        <v/>
      </c>
      <c r="L433" s="62" t="str">
        <f t="shared" si="50"/>
        <v/>
      </c>
      <c r="M433" s="63" t="str">
        <f t="shared" si="51"/>
        <v/>
      </c>
      <c r="N433" s="64"/>
    </row>
    <row r="434" spans="1:14" x14ac:dyDescent="0.3">
      <c r="A434" s="58" t="str">
        <f>IF([1]weekly_demand!A435="","",[1]weekly_demand!A435)</f>
        <v/>
      </c>
      <c r="B434" s="59" t="str">
        <f>IF($A434="","",[1]weekly_demand!F435)</f>
        <v/>
      </c>
      <c r="C434" s="60" t="str">
        <f>IF($A434="","",[1]weekly_demand!H435)</f>
        <v/>
      </c>
      <c r="D434" s="61" t="str">
        <f>IF($A434="","",IF(SUMIFS([1]Fixture_Capacity_Input!$C:$C,[1]Fixture_Capacity_Input!$A:$A,$B434,[1]Fixture_Capacity_Input!$B:$B,$C434)&gt;0,SUMIFS([1]Fixture_Capacity_Input!$C:$C,[1]Fixture_Capacity_Input!$A:$A,$B434,[1]Fixture_Capacity_Input!$B:$B,$C434),[1]weekly_demand!G435))</f>
        <v/>
      </c>
      <c r="E434" s="62" t="str">
        <f>IF($A434="","",[1]weekly_demand!I435)</f>
        <v/>
      </c>
      <c r="F434" s="61" t="str">
        <f>IF($A434="","",IF($A434&lt;&gt;$A433,IFERROR(INDEX([1]FG_Begin_Inventory!$B:$B,MATCH($A434,[1]FG_Begin_Inventory!$A:$A,0)),0),J433))</f>
        <v/>
      </c>
      <c r="G434" s="61" t="str">
        <f t="shared" si="45"/>
        <v/>
      </c>
      <c r="H434" s="62" t="str">
        <f t="shared" si="46"/>
        <v/>
      </c>
      <c r="I434" s="62" t="str">
        <f t="shared" si="47"/>
        <v/>
      </c>
      <c r="J434" s="62" t="str">
        <f t="shared" si="48"/>
        <v/>
      </c>
      <c r="K434" s="62" t="str">
        <f t="shared" si="49"/>
        <v/>
      </c>
      <c r="L434" s="62" t="str">
        <f t="shared" si="50"/>
        <v/>
      </c>
      <c r="M434" s="63" t="str">
        <f t="shared" si="51"/>
        <v/>
      </c>
      <c r="N434" s="64"/>
    </row>
    <row r="435" spans="1:14" x14ac:dyDescent="0.3">
      <c r="A435" s="58" t="str">
        <f>IF([1]weekly_demand!A436="","",[1]weekly_demand!A436)</f>
        <v/>
      </c>
      <c r="B435" s="59" t="str">
        <f>IF($A435="","",[1]weekly_demand!F436)</f>
        <v/>
      </c>
      <c r="C435" s="60" t="str">
        <f>IF($A435="","",[1]weekly_demand!H436)</f>
        <v/>
      </c>
      <c r="D435" s="61" t="str">
        <f>IF($A435="","",IF(SUMIFS([1]Fixture_Capacity_Input!$C:$C,[1]Fixture_Capacity_Input!$A:$A,$B435,[1]Fixture_Capacity_Input!$B:$B,$C435)&gt;0,SUMIFS([1]Fixture_Capacity_Input!$C:$C,[1]Fixture_Capacity_Input!$A:$A,$B435,[1]Fixture_Capacity_Input!$B:$B,$C435),[1]weekly_demand!G436))</f>
        <v/>
      </c>
      <c r="E435" s="62" t="str">
        <f>IF($A435="","",[1]weekly_demand!I436)</f>
        <v/>
      </c>
      <c r="F435" s="61" t="str">
        <f>IF($A435="","",IF($A435&lt;&gt;$A434,IFERROR(INDEX([1]FG_Begin_Inventory!$B:$B,MATCH($A435,[1]FG_Begin_Inventory!$A:$A,0)),0),J434))</f>
        <v/>
      </c>
      <c r="G435" s="61" t="str">
        <f t="shared" ref="G435:G498" si="52">IF($A435="","",IF($A435&lt;&gt;$A436,0,MAX(0,G436+E436-D436)))</f>
        <v/>
      </c>
      <c r="H435" s="62" t="str">
        <f t="shared" si="46"/>
        <v/>
      </c>
      <c r="I435" s="62" t="str">
        <f t="shared" si="47"/>
        <v/>
      </c>
      <c r="J435" s="62" t="str">
        <f t="shared" si="48"/>
        <v/>
      </c>
      <c r="K435" s="62" t="str">
        <f t="shared" si="49"/>
        <v/>
      </c>
      <c r="L435" s="62" t="str">
        <f t="shared" si="50"/>
        <v/>
      </c>
      <c r="M435" s="63" t="str">
        <f t="shared" si="51"/>
        <v/>
      </c>
      <c r="N435" s="64"/>
    </row>
    <row r="436" spans="1:14" x14ac:dyDescent="0.3">
      <c r="A436" s="58" t="str">
        <f>IF([1]weekly_demand!A437="","",[1]weekly_demand!A437)</f>
        <v/>
      </c>
      <c r="B436" s="59" t="str">
        <f>IF($A436="","",[1]weekly_demand!F437)</f>
        <v/>
      </c>
      <c r="C436" s="60" t="str">
        <f>IF($A436="","",[1]weekly_demand!H437)</f>
        <v/>
      </c>
      <c r="D436" s="61" t="str">
        <f>IF($A436="","",IF(SUMIFS([1]Fixture_Capacity_Input!$C:$C,[1]Fixture_Capacity_Input!$A:$A,$B436,[1]Fixture_Capacity_Input!$B:$B,$C436)&gt;0,SUMIFS([1]Fixture_Capacity_Input!$C:$C,[1]Fixture_Capacity_Input!$A:$A,$B436,[1]Fixture_Capacity_Input!$B:$B,$C436),[1]weekly_demand!G437))</f>
        <v/>
      </c>
      <c r="E436" s="62" t="str">
        <f>IF($A436="","",[1]weekly_demand!I437)</f>
        <v/>
      </c>
      <c r="F436" s="61" t="str">
        <f>IF($A436="","",IF($A436&lt;&gt;$A435,IFERROR(INDEX([1]FG_Begin_Inventory!$B:$B,MATCH($A436,[1]FG_Begin_Inventory!$A:$A,0)),0),J435))</f>
        <v/>
      </c>
      <c r="G436" s="61" t="str">
        <f t="shared" si="52"/>
        <v/>
      </c>
      <c r="H436" s="62" t="str">
        <f t="shared" si="46"/>
        <v/>
      </c>
      <c r="I436" s="62" t="str">
        <f t="shared" si="47"/>
        <v/>
      </c>
      <c r="J436" s="62" t="str">
        <f t="shared" si="48"/>
        <v/>
      </c>
      <c r="K436" s="62" t="str">
        <f t="shared" si="49"/>
        <v/>
      </c>
      <c r="L436" s="62" t="str">
        <f t="shared" si="50"/>
        <v/>
      </c>
      <c r="M436" s="63" t="str">
        <f t="shared" si="51"/>
        <v/>
      </c>
      <c r="N436" s="64"/>
    </row>
    <row r="437" spans="1:14" x14ac:dyDescent="0.3">
      <c r="A437" s="58" t="str">
        <f>IF([1]weekly_demand!A438="","",[1]weekly_demand!A438)</f>
        <v/>
      </c>
      <c r="B437" s="59" t="str">
        <f>IF($A437="","",[1]weekly_demand!F438)</f>
        <v/>
      </c>
      <c r="C437" s="60" t="str">
        <f>IF($A437="","",[1]weekly_demand!H438)</f>
        <v/>
      </c>
      <c r="D437" s="61" t="str">
        <f>IF($A437="","",IF(SUMIFS([1]Fixture_Capacity_Input!$C:$C,[1]Fixture_Capacity_Input!$A:$A,$B437,[1]Fixture_Capacity_Input!$B:$B,$C437)&gt;0,SUMIFS([1]Fixture_Capacity_Input!$C:$C,[1]Fixture_Capacity_Input!$A:$A,$B437,[1]Fixture_Capacity_Input!$B:$B,$C437),[1]weekly_demand!G438))</f>
        <v/>
      </c>
      <c r="E437" s="62" t="str">
        <f>IF($A437="","",[1]weekly_demand!I438)</f>
        <v/>
      </c>
      <c r="F437" s="61" t="str">
        <f>IF($A437="","",IF($A437&lt;&gt;$A436,IFERROR(INDEX([1]FG_Begin_Inventory!$B:$B,MATCH($A437,[1]FG_Begin_Inventory!$A:$A,0)),0),J436))</f>
        <v/>
      </c>
      <c r="G437" s="61" t="str">
        <f t="shared" si="52"/>
        <v/>
      </c>
      <c r="H437" s="62" t="str">
        <f t="shared" si="46"/>
        <v/>
      </c>
      <c r="I437" s="62" t="str">
        <f t="shared" si="47"/>
        <v/>
      </c>
      <c r="J437" s="62" t="str">
        <f t="shared" si="48"/>
        <v/>
      </c>
      <c r="K437" s="62" t="str">
        <f t="shared" si="49"/>
        <v/>
      </c>
      <c r="L437" s="62" t="str">
        <f t="shared" si="50"/>
        <v/>
      </c>
      <c r="M437" s="63" t="str">
        <f t="shared" si="51"/>
        <v/>
      </c>
      <c r="N437" s="64"/>
    </row>
    <row r="438" spans="1:14" x14ac:dyDescent="0.3">
      <c r="A438" s="58" t="str">
        <f>IF([1]weekly_demand!A439="","",[1]weekly_demand!A439)</f>
        <v/>
      </c>
      <c r="B438" s="59" t="str">
        <f>IF($A438="","",[1]weekly_demand!F439)</f>
        <v/>
      </c>
      <c r="C438" s="60" t="str">
        <f>IF($A438="","",[1]weekly_demand!H439)</f>
        <v/>
      </c>
      <c r="D438" s="61" t="str">
        <f>IF($A438="","",IF(SUMIFS([1]Fixture_Capacity_Input!$C:$C,[1]Fixture_Capacity_Input!$A:$A,$B438,[1]Fixture_Capacity_Input!$B:$B,$C438)&gt;0,SUMIFS([1]Fixture_Capacity_Input!$C:$C,[1]Fixture_Capacity_Input!$A:$A,$B438,[1]Fixture_Capacity_Input!$B:$B,$C438),[1]weekly_demand!G439))</f>
        <v/>
      </c>
      <c r="E438" s="62" t="str">
        <f>IF($A438="","",[1]weekly_demand!I439)</f>
        <v/>
      </c>
      <c r="F438" s="61" t="str">
        <f>IF($A438="","",IF($A438&lt;&gt;$A437,IFERROR(INDEX([1]FG_Begin_Inventory!$B:$B,MATCH($A438,[1]FG_Begin_Inventory!$A:$A,0)),0),J437))</f>
        <v/>
      </c>
      <c r="G438" s="61" t="str">
        <f t="shared" si="52"/>
        <v/>
      </c>
      <c r="H438" s="62" t="str">
        <f t="shared" si="46"/>
        <v/>
      </c>
      <c r="I438" s="62" t="str">
        <f t="shared" si="47"/>
        <v/>
      </c>
      <c r="J438" s="62" t="str">
        <f t="shared" si="48"/>
        <v/>
      </c>
      <c r="K438" s="62" t="str">
        <f t="shared" si="49"/>
        <v/>
      </c>
      <c r="L438" s="62" t="str">
        <f t="shared" si="50"/>
        <v/>
      </c>
      <c r="M438" s="63" t="str">
        <f t="shared" si="51"/>
        <v/>
      </c>
      <c r="N438" s="64"/>
    </row>
    <row r="439" spans="1:14" x14ac:dyDescent="0.3">
      <c r="A439" s="58" t="str">
        <f>IF([1]weekly_demand!A440="","",[1]weekly_demand!A440)</f>
        <v/>
      </c>
      <c r="B439" s="59" t="str">
        <f>IF($A439="","",[1]weekly_demand!F440)</f>
        <v/>
      </c>
      <c r="C439" s="60" t="str">
        <f>IF($A439="","",[1]weekly_demand!H440)</f>
        <v/>
      </c>
      <c r="D439" s="61" t="str">
        <f>IF($A439="","",IF(SUMIFS([1]Fixture_Capacity_Input!$C:$C,[1]Fixture_Capacity_Input!$A:$A,$B439,[1]Fixture_Capacity_Input!$B:$B,$C439)&gt;0,SUMIFS([1]Fixture_Capacity_Input!$C:$C,[1]Fixture_Capacity_Input!$A:$A,$B439,[1]Fixture_Capacity_Input!$B:$B,$C439),[1]weekly_demand!G440))</f>
        <v/>
      </c>
      <c r="E439" s="62" t="str">
        <f>IF($A439="","",[1]weekly_demand!I440)</f>
        <v/>
      </c>
      <c r="F439" s="61" t="str">
        <f>IF($A439="","",IF($A439&lt;&gt;$A438,IFERROR(INDEX([1]FG_Begin_Inventory!$B:$B,MATCH($A439,[1]FG_Begin_Inventory!$A:$A,0)),0),J438))</f>
        <v/>
      </c>
      <c r="G439" s="61" t="str">
        <f t="shared" si="52"/>
        <v/>
      </c>
      <c r="H439" s="62" t="str">
        <f t="shared" si="46"/>
        <v/>
      </c>
      <c r="I439" s="62" t="str">
        <f t="shared" si="47"/>
        <v/>
      </c>
      <c r="J439" s="62" t="str">
        <f t="shared" si="48"/>
        <v/>
      </c>
      <c r="K439" s="62" t="str">
        <f t="shared" si="49"/>
        <v/>
      </c>
      <c r="L439" s="62" t="str">
        <f t="shared" si="50"/>
        <v/>
      </c>
      <c r="M439" s="63" t="str">
        <f t="shared" si="51"/>
        <v/>
      </c>
      <c r="N439" s="64"/>
    </row>
    <row r="440" spans="1:14" x14ac:dyDescent="0.3">
      <c r="A440" s="58" t="str">
        <f>IF([1]weekly_demand!A441="","",[1]weekly_demand!A441)</f>
        <v/>
      </c>
      <c r="B440" s="59" t="str">
        <f>IF($A440="","",[1]weekly_demand!F441)</f>
        <v/>
      </c>
      <c r="C440" s="60" t="str">
        <f>IF($A440="","",[1]weekly_demand!H441)</f>
        <v/>
      </c>
      <c r="D440" s="61" t="str">
        <f>IF($A440="","",IF(SUMIFS([1]Fixture_Capacity_Input!$C:$C,[1]Fixture_Capacity_Input!$A:$A,$B440,[1]Fixture_Capacity_Input!$B:$B,$C440)&gt;0,SUMIFS([1]Fixture_Capacity_Input!$C:$C,[1]Fixture_Capacity_Input!$A:$A,$B440,[1]Fixture_Capacity_Input!$B:$B,$C440),[1]weekly_demand!G441))</f>
        <v/>
      </c>
      <c r="E440" s="62" t="str">
        <f>IF($A440="","",[1]weekly_demand!I441)</f>
        <v/>
      </c>
      <c r="F440" s="61" t="str">
        <f>IF($A440="","",IF($A440&lt;&gt;$A439,IFERROR(INDEX([1]FG_Begin_Inventory!$B:$B,MATCH($A440,[1]FG_Begin_Inventory!$A:$A,0)),0),J439))</f>
        <v/>
      </c>
      <c r="G440" s="61" t="str">
        <f t="shared" si="52"/>
        <v/>
      </c>
      <c r="H440" s="62" t="str">
        <f t="shared" si="46"/>
        <v/>
      </c>
      <c r="I440" s="62" t="str">
        <f t="shared" si="47"/>
        <v/>
      </c>
      <c r="J440" s="62" t="str">
        <f t="shared" si="48"/>
        <v/>
      </c>
      <c r="K440" s="62" t="str">
        <f t="shared" si="49"/>
        <v/>
      </c>
      <c r="L440" s="62" t="str">
        <f t="shared" si="50"/>
        <v/>
      </c>
      <c r="M440" s="63" t="str">
        <f t="shared" si="51"/>
        <v/>
      </c>
      <c r="N440" s="64"/>
    </row>
    <row r="441" spans="1:14" x14ac:dyDescent="0.3">
      <c r="A441" s="58" t="str">
        <f>IF([1]weekly_demand!A442="","",[1]weekly_demand!A442)</f>
        <v/>
      </c>
      <c r="B441" s="59" t="str">
        <f>IF($A441="","",[1]weekly_demand!F442)</f>
        <v/>
      </c>
      <c r="C441" s="60" t="str">
        <f>IF($A441="","",[1]weekly_demand!H442)</f>
        <v/>
      </c>
      <c r="D441" s="61" t="str">
        <f>IF($A441="","",IF(SUMIFS([1]Fixture_Capacity_Input!$C:$C,[1]Fixture_Capacity_Input!$A:$A,$B441,[1]Fixture_Capacity_Input!$B:$B,$C441)&gt;0,SUMIFS([1]Fixture_Capacity_Input!$C:$C,[1]Fixture_Capacity_Input!$A:$A,$B441,[1]Fixture_Capacity_Input!$B:$B,$C441),[1]weekly_demand!G442))</f>
        <v/>
      </c>
      <c r="E441" s="62" t="str">
        <f>IF($A441="","",[1]weekly_demand!I442)</f>
        <v/>
      </c>
      <c r="F441" s="61" t="str">
        <f>IF($A441="","",IF($A441&lt;&gt;$A440,IFERROR(INDEX([1]FG_Begin_Inventory!$B:$B,MATCH($A441,[1]FG_Begin_Inventory!$A:$A,0)),0),J440))</f>
        <v/>
      </c>
      <c r="G441" s="61" t="str">
        <f t="shared" si="52"/>
        <v/>
      </c>
      <c r="H441" s="62" t="str">
        <f t="shared" si="46"/>
        <v/>
      </c>
      <c r="I441" s="62" t="str">
        <f t="shared" si="47"/>
        <v/>
      </c>
      <c r="J441" s="62" t="str">
        <f t="shared" si="48"/>
        <v/>
      </c>
      <c r="K441" s="62" t="str">
        <f t="shared" si="49"/>
        <v/>
      </c>
      <c r="L441" s="62" t="str">
        <f t="shared" si="50"/>
        <v/>
      </c>
      <c r="M441" s="63" t="str">
        <f t="shared" si="51"/>
        <v/>
      </c>
      <c r="N441" s="64"/>
    </row>
    <row r="442" spans="1:14" x14ac:dyDescent="0.3">
      <c r="A442" s="58" t="str">
        <f>IF([1]weekly_demand!A443="","",[1]weekly_demand!A443)</f>
        <v/>
      </c>
      <c r="B442" s="59" t="str">
        <f>IF($A442="","",[1]weekly_demand!F443)</f>
        <v/>
      </c>
      <c r="C442" s="60" t="str">
        <f>IF($A442="","",[1]weekly_demand!H443)</f>
        <v/>
      </c>
      <c r="D442" s="61" t="str">
        <f>IF($A442="","",IF(SUMIFS([1]Fixture_Capacity_Input!$C:$C,[1]Fixture_Capacity_Input!$A:$A,$B442,[1]Fixture_Capacity_Input!$B:$B,$C442)&gt;0,SUMIFS([1]Fixture_Capacity_Input!$C:$C,[1]Fixture_Capacity_Input!$A:$A,$B442,[1]Fixture_Capacity_Input!$B:$B,$C442),[1]weekly_demand!G443))</f>
        <v/>
      </c>
      <c r="E442" s="62" t="str">
        <f>IF($A442="","",[1]weekly_demand!I443)</f>
        <v/>
      </c>
      <c r="F442" s="61" t="str">
        <f>IF($A442="","",IF($A442&lt;&gt;$A441,IFERROR(INDEX([1]FG_Begin_Inventory!$B:$B,MATCH($A442,[1]FG_Begin_Inventory!$A:$A,0)),0),J441))</f>
        <v/>
      </c>
      <c r="G442" s="61" t="str">
        <f t="shared" si="52"/>
        <v/>
      </c>
      <c r="H442" s="62" t="str">
        <f t="shared" si="46"/>
        <v/>
      </c>
      <c r="I442" s="62" t="str">
        <f t="shared" si="47"/>
        <v/>
      </c>
      <c r="J442" s="62" t="str">
        <f t="shared" si="48"/>
        <v/>
      </c>
      <c r="K442" s="62" t="str">
        <f t="shared" si="49"/>
        <v/>
      </c>
      <c r="L442" s="62" t="str">
        <f t="shared" si="50"/>
        <v/>
      </c>
      <c r="M442" s="63" t="str">
        <f t="shared" si="51"/>
        <v/>
      </c>
      <c r="N442" s="64"/>
    </row>
    <row r="443" spans="1:14" x14ac:dyDescent="0.3">
      <c r="A443" s="58" t="str">
        <f>IF([1]weekly_demand!A444="","",[1]weekly_demand!A444)</f>
        <v/>
      </c>
      <c r="B443" s="59" t="str">
        <f>IF($A443="","",[1]weekly_demand!F444)</f>
        <v/>
      </c>
      <c r="C443" s="60" t="str">
        <f>IF($A443="","",[1]weekly_demand!H444)</f>
        <v/>
      </c>
      <c r="D443" s="61" t="str">
        <f>IF($A443="","",IF(SUMIFS([1]Fixture_Capacity_Input!$C:$C,[1]Fixture_Capacity_Input!$A:$A,$B443,[1]Fixture_Capacity_Input!$B:$B,$C443)&gt;0,SUMIFS([1]Fixture_Capacity_Input!$C:$C,[1]Fixture_Capacity_Input!$A:$A,$B443,[1]Fixture_Capacity_Input!$B:$B,$C443),[1]weekly_demand!G444))</f>
        <v/>
      </c>
      <c r="E443" s="62" t="str">
        <f>IF($A443="","",[1]weekly_demand!I444)</f>
        <v/>
      </c>
      <c r="F443" s="61" t="str">
        <f>IF($A443="","",IF($A443&lt;&gt;$A442,IFERROR(INDEX([1]FG_Begin_Inventory!$B:$B,MATCH($A443,[1]FG_Begin_Inventory!$A:$A,0)),0),J442))</f>
        <v/>
      </c>
      <c r="G443" s="61" t="str">
        <f t="shared" si="52"/>
        <v/>
      </c>
      <c r="H443" s="62" t="str">
        <f t="shared" si="46"/>
        <v/>
      </c>
      <c r="I443" s="62" t="str">
        <f t="shared" si="47"/>
        <v/>
      </c>
      <c r="J443" s="62" t="str">
        <f t="shared" si="48"/>
        <v/>
      </c>
      <c r="K443" s="62" t="str">
        <f t="shared" si="49"/>
        <v/>
      </c>
      <c r="L443" s="62" t="str">
        <f t="shared" si="50"/>
        <v/>
      </c>
      <c r="M443" s="63" t="str">
        <f t="shared" si="51"/>
        <v/>
      </c>
      <c r="N443" s="64"/>
    </row>
    <row r="444" spans="1:14" x14ac:dyDescent="0.3">
      <c r="A444" s="58" t="str">
        <f>IF([1]weekly_demand!A445="","",[1]weekly_demand!A445)</f>
        <v/>
      </c>
      <c r="B444" s="59" t="str">
        <f>IF($A444="","",[1]weekly_demand!F445)</f>
        <v/>
      </c>
      <c r="C444" s="60" t="str">
        <f>IF($A444="","",[1]weekly_demand!H445)</f>
        <v/>
      </c>
      <c r="D444" s="61" t="str">
        <f>IF($A444="","",IF(SUMIFS([1]Fixture_Capacity_Input!$C:$C,[1]Fixture_Capacity_Input!$A:$A,$B444,[1]Fixture_Capacity_Input!$B:$B,$C444)&gt;0,SUMIFS([1]Fixture_Capacity_Input!$C:$C,[1]Fixture_Capacity_Input!$A:$A,$B444,[1]Fixture_Capacity_Input!$B:$B,$C444),[1]weekly_demand!G445))</f>
        <v/>
      </c>
      <c r="E444" s="62" t="str">
        <f>IF($A444="","",[1]weekly_demand!I445)</f>
        <v/>
      </c>
      <c r="F444" s="61" t="str">
        <f>IF($A444="","",IF($A444&lt;&gt;$A443,IFERROR(INDEX([1]FG_Begin_Inventory!$B:$B,MATCH($A444,[1]FG_Begin_Inventory!$A:$A,0)),0),J443))</f>
        <v/>
      </c>
      <c r="G444" s="61" t="str">
        <f t="shared" si="52"/>
        <v/>
      </c>
      <c r="H444" s="62" t="str">
        <f t="shared" si="46"/>
        <v/>
      </c>
      <c r="I444" s="62" t="str">
        <f t="shared" si="47"/>
        <v/>
      </c>
      <c r="J444" s="62" t="str">
        <f t="shared" si="48"/>
        <v/>
      </c>
      <c r="K444" s="62" t="str">
        <f t="shared" si="49"/>
        <v/>
      </c>
      <c r="L444" s="62" t="str">
        <f t="shared" si="50"/>
        <v/>
      </c>
      <c r="M444" s="63" t="str">
        <f t="shared" si="51"/>
        <v/>
      </c>
      <c r="N444" s="64"/>
    </row>
    <row r="445" spans="1:14" x14ac:dyDescent="0.3">
      <c r="A445" s="58" t="str">
        <f>IF([1]weekly_demand!A446="","",[1]weekly_demand!A446)</f>
        <v/>
      </c>
      <c r="B445" s="59" t="str">
        <f>IF($A445="","",[1]weekly_demand!F446)</f>
        <v/>
      </c>
      <c r="C445" s="60" t="str">
        <f>IF($A445="","",[1]weekly_demand!H446)</f>
        <v/>
      </c>
      <c r="D445" s="61" t="str">
        <f>IF($A445="","",IF(SUMIFS([1]Fixture_Capacity_Input!$C:$C,[1]Fixture_Capacity_Input!$A:$A,$B445,[1]Fixture_Capacity_Input!$B:$B,$C445)&gt;0,SUMIFS([1]Fixture_Capacity_Input!$C:$C,[1]Fixture_Capacity_Input!$A:$A,$B445,[1]Fixture_Capacity_Input!$B:$B,$C445),[1]weekly_demand!G446))</f>
        <v/>
      </c>
      <c r="E445" s="62" t="str">
        <f>IF($A445="","",[1]weekly_demand!I446)</f>
        <v/>
      </c>
      <c r="F445" s="61" t="str">
        <f>IF($A445="","",IF($A445&lt;&gt;$A444,IFERROR(INDEX([1]FG_Begin_Inventory!$B:$B,MATCH($A445,[1]FG_Begin_Inventory!$A:$A,0)),0),J444))</f>
        <v/>
      </c>
      <c r="G445" s="61" t="str">
        <f t="shared" si="52"/>
        <v/>
      </c>
      <c r="H445" s="62" t="str">
        <f t="shared" si="46"/>
        <v/>
      </c>
      <c r="I445" s="62" t="str">
        <f t="shared" si="47"/>
        <v/>
      </c>
      <c r="J445" s="62" t="str">
        <f t="shared" si="48"/>
        <v/>
      </c>
      <c r="K445" s="62" t="str">
        <f t="shared" si="49"/>
        <v/>
      </c>
      <c r="L445" s="62" t="str">
        <f t="shared" si="50"/>
        <v/>
      </c>
      <c r="M445" s="63" t="str">
        <f t="shared" si="51"/>
        <v/>
      </c>
      <c r="N445" s="64"/>
    </row>
    <row r="446" spans="1:14" x14ac:dyDescent="0.3">
      <c r="A446" s="58" t="str">
        <f>IF([1]weekly_demand!A447="","",[1]weekly_demand!A447)</f>
        <v/>
      </c>
      <c r="B446" s="59" t="str">
        <f>IF($A446="","",[1]weekly_demand!F447)</f>
        <v/>
      </c>
      <c r="C446" s="60" t="str">
        <f>IF($A446="","",[1]weekly_demand!H447)</f>
        <v/>
      </c>
      <c r="D446" s="61" t="str">
        <f>IF($A446="","",IF(SUMIFS([1]Fixture_Capacity_Input!$C:$C,[1]Fixture_Capacity_Input!$A:$A,$B446,[1]Fixture_Capacity_Input!$B:$B,$C446)&gt;0,SUMIFS([1]Fixture_Capacity_Input!$C:$C,[1]Fixture_Capacity_Input!$A:$A,$B446,[1]Fixture_Capacity_Input!$B:$B,$C446),[1]weekly_demand!G447))</f>
        <v/>
      </c>
      <c r="E446" s="62" t="str">
        <f>IF($A446="","",[1]weekly_demand!I447)</f>
        <v/>
      </c>
      <c r="F446" s="61" t="str">
        <f>IF($A446="","",IF($A446&lt;&gt;$A445,IFERROR(INDEX([1]FG_Begin_Inventory!$B:$B,MATCH($A446,[1]FG_Begin_Inventory!$A:$A,0)),0),J445))</f>
        <v/>
      </c>
      <c r="G446" s="61" t="str">
        <f t="shared" si="52"/>
        <v/>
      </c>
      <c r="H446" s="62" t="str">
        <f t="shared" si="46"/>
        <v/>
      </c>
      <c r="I446" s="62" t="str">
        <f t="shared" si="47"/>
        <v/>
      </c>
      <c r="J446" s="62" t="str">
        <f t="shared" si="48"/>
        <v/>
      </c>
      <c r="K446" s="62" t="str">
        <f t="shared" si="49"/>
        <v/>
      </c>
      <c r="L446" s="62" t="str">
        <f t="shared" si="50"/>
        <v/>
      </c>
      <c r="M446" s="63" t="str">
        <f t="shared" si="51"/>
        <v/>
      </c>
      <c r="N446" s="64"/>
    </row>
    <row r="447" spans="1:14" x14ac:dyDescent="0.3">
      <c r="A447" s="58" t="str">
        <f>IF([1]weekly_demand!A448="","",[1]weekly_demand!A448)</f>
        <v/>
      </c>
      <c r="B447" s="59" t="str">
        <f>IF($A447="","",[1]weekly_demand!F448)</f>
        <v/>
      </c>
      <c r="C447" s="60" t="str">
        <f>IF($A447="","",[1]weekly_demand!H448)</f>
        <v/>
      </c>
      <c r="D447" s="61" t="str">
        <f>IF($A447="","",IF(SUMIFS([1]Fixture_Capacity_Input!$C:$C,[1]Fixture_Capacity_Input!$A:$A,$B447,[1]Fixture_Capacity_Input!$B:$B,$C447)&gt;0,SUMIFS([1]Fixture_Capacity_Input!$C:$C,[1]Fixture_Capacity_Input!$A:$A,$B447,[1]Fixture_Capacity_Input!$B:$B,$C447),[1]weekly_demand!G448))</f>
        <v/>
      </c>
      <c r="E447" s="62" t="str">
        <f>IF($A447="","",[1]weekly_demand!I448)</f>
        <v/>
      </c>
      <c r="F447" s="61" t="str">
        <f>IF($A447="","",IF($A447&lt;&gt;$A446,IFERROR(INDEX([1]FG_Begin_Inventory!$B:$B,MATCH($A447,[1]FG_Begin_Inventory!$A:$A,0)),0),J446))</f>
        <v/>
      </c>
      <c r="G447" s="61" t="str">
        <f t="shared" si="52"/>
        <v/>
      </c>
      <c r="H447" s="62" t="str">
        <f t="shared" si="46"/>
        <v/>
      </c>
      <c r="I447" s="62" t="str">
        <f t="shared" si="47"/>
        <v/>
      </c>
      <c r="J447" s="62" t="str">
        <f t="shared" si="48"/>
        <v/>
      </c>
      <c r="K447" s="62" t="str">
        <f t="shared" si="49"/>
        <v/>
      </c>
      <c r="L447" s="62" t="str">
        <f t="shared" si="50"/>
        <v/>
      </c>
      <c r="M447" s="63" t="str">
        <f t="shared" si="51"/>
        <v/>
      </c>
      <c r="N447" s="64"/>
    </row>
    <row r="448" spans="1:14" x14ac:dyDescent="0.3">
      <c r="A448" s="58" t="str">
        <f>IF([1]weekly_demand!A449="","",[1]weekly_demand!A449)</f>
        <v/>
      </c>
      <c r="B448" s="59" t="str">
        <f>IF($A448="","",[1]weekly_demand!F449)</f>
        <v/>
      </c>
      <c r="C448" s="60" t="str">
        <f>IF($A448="","",[1]weekly_demand!H449)</f>
        <v/>
      </c>
      <c r="D448" s="61" t="str">
        <f>IF($A448="","",IF(SUMIFS([1]Fixture_Capacity_Input!$C:$C,[1]Fixture_Capacity_Input!$A:$A,$B448,[1]Fixture_Capacity_Input!$B:$B,$C448)&gt;0,SUMIFS([1]Fixture_Capacity_Input!$C:$C,[1]Fixture_Capacity_Input!$A:$A,$B448,[1]Fixture_Capacity_Input!$B:$B,$C448),[1]weekly_demand!G449))</f>
        <v/>
      </c>
      <c r="E448" s="62" t="str">
        <f>IF($A448="","",[1]weekly_demand!I449)</f>
        <v/>
      </c>
      <c r="F448" s="61" t="str">
        <f>IF($A448="","",IF($A448&lt;&gt;$A447,IFERROR(INDEX([1]FG_Begin_Inventory!$B:$B,MATCH($A448,[1]FG_Begin_Inventory!$A:$A,0)),0),J447))</f>
        <v/>
      </c>
      <c r="G448" s="61" t="str">
        <f t="shared" si="52"/>
        <v/>
      </c>
      <c r="H448" s="62" t="str">
        <f t="shared" si="46"/>
        <v/>
      </c>
      <c r="I448" s="62" t="str">
        <f t="shared" si="47"/>
        <v/>
      </c>
      <c r="J448" s="62" t="str">
        <f t="shared" si="48"/>
        <v/>
      </c>
      <c r="K448" s="62" t="str">
        <f t="shared" si="49"/>
        <v/>
      </c>
      <c r="L448" s="62" t="str">
        <f t="shared" si="50"/>
        <v/>
      </c>
      <c r="M448" s="63" t="str">
        <f t="shared" si="51"/>
        <v/>
      </c>
      <c r="N448" s="64"/>
    </row>
    <row r="449" spans="1:14" x14ac:dyDescent="0.3">
      <c r="A449" s="58" t="str">
        <f>IF([1]weekly_demand!A450="","",[1]weekly_demand!A450)</f>
        <v/>
      </c>
      <c r="B449" s="59" t="str">
        <f>IF($A449="","",[1]weekly_demand!F450)</f>
        <v/>
      </c>
      <c r="C449" s="60" t="str">
        <f>IF($A449="","",[1]weekly_demand!H450)</f>
        <v/>
      </c>
      <c r="D449" s="61" t="str">
        <f>IF($A449="","",IF(SUMIFS([1]Fixture_Capacity_Input!$C:$C,[1]Fixture_Capacity_Input!$A:$A,$B449,[1]Fixture_Capacity_Input!$B:$B,$C449)&gt;0,SUMIFS([1]Fixture_Capacity_Input!$C:$C,[1]Fixture_Capacity_Input!$A:$A,$B449,[1]Fixture_Capacity_Input!$B:$B,$C449),[1]weekly_demand!G450))</f>
        <v/>
      </c>
      <c r="E449" s="62" t="str">
        <f>IF($A449="","",[1]weekly_demand!I450)</f>
        <v/>
      </c>
      <c r="F449" s="61" t="str">
        <f>IF($A449="","",IF($A449&lt;&gt;$A448,IFERROR(INDEX([1]FG_Begin_Inventory!$B:$B,MATCH($A449,[1]FG_Begin_Inventory!$A:$A,0)),0),J448))</f>
        <v/>
      </c>
      <c r="G449" s="61" t="str">
        <f t="shared" si="52"/>
        <v/>
      </c>
      <c r="H449" s="62" t="str">
        <f t="shared" si="46"/>
        <v/>
      </c>
      <c r="I449" s="62" t="str">
        <f t="shared" si="47"/>
        <v/>
      </c>
      <c r="J449" s="62" t="str">
        <f t="shared" si="48"/>
        <v/>
      </c>
      <c r="K449" s="62" t="str">
        <f t="shared" si="49"/>
        <v/>
      </c>
      <c r="L449" s="62" t="str">
        <f t="shared" si="50"/>
        <v/>
      </c>
      <c r="M449" s="63" t="str">
        <f t="shared" si="51"/>
        <v/>
      </c>
      <c r="N449" s="64"/>
    </row>
    <row r="450" spans="1:14" x14ac:dyDescent="0.3">
      <c r="A450" s="58" t="str">
        <f>IF([1]weekly_demand!A451="","",[1]weekly_demand!A451)</f>
        <v/>
      </c>
      <c r="B450" s="59" t="str">
        <f>IF($A450="","",[1]weekly_demand!F451)</f>
        <v/>
      </c>
      <c r="C450" s="60" t="str">
        <f>IF($A450="","",[1]weekly_demand!H451)</f>
        <v/>
      </c>
      <c r="D450" s="61" t="str">
        <f>IF($A450="","",IF(SUMIFS([1]Fixture_Capacity_Input!$C:$C,[1]Fixture_Capacity_Input!$A:$A,$B450,[1]Fixture_Capacity_Input!$B:$B,$C450)&gt;0,SUMIFS([1]Fixture_Capacity_Input!$C:$C,[1]Fixture_Capacity_Input!$A:$A,$B450,[1]Fixture_Capacity_Input!$B:$B,$C450),[1]weekly_demand!G451))</f>
        <v/>
      </c>
      <c r="E450" s="62" t="str">
        <f>IF($A450="","",[1]weekly_demand!I451)</f>
        <v/>
      </c>
      <c r="F450" s="61" t="str">
        <f>IF($A450="","",IF($A450&lt;&gt;$A449,IFERROR(INDEX([1]FG_Begin_Inventory!$B:$B,MATCH($A450,[1]FG_Begin_Inventory!$A:$A,0)),0),J449))</f>
        <v/>
      </c>
      <c r="G450" s="61" t="str">
        <f t="shared" si="52"/>
        <v/>
      </c>
      <c r="H450" s="62" t="str">
        <f t="shared" ref="H450:H513" si="53">IF($A450="","",MAX(0,E450+G450-F450))</f>
        <v/>
      </c>
      <c r="I450" s="62" t="str">
        <f t="shared" ref="I450:I513" si="54">IF($A450="","",MIN(D450,H450))</f>
        <v/>
      </c>
      <c r="J450" s="62" t="str">
        <f t="shared" ref="J450:J513" si="55">IF($A450="","",MAX(0,F450+I450-E450))</f>
        <v/>
      </c>
      <c r="K450" s="62" t="str">
        <f t="shared" ref="K450:K513" si="56">IF($A450="","",MAX(0,E450-F450-I450))</f>
        <v/>
      </c>
      <c r="L450" s="62" t="str">
        <f t="shared" ref="L450:L513" si="57">IF($A450="","",MAX(0,F450+I450-E450))</f>
        <v/>
      </c>
      <c r="M450" s="63" t="str">
        <f t="shared" ref="M450:M513" si="58">IF($A450="","",IFERROR(I450/D450,0))</f>
        <v/>
      </c>
      <c r="N450" s="64"/>
    </row>
    <row r="451" spans="1:14" x14ac:dyDescent="0.3">
      <c r="A451" s="58" t="str">
        <f>IF([1]weekly_demand!A452="","",[1]weekly_demand!A452)</f>
        <v/>
      </c>
      <c r="B451" s="59" t="str">
        <f>IF($A451="","",[1]weekly_demand!F452)</f>
        <v/>
      </c>
      <c r="C451" s="60" t="str">
        <f>IF($A451="","",[1]weekly_demand!H452)</f>
        <v/>
      </c>
      <c r="D451" s="61" t="str">
        <f>IF($A451="","",IF(SUMIFS([1]Fixture_Capacity_Input!$C:$C,[1]Fixture_Capacity_Input!$A:$A,$B451,[1]Fixture_Capacity_Input!$B:$B,$C451)&gt;0,SUMIFS([1]Fixture_Capacity_Input!$C:$C,[1]Fixture_Capacity_Input!$A:$A,$B451,[1]Fixture_Capacity_Input!$B:$B,$C451),[1]weekly_demand!G452))</f>
        <v/>
      </c>
      <c r="E451" s="62" t="str">
        <f>IF($A451="","",[1]weekly_demand!I452)</f>
        <v/>
      </c>
      <c r="F451" s="61" t="str">
        <f>IF($A451="","",IF($A451&lt;&gt;$A450,IFERROR(INDEX([1]FG_Begin_Inventory!$B:$B,MATCH($A451,[1]FG_Begin_Inventory!$A:$A,0)),0),J450))</f>
        <v/>
      </c>
      <c r="G451" s="61" t="str">
        <f t="shared" si="52"/>
        <v/>
      </c>
      <c r="H451" s="62" t="str">
        <f t="shared" si="53"/>
        <v/>
      </c>
      <c r="I451" s="62" t="str">
        <f t="shared" si="54"/>
        <v/>
      </c>
      <c r="J451" s="62" t="str">
        <f t="shared" si="55"/>
        <v/>
      </c>
      <c r="K451" s="62" t="str">
        <f t="shared" si="56"/>
        <v/>
      </c>
      <c r="L451" s="62" t="str">
        <f t="shared" si="57"/>
        <v/>
      </c>
      <c r="M451" s="63" t="str">
        <f t="shared" si="58"/>
        <v/>
      </c>
      <c r="N451" s="64"/>
    </row>
    <row r="452" spans="1:14" x14ac:dyDescent="0.3">
      <c r="A452" s="58" t="str">
        <f>IF([1]weekly_demand!A453="","",[1]weekly_demand!A453)</f>
        <v/>
      </c>
      <c r="B452" s="59" t="str">
        <f>IF($A452="","",[1]weekly_demand!F453)</f>
        <v/>
      </c>
      <c r="C452" s="60" t="str">
        <f>IF($A452="","",[1]weekly_demand!H453)</f>
        <v/>
      </c>
      <c r="D452" s="61" t="str">
        <f>IF($A452="","",IF(SUMIFS([1]Fixture_Capacity_Input!$C:$C,[1]Fixture_Capacity_Input!$A:$A,$B452,[1]Fixture_Capacity_Input!$B:$B,$C452)&gt;0,SUMIFS([1]Fixture_Capacity_Input!$C:$C,[1]Fixture_Capacity_Input!$A:$A,$B452,[1]Fixture_Capacity_Input!$B:$B,$C452),[1]weekly_demand!G453))</f>
        <v/>
      </c>
      <c r="E452" s="62" t="str">
        <f>IF($A452="","",[1]weekly_demand!I453)</f>
        <v/>
      </c>
      <c r="F452" s="61" t="str">
        <f>IF($A452="","",IF($A452&lt;&gt;$A451,IFERROR(INDEX([1]FG_Begin_Inventory!$B:$B,MATCH($A452,[1]FG_Begin_Inventory!$A:$A,0)),0),J451))</f>
        <v/>
      </c>
      <c r="G452" s="61" t="str">
        <f t="shared" si="52"/>
        <v/>
      </c>
      <c r="H452" s="62" t="str">
        <f t="shared" si="53"/>
        <v/>
      </c>
      <c r="I452" s="62" t="str">
        <f t="shared" si="54"/>
        <v/>
      </c>
      <c r="J452" s="62" t="str">
        <f t="shared" si="55"/>
        <v/>
      </c>
      <c r="K452" s="62" t="str">
        <f t="shared" si="56"/>
        <v/>
      </c>
      <c r="L452" s="62" t="str">
        <f t="shared" si="57"/>
        <v/>
      </c>
      <c r="M452" s="63" t="str">
        <f t="shared" si="58"/>
        <v/>
      </c>
      <c r="N452" s="64"/>
    </row>
    <row r="453" spans="1:14" x14ac:dyDescent="0.3">
      <c r="A453" s="58" t="str">
        <f>IF([1]weekly_demand!A454="","",[1]weekly_demand!A454)</f>
        <v/>
      </c>
      <c r="B453" s="59" t="str">
        <f>IF($A453="","",[1]weekly_demand!F454)</f>
        <v/>
      </c>
      <c r="C453" s="60" t="str">
        <f>IF($A453="","",[1]weekly_demand!H454)</f>
        <v/>
      </c>
      <c r="D453" s="61" t="str">
        <f>IF($A453="","",IF(SUMIFS([1]Fixture_Capacity_Input!$C:$C,[1]Fixture_Capacity_Input!$A:$A,$B453,[1]Fixture_Capacity_Input!$B:$B,$C453)&gt;0,SUMIFS([1]Fixture_Capacity_Input!$C:$C,[1]Fixture_Capacity_Input!$A:$A,$B453,[1]Fixture_Capacity_Input!$B:$B,$C453),[1]weekly_demand!G454))</f>
        <v/>
      </c>
      <c r="E453" s="62" t="str">
        <f>IF($A453="","",[1]weekly_demand!I454)</f>
        <v/>
      </c>
      <c r="F453" s="61" t="str">
        <f>IF($A453="","",IF($A453&lt;&gt;$A452,IFERROR(INDEX([1]FG_Begin_Inventory!$B:$B,MATCH($A453,[1]FG_Begin_Inventory!$A:$A,0)),0),J452))</f>
        <v/>
      </c>
      <c r="G453" s="61" t="str">
        <f t="shared" si="52"/>
        <v/>
      </c>
      <c r="H453" s="62" t="str">
        <f t="shared" si="53"/>
        <v/>
      </c>
      <c r="I453" s="62" t="str">
        <f t="shared" si="54"/>
        <v/>
      </c>
      <c r="J453" s="62" t="str">
        <f t="shared" si="55"/>
        <v/>
      </c>
      <c r="K453" s="62" t="str">
        <f t="shared" si="56"/>
        <v/>
      </c>
      <c r="L453" s="62" t="str">
        <f t="shared" si="57"/>
        <v/>
      </c>
      <c r="M453" s="63" t="str">
        <f t="shared" si="58"/>
        <v/>
      </c>
      <c r="N453" s="64"/>
    </row>
    <row r="454" spans="1:14" x14ac:dyDescent="0.3">
      <c r="A454" s="58" t="str">
        <f>IF([1]weekly_demand!A455="","",[1]weekly_demand!A455)</f>
        <v/>
      </c>
      <c r="B454" s="59" t="str">
        <f>IF($A454="","",[1]weekly_demand!F455)</f>
        <v/>
      </c>
      <c r="C454" s="60" t="str">
        <f>IF($A454="","",[1]weekly_demand!H455)</f>
        <v/>
      </c>
      <c r="D454" s="61" t="str">
        <f>IF($A454="","",IF(SUMIFS([1]Fixture_Capacity_Input!$C:$C,[1]Fixture_Capacity_Input!$A:$A,$B454,[1]Fixture_Capacity_Input!$B:$B,$C454)&gt;0,SUMIFS([1]Fixture_Capacity_Input!$C:$C,[1]Fixture_Capacity_Input!$A:$A,$B454,[1]Fixture_Capacity_Input!$B:$B,$C454),[1]weekly_demand!G455))</f>
        <v/>
      </c>
      <c r="E454" s="62" t="str">
        <f>IF($A454="","",[1]weekly_demand!I455)</f>
        <v/>
      </c>
      <c r="F454" s="61" t="str">
        <f>IF($A454="","",IF($A454&lt;&gt;$A453,IFERROR(INDEX([1]FG_Begin_Inventory!$B:$B,MATCH($A454,[1]FG_Begin_Inventory!$A:$A,0)),0),J453))</f>
        <v/>
      </c>
      <c r="G454" s="61" t="str">
        <f t="shared" si="52"/>
        <v/>
      </c>
      <c r="H454" s="62" t="str">
        <f t="shared" si="53"/>
        <v/>
      </c>
      <c r="I454" s="62" t="str">
        <f t="shared" si="54"/>
        <v/>
      </c>
      <c r="J454" s="62" t="str">
        <f t="shared" si="55"/>
        <v/>
      </c>
      <c r="K454" s="62" t="str">
        <f t="shared" si="56"/>
        <v/>
      </c>
      <c r="L454" s="62" t="str">
        <f t="shared" si="57"/>
        <v/>
      </c>
      <c r="M454" s="63" t="str">
        <f t="shared" si="58"/>
        <v/>
      </c>
      <c r="N454" s="64"/>
    </row>
    <row r="455" spans="1:14" x14ac:dyDescent="0.3">
      <c r="A455" s="58" t="str">
        <f>IF([1]weekly_demand!A456="","",[1]weekly_demand!A456)</f>
        <v/>
      </c>
      <c r="B455" s="59" t="str">
        <f>IF($A455="","",[1]weekly_demand!F456)</f>
        <v/>
      </c>
      <c r="C455" s="60" t="str">
        <f>IF($A455="","",[1]weekly_demand!H456)</f>
        <v/>
      </c>
      <c r="D455" s="61" t="str">
        <f>IF($A455="","",IF(SUMIFS([1]Fixture_Capacity_Input!$C:$C,[1]Fixture_Capacity_Input!$A:$A,$B455,[1]Fixture_Capacity_Input!$B:$B,$C455)&gt;0,SUMIFS([1]Fixture_Capacity_Input!$C:$C,[1]Fixture_Capacity_Input!$A:$A,$B455,[1]Fixture_Capacity_Input!$B:$B,$C455),[1]weekly_demand!G456))</f>
        <v/>
      </c>
      <c r="E455" s="62" t="str">
        <f>IF($A455="","",[1]weekly_demand!I456)</f>
        <v/>
      </c>
      <c r="F455" s="61" t="str">
        <f>IF($A455="","",IF($A455&lt;&gt;$A454,IFERROR(INDEX([1]FG_Begin_Inventory!$B:$B,MATCH($A455,[1]FG_Begin_Inventory!$A:$A,0)),0),J454))</f>
        <v/>
      </c>
      <c r="G455" s="61" t="str">
        <f t="shared" si="52"/>
        <v/>
      </c>
      <c r="H455" s="62" t="str">
        <f t="shared" si="53"/>
        <v/>
      </c>
      <c r="I455" s="62" t="str">
        <f t="shared" si="54"/>
        <v/>
      </c>
      <c r="J455" s="62" t="str">
        <f t="shared" si="55"/>
        <v/>
      </c>
      <c r="K455" s="62" t="str">
        <f t="shared" si="56"/>
        <v/>
      </c>
      <c r="L455" s="62" t="str">
        <f t="shared" si="57"/>
        <v/>
      </c>
      <c r="M455" s="63" t="str">
        <f t="shared" si="58"/>
        <v/>
      </c>
      <c r="N455" s="64"/>
    </row>
    <row r="456" spans="1:14" x14ac:dyDescent="0.3">
      <c r="A456" s="58" t="str">
        <f>IF([1]weekly_demand!A457="","",[1]weekly_demand!A457)</f>
        <v/>
      </c>
      <c r="B456" s="59" t="str">
        <f>IF($A456="","",[1]weekly_demand!F457)</f>
        <v/>
      </c>
      <c r="C456" s="60" t="str">
        <f>IF($A456="","",[1]weekly_demand!H457)</f>
        <v/>
      </c>
      <c r="D456" s="61" t="str">
        <f>IF($A456="","",IF(SUMIFS([1]Fixture_Capacity_Input!$C:$C,[1]Fixture_Capacity_Input!$A:$A,$B456,[1]Fixture_Capacity_Input!$B:$B,$C456)&gt;0,SUMIFS([1]Fixture_Capacity_Input!$C:$C,[1]Fixture_Capacity_Input!$A:$A,$B456,[1]Fixture_Capacity_Input!$B:$B,$C456),[1]weekly_demand!G457))</f>
        <v/>
      </c>
      <c r="E456" s="62" t="str">
        <f>IF($A456="","",[1]weekly_demand!I457)</f>
        <v/>
      </c>
      <c r="F456" s="61" t="str">
        <f>IF($A456="","",IF($A456&lt;&gt;$A455,IFERROR(INDEX([1]FG_Begin_Inventory!$B:$B,MATCH($A456,[1]FG_Begin_Inventory!$A:$A,0)),0),J455))</f>
        <v/>
      </c>
      <c r="G456" s="61" t="str">
        <f t="shared" si="52"/>
        <v/>
      </c>
      <c r="H456" s="62" t="str">
        <f t="shared" si="53"/>
        <v/>
      </c>
      <c r="I456" s="62" t="str">
        <f t="shared" si="54"/>
        <v/>
      </c>
      <c r="J456" s="62" t="str">
        <f t="shared" si="55"/>
        <v/>
      </c>
      <c r="K456" s="62" t="str">
        <f t="shared" si="56"/>
        <v/>
      </c>
      <c r="L456" s="62" t="str">
        <f t="shared" si="57"/>
        <v/>
      </c>
      <c r="M456" s="63" t="str">
        <f t="shared" si="58"/>
        <v/>
      </c>
      <c r="N456" s="64"/>
    </row>
    <row r="457" spans="1:14" x14ac:dyDescent="0.3">
      <c r="A457" s="58" t="str">
        <f>IF([1]weekly_demand!A458="","",[1]weekly_demand!A458)</f>
        <v/>
      </c>
      <c r="B457" s="59" t="str">
        <f>IF($A457="","",[1]weekly_demand!F458)</f>
        <v/>
      </c>
      <c r="C457" s="60" t="str">
        <f>IF($A457="","",[1]weekly_demand!H458)</f>
        <v/>
      </c>
      <c r="D457" s="61" t="str">
        <f>IF($A457="","",IF(SUMIFS([1]Fixture_Capacity_Input!$C:$C,[1]Fixture_Capacity_Input!$A:$A,$B457,[1]Fixture_Capacity_Input!$B:$B,$C457)&gt;0,SUMIFS([1]Fixture_Capacity_Input!$C:$C,[1]Fixture_Capacity_Input!$A:$A,$B457,[1]Fixture_Capacity_Input!$B:$B,$C457),[1]weekly_demand!G458))</f>
        <v/>
      </c>
      <c r="E457" s="62" t="str">
        <f>IF($A457="","",[1]weekly_demand!I458)</f>
        <v/>
      </c>
      <c r="F457" s="61" t="str">
        <f>IF($A457="","",IF($A457&lt;&gt;$A456,IFERROR(INDEX([1]FG_Begin_Inventory!$B:$B,MATCH($A457,[1]FG_Begin_Inventory!$A:$A,0)),0),J456))</f>
        <v/>
      </c>
      <c r="G457" s="61" t="str">
        <f t="shared" si="52"/>
        <v/>
      </c>
      <c r="H457" s="62" t="str">
        <f t="shared" si="53"/>
        <v/>
      </c>
      <c r="I457" s="62" t="str">
        <f t="shared" si="54"/>
        <v/>
      </c>
      <c r="J457" s="62" t="str">
        <f t="shared" si="55"/>
        <v/>
      </c>
      <c r="K457" s="62" t="str">
        <f t="shared" si="56"/>
        <v/>
      </c>
      <c r="L457" s="62" t="str">
        <f t="shared" si="57"/>
        <v/>
      </c>
      <c r="M457" s="63" t="str">
        <f t="shared" si="58"/>
        <v/>
      </c>
      <c r="N457" s="64"/>
    </row>
    <row r="458" spans="1:14" x14ac:dyDescent="0.3">
      <c r="A458" s="58" t="str">
        <f>IF([1]weekly_demand!A459="","",[1]weekly_demand!A459)</f>
        <v/>
      </c>
      <c r="B458" s="59" t="str">
        <f>IF($A458="","",[1]weekly_demand!F459)</f>
        <v/>
      </c>
      <c r="C458" s="60" t="str">
        <f>IF($A458="","",[1]weekly_demand!H459)</f>
        <v/>
      </c>
      <c r="D458" s="61" t="str">
        <f>IF($A458="","",IF(SUMIFS([1]Fixture_Capacity_Input!$C:$C,[1]Fixture_Capacity_Input!$A:$A,$B458,[1]Fixture_Capacity_Input!$B:$B,$C458)&gt;0,SUMIFS([1]Fixture_Capacity_Input!$C:$C,[1]Fixture_Capacity_Input!$A:$A,$B458,[1]Fixture_Capacity_Input!$B:$B,$C458),[1]weekly_demand!G459))</f>
        <v/>
      </c>
      <c r="E458" s="62" t="str">
        <f>IF($A458="","",[1]weekly_demand!I459)</f>
        <v/>
      </c>
      <c r="F458" s="61" t="str">
        <f>IF($A458="","",IF($A458&lt;&gt;$A457,IFERROR(INDEX([1]FG_Begin_Inventory!$B:$B,MATCH($A458,[1]FG_Begin_Inventory!$A:$A,0)),0),J457))</f>
        <v/>
      </c>
      <c r="G458" s="61" t="str">
        <f t="shared" si="52"/>
        <v/>
      </c>
      <c r="H458" s="62" t="str">
        <f t="shared" si="53"/>
        <v/>
      </c>
      <c r="I458" s="62" t="str">
        <f t="shared" si="54"/>
        <v/>
      </c>
      <c r="J458" s="62" t="str">
        <f t="shared" si="55"/>
        <v/>
      </c>
      <c r="K458" s="62" t="str">
        <f t="shared" si="56"/>
        <v/>
      </c>
      <c r="L458" s="62" t="str">
        <f t="shared" si="57"/>
        <v/>
      </c>
      <c r="M458" s="63" t="str">
        <f t="shared" si="58"/>
        <v/>
      </c>
      <c r="N458" s="64"/>
    </row>
    <row r="459" spans="1:14" x14ac:dyDescent="0.3">
      <c r="A459" s="58" t="str">
        <f>IF([1]weekly_demand!A460="","",[1]weekly_demand!A460)</f>
        <v/>
      </c>
      <c r="B459" s="59" t="str">
        <f>IF($A459="","",[1]weekly_demand!F460)</f>
        <v/>
      </c>
      <c r="C459" s="60" t="str">
        <f>IF($A459="","",[1]weekly_demand!H460)</f>
        <v/>
      </c>
      <c r="D459" s="61" t="str">
        <f>IF($A459="","",IF(SUMIFS([1]Fixture_Capacity_Input!$C:$C,[1]Fixture_Capacity_Input!$A:$A,$B459,[1]Fixture_Capacity_Input!$B:$B,$C459)&gt;0,SUMIFS([1]Fixture_Capacity_Input!$C:$C,[1]Fixture_Capacity_Input!$A:$A,$B459,[1]Fixture_Capacity_Input!$B:$B,$C459),[1]weekly_demand!G460))</f>
        <v/>
      </c>
      <c r="E459" s="62" t="str">
        <f>IF($A459="","",[1]weekly_demand!I460)</f>
        <v/>
      </c>
      <c r="F459" s="61" t="str">
        <f>IF($A459="","",IF($A459&lt;&gt;$A458,IFERROR(INDEX([1]FG_Begin_Inventory!$B:$B,MATCH($A459,[1]FG_Begin_Inventory!$A:$A,0)),0),J458))</f>
        <v/>
      </c>
      <c r="G459" s="61" t="str">
        <f t="shared" si="52"/>
        <v/>
      </c>
      <c r="H459" s="62" t="str">
        <f t="shared" si="53"/>
        <v/>
      </c>
      <c r="I459" s="62" t="str">
        <f t="shared" si="54"/>
        <v/>
      </c>
      <c r="J459" s="62" t="str">
        <f t="shared" si="55"/>
        <v/>
      </c>
      <c r="K459" s="62" t="str">
        <f t="shared" si="56"/>
        <v/>
      </c>
      <c r="L459" s="62" t="str">
        <f t="shared" si="57"/>
        <v/>
      </c>
      <c r="M459" s="63" t="str">
        <f t="shared" si="58"/>
        <v/>
      </c>
      <c r="N459" s="64"/>
    </row>
    <row r="460" spans="1:14" x14ac:dyDescent="0.3">
      <c r="A460" s="58" t="str">
        <f>IF([1]weekly_demand!A461="","",[1]weekly_demand!A461)</f>
        <v/>
      </c>
      <c r="B460" s="59" t="str">
        <f>IF($A460="","",[1]weekly_demand!F461)</f>
        <v/>
      </c>
      <c r="C460" s="60" t="str">
        <f>IF($A460="","",[1]weekly_demand!H461)</f>
        <v/>
      </c>
      <c r="D460" s="61" t="str">
        <f>IF($A460="","",IF(SUMIFS([1]Fixture_Capacity_Input!$C:$C,[1]Fixture_Capacity_Input!$A:$A,$B460,[1]Fixture_Capacity_Input!$B:$B,$C460)&gt;0,SUMIFS([1]Fixture_Capacity_Input!$C:$C,[1]Fixture_Capacity_Input!$A:$A,$B460,[1]Fixture_Capacity_Input!$B:$B,$C460),[1]weekly_demand!G461))</f>
        <v/>
      </c>
      <c r="E460" s="62" t="str">
        <f>IF($A460="","",[1]weekly_demand!I461)</f>
        <v/>
      </c>
      <c r="F460" s="61" t="str">
        <f>IF($A460="","",IF($A460&lt;&gt;$A459,IFERROR(INDEX([1]FG_Begin_Inventory!$B:$B,MATCH($A460,[1]FG_Begin_Inventory!$A:$A,0)),0),J459))</f>
        <v/>
      </c>
      <c r="G460" s="61" t="str">
        <f t="shared" si="52"/>
        <v/>
      </c>
      <c r="H460" s="62" t="str">
        <f t="shared" si="53"/>
        <v/>
      </c>
      <c r="I460" s="62" t="str">
        <f t="shared" si="54"/>
        <v/>
      </c>
      <c r="J460" s="62" t="str">
        <f t="shared" si="55"/>
        <v/>
      </c>
      <c r="K460" s="62" t="str">
        <f t="shared" si="56"/>
        <v/>
      </c>
      <c r="L460" s="62" t="str">
        <f t="shared" si="57"/>
        <v/>
      </c>
      <c r="M460" s="63" t="str">
        <f t="shared" si="58"/>
        <v/>
      </c>
      <c r="N460" s="64"/>
    </row>
    <row r="461" spans="1:14" x14ac:dyDescent="0.3">
      <c r="A461" s="58" t="str">
        <f>IF([1]weekly_demand!A462="","",[1]weekly_demand!A462)</f>
        <v/>
      </c>
      <c r="B461" s="59" t="str">
        <f>IF($A461="","",[1]weekly_demand!F462)</f>
        <v/>
      </c>
      <c r="C461" s="60" t="str">
        <f>IF($A461="","",[1]weekly_demand!H462)</f>
        <v/>
      </c>
      <c r="D461" s="61" t="str">
        <f>IF($A461="","",IF(SUMIFS([1]Fixture_Capacity_Input!$C:$C,[1]Fixture_Capacity_Input!$A:$A,$B461,[1]Fixture_Capacity_Input!$B:$B,$C461)&gt;0,SUMIFS([1]Fixture_Capacity_Input!$C:$C,[1]Fixture_Capacity_Input!$A:$A,$B461,[1]Fixture_Capacity_Input!$B:$B,$C461),[1]weekly_demand!G462))</f>
        <v/>
      </c>
      <c r="E461" s="62" t="str">
        <f>IF($A461="","",[1]weekly_demand!I462)</f>
        <v/>
      </c>
      <c r="F461" s="61" t="str">
        <f>IF($A461="","",IF($A461&lt;&gt;$A460,IFERROR(INDEX([1]FG_Begin_Inventory!$B:$B,MATCH($A461,[1]FG_Begin_Inventory!$A:$A,0)),0),J460))</f>
        <v/>
      </c>
      <c r="G461" s="61" t="str">
        <f t="shared" si="52"/>
        <v/>
      </c>
      <c r="H461" s="62" t="str">
        <f t="shared" si="53"/>
        <v/>
      </c>
      <c r="I461" s="62" t="str">
        <f t="shared" si="54"/>
        <v/>
      </c>
      <c r="J461" s="62" t="str">
        <f t="shared" si="55"/>
        <v/>
      </c>
      <c r="K461" s="62" t="str">
        <f t="shared" si="56"/>
        <v/>
      </c>
      <c r="L461" s="62" t="str">
        <f t="shared" si="57"/>
        <v/>
      </c>
      <c r="M461" s="63" t="str">
        <f t="shared" si="58"/>
        <v/>
      </c>
      <c r="N461" s="64"/>
    </row>
    <row r="462" spans="1:14" x14ac:dyDescent="0.3">
      <c r="A462" s="58" t="str">
        <f>IF([1]weekly_demand!A463="","",[1]weekly_demand!A463)</f>
        <v/>
      </c>
      <c r="B462" s="59" t="str">
        <f>IF($A462="","",[1]weekly_demand!F463)</f>
        <v/>
      </c>
      <c r="C462" s="60" t="str">
        <f>IF($A462="","",[1]weekly_demand!H463)</f>
        <v/>
      </c>
      <c r="D462" s="61" t="str">
        <f>IF($A462="","",IF(SUMIFS([1]Fixture_Capacity_Input!$C:$C,[1]Fixture_Capacity_Input!$A:$A,$B462,[1]Fixture_Capacity_Input!$B:$B,$C462)&gt;0,SUMIFS([1]Fixture_Capacity_Input!$C:$C,[1]Fixture_Capacity_Input!$A:$A,$B462,[1]Fixture_Capacity_Input!$B:$B,$C462),[1]weekly_demand!G463))</f>
        <v/>
      </c>
      <c r="E462" s="62" t="str">
        <f>IF($A462="","",[1]weekly_demand!I463)</f>
        <v/>
      </c>
      <c r="F462" s="61" t="str">
        <f>IF($A462="","",IF($A462&lt;&gt;$A461,IFERROR(INDEX([1]FG_Begin_Inventory!$B:$B,MATCH($A462,[1]FG_Begin_Inventory!$A:$A,0)),0),J461))</f>
        <v/>
      </c>
      <c r="G462" s="61" t="str">
        <f t="shared" si="52"/>
        <v/>
      </c>
      <c r="H462" s="62" t="str">
        <f t="shared" si="53"/>
        <v/>
      </c>
      <c r="I462" s="62" t="str">
        <f t="shared" si="54"/>
        <v/>
      </c>
      <c r="J462" s="62" t="str">
        <f t="shared" si="55"/>
        <v/>
      </c>
      <c r="K462" s="62" t="str">
        <f t="shared" si="56"/>
        <v/>
      </c>
      <c r="L462" s="62" t="str">
        <f t="shared" si="57"/>
        <v/>
      </c>
      <c r="M462" s="63" t="str">
        <f t="shared" si="58"/>
        <v/>
      </c>
      <c r="N462" s="64"/>
    </row>
    <row r="463" spans="1:14" x14ac:dyDescent="0.3">
      <c r="A463" s="58" t="str">
        <f>IF([1]weekly_demand!A464="","",[1]weekly_demand!A464)</f>
        <v/>
      </c>
      <c r="B463" s="59" t="str">
        <f>IF($A463="","",[1]weekly_demand!F464)</f>
        <v/>
      </c>
      <c r="C463" s="60" t="str">
        <f>IF($A463="","",[1]weekly_demand!H464)</f>
        <v/>
      </c>
      <c r="D463" s="61" t="str">
        <f>IF($A463="","",IF(SUMIFS([1]Fixture_Capacity_Input!$C:$C,[1]Fixture_Capacity_Input!$A:$A,$B463,[1]Fixture_Capacity_Input!$B:$B,$C463)&gt;0,SUMIFS([1]Fixture_Capacity_Input!$C:$C,[1]Fixture_Capacity_Input!$A:$A,$B463,[1]Fixture_Capacity_Input!$B:$B,$C463),[1]weekly_demand!G464))</f>
        <v/>
      </c>
      <c r="E463" s="62" t="str">
        <f>IF($A463="","",[1]weekly_demand!I464)</f>
        <v/>
      </c>
      <c r="F463" s="61" t="str">
        <f>IF($A463="","",IF($A463&lt;&gt;$A462,IFERROR(INDEX([1]FG_Begin_Inventory!$B:$B,MATCH($A463,[1]FG_Begin_Inventory!$A:$A,0)),0),J462))</f>
        <v/>
      </c>
      <c r="G463" s="61" t="str">
        <f t="shared" si="52"/>
        <v/>
      </c>
      <c r="H463" s="62" t="str">
        <f t="shared" si="53"/>
        <v/>
      </c>
      <c r="I463" s="62" t="str">
        <f t="shared" si="54"/>
        <v/>
      </c>
      <c r="J463" s="62" t="str">
        <f t="shared" si="55"/>
        <v/>
      </c>
      <c r="K463" s="62" t="str">
        <f t="shared" si="56"/>
        <v/>
      </c>
      <c r="L463" s="62" t="str">
        <f t="shared" si="57"/>
        <v/>
      </c>
      <c r="M463" s="63" t="str">
        <f t="shared" si="58"/>
        <v/>
      </c>
      <c r="N463" s="64"/>
    </row>
    <row r="464" spans="1:14" x14ac:dyDescent="0.3">
      <c r="A464" s="58" t="str">
        <f>IF([1]weekly_demand!A465="","",[1]weekly_demand!A465)</f>
        <v/>
      </c>
      <c r="B464" s="59" t="str">
        <f>IF($A464="","",[1]weekly_demand!F465)</f>
        <v/>
      </c>
      <c r="C464" s="60" t="str">
        <f>IF($A464="","",[1]weekly_demand!H465)</f>
        <v/>
      </c>
      <c r="D464" s="61" t="str">
        <f>IF($A464="","",IF(SUMIFS([1]Fixture_Capacity_Input!$C:$C,[1]Fixture_Capacity_Input!$A:$A,$B464,[1]Fixture_Capacity_Input!$B:$B,$C464)&gt;0,SUMIFS([1]Fixture_Capacity_Input!$C:$C,[1]Fixture_Capacity_Input!$A:$A,$B464,[1]Fixture_Capacity_Input!$B:$B,$C464),[1]weekly_demand!G465))</f>
        <v/>
      </c>
      <c r="E464" s="62" t="str">
        <f>IF($A464="","",[1]weekly_demand!I465)</f>
        <v/>
      </c>
      <c r="F464" s="61" t="str">
        <f>IF($A464="","",IF($A464&lt;&gt;$A463,IFERROR(INDEX([1]FG_Begin_Inventory!$B:$B,MATCH($A464,[1]FG_Begin_Inventory!$A:$A,0)),0),J463))</f>
        <v/>
      </c>
      <c r="G464" s="61" t="str">
        <f t="shared" si="52"/>
        <v/>
      </c>
      <c r="H464" s="62" t="str">
        <f t="shared" si="53"/>
        <v/>
      </c>
      <c r="I464" s="62" t="str">
        <f t="shared" si="54"/>
        <v/>
      </c>
      <c r="J464" s="62" t="str">
        <f t="shared" si="55"/>
        <v/>
      </c>
      <c r="K464" s="62" t="str">
        <f t="shared" si="56"/>
        <v/>
      </c>
      <c r="L464" s="62" t="str">
        <f t="shared" si="57"/>
        <v/>
      </c>
      <c r="M464" s="63" t="str">
        <f t="shared" si="58"/>
        <v/>
      </c>
      <c r="N464" s="64"/>
    </row>
    <row r="465" spans="1:14" x14ac:dyDescent="0.3">
      <c r="A465" s="58" t="str">
        <f>IF([1]weekly_demand!A466="","",[1]weekly_demand!A466)</f>
        <v/>
      </c>
      <c r="B465" s="59" t="str">
        <f>IF($A465="","",[1]weekly_demand!F466)</f>
        <v/>
      </c>
      <c r="C465" s="60" t="str">
        <f>IF($A465="","",[1]weekly_demand!H466)</f>
        <v/>
      </c>
      <c r="D465" s="61" t="str">
        <f>IF($A465="","",IF(SUMIFS([1]Fixture_Capacity_Input!$C:$C,[1]Fixture_Capacity_Input!$A:$A,$B465,[1]Fixture_Capacity_Input!$B:$B,$C465)&gt;0,SUMIFS([1]Fixture_Capacity_Input!$C:$C,[1]Fixture_Capacity_Input!$A:$A,$B465,[1]Fixture_Capacity_Input!$B:$B,$C465),[1]weekly_demand!G466))</f>
        <v/>
      </c>
      <c r="E465" s="62" t="str">
        <f>IF($A465="","",[1]weekly_demand!I466)</f>
        <v/>
      </c>
      <c r="F465" s="61" t="str">
        <f>IF($A465="","",IF($A465&lt;&gt;$A464,IFERROR(INDEX([1]FG_Begin_Inventory!$B:$B,MATCH($A465,[1]FG_Begin_Inventory!$A:$A,0)),0),J464))</f>
        <v/>
      </c>
      <c r="G465" s="61" t="str">
        <f t="shared" si="52"/>
        <v/>
      </c>
      <c r="H465" s="62" t="str">
        <f t="shared" si="53"/>
        <v/>
      </c>
      <c r="I465" s="62" t="str">
        <f t="shared" si="54"/>
        <v/>
      </c>
      <c r="J465" s="62" t="str">
        <f t="shared" si="55"/>
        <v/>
      </c>
      <c r="K465" s="62" t="str">
        <f t="shared" si="56"/>
        <v/>
      </c>
      <c r="L465" s="62" t="str">
        <f t="shared" si="57"/>
        <v/>
      </c>
      <c r="M465" s="63" t="str">
        <f t="shared" si="58"/>
        <v/>
      </c>
      <c r="N465" s="64"/>
    </row>
    <row r="466" spans="1:14" x14ac:dyDescent="0.3">
      <c r="A466" s="58" t="str">
        <f>IF([1]weekly_demand!A467="","",[1]weekly_demand!A467)</f>
        <v/>
      </c>
      <c r="B466" s="59" t="str">
        <f>IF($A466="","",[1]weekly_demand!F467)</f>
        <v/>
      </c>
      <c r="C466" s="60" t="str">
        <f>IF($A466="","",[1]weekly_demand!H467)</f>
        <v/>
      </c>
      <c r="D466" s="61" t="str">
        <f>IF($A466="","",IF(SUMIFS([1]Fixture_Capacity_Input!$C:$C,[1]Fixture_Capacity_Input!$A:$A,$B466,[1]Fixture_Capacity_Input!$B:$B,$C466)&gt;0,SUMIFS([1]Fixture_Capacity_Input!$C:$C,[1]Fixture_Capacity_Input!$A:$A,$B466,[1]Fixture_Capacity_Input!$B:$B,$C466),[1]weekly_demand!G467))</f>
        <v/>
      </c>
      <c r="E466" s="62" t="str">
        <f>IF($A466="","",[1]weekly_demand!I467)</f>
        <v/>
      </c>
      <c r="F466" s="61" t="str">
        <f>IF($A466="","",IF($A466&lt;&gt;$A465,IFERROR(INDEX([1]FG_Begin_Inventory!$B:$B,MATCH($A466,[1]FG_Begin_Inventory!$A:$A,0)),0),J465))</f>
        <v/>
      </c>
      <c r="G466" s="61" t="str">
        <f t="shared" si="52"/>
        <v/>
      </c>
      <c r="H466" s="62" t="str">
        <f t="shared" si="53"/>
        <v/>
      </c>
      <c r="I466" s="62" t="str">
        <f t="shared" si="54"/>
        <v/>
      </c>
      <c r="J466" s="62" t="str">
        <f t="shared" si="55"/>
        <v/>
      </c>
      <c r="K466" s="62" t="str">
        <f t="shared" si="56"/>
        <v/>
      </c>
      <c r="L466" s="62" t="str">
        <f t="shared" si="57"/>
        <v/>
      </c>
      <c r="M466" s="63" t="str">
        <f t="shared" si="58"/>
        <v/>
      </c>
      <c r="N466" s="64"/>
    </row>
    <row r="467" spans="1:14" x14ac:dyDescent="0.3">
      <c r="A467" s="58" t="str">
        <f>IF([1]weekly_demand!A468="","",[1]weekly_demand!A468)</f>
        <v/>
      </c>
      <c r="B467" s="59" t="str">
        <f>IF($A467="","",[1]weekly_demand!F468)</f>
        <v/>
      </c>
      <c r="C467" s="60" t="str">
        <f>IF($A467="","",[1]weekly_demand!H468)</f>
        <v/>
      </c>
      <c r="D467" s="61" t="str">
        <f>IF($A467="","",IF(SUMIFS([1]Fixture_Capacity_Input!$C:$C,[1]Fixture_Capacity_Input!$A:$A,$B467,[1]Fixture_Capacity_Input!$B:$B,$C467)&gt;0,SUMIFS([1]Fixture_Capacity_Input!$C:$C,[1]Fixture_Capacity_Input!$A:$A,$B467,[1]Fixture_Capacity_Input!$B:$B,$C467),[1]weekly_demand!G468))</f>
        <v/>
      </c>
      <c r="E467" s="62" t="str">
        <f>IF($A467="","",[1]weekly_demand!I468)</f>
        <v/>
      </c>
      <c r="F467" s="61" t="str">
        <f>IF($A467="","",IF($A467&lt;&gt;$A466,IFERROR(INDEX([1]FG_Begin_Inventory!$B:$B,MATCH($A467,[1]FG_Begin_Inventory!$A:$A,0)),0),J466))</f>
        <v/>
      </c>
      <c r="G467" s="61" t="str">
        <f t="shared" si="52"/>
        <v/>
      </c>
      <c r="H467" s="62" t="str">
        <f t="shared" si="53"/>
        <v/>
      </c>
      <c r="I467" s="62" t="str">
        <f t="shared" si="54"/>
        <v/>
      </c>
      <c r="J467" s="62" t="str">
        <f t="shared" si="55"/>
        <v/>
      </c>
      <c r="K467" s="62" t="str">
        <f t="shared" si="56"/>
        <v/>
      </c>
      <c r="L467" s="62" t="str">
        <f t="shared" si="57"/>
        <v/>
      </c>
      <c r="M467" s="63" t="str">
        <f t="shared" si="58"/>
        <v/>
      </c>
      <c r="N467" s="64"/>
    </row>
    <row r="468" spans="1:14" x14ac:dyDescent="0.3">
      <c r="A468" s="58" t="str">
        <f>IF([1]weekly_demand!A469="","",[1]weekly_demand!A469)</f>
        <v/>
      </c>
      <c r="B468" s="59" t="str">
        <f>IF($A468="","",[1]weekly_demand!F469)</f>
        <v/>
      </c>
      <c r="C468" s="60" t="str">
        <f>IF($A468="","",[1]weekly_demand!H469)</f>
        <v/>
      </c>
      <c r="D468" s="61" t="str">
        <f>IF($A468="","",IF(SUMIFS([1]Fixture_Capacity_Input!$C:$C,[1]Fixture_Capacity_Input!$A:$A,$B468,[1]Fixture_Capacity_Input!$B:$B,$C468)&gt;0,SUMIFS([1]Fixture_Capacity_Input!$C:$C,[1]Fixture_Capacity_Input!$A:$A,$B468,[1]Fixture_Capacity_Input!$B:$B,$C468),[1]weekly_demand!G469))</f>
        <v/>
      </c>
      <c r="E468" s="62" t="str">
        <f>IF($A468="","",[1]weekly_demand!I469)</f>
        <v/>
      </c>
      <c r="F468" s="61" t="str">
        <f>IF($A468="","",IF($A468&lt;&gt;$A467,IFERROR(INDEX([1]FG_Begin_Inventory!$B:$B,MATCH($A468,[1]FG_Begin_Inventory!$A:$A,0)),0),J467))</f>
        <v/>
      </c>
      <c r="G468" s="61" t="str">
        <f t="shared" si="52"/>
        <v/>
      </c>
      <c r="H468" s="62" t="str">
        <f t="shared" si="53"/>
        <v/>
      </c>
      <c r="I468" s="62" t="str">
        <f t="shared" si="54"/>
        <v/>
      </c>
      <c r="J468" s="62" t="str">
        <f t="shared" si="55"/>
        <v/>
      </c>
      <c r="K468" s="62" t="str">
        <f t="shared" si="56"/>
        <v/>
      </c>
      <c r="L468" s="62" t="str">
        <f t="shared" si="57"/>
        <v/>
      </c>
      <c r="M468" s="63" t="str">
        <f t="shared" si="58"/>
        <v/>
      </c>
      <c r="N468" s="64"/>
    </row>
    <row r="469" spans="1:14" x14ac:dyDescent="0.3">
      <c r="A469" s="58" t="str">
        <f>IF([1]weekly_demand!A470="","",[1]weekly_demand!A470)</f>
        <v/>
      </c>
      <c r="B469" s="59" t="str">
        <f>IF($A469="","",[1]weekly_demand!F470)</f>
        <v/>
      </c>
      <c r="C469" s="60" t="str">
        <f>IF($A469="","",[1]weekly_demand!H470)</f>
        <v/>
      </c>
      <c r="D469" s="61" t="str">
        <f>IF($A469="","",IF(SUMIFS([1]Fixture_Capacity_Input!$C:$C,[1]Fixture_Capacity_Input!$A:$A,$B469,[1]Fixture_Capacity_Input!$B:$B,$C469)&gt;0,SUMIFS([1]Fixture_Capacity_Input!$C:$C,[1]Fixture_Capacity_Input!$A:$A,$B469,[1]Fixture_Capacity_Input!$B:$B,$C469),[1]weekly_demand!G470))</f>
        <v/>
      </c>
      <c r="E469" s="62" t="str">
        <f>IF($A469="","",[1]weekly_demand!I470)</f>
        <v/>
      </c>
      <c r="F469" s="61" t="str">
        <f>IF($A469="","",IF($A469&lt;&gt;$A468,IFERROR(INDEX([1]FG_Begin_Inventory!$B:$B,MATCH($A469,[1]FG_Begin_Inventory!$A:$A,0)),0),J468))</f>
        <v/>
      </c>
      <c r="G469" s="61" t="str">
        <f t="shared" si="52"/>
        <v/>
      </c>
      <c r="H469" s="62" t="str">
        <f t="shared" si="53"/>
        <v/>
      </c>
      <c r="I469" s="62" t="str">
        <f t="shared" si="54"/>
        <v/>
      </c>
      <c r="J469" s="62" t="str">
        <f t="shared" si="55"/>
        <v/>
      </c>
      <c r="K469" s="62" t="str">
        <f t="shared" si="56"/>
        <v/>
      </c>
      <c r="L469" s="62" t="str">
        <f t="shared" si="57"/>
        <v/>
      </c>
      <c r="M469" s="63" t="str">
        <f t="shared" si="58"/>
        <v/>
      </c>
      <c r="N469" s="64"/>
    </row>
    <row r="470" spans="1:14" x14ac:dyDescent="0.3">
      <c r="A470" s="58" t="str">
        <f>IF([1]weekly_demand!A471="","",[1]weekly_demand!A471)</f>
        <v/>
      </c>
      <c r="B470" s="59" t="str">
        <f>IF($A470="","",[1]weekly_demand!F471)</f>
        <v/>
      </c>
      <c r="C470" s="60" t="str">
        <f>IF($A470="","",[1]weekly_demand!H471)</f>
        <v/>
      </c>
      <c r="D470" s="61" t="str">
        <f>IF($A470="","",IF(SUMIFS([1]Fixture_Capacity_Input!$C:$C,[1]Fixture_Capacity_Input!$A:$A,$B470,[1]Fixture_Capacity_Input!$B:$B,$C470)&gt;0,SUMIFS([1]Fixture_Capacity_Input!$C:$C,[1]Fixture_Capacity_Input!$A:$A,$B470,[1]Fixture_Capacity_Input!$B:$B,$C470),[1]weekly_demand!G471))</f>
        <v/>
      </c>
      <c r="E470" s="62" t="str">
        <f>IF($A470="","",[1]weekly_demand!I471)</f>
        <v/>
      </c>
      <c r="F470" s="61" t="str">
        <f>IF($A470="","",IF($A470&lt;&gt;$A469,IFERROR(INDEX([1]FG_Begin_Inventory!$B:$B,MATCH($A470,[1]FG_Begin_Inventory!$A:$A,0)),0),J469))</f>
        <v/>
      </c>
      <c r="G470" s="61" t="str">
        <f t="shared" si="52"/>
        <v/>
      </c>
      <c r="H470" s="62" t="str">
        <f t="shared" si="53"/>
        <v/>
      </c>
      <c r="I470" s="62" t="str">
        <f t="shared" si="54"/>
        <v/>
      </c>
      <c r="J470" s="62" t="str">
        <f t="shared" si="55"/>
        <v/>
      </c>
      <c r="K470" s="62" t="str">
        <f t="shared" si="56"/>
        <v/>
      </c>
      <c r="L470" s="62" t="str">
        <f t="shared" si="57"/>
        <v/>
      </c>
      <c r="M470" s="63" t="str">
        <f t="shared" si="58"/>
        <v/>
      </c>
      <c r="N470" s="64"/>
    </row>
    <row r="471" spans="1:14" x14ac:dyDescent="0.3">
      <c r="A471" s="58" t="str">
        <f>IF([1]weekly_demand!A472="","",[1]weekly_demand!A472)</f>
        <v/>
      </c>
      <c r="B471" s="59" t="str">
        <f>IF($A471="","",[1]weekly_demand!F472)</f>
        <v/>
      </c>
      <c r="C471" s="60" t="str">
        <f>IF($A471="","",[1]weekly_demand!H472)</f>
        <v/>
      </c>
      <c r="D471" s="61" t="str">
        <f>IF($A471="","",IF(SUMIFS([1]Fixture_Capacity_Input!$C:$C,[1]Fixture_Capacity_Input!$A:$A,$B471,[1]Fixture_Capacity_Input!$B:$B,$C471)&gt;0,SUMIFS([1]Fixture_Capacity_Input!$C:$C,[1]Fixture_Capacity_Input!$A:$A,$B471,[1]Fixture_Capacity_Input!$B:$B,$C471),[1]weekly_demand!G472))</f>
        <v/>
      </c>
      <c r="E471" s="62" t="str">
        <f>IF($A471="","",[1]weekly_demand!I472)</f>
        <v/>
      </c>
      <c r="F471" s="61" t="str">
        <f>IF($A471="","",IF($A471&lt;&gt;$A470,IFERROR(INDEX([1]FG_Begin_Inventory!$B:$B,MATCH($A471,[1]FG_Begin_Inventory!$A:$A,0)),0),J470))</f>
        <v/>
      </c>
      <c r="G471" s="61" t="str">
        <f t="shared" si="52"/>
        <v/>
      </c>
      <c r="H471" s="62" t="str">
        <f t="shared" si="53"/>
        <v/>
      </c>
      <c r="I471" s="62" t="str">
        <f t="shared" si="54"/>
        <v/>
      </c>
      <c r="J471" s="62" t="str">
        <f t="shared" si="55"/>
        <v/>
      </c>
      <c r="K471" s="62" t="str">
        <f t="shared" si="56"/>
        <v/>
      </c>
      <c r="L471" s="62" t="str">
        <f t="shared" si="57"/>
        <v/>
      </c>
      <c r="M471" s="63" t="str">
        <f t="shared" si="58"/>
        <v/>
      </c>
      <c r="N471" s="64"/>
    </row>
    <row r="472" spans="1:14" x14ac:dyDescent="0.3">
      <c r="A472" s="58" t="str">
        <f>IF([1]weekly_demand!A473="","",[1]weekly_demand!A473)</f>
        <v/>
      </c>
      <c r="B472" s="59" t="str">
        <f>IF($A472="","",[1]weekly_demand!F473)</f>
        <v/>
      </c>
      <c r="C472" s="60" t="str">
        <f>IF($A472="","",[1]weekly_demand!H473)</f>
        <v/>
      </c>
      <c r="D472" s="61" t="str">
        <f>IF($A472="","",IF(SUMIFS([1]Fixture_Capacity_Input!$C:$C,[1]Fixture_Capacity_Input!$A:$A,$B472,[1]Fixture_Capacity_Input!$B:$B,$C472)&gt;0,SUMIFS([1]Fixture_Capacity_Input!$C:$C,[1]Fixture_Capacity_Input!$A:$A,$B472,[1]Fixture_Capacity_Input!$B:$B,$C472),[1]weekly_demand!G473))</f>
        <v/>
      </c>
      <c r="E472" s="62" t="str">
        <f>IF($A472="","",[1]weekly_demand!I473)</f>
        <v/>
      </c>
      <c r="F472" s="61" t="str">
        <f>IF($A472="","",IF($A472&lt;&gt;$A471,IFERROR(INDEX([1]FG_Begin_Inventory!$B:$B,MATCH($A472,[1]FG_Begin_Inventory!$A:$A,0)),0),J471))</f>
        <v/>
      </c>
      <c r="G472" s="61" t="str">
        <f t="shared" si="52"/>
        <v/>
      </c>
      <c r="H472" s="62" t="str">
        <f t="shared" si="53"/>
        <v/>
      </c>
      <c r="I472" s="62" t="str">
        <f t="shared" si="54"/>
        <v/>
      </c>
      <c r="J472" s="62" t="str">
        <f t="shared" si="55"/>
        <v/>
      </c>
      <c r="K472" s="62" t="str">
        <f t="shared" si="56"/>
        <v/>
      </c>
      <c r="L472" s="62" t="str">
        <f t="shared" si="57"/>
        <v/>
      </c>
      <c r="M472" s="63" t="str">
        <f t="shared" si="58"/>
        <v/>
      </c>
      <c r="N472" s="64"/>
    </row>
    <row r="473" spans="1:14" x14ac:dyDescent="0.3">
      <c r="A473" s="58" t="str">
        <f>IF([1]weekly_demand!A474="","",[1]weekly_demand!A474)</f>
        <v/>
      </c>
      <c r="B473" s="59" t="str">
        <f>IF($A473="","",[1]weekly_demand!F474)</f>
        <v/>
      </c>
      <c r="C473" s="60" t="str">
        <f>IF($A473="","",[1]weekly_demand!H474)</f>
        <v/>
      </c>
      <c r="D473" s="61" t="str">
        <f>IF($A473="","",IF(SUMIFS([1]Fixture_Capacity_Input!$C:$C,[1]Fixture_Capacity_Input!$A:$A,$B473,[1]Fixture_Capacity_Input!$B:$B,$C473)&gt;0,SUMIFS([1]Fixture_Capacity_Input!$C:$C,[1]Fixture_Capacity_Input!$A:$A,$B473,[1]Fixture_Capacity_Input!$B:$B,$C473),[1]weekly_demand!G474))</f>
        <v/>
      </c>
      <c r="E473" s="62" t="str">
        <f>IF($A473="","",[1]weekly_demand!I474)</f>
        <v/>
      </c>
      <c r="F473" s="61" t="str">
        <f>IF($A473="","",IF($A473&lt;&gt;$A472,IFERROR(INDEX([1]FG_Begin_Inventory!$B:$B,MATCH($A473,[1]FG_Begin_Inventory!$A:$A,0)),0),J472))</f>
        <v/>
      </c>
      <c r="G473" s="61" t="str">
        <f t="shared" si="52"/>
        <v/>
      </c>
      <c r="H473" s="62" t="str">
        <f t="shared" si="53"/>
        <v/>
      </c>
      <c r="I473" s="62" t="str">
        <f t="shared" si="54"/>
        <v/>
      </c>
      <c r="J473" s="62" t="str">
        <f t="shared" si="55"/>
        <v/>
      </c>
      <c r="K473" s="62" t="str">
        <f t="shared" si="56"/>
        <v/>
      </c>
      <c r="L473" s="62" t="str">
        <f t="shared" si="57"/>
        <v/>
      </c>
      <c r="M473" s="63" t="str">
        <f t="shared" si="58"/>
        <v/>
      </c>
      <c r="N473" s="64"/>
    </row>
    <row r="474" spans="1:14" x14ac:dyDescent="0.3">
      <c r="A474" s="58" t="str">
        <f>IF([1]weekly_demand!A475="","",[1]weekly_demand!A475)</f>
        <v/>
      </c>
      <c r="B474" s="59" t="str">
        <f>IF($A474="","",[1]weekly_demand!F475)</f>
        <v/>
      </c>
      <c r="C474" s="60" t="str">
        <f>IF($A474="","",[1]weekly_demand!H475)</f>
        <v/>
      </c>
      <c r="D474" s="61" t="str">
        <f>IF($A474="","",IF(SUMIFS([1]Fixture_Capacity_Input!$C:$C,[1]Fixture_Capacity_Input!$A:$A,$B474,[1]Fixture_Capacity_Input!$B:$B,$C474)&gt;0,SUMIFS([1]Fixture_Capacity_Input!$C:$C,[1]Fixture_Capacity_Input!$A:$A,$B474,[1]Fixture_Capacity_Input!$B:$B,$C474),[1]weekly_demand!G475))</f>
        <v/>
      </c>
      <c r="E474" s="62" t="str">
        <f>IF($A474="","",[1]weekly_demand!I475)</f>
        <v/>
      </c>
      <c r="F474" s="61" t="str">
        <f>IF($A474="","",IF($A474&lt;&gt;$A473,IFERROR(INDEX([1]FG_Begin_Inventory!$B:$B,MATCH($A474,[1]FG_Begin_Inventory!$A:$A,0)),0),J473))</f>
        <v/>
      </c>
      <c r="G474" s="61" t="str">
        <f t="shared" si="52"/>
        <v/>
      </c>
      <c r="H474" s="62" t="str">
        <f t="shared" si="53"/>
        <v/>
      </c>
      <c r="I474" s="62" t="str">
        <f t="shared" si="54"/>
        <v/>
      </c>
      <c r="J474" s="62" t="str">
        <f t="shared" si="55"/>
        <v/>
      </c>
      <c r="K474" s="62" t="str">
        <f t="shared" si="56"/>
        <v/>
      </c>
      <c r="L474" s="62" t="str">
        <f t="shared" si="57"/>
        <v/>
      </c>
      <c r="M474" s="63" t="str">
        <f t="shared" si="58"/>
        <v/>
      </c>
      <c r="N474" s="64"/>
    </row>
    <row r="475" spans="1:14" x14ac:dyDescent="0.3">
      <c r="A475" s="58" t="str">
        <f>IF([1]weekly_demand!A476="","",[1]weekly_demand!A476)</f>
        <v/>
      </c>
      <c r="B475" s="59" t="str">
        <f>IF($A475="","",[1]weekly_demand!F476)</f>
        <v/>
      </c>
      <c r="C475" s="60" t="str">
        <f>IF($A475="","",[1]weekly_demand!H476)</f>
        <v/>
      </c>
      <c r="D475" s="61" t="str">
        <f>IF($A475="","",IF(SUMIFS([1]Fixture_Capacity_Input!$C:$C,[1]Fixture_Capacity_Input!$A:$A,$B475,[1]Fixture_Capacity_Input!$B:$B,$C475)&gt;0,SUMIFS([1]Fixture_Capacity_Input!$C:$C,[1]Fixture_Capacity_Input!$A:$A,$B475,[1]Fixture_Capacity_Input!$B:$B,$C475),[1]weekly_demand!G476))</f>
        <v/>
      </c>
      <c r="E475" s="62" t="str">
        <f>IF($A475="","",[1]weekly_demand!I476)</f>
        <v/>
      </c>
      <c r="F475" s="61" t="str">
        <f>IF($A475="","",IF($A475&lt;&gt;$A474,IFERROR(INDEX([1]FG_Begin_Inventory!$B:$B,MATCH($A475,[1]FG_Begin_Inventory!$A:$A,0)),0),J474))</f>
        <v/>
      </c>
      <c r="G475" s="61" t="str">
        <f t="shared" si="52"/>
        <v/>
      </c>
      <c r="H475" s="62" t="str">
        <f t="shared" si="53"/>
        <v/>
      </c>
      <c r="I475" s="62" t="str">
        <f t="shared" si="54"/>
        <v/>
      </c>
      <c r="J475" s="62" t="str">
        <f t="shared" si="55"/>
        <v/>
      </c>
      <c r="K475" s="62" t="str">
        <f t="shared" si="56"/>
        <v/>
      </c>
      <c r="L475" s="62" t="str">
        <f t="shared" si="57"/>
        <v/>
      </c>
      <c r="M475" s="63" t="str">
        <f t="shared" si="58"/>
        <v/>
      </c>
      <c r="N475" s="64"/>
    </row>
    <row r="476" spans="1:14" x14ac:dyDescent="0.3">
      <c r="A476" s="58" t="str">
        <f>IF([1]weekly_demand!A477="","",[1]weekly_demand!A477)</f>
        <v/>
      </c>
      <c r="B476" s="59" t="str">
        <f>IF($A476="","",[1]weekly_demand!F477)</f>
        <v/>
      </c>
      <c r="C476" s="60" t="str">
        <f>IF($A476="","",[1]weekly_demand!H477)</f>
        <v/>
      </c>
      <c r="D476" s="61" t="str">
        <f>IF($A476="","",IF(SUMIFS([1]Fixture_Capacity_Input!$C:$C,[1]Fixture_Capacity_Input!$A:$A,$B476,[1]Fixture_Capacity_Input!$B:$B,$C476)&gt;0,SUMIFS([1]Fixture_Capacity_Input!$C:$C,[1]Fixture_Capacity_Input!$A:$A,$B476,[1]Fixture_Capacity_Input!$B:$B,$C476),[1]weekly_demand!G477))</f>
        <v/>
      </c>
      <c r="E476" s="62" t="str">
        <f>IF($A476="","",[1]weekly_demand!I477)</f>
        <v/>
      </c>
      <c r="F476" s="61" t="str">
        <f>IF($A476="","",IF($A476&lt;&gt;$A475,IFERROR(INDEX([1]FG_Begin_Inventory!$B:$B,MATCH($A476,[1]FG_Begin_Inventory!$A:$A,0)),0),J475))</f>
        <v/>
      </c>
      <c r="G476" s="61" t="str">
        <f t="shared" si="52"/>
        <v/>
      </c>
      <c r="H476" s="62" t="str">
        <f t="shared" si="53"/>
        <v/>
      </c>
      <c r="I476" s="62" t="str">
        <f t="shared" si="54"/>
        <v/>
      </c>
      <c r="J476" s="62" t="str">
        <f t="shared" si="55"/>
        <v/>
      </c>
      <c r="K476" s="62" t="str">
        <f t="shared" si="56"/>
        <v/>
      </c>
      <c r="L476" s="62" t="str">
        <f t="shared" si="57"/>
        <v/>
      </c>
      <c r="M476" s="63" t="str">
        <f t="shared" si="58"/>
        <v/>
      </c>
      <c r="N476" s="64"/>
    </row>
    <row r="477" spans="1:14" x14ac:dyDescent="0.3">
      <c r="A477" s="58" t="str">
        <f>IF([1]weekly_demand!A478="","",[1]weekly_demand!A478)</f>
        <v/>
      </c>
      <c r="B477" s="59" t="str">
        <f>IF($A477="","",[1]weekly_demand!F478)</f>
        <v/>
      </c>
      <c r="C477" s="60" t="str">
        <f>IF($A477="","",[1]weekly_demand!H478)</f>
        <v/>
      </c>
      <c r="D477" s="61" t="str">
        <f>IF($A477="","",IF(SUMIFS([1]Fixture_Capacity_Input!$C:$C,[1]Fixture_Capacity_Input!$A:$A,$B477,[1]Fixture_Capacity_Input!$B:$B,$C477)&gt;0,SUMIFS([1]Fixture_Capacity_Input!$C:$C,[1]Fixture_Capacity_Input!$A:$A,$B477,[1]Fixture_Capacity_Input!$B:$B,$C477),[1]weekly_demand!G478))</f>
        <v/>
      </c>
      <c r="E477" s="62" t="str">
        <f>IF($A477="","",[1]weekly_demand!I478)</f>
        <v/>
      </c>
      <c r="F477" s="61" t="str">
        <f>IF($A477="","",IF($A477&lt;&gt;$A476,IFERROR(INDEX([1]FG_Begin_Inventory!$B:$B,MATCH($A477,[1]FG_Begin_Inventory!$A:$A,0)),0),J476))</f>
        <v/>
      </c>
      <c r="G477" s="61" t="str">
        <f t="shared" si="52"/>
        <v/>
      </c>
      <c r="H477" s="62" t="str">
        <f t="shared" si="53"/>
        <v/>
      </c>
      <c r="I477" s="62" t="str">
        <f t="shared" si="54"/>
        <v/>
      </c>
      <c r="J477" s="62" t="str">
        <f t="shared" si="55"/>
        <v/>
      </c>
      <c r="K477" s="62" t="str">
        <f t="shared" si="56"/>
        <v/>
      </c>
      <c r="L477" s="62" t="str">
        <f t="shared" si="57"/>
        <v/>
      </c>
      <c r="M477" s="63" t="str">
        <f t="shared" si="58"/>
        <v/>
      </c>
      <c r="N477" s="64"/>
    </row>
    <row r="478" spans="1:14" x14ac:dyDescent="0.3">
      <c r="A478" s="58" t="str">
        <f>IF([1]weekly_demand!A479="","",[1]weekly_demand!A479)</f>
        <v/>
      </c>
      <c r="B478" s="59" t="str">
        <f>IF($A478="","",[1]weekly_demand!F479)</f>
        <v/>
      </c>
      <c r="C478" s="60" t="str">
        <f>IF($A478="","",[1]weekly_demand!H479)</f>
        <v/>
      </c>
      <c r="D478" s="61" t="str">
        <f>IF($A478="","",IF(SUMIFS([1]Fixture_Capacity_Input!$C:$C,[1]Fixture_Capacity_Input!$A:$A,$B478,[1]Fixture_Capacity_Input!$B:$B,$C478)&gt;0,SUMIFS([1]Fixture_Capacity_Input!$C:$C,[1]Fixture_Capacity_Input!$A:$A,$B478,[1]Fixture_Capacity_Input!$B:$B,$C478),[1]weekly_demand!G479))</f>
        <v/>
      </c>
      <c r="E478" s="62" t="str">
        <f>IF($A478="","",[1]weekly_demand!I479)</f>
        <v/>
      </c>
      <c r="F478" s="61" t="str">
        <f>IF($A478="","",IF($A478&lt;&gt;$A477,IFERROR(INDEX([1]FG_Begin_Inventory!$B:$B,MATCH($A478,[1]FG_Begin_Inventory!$A:$A,0)),0),J477))</f>
        <v/>
      </c>
      <c r="G478" s="61" t="str">
        <f t="shared" si="52"/>
        <v/>
      </c>
      <c r="H478" s="62" t="str">
        <f t="shared" si="53"/>
        <v/>
      </c>
      <c r="I478" s="62" t="str">
        <f t="shared" si="54"/>
        <v/>
      </c>
      <c r="J478" s="62" t="str">
        <f t="shared" si="55"/>
        <v/>
      </c>
      <c r="K478" s="62" t="str">
        <f t="shared" si="56"/>
        <v/>
      </c>
      <c r="L478" s="62" t="str">
        <f t="shared" si="57"/>
        <v/>
      </c>
      <c r="M478" s="63" t="str">
        <f t="shared" si="58"/>
        <v/>
      </c>
      <c r="N478" s="64"/>
    </row>
    <row r="479" spans="1:14" x14ac:dyDescent="0.3">
      <c r="A479" s="58" t="str">
        <f>IF([1]weekly_demand!A480="","",[1]weekly_demand!A480)</f>
        <v/>
      </c>
      <c r="B479" s="59" t="str">
        <f>IF($A479="","",[1]weekly_demand!F480)</f>
        <v/>
      </c>
      <c r="C479" s="60" t="str">
        <f>IF($A479="","",[1]weekly_demand!H480)</f>
        <v/>
      </c>
      <c r="D479" s="61" t="str">
        <f>IF($A479="","",IF(SUMIFS([1]Fixture_Capacity_Input!$C:$C,[1]Fixture_Capacity_Input!$A:$A,$B479,[1]Fixture_Capacity_Input!$B:$B,$C479)&gt;0,SUMIFS([1]Fixture_Capacity_Input!$C:$C,[1]Fixture_Capacity_Input!$A:$A,$B479,[1]Fixture_Capacity_Input!$B:$B,$C479),[1]weekly_demand!G480))</f>
        <v/>
      </c>
      <c r="E479" s="62" t="str">
        <f>IF($A479="","",[1]weekly_demand!I480)</f>
        <v/>
      </c>
      <c r="F479" s="61" t="str">
        <f>IF($A479="","",IF($A479&lt;&gt;$A478,IFERROR(INDEX([1]FG_Begin_Inventory!$B:$B,MATCH($A479,[1]FG_Begin_Inventory!$A:$A,0)),0),J478))</f>
        <v/>
      </c>
      <c r="G479" s="61" t="str">
        <f t="shared" si="52"/>
        <v/>
      </c>
      <c r="H479" s="62" t="str">
        <f t="shared" si="53"/>
        <v/>
      </c>
      <c r="I479" s="62" t="str">
        <f t="shared" si="54"/>
        <v/>
      </c>
      <c r="J479" s="62" t="str">
        <f t="shared" si="55"/>
        <v/>
      </c>
      <c r="K479" s="62" t="str">
        <f t="shared" si="56"/>
        <v/>
      </c>
      <c r="L479" s="62" t="str">
        <f t="shared" si="57"/>
        <v/>
      </c>
      <c r="M479" s="63" t="str">
        <f t="shared" si="58"/>
        <v/>
      </c>
      <c r="N479" s="64"/>
    </row>
    <row r="480" spans="1:14" x14ac:dyDescent="0.3">
      <c r="A480" s="58" t="str">
        <f>IF([1]weekly_demand!A481="","",[1]weekly_demand!A481)</f>
        <v/>
      </c>
      <c r="B480" s="59" t="str">
        <f>IF($A480="","",[1]weekly_demand!F481)</f>
        <v/>
      </c>
      <c r="C480" s="60" t="str">
        <f>IF($A480="","",[1]weekly_demand!H481)</f>
        <v/>
      </c>
      <c r="D480" s="61" t="str">
        <f>IF($A480="","",IF(SUMIFS([1]Fixture_Capacity_Input!$C:$C,[1]Fixture_Capacity_Input!$A:$A,$B480,[1]Fixture_Capacity_Input!$B:$B,$C480)&gt;0,SUMIFS([1]Fixture_Capacity_Input!$C:$C,[1]Fixture_Capacity_Input!$A:$A,$B480,[1]Fixture_Capacity_Input!$B:$B,$C480),[1]weekly_demand!G481))</f>
        <v/>
      </c>
      <c r="E480" s="62" t="str">
        <f>IF($A480="","",[1]weekly_demand!I481)</f>
        <v/>
      </c>
      <c r="F480" s="61" t="str">
        <f>IF($A480="","",IF($A480&lt;&gt;$A479,IFERROR(INDEX([1]FG_Begin_Inventory!$B:$B,MATCH($A480,[1]FG_Begin_Inventory!$A:$A,0)),0),J479))</f>
        <v/>
      </c>
      <c r="G480" s="61" t="str">
        <f t="shared" si="52"/>
        <v/>
      </c>
      <c r="H480" s="62" t="str">
        <f t="shared" si="53"/>
        <v/>
      </c>
      <c r="I480" s="62" t="str">
        <f t="shared" si="54"/>
        <v/>
      </c>
      <c r="J480" s="62" t="str">
        <f t="shared" si="55"/>
        <v/>
      </c>
      <c r="K480" s="62" t="str">
        <f t="shared" si="56"/>
        <v/>
      </c>
      <c r="L480" s="62" t="str">
        <f t="shared" si="57"/>
        <v/>
      </c>
      <c r="M480" s="63" t="str">
        <f t="shared" si="58"/>
        <v/>
      </c>
      <c r="N480" s="64"/>
    </row>
    <row r="481" spans="1:14" x14ac:dyDescent="0.3">
      <c r="A481" s="58" t="str">
        <f>IF([1]weekly_demand!A482="","",[1]weekly_demand!A482)</f>
        <v/>
      </c>
      <c r="B481" s="59" t="str">
        <f>IF($A481="","",[1]weekly_demand!F482)</f>
        <v/>
      </c>
      <c r="C481" s="60" t="str">
        <f>IF($A481="","",[1]weekly_demand!H482)</f>
        <v/>
      </c>
      <c r="D481" s="61" t="str">
        <f>IF($A481="","",IF(SUMIFS([1]Fixture_Capacity_Input!$C:$C,[1]Fixture_Capacity_Input!$A:$A,$B481,[1]Fixture_Capacity_Input!$B:$B,$C481)&gt;0,SUMIFS([1]Fixture_Capacity_Input!$C:$C,[1]Fixture_Capacity_Input!$A:$A,$B481,[1]Fixture_Capacity_Input!$B:$B,$C481),[1]weekly_demand!G482))</f>
        <v/>
      </c>
      <c r="E481" s="62" t="str">
        <f>IF($A481="","",[1]weekly_demand!I482)</f>
        <v/>
      </c>
      <c r="F481" s="61" t="str">
        <f>IF($A481="","",IF($A481&lt;&gt;$A480,IFERROR(INDEX([1]FG_Begin_Inventory!$B:$B,MATCH($A481,[1]FG_Begin_Inventory!$A:$A,0)),0),J480))</f>
        <v/>
      </c>
      <c r="G481" s="61" t="str">
        <f t="shared" si="52"/>
        <v/>
      </c>
      <c r="H481" s="62" t="str">
        <f t="shared" si="53"/>
        <v/>
      </c>
      <c r="I481" s="62" t="str">
        <f t="shared" si="54"/>
        <v/>
      </c>
      <c r="J481" s="62" t="str">
        <f t="shared" si="55"/>
        <v/>
      </c>
      <c r="K481" s="62" t="str">
        <f t="shared" si="56"/>
        <v/>
      </c>
      <c r="L481" s="62" t="str">
        <f t="shared" si="57"/>
        <v/>
      </c>
      <c r="M481" s="63" t="str">
        <f t="shared" si="58"/>
        <v/>
      </c>
      <c r="N481" s="64"/>
    </row>
    <row r="482" spans="1:14" x14ac:dyDescent="0.3">
      <c r="A482" s="58" t="str">
        <f>IF([1]weekly_demand!A483="","",[1]weekly_demand!A483)</f>
        <v/>
      </c>
      <c r="B482" s="59" t="str">
        <f>IF($A482="","",[1]weekly_demand!F483)</f>
        <v/>
      </c>
      <c r="C482" s="60" t="str">
        <f>IF($A482="","",[1]weekly_demand!H483)</f>
        <v/>
      </c>
      <c r="D482" s="61" t="str">
        <f>IF($A482="","",IF(SUMIFS([1]Fixture_Capacity_Input!$C:$C,[1]Fixture_Capacity_Input!$A:$A,$B482,[1]Fixture_Capacity_Input!$B:$B,$C482)&gt;0,SUMIFS([1]Fixture_Capacity_Input!$C:$C,[1]Fixture_Capacity_Input!$A:$A,$B482,[1]Fixture_Capacity_Input!$B:$B,$C482),[1]weekly_demand!G483))</f>
        <v/>
      </c>
      <c r="E482" s="62" t="str">
        <f>IF($A482="","",[1]weekly_demand!I483)</f>
        <v/>
      </c>
      <c r="F482" s="61" t="str">
        <f>IF($A482="","",IF($A482&lt;&gt;$A481,IFERROR(INDEX([1]FG_Begin_Inventory!$B:$B,MATCH($A482,[1]FG_Begin_Inventory!$A:$A,0)),0),J481))</f>
        <v/>
      </c>
      <c r="G482" s="61" t="str">
        <f t="shared" si="52"/>
        <v/>
      </c>
      <c r="H482" s="62" t="str">
        <f t="shared" si="53"/>
        <v/>
      </c>
      <c r="I482" s="62" t="str">
        <f t="shared" si="54"/>
        <v/>
      </c>
      <c r="J482" s="62" t="str">
        <f t="shared" si="55"/>
        <v/>
      </c>
      <c r="K482" s="62" t="str">
        <f t="shared" si="56"/>
        <v/>
      </c>
      <c r="L482" s="62" t="str">
        <f t="shared" si="57"/>
        <v/>
      </c>
      <c r="M482" s="63" t="str">
        <f t="shared" si="58"/>
        <v/>
      </c>
      <c r="N482" s="64"/>
    </row>
    <row r="483" spans="1:14" x14ac:dyDescent="0.3">
      <c r="A483" s="58" t="str">
        <f>IF([1]weekly_demand!A484="","",[1]weekly_demand!A484)</f>
        <v/>
      </c>
      <c r="B483" s="59" t="str">
        <f>IF($A483="","",[1]weekly_demand!F484)</f>
        <v/>
      </c>
      <c r="C483" s="60" t="str">
        <f>IF($A483="","",[1]weekly_demand!H484)</f>
        <v/>
      </c>
      <c r="D483" s="61" t="str">
        <f>IF($A483="","",IF(SUMIFS([1]Fixture_Capacity_Input!$C:$C,[1]Fixture_Capacity_Input!$A:$A,$B483,[1]Fixture_Capacity_Input!$B:$B,$C483)&gt;0,SUMIFS([1]Fixture_Capacity_Input!$C:$C,[1]Fixture_Capacity_Input!$A:$A,$B483,[1]Fixture_Capacity_Input!$B:$B,$C483),[1]weekly_demand!G484))</f>
        <v/>
      </c>
      <c r="E483" s="62" t="str">
        <f>IF($A483="","",[1]weekly_demand!I484)</f>
        <v/>
      </c>
      <c r="F483" s="61" t="str">
        <f>IF($A483="","",IF($A483&lt;&gt;$A482,IFERROR(INDEX([1]FG_Begin_Inventory!$B:$B,MATCH($A483,[1]FG_Begin_Inventory!$A:$A,0)),0),J482))</f>
        <v/>
      </c>
      <c r="G483" s="61" t="str">
        <f t="shared" si="52"/>
        <v/>
      </c>
      <c r="H483" s="62" t="str">
        <f t="shared" si="53"/>
        <v/>
      </c>
      <c r="I483" s="62" t="str">
        <f t="shared" si="54"/>
        <v/>
      </c>
      <c r="J483" s="62" t="str">
        <f t="shared" si="55"/>
        <v/>
      </c>
      <c r="K483" s="62" t="str">
        <f t="shared" si="56"/>
        <v/>
      </c>
      <c r="L483" s="62" t="str">
        <f t="shared" si="57"/>
        <v/>
      </c>
      <c r="M483" s="63" t="str">
        <f t="shared" si="58"/>
        <v/>
      </c>
      <c r="N483" s="64"/>
    </row>
    <row r="484" spans="1:14" x14ac:dyDescent="0.3">
      <c r="A484" s="58" t="str">
        <f>IF([1]weekly_demand!A485="","",[1]weekly_demand!A485)</f>
        <v/>
      </c>
      <c r="B484" s="59" t="str">
        <f>IF($A484="","",[1]weekly_demand!F485)</f>
        <v/>
      </c>
      <c r="C484" s="60" t="str">
        <f>IF($A484="","",[1]weekly_demand!H485)</f>
        <v/>
      </c>
      <c r="D484" s="61" t="str">
        <f>IF($A484="","",IF(SUMIFS([1]Fixture_Capacity_Input!$C:$C,[1]Fixture_Capacity_Input!$A:$A,$B484,[1]Fixture_Capacity_Input!$B:$B,$C484)&gt;0,SUMIFS([1]Fixture_Capacity_Input!$C:$C,[1]Fixture_Capacity_Input!$A:$A,$B484,[1]Fixture_Capacity_Input!$B:$B,$C484),[1]weekly_demand!G485))</f>
        <v/>
      </c>
      <c r="E484" s="62" t="str">
        <f>IF($A484="","",[1]weekly_demand!I485)</f>
        <v/>
      </c>
      <c r="F484" s="61" t="str">
        <f>IF($A484="","",IF($A484&lt;&gt;$A483,IFERROR(INDEX([1]FG_Begin_Inventory!$B:$B,MATCH($A484,[1]FG_Begin_Inventory!$A:$A,0)),0),J483))</f>
        <v/>
      </c>
      <c r="G484" s="61" t="str">
        <f t="shared" si="52"/>
        <v/>
      </c>
      <c r="H484" s="62" t="str">
        <f t="shared" si="53"/>
        <v/>
      </c>
      <c r="I484" s="62" t="str">
        <f t="shared" si="54"/>
        <v/>
      </c>
      <c r="J484" s="62" t="str">
        <f t="shared" si="55"/>
        <v/>
      </c>
      <c r="K484" s="62" t="str">
        <f t="shared" si="56"/>
        <v/>
      </c>
      <c r="L484" s="62" t="str">
        <f t="shared" si="57"/>
        <v/>
      </c>
      <c r="M484" s="63" t="str">
        <f t="shared" si="58"/>
        <v/>
      </c>
      <c r="N484" s="64"/>
    </row>
    <row r="485" spans="1:14" x14ac:dyDescent="0.3">
      <c r="A485" s="58" t="str">
        <f>IF([1]weekly_demand!A486="","",[1]weekly_demand!A486)</f>
        <v/>
      </c>
      <c r="B485" s="59" t="str">
        <f>IF($A485="","",[1]weekly_demand!F486)</f>
        <v/>
      </c>
      <c r="C485" s="60" t="str">
        <f>IF($A485="","",[1]weekly_demand!H486)</f>
        <v/>
      </c>
      <c r="D485" s="61" t="str">
        <f>IF($A485="","",IF(SUMIFS([1]Fixture_Capacity_Input!$C:$C,[1]Fixture_Capacity_Input!$A:$A,$B485,[1]Fixture_Capacity_Input!$B:$B,$C485)&gt;0,SUMIFS([1]Fixture_Capacity_Input!$C:$C,[1]Fixture_Capacity_Input!$A:$A,$B485,[1]Fixture_Capacity_Input!$B:$B,$C485),[1]weekly_demand!G486))</f>
        <v/>
      </c>
      <c r="E485" s="62" t="str">
        <f>IF($A485="","",[1]weekly_demand!I486)</f>
        <v/>
      </c>
      <c r="F485" s="61" t="str">
        <f>IF($A485="","",IF($A485&lt;&gt;$A484,IFERROR(INDEX([1]FG_Begin_Inventory!$B:$B,MATCH($A485,[1]FG_Begin_Inventory!$A:$A,0)),0),J484))</f>
        <v/>
      </c>
      <c r="G485" s="61" t="str">
        <f t="shared" si="52"/>
        <v/>
      </c>
      <c r="H485" s="62" t="str">
        <f t="shared" si="53"/>
        <v/>
      </c>
      <c r="I485" s="62" t="str">
        <f t="shared" si="54"/>
        <v/>
      </c>
      <c r="J485" s="62" t="str">
        <f t="shared" si="55"/>
        <v/>
      </c>
      <c r="K485" s="62" t="str">
        <f t="shared" si="56"/>
        <v/>
      </c>
      <c r="L485" s="62" t="str">
        <f t="shared" si="57"/>
        <v/>
      </c>
      <c r="M485" s="63" t="str">
        <f t="shared" si="58"/>
        <v/>
      </c>
      <c r="N485" s="64"/>
    </row>
    <row r="486" spans="1:14" x14ac:dyDescent="0.3">
      <c r="A486" s="58" t="str">
        <f>IF([1]weekly_demand!A487="","",[1]weekly_demand!A487)</f>
        <v/>
      </c>
      <c r="B486" s="59" t="str">
        <f>IF($A486="","",[1]weekly_demand!F487)</f>
        <v/>
      </c>
      <c r="C486" s="60" t="str">
        <f>IF($A486="","",[1]weekly_demand!H487)</f>
        <v/>
      </c>
      <c r="D486" s="61" t="str">
        <f>IF($A486="","",IF(SUMIFS([1]Fixture_Capacity_Input!$C:$C,[1]Fixture_Capacity_Input!$A:$A,$B486,[1]Fixture_Capacity_Input!$B:$B,$C486)&gt;0,SUMIFS([1]Fixture_Capacity_Input!$C:$C,[1]Fixture_Capacity_Input!$A:$A,$B486,[1]Fixture_Capacity_Input!$B:$B,$C486),[1]weekly_demand!G487))</f>
        <v/>
      </c>
      <c r="E486" s="62" t="str">
        <f>IF($A486="","",[1]weekly_demand!I487)</f>
        <v/>
      </c>
      <c r="F486" s="61" t="str">
        <f>IF($A486="","",IF($A486&lt;&gt;$A485,IFERROR(INDEX([1]FG_Begin_Inventory!$B:$B,MATCH($A486,[1]FG_Begin_Inventory!$A:$A,0)),0),J485))</f>
        <v/>
      </c>
      <c r="G486" s="61" t="str">
        <f t="shared" si="52"/>
        <v/>
      </c>
      <c r="H486" s="62" t="str">
        <f t="shared" si="53"/>
        <v/>
      </c>
      <c r="I486" s="62" t="str">
        <f t="shared" si="54"/>
        <v/>
      </c>
      <c r="J486" s="62" t="str">
        <f t="shared" si="55"/>
        <v/>
      </c>
      <c r="K486" s="62" t="str">
        <f t="shared" si="56"/>
        <v/>
      </c>
      <c r="L486" s="62" t="str">
        <f t="shared" si="57"/>
        <v/>
      </c>
      <c r="M486" s="63" t="str">
        <f t="shared" si="58"/>
        <v/>
      </c>
      <c r="N486" s="64"/>
    </row>
    <row r="487" spans="1:14" x14ac:dyDescent="0.3">
      <c r="A487" s="58" t="str">
        <f>IF([1]weekly_demand!A488="","",[1]weekly_demand!A488)</f>
        <v/>
      </c>
      <c r="B487" s="59" t="str">
        <f>IF($A487="","",[1]weekly_demand!F488)</f>
        <v/>
      </c>
      <c r="C487" s="60" t="str">
        <f>IF($A487="","",[1]weekly_demand!H488)</f>
        <v/>
      </c>
      <c r="D487" s="61" t="str">
        <f>IF($A487="","",IF(SUMIFS([1]Fixture_Capacity_Input!$C:$C,[1]Fixture_Capacity_Input!$A:$A,$B487,[1]Fixture_Capacity_Input!$B:$B,$C487)&gt;0,SUMIFS([1]Fixture_Capacity_Input!$C:$C,[1]Fixture_Capacity_Input!$A:$A,$B487,[1]Fixture_Capacity_Input!$B:$B,$C487),[1]weekly_demand!G488))</f>
        <v/>
      </c>
      <c r="E487" s="62" t="str">
        <f>IF($A487="","",[1]weekly_demand!I488)</f>
        <v/>
      </c>
      <c r="F487" s="61" t="str">
        <f>IF($A487="","",IF($A487&lt;&gt;$A486,IFERROR(INDEX([1]FG_Begin_Inventory!$B:$B,MATCH($A487,[1]FG_Begin_Inventory!$A:$A,0)),0),J486))</f>
        <v/>
      </c>
      <c r="G487" s="61" t="str">
        <f t="shared" si="52"/>
        <v/>
      </c>
      <c r="H487" s="62" t="str">
        <f t="shared" si="53"/>
        <v/>
      </c>
      <c r="I487" s="62" t="str">
        <f t="shared" si="54"/>
        <v/>
      </c>
      <c r="J487" s="62" t="str">
        <f t="shared" si="55"/>
        <v/>
      </c>
      <c r="K487" s="62" t="str">
        <f t="shared" si="56"/>
        <v/>
      </c>
      <c r="L487" s="62" t="str">
        <f t="shared" si="57"/>
        <v/>
      </c>
      <c r="M487" s="63" t="str">
        <f t="shared" si="58"/>
        <v/>
      </c>
      <c r="N487" s="64"/>
    </row>
    <row r="488" spans="1:14" x14ac:dyDescent="0.3">
      <c r="A488" s="58" t="str">
        <f>IF([1]weekly_demand!A489="","",[1]weekly_demand!A489)</f>
        <v/>
      </c>
      <c r="B488" s="59" t="str">
        <f>IF($A488="","",[1]weekly_demand!F489)</f>
        <v/>
      </c>
      <c r="C488" s="60" t="str">
        <f>IF($A488="","",[1]weekly_demand!H489)</f>
        <v/>
      </c>
      <c r="D488" s="61" t="str">
        <f>IF($A488="","",IF(SUMIFS([1]Fixture_Capacity_Input!$C:$C,[1]Fixture_Capacity_Input!$A:$A,$B488,[1]Fixture_Capacity_Input!$B:$B,$C488)&gt;0,SUMIFS([1]Fixture_Capacity_Input!$C:$C,[1]Fixture_Capacity_Input!$A:$A,$B488,[1]Fixture_Capacity_Input!$B:$B,$C488),[1]weekly_demand!G489))</f>
        <v/>
      </c>
      <c r="E488" s="62" t="str">
        <f>IF($A488="","",[1]weekly_demand!I489)</f>
        <v/>
      </c>
      <c r="F488" s="61" t="str">
        <f>IF($A488="","",IF($A488&lt;&gt;$A487,IFERROR(INDEX([1]FG_Begin_Inventory!$B:$B,MATCH($A488,[1]FG_Begin_Inventory!$A:$A,0)),0),J487))</f>
        <v/>
      </c>
      <c r="G488" s="61" t="str">
        <f t="shared" si="52"/>
        <v/>
      </c>
      <c r="H488" s="62" t="str">
        <f t="shared" si="53"/>
        <v/>
      </c>
      <c r="I488" s="62" t="str">
        <f t="shared" si="54"/>
        <v/>
      </c>
      <c r="J488" s="62" t="str">
        <f t="shared" si="55"/>
        <v/>
      </c>
      <c r="K488" s="62" t="str">
        <f t="shared" si="56"/>
        <v/>
      </c>
      <c r="L488" s="62" t="str">
        <f t="shared" si="57"/>
        <v/>
      </c>
      <c r="M488" s="63" t="str">
        <f t="shared" si="58"/>
        <v/>
      </c>
      <c r="N488" s="64"/>
    </row>
    <row r="489" spans="1:14" x14ac:dyDescent="0.3">
      <c r="A489" s="58" t="str">
        <f>IF([1]weekly_demand!A490="","",[1]weekly_demand!A490)</f>
        <v/>
      </c>
      <c r="B489" s="59" t="str">
        <f>IF($A489="","",[1]weekly_demand!F490)</f>
        <v/>
      </c>
      <c r="C489" s="60" t="str">
        <f>IF($A489="","",[1]weekly_demand!H490)</f>
        <v/>
      </c>
      <c r="D489" s="61" t="str">
        <f>IF($A489="","",IF(SUMIFS([1]Fixture_Capacity_Input!$C:$C,[1]Fixture_Capacity_Input!$A:$A,$B489,[1]Fixture_Capacity_Input!$B:$B,$C489)&gt;0,SUMIFS([1]Fixture_Capacity_Input!$C:$C,[1]Fixture_Capacity_Input!$A:$A,$B489,[1]Fixture_Capacity_Input!$B:$B,$C489),[1]weekly_demand!G490))</f>
        <v/>
      </c>
      <c r="E489" s="62" t="str">
        <f>IF($A489="","",[1]weekly_demand!I490)</f>
        <v/>
      </c>
      <c r="F489" s="61" t="str">
        <f>IF($A489="","",IF($A489&lt;&gt;$A488,IFERROR(INDEX([1]FG_Begin_Inventory!$B:$B,MATCH($A489,[1]FG_Begin_Inventory!$A:$A,0)),0),J488))</f>
        <v/>
      </c>
      <c r="G489" s="61" t="str">
        <f t="shared" si="52"/>
        <v/>
      </c>
      <c r="H489" s="62" t="str">
        <f t="shared" si="53"/>
        <v/>
      </c>
      <c r="I489" s="62" t="str">
        <f t="shared" si="54"/>
        <v/>
      </c>
      <c r="J489" s="62" t="str">
        <f t="shared" si="55"/>
        <v/>
      </c>
      <c r="K489" s="62" t="str">
        <f t="shared" si="56"/>
        <v/>
      </c>
      <c r="L489" s="62" t="str">
        <f t="shared" si="57"/>
        <v/>
      </c>
      <c r="M489" s="63" t="str">
        <f t="shared" si="58"/>
        <v/>
      </c>
      <c r="N489" s="64"/>
    </row>
    <row r="490" spans="1:14" x14ac:dyDescent="0.3">
      <c r="A490" s="58" t="str">
        <f>IF([1]weekly_demand!A491="","",[1]weekly_demand!A491)</f>
        <v/>
      </c>
      <c r="B490" s="59" t="str">
        <f>IF($A490="","",[1]weekly_demand!F491)</f>
        <v/>
      </c>
      <c r="C490" s="60" t="str">
        <f>IF($A490="","",[1]weekly_demand!H491)</f>
        <v/>
      </c>
      <c r="D490" s="61" t="str">
        <f>IF($A490="","",IF(SUMIFS([1]Fixture_Capacity_Input!$C:$C,[1]Fixture_Capacity_Input!$A:$A,$B490,[1]Fixture_Capacity_Input!$B:$B,$C490)&gt;0,SUMIFS([1]Fixture_Capacity_Input!$C:$C,[1]Fixture_Capacity_Input!$A:$A,$B490,[1]Fixture_Capacity_Input!$B:$B,$C490),[1]weekly_demand!G491))</f>
        <v/>
      </c>
      <c r="E490" s="62" t="str">
        <f>IF($A490="","",[1]weekly_demand!I491)</f>
        <v/>
      </c>
      <c r="F490" s="61" t="str">
        <f>IF($A490="","",IF($A490&lt;&gt;$A489,IFERROR(INDEX([1]FG_Begin_Inventory!$B:$B,MATCH($A490,[1]FG_Begin_Inventory!$A:$A,0)),0),J489))</f>
        <v/>
      </c>
      <c r="G490" s="61" t="str">
        <f t="shared" si="52"/>
        <v/>
      </c>
      <c r="H490" s="62" t="str">
        <f t="shared" si="53"/>
        <v/>
      </c>
      <c r="I490" s="62" t="str">
        <f t="shared" si="54"/>
        <v/>
      </c>
      <c r="J490" s="62" t="str">
        <f t="shared" si="55"/>
        <v/>
      </c>
      <c r="K490" s="62" t="str">
        <f t="shared" si="56"/>
        <v/>
      </c>
      <c r="L490" s="62" t="str">
        <f t="shared" si="57"/>
        <v/>
      </c>
      <c r="M490" s="63" t="str">
        <f t="shared" si="58"/>
        <v/>
      </c>
      <c r="N490" s="64"/>
    </row>
    <row r="491" spans="1:14" x14ac:dyDescent="0.3">
      <c r="A491" s="58" t="str">
        <f>IF([1]weekly_demand!A492="","",[1]weekly_demand!A492)</f>
        <v/>
      </c>
      <c r="B491" s="59" t="str">
        <f>IF($A491="","",[1]weekly_demand!F492)</f>
        <v/>
      </c>
      <c r="C491" s="60" t="str">
        <f>IF($A491="","",[1]weekly_demand!H492)</f>
        <v/>
      </c>
      <c r="D491" s="61" t="str">
        <f>IF($A491="","",IF(SUMIFS([1]Fixture_Capacity_Input!$C:$C,[1]Fixture_Capacity_Input!$A:$A,$B491,[1]Fixture_Capacity_Input!$B:$B,$C491)&gt;0,SUMIFS([1]Fixture_Capacity_Input!$C:$C,[1]Fixture_Capacity_Input!$A:$A,$B491,[1]Fixture_Capacity_Input!$B:$B,$C491),[1]weekly_demand!G492))</f>
        <v/>
      </c>
      <c r="E491" s="62" t="str">
        <f>IF($A491="","",[1]weekly_demand!I492)</f>
        <v/>
      </c>
      <c r="F491" s="61" t="str">
        <f>IF($A491="","",IF($A491&lt;&gt;$A490,IFERROR(INDEX([1]FG_Begin_Inventory!$B:$B,MATCH($A491,[1]FG_Begin_Inventory!$A:$A,0)),0),J490))</f>
        <v/>
      </c>
      <c r="G491" s="61" t="str">
        <f t="shared" si="52"/>
        <v/>
      </c>
      <c r="H491" s="62" t="str">
        <f t="shared" si="53"/>
        <v/>
      </c>
      <c r="I491" s="62" t="str">
        <f t="shared" si="54"/>
        <v/>
      </c>
      <c r="J491" s="62" t="str">
        <f t="shared" si="55"/>
        <v/>
      </c>
      <c r="K491" s="62" t="str">
        <f t="shared" si="56"/>
        <v/>
      </c>
      <c r="L491" s="62" t="str">
        <f t="shared" si="57"/>
        <v/>
      </c>
      <c r="M491" s="63" t="str">
        <f t="shared" si="58"/>
        <v/>
      </c>
      <c r="N491" s="64"/>
    </row>
    <row r="492" spans="1:14" x14ac:dyDescent="0.3">
      <c r="A492" s="58" t="str">
        <f>IF([1]weekly_demand!A493="","",[1]weekly_demand!A493)</f>
        <v/>
      </c>
      <c r="B492" s="59" t="str">
        <f>IF($A492="","",[1]weekly_demand!F493)</f>
        <v/>
      </c>
      <c r="C492" s="60" t="str">
        <f>IF($A492="","",[1]weekly_demand!H493)</f>
        <v/>
      </c>
      <c r="D492" s="61" t="str">
        <f>IF($A492="","",IF(SUMIFS([1]Fixture_Capacity_Input!$C:$C,[1]Fixture_Capacity_Input!$A:$A,$B492,[1]Fixture_Capacity_Input!$B:$B,$C492)&gt;0,SUMIFS([1]Fixture_Capacity_Input!$C:$C,[1]Fixture_Capacity_Input!$A:$A,$B492,[1]Fixture_Capacity_Input!$B:$B,$C492),[1]weekly_demand!G493))</f>
        <v/>
      </c>
      <c r="E492" s="62" t="str">
        <f>IF($A492="","",[1]weekly_demand!I493)</f>
        <v/>
      </c>
      <c r="F492" s="61" t="str">
        <f>IF($A492="","",IF($A492&lt;&gt;$A491,IFERROR(INDEX([1]FG_Begin_Inventory!$B:$B,MATCH($A492,[1]FG_Begin_Inventory!$A:$A,0)),0),J491))</f>
        <v/>
      </c>
      <c r="G492" s="61" t="str">
        <f t="shared" si="52"/>
        <v/>
      </c>
      <c r="H492" s="62" t="str">
        <f t="shared" si="53"/>
        <v/>
      </c>
      <c r="I492" s="62" t="str">
        <f t="shared" si="54"/>
        <v/>
      </c>
      <c r="J492" s="62" t="str">
        <f t="shared" si="55"/>
        <v/>
      </c>
      <c r="K492" s="62" t="str">
        <f t="shared" si="56"/>
        <v/>
      </c>
      <c r="L492" s="62" t="str">
        <f t="shared" si="57"/>
        <v/>
      </c>
      <c r="M492" s="63" t="str">
        <f t="shared" si="58"/>
        <v/>
      </c>
      <c r="N492" s="64"/>
    </row>
    <row r="493" spans="1:14" x14ac:dyDescent="0.3">
      <c r="A493" s="58" t="str">
        <f>IF([1]weekly_demand!A494="","",[1]weekly_demand!A494)</f>
        <v/>
      </c>
      <c r="B493" s="59" t="str">
        <f>IF($A493="","",[1]weekly_demand!F494)</f>
        <v/>
      </c>
      <c r="C493" s="60" t="str">
        <f>IF($A493="","",[1]weekly_demand!H494)</f>
        <v/>
      </c>
      <c r="D493" s="61" t="str">
        <f>IF($A493="","",IF(SUMIFS([1]Fixture_Capacity_Input!$C:$C,[1]Fixture_Capacity_Input!$A:$A,$B493,[1]Fixture_Capacity_Input!$B:$B,$C493)&gt;0,SUMIFS([1]Fixture_Capacity_Input!$C:$C,[1]Fixture_Capacity_Input!$A:$A,$B493,[1]Fixture_Capacity_Input!$B:$B,$C493),[1]weekly_demand!G494))</f>
        <v/>
      </c>
      <c r="E493" s="62" t="str">
        <f>IF($A493="","",[1]weekly_demand!I494)</f>
        <v/>
      </c>
      <c r="F493" s="61" t="str">
        <f>IF($A493="","",IF($A493&lt;&gt;$A492,IFERROR(INDEX([1]FG_Begin_Inventory!$B:$B,MATCH($A493,[1]FG_Begin_Inventory!$A:$A,0)),0),J492))</f>
        <v/>
      </c>
      <c r="G493" s="61" t="str">
        <f t="shared" si="52"/>
        <v/>
      </c>
      <c r="H493" s="62" t="str">
        <f t="shared" si="53"/>
        <v/>
      </c>
      <c r="I493" s="62" t="str">
        <f t="shared" si="54"/>
        <v/>
      </c>
      <c r="J493" s="62" t="str">
        <f t="shared" si="55"/>
        <v/>
      </c>
      <c r="K493" s="62" t="str">
        <f t="shared" si="56"/>
        <v/>
      </c>
      <c r="L493" s="62" t="str">
        <f t="shared" si="57"/>
        <v/>
      </c>
      <c r="M493" s="63" t="str">
        <f t="shared" si="58"/>
        <v/>
      </c>
      <c r="N493" s="64"/>
    </row>
    <row r="494" spans="1:14" x14ac:dyDescent="0.3">
      <c r="A494" s="58" t="str">
        <f>IF([1]weekly_demand!A495="","",[1]weekly_demand!A495)</f>
        <v/>
      </c>
      <c r="B494" s="59" t="str">
        <f>IF($A494="","",[1]weekly_demand!F495)</f>
        <v/>
      </c>
      <c r="C494" s="60" t="str">
        <f>IF($A494="","",[1]weekly_demand!H495)</f>
        <v/>
      </c>
      <c r="D494" s="61" t="str">
        <f>IF($A494="","",IF(SUMIFS([1]Fixture_Capacity_Input!$C:$C,[1]Fixture_Capacity_Input!$A:$A,$B494,[1]Fixture_Capacity_Input!$B:$B,$C494)&gt;0,SUMIFS([1]Fixture_Capacity_Input!$C:$C,[1]Fixture_Capacity_Input!$A:$A,$B494,[1]Fixture_Capacity_Input!$B:$B,$C494),[1]weekly_demand!G495))</f>
        <v/>
      </c>
      <c r="E494" s="62" t="str">
        <f>IF($A494="","",[1]weekly_demand!I495)</f>
        <v/>
      </c>
      <c r="F494" s="61" t="str">
        <f>IF($A494="","",IF($A494&lt;&gt;$A493,IFERROR(INDEX([1]FG_Begin_Inventory!$B:$B,MATCH($A494,[1]FG_Begin_Inventory!$A:$A,0)),0),J493))</f>
        <v/>
      </c>
      <c r="G494" s="61" t="str">
        <f t="shared" si="52"/>
        <v/>
      </c>
      <c r="H494" s="62" t="str">
        <f t="shared" si="53"/>
        <v/>
      </c>
      <c r="I494" s="62" t="str">
        <f t="shared" si="54"/>
        <v/>
      </c>
      <c r="J494" s="62" t="str">
        <f t="shared" si="55"/>
        <v/>
      </c>
      <c r="K494" s="62" t="str">
        <f t="shared" si="56"/>
        <v/>
      </c>
      <c r="L494" s="62" t="str">
        <f t="shared" si="57"/>
        <v/>
      </c>
      <c r="M494" s="63" t="str">
        <f t="shared" si="58"/>
        <v/>
      </c>
      <c r="N494" s="64"/>
    </row>
    <row r="495" spans="1:14" x14ac:dyDescent="0.3">
      <c r="A495" s="58" t="str">
        <f>IF([1]weekly_demand!A496="","",[1]weekly_demand!A496)</f>
        <v/>
      </c>
      <c r="B495" s="59" t="str">
        <f>IF($A495="","",[1]weekly_demand!F496)</f>
        <v/>
      </c>
      <c r="C495" s="60" t="str">
        <f>IF($A495="","",[1]weekly_demand!H496)</f>
        <v/>
      </c>
      <c r="D495" s="61" t="str">
        <f>IF($A495="","",IF(SUMIFS([1]Fixture_Capacity_Input!$C:$C,[1]Fixture_Capacity_Input!$A:$A,$B495,[1]Fixture_Capacity_Input!$B:$B,$C495)&gt;0,SUMIFS([1]Fixture_Capacity_Input!$C:$C,[1]Fixture_Capacity_Input!$A:$A,$B495,[1]Fixture_Capacity_Input!$B:$B,$C495),[1]weekly_demand!G496))</f>
        <v/>
      </c>
      <c r="E495" s="62" t="str">
        <f>IF($A495="","",[1]weekly_demand!I496)</f>
        <v/>
      </c>
      <c r="F495" s="61" t="str">
        <f>IF($A495="","",IF($A495&lt;&gt;$A494,IFERROR(INDEX([1]FG_Begin_Inventory!$B:$B,MATCH($A495,[1]FG_Begin_Inventory!$A:$A,0)),0),J494))</f>
        <v/>
      </c>
      <c r="G495" s="61" t="str">
        <f t="shared" si="52"/>
        <v/>
      </c>
      <c r="H495" s="62" t="str">
        <f t="shared" si="53"/>
        <v/>
      </c>
      <c r="I495" s="62" t="str">
        <f t="shared" si="54"/>
        <v/>
      </c>
      <c r="J495" s="62" t="str">
        <f t="shared" si="55"/>
        <v/>
      </c>
      <c r="K495" s="62" t="str">
        <f t="shared" si="56"/>
        <v/>
      </c>
      <c r="L495" s="62" t="str">
        <f t="shared" si="57"/>
        <v/>
      </c>
      <c r="M495" s="63" t="str">
        <f t="shared" si="58"/>
        <v/>
      </c>
      <c r="N495" s="64"/>
    </row>
    <row r="496" spans="1:14" x14ac:dyDescent="0.3">
      <c r="A496" s="58" t="str">
        <f>IF([1]weekly_demand!A497="","",[1]weekly_demand!A497)</f>
        <v/>
      </c>
      <c r="B496" s="59" t="str">
        <f>IF($A496="","",[1]weekly_demand!F497)</f>
        <v/>
      </c>
      <c r="C496" s="60" t="str">
        <f>IF($A496="","",[1]weekly_demand!H497)</f>
        <v/>
      </c>
      <c r="D496" s="61" t="str">
        <f>IF($A496="","",IF(SUMIFS([1]Fixture_Capacity_Input!$C:$C,[1]Fixture_Capacity_Input!$A:$A,$B496,[1]Fixture_Capacity_Input!$B:$B,$C496)&gt;0,SUMIFS([1]Fixture_Capacity_Input!$C:$C,[1]Fixture_Capacity_Input!$A:$A,$B496,[1]Fixture_Capacity_Input!$B:$B,$C496),[1]weekly_demand!G497))</f>
        <v/>
      </c>
      <c r="E496" s="62" t="str">
        <f>IF($A496="","",[1]weekly_demand!I497)</f>
        <v/>
      </c>
      <c r="F496" s="61" t="str">
        <f>IF($A496="","",IF($A496&lt;&gt;$A495,IFERROR(INDEX([1]FG_Begin_Inventory!$B:$B,MATCH($A496,[1]FG_Begin_Inventory!$A:$A,0)),0),J495))</f>
        <v/>
      </c>
      <c r="G496" s="61" t="str">
        <f t="shared" si="52"/>
        <v/>
      </c>
      <c r="H496" s="62" t="str">
        <f t="shared" si="53"/>
        <v/>
      </c>
      <c r="I496" s="62" t="str">
        <f t="shared" si="54"/>
        <v/>
      </c>
      <c r="J496" s="62" t="str">
        <f t="shared" si="55"/>
        <v/>
      </c>
      <c r="K496" s="62" t="str">
        <f t="shared" si="56"/>
        <v/>
      </c>
      <c r="L496" s="62" t="str">
        <f t="shared" si="57"/>
        <v/>
      </c>
      <c r="M496" s="63" t="str">
        <f t="shared" si="58"/>
        <v/>
      </c>
      <c r="N496" s="64"/>
    </row>
    <row r="497" spans="1:14" x14ac:dyDescent="0.3">
      <c r="A497" s="58" t="str">
        <f>IF([1]weekly_demand!A498="","",[1]weekly_demand!A498)</f>
        <v/>
      </c>
      <c r="B497" s="59" t="str">
        <f>IF($A497="","",[1]weekly_demand!F498)</f>
        <v/>
      </c>
      <c r="C497" s="60" t="str">
        <f>IF($A497="","",[1]weekly_demand!H498)</f>
        <v/>
      </c>
      <c r="D497" s="61" t="str">
        <f>IF($A497="","",IF(SUMIFS([1]Fixture_Capacity_Input!$C:$C,[1]Fixture_Capacity_Input!$A:$A,$B497,[1]Fixture_Capacity_Input!$B:$B,$C497)&gt;0,SUMIFS([1]Fixture_Capacity_Input!$C:$C,[1]Fixture_Capacity_Input!$A:$A,$B497,[1]Fixture_Capacity_Input!$B:$B,$C497),[1]weekly_demand!G498))</f>
        <v/>
      </c>
      <c r="E497" s="62" t="str">
        <f>IF($A497="","",[1]weekly_demand!I498)</f>
        <v/>
      </c>
      <c r="F497" s="61" t="str">
        <f>IF($A497="","",IF($A497&lt;&gt;$A496,IFERROR(INDEX([1]FG_Begin_Inventory!$B:$B,MATCH($A497,[1]FG_Begin_Inventory!$A:$A,0)),0),J496))</f>
        <v/>
      </c>
      <c r="G497" s="61" t="str">
        <f t="shared" si="52"/>
        <v/>
      </c>
      <c r="H497" s="62" t="str">
        <f t="shared" si="53"/>
        <v/>
      </c>
      <c r="I497" s="62" t="str">
        <f t="shared" si="54"/>
        <v/>
      </c>
      <c r="J497" s="62" t="str">
        <f t="shared" si="55"/>
        <v/>
      </c>
      <c r="K497" s="62" t="str">
        <f t="shared" si="56"/>
        <v/>
      </c>
      <c r="L497" s="62" t="str">
        <f t="shared" si="57"/>
        <v/>
      </c>
      <c r="M497" s="63" t="str">
        <f t="shared" si="58"/>
        <v/>
      </c>
      <c r="N497" s="64"/>
    </row>
    <row r="498" spans="1:14" x14ac:dyDescent="0.3">
      <c r="A498" s="58" t="str">
        <f>IF([1]weekly_demand!A499="","",[1]weekly_demand!A499)</f>
        <v/>
      </c>
      <c r="B498" s="59" t="str">
        <f>IF($A498="","",[1]weekly_demand!F499)</f>
        <v/>
      </c>
      <c r="C498" s="60" t="str">
        <f>IF($A498="","",[1]weekly_demand!H499)</f>
        <v/>
      </c>
      <c r="D498" s="61" t="str">
        <f>IF($A498="","",IF(SUMIFS([1]Fixture_Capacity_Input!$C:$C,[1]Fixture_Capacity_Input!$A:$A,$B498,[1]Fixture_Capacity_Input!$B:$B,$C498)&gt;0,SUMIFS([1]Fixture_Capacity_Input!$C:$C,[1]Fixture_Capacity_Input!$A:$A,$B498,[1]Fixture_Capacity_Input!$B:$B,$C498),[1]weekly_demand!G499))</f>
        <v/>
      </c>
      <c r="E498" s="62" t="str">
        <f>IF($A498="","",[1]weekly_demand!I499)</f>
        <v/>
      </c>
      <c r="F498" s="61" t="str">
        <f>IF($A498="","",IF($A498&lt;&gt;$A497,IFERROR(INDEX([1]FG_Begin_Inventory!$B:$B,MATCH($A498,[1]FG_Begin_Inventory!$A:$A,0)),0),J497))</f>
        <v/>
      </c>
      <c r="G498" s="61" t="str">
        <f t="shared" si="52"/>
        <v/>
      </c>
      <c r="H498" s="62" t="str">
        <f t="shared" si="53"/>
        <v/>
      </c>
      <c r="I498" s="62" t="str">
        <f t="shared" si="54"/>
        <v/>
      </c>
      <c r="J498" s="62" t="str">
        <f t="shared" si="55"/>
        <v/>
      </c>
      <c r="K498" s="62" t="str">
        <f t="shared" si="56"/>
        <v/>
      </c>
      <c r="L498" s="62" t="str">
        <f t="shared" si="57"/>
        <v/>
      </c>
      <c r="M498" s="63" t="str">
        <f t="shared" si="58"/>
        <v/>
      </c>
      <c r="N498" s="64"/>
    </row>
    <row r="499" spans="1:14" x14ac:dyDescent="0.3">
      <c r="A499" s="58" t="str">
        <f>IF([1]weekly_demand!A500="","",[1]weekly_demand!A500)</f>
        <v/>
      </c>
      <c r="B499" s="59" t="str">
        <f>IF($A499="","",[1]weekly_demand!F500)</f>
        <v/>
      </c>
      <c r="C499" s="60" t="str">
        <f>IF($A499="","",[1]weekly_demand!H500)</f>
        <v/>
      </c>
      <c r="D499" s="61" t="str">
        <f>IF($A499="","",IF(SUMIFS([1]Fixture_Capacity_Input!$C:$C,[1]Fixture_Capacity_Input!$A:$A,$B499,[1]Fixture_Capacity_Input!$B:$B,$C499)&gt;0,SUMIFS([1]Fixture_Capacity_Input!$C:$C,[1]Fixture_Capacity_Input!$A:$A,$B499,[1]Fixture_Capacity_Input!$B:$B,$C499),[1]weekly_demand!G500))</f>
        <v/>
      </c>
      <c r="E499" s="62" t="str">
        <f>IF($A499="","",[1]weekly_demand!I500)</f>
        <v/>
      </c>
      <c r="F499" s="61" t="str">
        <f>IF($A499="","",IF($A499&lt;&gt;$A498,IFERROR(INDEX([1]FG_Begin_Inventory!$B:$B,MATCH($A499,[1]FG_Begin_Inventory!$A:$A,0)),0),J498))</f>
        <v/>
      </c>
      <c r="G499" s="61" t="str">
        <f t="shared" ref="G499:G562" si="59">IF($A499="","",IF($A499&lt;&gt;$A500,0,MAX(0,G500+E500-D500)))</f>
        <v/>
      </c>
      <c r="H499" s="62" t="str">
        <f t="shared" si="53"/>
        <v/>
      </c>
      <c r="I499" s="62" t="str">
        <f t="shared" si="54"/>
        <v/>
      </c>
      <c r="J499" s="62" t="str">
        <f t="shared" si="55"/>
        <v/>
      </c>
      <c r="K499" s="62" t="str">
        <f t="shared" si="56"/>
        <v/>
      </c>
      <c r="L499" s="62" t="str">
        <f t="shared" si="57"/>
        <v/>
      </c>
      <c r="M499" s="63" t="str">
        <f t="shared" si="58"/>
        <v/>
      </c>
      <c r="N499" s="64"/>
    </row>
    <row r="500" spans="1:14" x14ac:dyDescent="0.3">
      <c r="A500" s="58" t="str">
        <f>IF([1]weekly_demand!A501="","",[1]weekly_demand!A501)</f>
        <v/>
      </c>
      <c r="B500" s="59" t="str">
        <f>IF($A500="","",[1]weekly_demand!F501)</f>
        <v/>
      </c>
      <c r="C500" s="60" t="str">
        <f>IF($A500="","",[1]weekly_demand!H501)</f>
        <v/>
      </c>
      <c r="D500" s="61" t="str">
        <f>IF($A500="","",IF(SUMIFS([1]Fixture_Capacity_Input!$C:$C,[1]Fixture_Capacity_Input!$A:$A,$B500,[1]Fixture_Capacity_Input!$B:$B,$C500)&gt;0,SUMIFS([1]Fixture_Capacity_Input!$C:$C,[1]Fixture_Capacity_Input!$A:$A,$B500,[1]Fixture_Capacity_Input!$B:$B,$C500),[1]weekly_demand!G501))</f>
        <v/>
      </c>
      <c r="E500" s="62" t="str">
        <f>IF($A500="","",[1]weekly_demand!I501)</f>
        <v/>
      </c>
      <c r="F500" s="61" t="str">
        <f>IF($A500="","",IF($A500&lt;&gt;$A499,IFERROR(INDEX([1]FG_Begin_Inventory!$B:$B,MATCH($A500,[1]FG_Begin_Inventory!$A:$A,0)),0),J499))</f>
        <v/>
      </c>
      <c r="G500" s="61" t="str">
        <f t="shared" si="59"/>
        <v/>
      </c>
      <c r="H500" s="62" t="str">
        <f t="shared" si="53"/>
        <v/>
      </c>
      <c r="I500" s="62" t="str">
        <f t="shared" si="54"/>
        <v/>
      </c>
      <c r="J500" s="62" t="str">
        <f t="shared" si="55"/>
        <v/>
      </c>
      <c r="K500" s="62" t="str">
        <f t="shared" si="56"/>
        <v/>
      </c>
      <c r="L500" s="62" t="str">
        <f t="shared" si="57"/>
        <v/>
      </c>
      <c r="M500" s="63" t="str">
        <f t="shared" si="58"/>
        <v/>
      </c>
      <c r="N500" s="64"/>
    </row>
    <row r="501" spans="1:14" x14ac:dyDescent="0.3">
      <c r="A501" s="58" t="str">
        <f>IF([1]weekly_demand!A502="","",[1]weekly_demand!A502)</f>
        <v/>
      </c>
      <c r="B501" s="59" t="str">
        <f>IF($A501="","",[1]weekly_demand!F502)</f>
        <v/>
      </c>
      <c r="C501" s="60" t="str">
        <f>IF($A501="","",[1]weekly_demand!H502)</f>
        <v/>
      </c>
      <c r="D501" s="61" t="str">
        <f>IF($A501="","",IF(SUMIFS([1]Fixture_Capacity_Input!$C:$C,[1]Fixture_Capacity_Input!$A:$A,$B501,[1]Fixture_Capacity_Input!$B:$B,$C501)&gt;0,SUMIFS([1]Fixture_Capacity_Input!$C:$C,[1]Fixture_Capacity_Input!$A:$A,$B501,[1]Fixture_Capacity_Input!$B:$B,$C501),[1]weekly_demand!G502))</f>
        <v/>
      </c>
      <c r="E501" s="62" t="str">
        <f>IF($A501="","",[1]weekly_demand!I502)</f>
        <v/>
      </c>
      <c r="F501" s="61" t="str">
        <f>IF($A501="","",IF($A501&lt;&gt;$A500,IFERROR(INDEX([1]FG_Begin_Inventory!$B:$B,MATCH($A501,[1]FG_Begin_Inventory!$A:$A,0)),0),J500))</f>
        <v/>
      </c>
      <c r="G501" s="61" t="str">
        <f t="shared" si="59"/>
        <v/>
      </c>
      <c r="H501" s="62" t="str">
        <f t="shared" si="53"/>
        <v/>
      </c>
      <c r="I501" s="62" t="str">
        <f t="shared" si="54"/>
        <v/>
      </c>
      <c r="J501" s="62" t="str">
        <f t="shared" si="55"/>
        <v/>
      </c>
      <c r="K501" s="62" t="str">
        <f t="shared" si="56"/>
        <v/>
      </c>
      <c r="L501" s="62" t="str">
        <f t="shared" si="57"/>
        <v/>
      </c>
      <c r="M501" s="63" t="str">
        <f t="shared" si="58"/>
        <v/>
      </c>
      <c r="N501" s="64"/>
    </row>
    <row r="502" spans="1:14" x14ac:dyDescent="0.3">
      <c r="A502" s="58" t="str">
        <f>IF([1]weekly_demand!A503="","",[1]weekly_demand!A503)</f>
        <v/>
      </c>
      <c r="B502" s="59" t="str">
        <f>IF($A502="","",[1]weekly_demand!F503)</f>
        <v/>
      </c>
      <c r="C502" s="60" t="str">
        <f>IF($A502="","",[1]weekly_demand!H503)</f>
        <v/>
      </c>
      <c r="D502" s="61" t="str">
        <f>IF($A502="","",IF(SUMIFS([1]Fixture_Capacity_Input!$C:$C,[1]Fixture_Capacity_Input!$A:$A,$B502,[1]Fixture_Capacity_Input!$B:$B,$C502)&gt;0,SUMIFS([1]Fixture_Capacity_Input!$C:$C,[1]Fixture_Capacity_Input!$A:$A,$B502,[1]Fixture_Capacity_Input!$B:$B,$C502),[1]weekly_demand!G503))</f>
        <v/>
      </c>
      <c r="E502" s="62" t="str">
        <f>IF($A502="","",[1]weekly_demand!I503)</f>
        <v/>
      </c>
      <c r="F502" s="61" t="str">
        <f>IF($A502="","",IF($A502&lt;&gt;$A501,IFERROR(INDEX([1]FG_Begin_Inventory!$B:$B,MATCH($A502,[1]FG_Begin_Inventory!$A:$A,0)),0),J501))</f>
        <v/>
      </c>
      <c r="G502" s="61" t="str">
        <f t="shared" si="59"/>
        <v/>
      </c>
      <c r="H502" s="62" t="str">
        <f t="shared" si="53"/>
        <v/>
      </c>
      <c r="I502" s="62" t="str">
        <f t="shared" si="54"/>
        <v/>
      </c>
      <c r="J502" s="62" t="str">
        <f t="shared" si="55"/>
        <v/>
      </c>
      <c r="K502" s="62" t="str">
        <f t="shared" si="56"/>
        <v/>
      </c>
      <c r="L502" s="62" t="str">
        <f t="shared" si="57"/>
        <v/>
      </c>
      <c r="M502" s="63" t="str">
        <f t="shared" si="58"/>
        <v/>
      </c>
      <c r="N502" s="64"/>
    </row>
    <row r="503" spans="1:14" x14ac:dyDescent="0.3">
      <c r="A503" s="58" t="str">
        <f>IF([1]weekly_demand!A504="","",[1]weekly_demand!A504)</f>
        <v/>
      </c>
      <c r="B503" s="59" t="str">
        <f>IF($A503="","",[1]weekly_demand!F504)</f>
        <v/>
      </c>
      <c r="C503" s="60" t="str">
        <f>IF($A503="","",[1]weekly_demand!H504)</f>
        <v/>
      </c>
      <c r="D503" s="61" t="str">
        <f>IF($A503="","",IF(SUMIFS([1]Fixture_Capacity_Input!$C:$C,[1]Fixture_Capacity_Input!$A:$A,$B503,[1]Fixture_Capacity_Input!$B:$B,$C503)&gt;0,SUMIFS([1]Fixture_Capacity_Input!$C:$C,[1]Fixture_Capacity_Input!$A:$A,$B503,[1]Fixture_Capacity_Input!$B:$B,$C503),[1]weekly_demand!G504))</f>
        <v/>
      </c>
      <c r="E503" s="62" t="str">
        <f>IF($A503="","",[1]weekly_demand!I504)</f>
        <v/>
      </c>
      <c r="F503" s="61" t="str">
        <f>IF($A503="","",IF($A503&lt;&gt;$A502,IFERROR(INDEX([1]FG_Begin_Inventory!$B:$B,MATCH($A503,[1]FG_Begin_Inventory!$A:$A,0)),0),J502))</f>
        <v/>
      </c>
      <c r="G503" s="61" t="str">
        <f t="shared" si="59"/>
        <v/>
      </c>
      <c r="H503" s="62" t="str">
        <f t="shared" si="53"/>
        <v/>
      </c>
      <c r="I503" s="62" t="str">
        <f t="shared" si="54"/>
        <v/>
      </c>
      <c r="J503" s="62" t="str">
        <f t="shared" si="55"/>
        <v/>
      </c>
      <c r="K503" s="62" t="str">
        <f t="shared" si="56"/>
        <v/>
      </c>
      <c r="L503" s="62" t="str">
        <f t="shared" si="57"/>
        <v/>
      </c>
      <c r="M503" s="63" t="str">
        <f t="shared" si="58"/>
        <v/>
      </c>
      <c r="N503" s="64"/>
    </row>
    <row r="504" spans="1:14" x14ac:dyDescent="0.3">
      <c r="A504" s="58" t="str">
        <f>IF([1]weekly_demand!A505="","",[1]weekly_demand!A505)</f>
        <v/>
      </c>
      <c r="B504" s="59" t="str">
        <f>IF($A504="","",[1]weekly_demand!F505)</f>
        <v/>
      </c>
      <c r="C504" s="60" t="str">
        <f>IF($A504="","",[1]weekly_demand!H505)</f>
        <v/>
      </c>
      <c r="D504" s="61" t="str">
        <f>IF($A504="","",IF(SUMIFS([1]Fixture_Capacity_Input!$C:$C,[1]Fixture_Capacity_Input!$A:$A,$B504,[1]Fixture_Capacity_Input!$B:$B,$C504)&gt;0,SUMIFS([1]Fixture_Capacity_Input!$C:$C,[1]Fixture_Capacity_Input!$A:$A,$B504,[1]Fixture_Capacity_Input!$B:$B,$C504),[1]weekly_demand!G505))</f>
        <v/>
      </c>
      <c r="E504" s="62" t="str">
        <f>IF($A504="","",[1]weekly_demand!I505)</f>
        <v/>
      </c>
      <c r="F504" s="61" t="str">
        <f>IF($A504="","",IF($A504&lt;&gt;$A503,IFERROR(INDEX([1]FG_Begin_Inventory!$B:$B,MATCH($A504,[1]FG_Begin_Inventory!$A:$A,0)),0),J503))</f>
        <v/>
      </c>
      <c r="G504" s="61" t="str">
        <f t="shared" si="59"/>
        <v/>
      </c>
      <c r="H504" s="62" t="str">
        <f t="shared" si="53"/>
        <v/>
      </c>
      <c r="I504" s="62" t="str">
        <f t="shared" si="54"/>
        <v/>
      </c>
      <c r="J504" s="62" t="str">
        <f t="shared" si="55"/>
        <v/>
      </c>
      <c r="K504" s="62" t="str">
        <f t="shared" si="56"/>
        <v/>
      </c>
      <c r="L504" s="62" t="str">
        <f t="shared" si="57"/>
        <v/>
      </c>
      <c r="M504" s="63" t="str">
        <f t="shared" si="58"/>
        <v/>
      </c>
      <c r="N504" s="64"/>
    </row>
    <row r="505" spans="1:14" x14ac:dyDescent="0.3">
      <c r="A505" s="58" t="str">
        <f>IF([1]weekly_demand!A506="","",[1]weekly_demand!A506)</f>
        <v/>
      </c>
      <c r="B505" s="59" t="str">
        <f>IF($A505="","",[1]weekly_demand!F506)</f>
        <v/>
      </c>
      <c r="C505" s="60" t="str">
        <f>IF($A505="","",[1]weekly_demand!H506)</f>
        <v/>
      </c>
      <c r="D505" s="61" t="str">
        <f>IF($A505="","",IF(SUMIFS([1]Fixture_Capacity_Input!$C:$C,[1]Fixture_Capacity_Input!$A:$A,$B505,[1]Fixture_Capacity_Input!$B:$B,$C505)&gt;0,SUMIFS([1]Fixture_Capacity_Input!$C:$C,[1]Fixture_Capacity_Input!$A:$A,$B505,[1]Fixture_Capacity_Input!$B:$B,$C505),[1]weekly_demand!G506))</f>
        <v/>
      </c>
      <c r="E505" s="62" t="str">
        <f>IF($A505="","",[1]weekly_demand!I506)</f>
        <v/>
      </c>
      <c r="F505" s="61" t="str">
        <f>IF($A505="","",IF($A505&lt;&gt;$A504,IFERROR(INDEX([1]FG_Begin_Inventory!$B:$B,MATCH($A505,[1]FG_Begin_Inventory!$A:$A,0)),0),J504))</f>
        <v/>
      </c>
      <c r="G505" s="61" t="str">
        <f t="shared" si="59"/>
        <v/>
      </c>
      <c r="H505" s="62" t="str">
        <f t="shared" si="53"/>
        <v/>
      </c>
      <c r="I505" s="62" t="str">
        <f t="shared" si="54"/>
        <v/>
      </c>
      <c r="J505" s="62" t="str">
        <f t="shared" si="55"/>
        <v/>
      </c>
      <c r="K505" s="62" t="str">
        <f t="shared" si="56"/>
        <v/>
      </c>
      <c r="L505" s="62" t="str">
        <f t="shared" si="57"/>
        <v/>
      </c>
      <c r="M505" s="63" t="str">
        <f t="shared" si="58"/>
        <v/>
      </c>
      <c r="N505" s="64"/>
    </row>
    <row r="506" spans="1:14" x14ac:dyDescent="0.3">
      <c r="A506" s="58" t="str">
        <f>IF([1]weekly_demand!A507="","",[1]weekly_demand!A507)</f>
        <v/>
      </c>
      <c r="B506" s="59" t="str">
        <f>IF($A506="","",[1]weekly_demand!F507)</f>
        <v/>
      </c>
      <c r="C506" s="60" t="str">
        <f>IF($A506="","",[1]weekly_demand!H507)</f>
        <v/>
      </c>
      <c r="D506" s="61" t="str">
        <f>IF($A506="","",IF(SUMIFS([1]Fixture_Capacity_Input!$C:$C,[1]Fixture_Capacity_Input!$A:$A,$B506,[1]Fixture_Capacity_Input!$B:$B,$C506)&gt;0,SUMIFS([1]Fixture_Capacity_Input!$C:$C,[1]Fixture_Capacity_Input!$A:$A,$B506,[1]Fixture_Capacity_Input!$B:$B,$C506),[1]weekly_demand!G507))</f>
        <v/>
      </c>
      <c r="E506" s="62" t="str">
        <f>IF($A506="","",[1]weekly_demand!I507)</f>
        <v/>
      </c>
      <c r="F506" s="61" t="str">
        <f>IF($A506="","",IF($A506&lt;&gt;$A505,IFERROR(INDEX([1]FG_Begin_Inventory!$B:$B,MATCH($A506,[1]FG_Begin_Inventory!$A:$A,0)),0),J505))</f>
        <v/>
      </c>
      <c r="G506" s="61" t="str">
        <f t="shared" si="59"/>
        <v/>
      </c>
      <c r="H506" s="62" t="str">
        <f t="shared" si="53"/>
        <v/>
      </c>
      <c r="I506" s="62" t="str">
        <f t="shared" si="54"/>
        <v/>
      </c>
      <c r="J506" s="62" t="str">
        <f t="shared" si="55"/>
        <v/>
      </c>
      <c r="K506" s="62" t="str">
        <f t="shared" si="56"/>
        <v/>
      </c>
      <c r="L506" s="62" t="str">
        <f t="shared" si="57"/>
        <v/>
      </c>
      <c r="M506" s="63" t="str">
        <f t="shared" si="58"/>
        <v/>
      </c>
      <c r="N506" s="64"/>
    </row>
    <row r="507" spans="1:14" x14ac:dyDescent="0.3">
      <c r="A507" s="58" t="str">
        <f>IF([1]weekly_demand!A508="","",[1]weekly_demand!A508)</f>
        <v/>
      </c>
      <c r="B507" s="59" t="str">
        <f>IF($A507="","",[1]weekly_demand!F508)</f>
        <v/>
      </c>
      <c r="C507" s="60" t="str">
        <f>IF($A507="","",[1]weekly_demand!H508)</f>
        <v/>
      </c>
      <c r="D507" s="61" t="str">
        <f>IF($A507="","",IF(SUMIFS([1]Fixture_Capacity_Input!$C:$C,[1]Fixture_Capacity_Input!$A:$A,$B507,[1]Fixture_Capacity_Input!$B:$B,$C507)&gt;0,SUMIFS([1]Fixture_Capacity_Input!$C:$C,[1]Fixture_Capacity_Input!$A:$A,$B507,[1]Fixture_Capacity_Input!$B:$B,$C507),[1]weekly_demand!G508))</f>
        <v/>
      </c>
      <c r="E507" s="62" t="str">
        <f>IF($A507="","",[1]weekly_demand!I508)</f>
        <v/>
      </c>
      <c r="F507" s="61" t="str">
        <f>IF($A507="","",IF($A507&lt;&gt;$A506,IFERROR(INDEX([1]FG_Begin_Inventory!$B:$B,MATCH($A507,[1]FG_Begin_Inventory!$A:$A,0)),0),J506))</f>
        <v/>
      </c>
      <c r="G507" s="61" t="str">
        <f t="shared" si="59"/>
        <v/>
      </c>
      <c r="H507" s="62" t="str">
        <f t="shared" si="53"/>
        <v/>
      </c>
      <c r="I507" s="62" t="str">
        <f t="shared" si="54"/>
        <v/>
      </c>
      <c r="J507" s="62" t="str">
        <f t="shared" si="55"/>
        <v/>
      </c>
      <c r="K507" s="62" t="str">
        <f t="shared" si="56"/>
        <v/>
      </c>
      <c r="L507" s="62" t="str">
        <f t="shared" si="57"/>
        <v/>
      </c>
      <c r="M507" s="63" t="str">
        <f t="shared" si="58"/>
        <v/>
      </c>
      <c r="N507" s="64"/>
    </row>
    <row r="508" spans="1:14" x14ac:dyDescent="0.3">
      <c r="A508" s="58" t="str">
        <f>IF([1]weekly_demand!A509="","",[1]weekly_demand!A509)</f>
        <v/>
      </c>
      <c r="B508" s="59" t="str">
        <f>IF($A508="","",[1]weekly_demand!F509)</f>
        <v/>
      </c>
      <c r="C508" s="60" t="str">
        <f>IF($A508="","",[1]weekly_demand!H509)</f>
        <v/>
      </c>
      <c r="D508" s="61" t="str">
        <f>IF($A508="","",IF(SUMIFS([1]Fixture_Capacity_Input!$C:$C,[1]Fixture_Capacity_Input!$A:$A,$B508,[1]Fixture_Capacity_Input!$B:$B,$C508)&gt;0,SUMIFS([1]Fixture_Capacity_Input!$C:$C,[1]Fixture_Capacity_Input!$A:$A,$B508,[1]Fixture_Capacity_Input!$B:$B,$C508),[1]weekly_demand!G509))</f>
        <v/>
      </c>
      <c r="E508" s="62" t="str">
        <f>IF($A508="","",[1]weekly_demand!I509)</f>
        <v/>
      </c>
      <c r="F508" s="61" t="str">
        <f>IF($A508="","",IF($A508&lt;&gt;$A507,IFERROR(INDEX([1]FG_Begin_Inventory!$B:$B,MATCH($A508,[1]FG_Begin_Inventory!$A:$A,0)),0),J507))</f>
        <v/>
      </c>
      <c r="G508" s="61" t="str">
        <f t="shared" si="59"/>
        <v/>
      </c>
      <c r="H508" s="62" t="str">
        <f t="shared" si="53"/>
        <v/>
      </c>
      <c r="I508" s="62" t="str">
        <f t="shared" si="54"/>
        <v/>
      </c>
      <c r="J508" s="62" t="str">
        <f t="shared" si="55"/>
        <v/>
      </c>
      <c r="K508" s="62" t="str">
        <f t="shared" si="56"/>
        <v/>
      </c>
      <c r="L508" s="62" t="str">
        <f t="shared" si="57"/>
        <v/>
      </c>
      <c r="M508" s="63" t="str">
        <f t="shared" si="58"/>
        <v/>
      </c>
      <c r="N508" s="64"/>
    </row>
    <row r="509" spans="1:14" x14ac:dyDescent="0.3">
      <c r="A509" s="58" t="str">
        <f>IF([1]weekly_demand!A510="","",[1]weekly_demand!A510)</f>
        <v/>
      </c>
      <c r="B509" s="59" t="str">
        <f>IF($A509="","",[1]weekly_demand!F510)</f>
        <v/>
      </c>
      <c r="C509" s="60" t="str">
        <f>IF($A509="","",[1]weekly_demand!H510)</f>
        <v/>
      </c>
      <c r="D509" s="61" t="str">
        <f>IF($A509="","",IF(SUMIFS([1]Fixture_Capacity_Input!$C:$C,[1]Fixture_Capacity_Input!$A:$A,$B509,[1]Fixture_Capacity_Input!$B:$B,$C509)&gt;0,SUMIFS([1]Fixture_Capacity_Input!$C:$C,[1]Fixture_Capacity_Input!$A:$A,$B509,[1]Fixture_Capacity_Input!$B:$B,$C509),[1]weekly_demand!G510))</f>
        <v/>
      </c>
      <c r="E509" s="62" t="str">
        <f>IF($A509="","",[1]weekly_demand!I510)</f>
        <v/>
      </c>
      <c r="F509" s="61" t="str">
        <f>IF($A509="","",IF($A509&lt;&gt;$A508,IFERROR(INDEX([1]FG_Begin_Inventory!$B:$B,MATCH($A509,[1]FG_Begin_Inventory!$A:$A,0)),0),J508))</f>
        <v/>
      </c>
      <c r="G509" s="61" t="str">
        <f t="shared" si="59"/>
        <v/>
      </c>
      <c r="H509" s="62" t="str">
        <f t="shared" si="53"/>
        <v/>
      </c>
      <c r="I509" s="62" t="str">
        <f t="shared" si="54"/>
        <v/>
      </c>
      <c r="J509" s="62" t="str">
        <f t="shared" si="55"/>
        <v/>
      </c>
      <c r="K509" s="62" t="str">
        <f t="shared" si="56"/>
        <v/>
      </c>
      <c r="L509" s="62" t="str">
        <f t="shared" si="57"/>
        <v/>
      </c>
      <c r="M509" s="63" t="str">
        <f t="shared" si="58"/>
        <v/>
      </c>
      <c r="N509" s="64"/>
    </row>
    <row r="510" spans="1:14" x14ac:dyDescent="0.3">
      <c r="A510" s="58" t="str">
        <f>IF([1]weekly_demand!A511="","",[1]weekly_demand!A511)</f>
        <v/>
      </c>
      <c r="B510" s="59" t="str">
        <f>IF($A510="","",[1]weekly_demand!F511)</f>
        <v/>
      </c>
      <c r="C510" s="60" t="str">
        <f>IF($A510="","",[1]weekly_demand!H511)</f>
        <v/>
      </c>
      <c r="D510" s="61" t="str">
        <f>IF($A510="","",IF(SUMIFS([1]Fixture_Capacity_Input!$C:$C,[1]Fixture_Capacity_Input!$A:$A,$B510,[1]Fixture_Capacity_Input!$B:$B,$C510)&gt;0,SUMIFS([1]Fixture_Capacity_Input!$C:$C,[1]Fixture_Capacity_Input!$A:$A,$B510,[1]Fixture_Capacity_Input!$B:$B,$C510),[1]weekly_demand!G511))</f>
        <v/>
      </c>
      <c r="E510" s="62" t="str">
        <f>IF($A510="","",[1]weekly_demand!I511)</f>
        <v/>
      </c>
      <c r="F510" s="61" t="str">
        <f>IF($A510="","",IF($A510&lt;&gt;$A509,IFERROR(INDEX([1]FG_Begin_Inventory!$B:$B,MATCH($A510,[1]FG_Begin_Inventory!$A:$A,0)),0),J509))</f>
        <v/>
      </c>
      <c r="G510" s="61" t="str">
        <f t="shared" si="59"/>
        <v/>
      </c>
      <c r="H510" s="62" t="str">
        <f t="shared" si="53"/>
        <v/>
      </c>
      <c r="I510" s="62" t="str">
        <f t="shared" si="54"/>
        <v/>
      </c>
      <c r="J510" s="62" t="str">
        <f t="shared" si="55"/>
        <v/>
      </c>
      <c r="K510" s="62" t="str">
        <f t="shared" si="56"/>
        <v/>
      </c>
      <c r="L510" s="62" t="str">
        <f t="shared" si="57"/>
        <v/>
      </c>
      <c r="M510" s="63" t="str">
        <f t="shared" si="58"/>
        <v/>
      </c>
      <c r="N510" s="64"/>
    </row>
    <row r="511" spans="1:14" x14ac:dyDescent="0.3">
      <c r="A511" s="58" t="str">
        <f>IF([1]weekly_demand!A512="","",[1]weekly_demand!A512)</f>
        <v/>
      </c>
      <c r="B511" s="59" t="str">
        <f>IF($A511="","",[1]weekly_demand!F512)</f>
        <v/>
      </c>
      <c r="C511" s="60" t="str">
        <f>IF($A511="","",[1]weekly_demand!H512)</f>
        <v/>
      </c>
      <c r="D511" s="61" t="str">
        <f>IF($A511="","",IF(SUMIFS([1]Fixture_Capacity_Input!$C:$C,[1]Fixture_Capacity_Input!$A:$A,$B511,[1]Fixture_Capacity_Input!$B:$B,$C511)&gt;0,SUMIFS([1]Fixture_Capacity_Input!$C:$C,[1]Fixture_Capacity_Input!$A:$A,$B511,[1]Fixture_Capacity_Input!$B:$B,$C511),[1]weekly_demand!G512))</f>
        <v/>
      </c>
      <c r="E511" s="62" t="str">
        <f>IF($A511="","",[1]weekly_demand!I512)</f>
        <v/>
      </c>
      <c r="F511" s="61" t="str">
        <f>IF($A511="","",IF($A511&lt;&gt;$A510,IFERROR(INDEX([1]FG_Begin_Inventory!$B:$B,MATCH($A511,[1]FG_Begin_Inventory!$A:$A,0)),0),J510))</f>
        <v/>
      </c>
      <c r="G511" s="61" t="str">
        <f t="shared" si="59"/>
        <v/>
      </c>
      <c r="H511" s="62" t="str">
        <f t="shared" si="53"/>
        <v/>
      </c>
      <c r="I511" s="62" t="str">
        <f t="shared" si="54"/>
        <v/>
      </c>
      <c r="J511" s="62" t="str">
        <f t="shared" si="55"/>
        <v/>
      </c>
      <c r="K511" s="62" t="str">
        <f t="shared" si="56"/>
        <v/>
      </c>
      <c r="L511" s="62" t="str">
        <f t="shared" si="57"/>
        <v/>
      </c>
      <c r="M511" s="63" t="str">
        <f t="shared" si="58"/>
        <v/>
      </c>
      <c r="N511" s="64"/>
    </row>
    <row r="512" spans="1:14" x14ac:dyDescent="0.3">
      <c r="A512" s="58" t="str">
        <f>IF([1]weekly_demand!A513="","",[1]weekly_demand!A513)</f>
        <v/>
      </c>
      <c r="B512" s="59" t="str">
        <f>IF($A512="","",[1]weekly_demand!F513)</f>
        <v/>
      </c>
      <c r="C512" s="60" t="str">
        <f>IF($A512="","",[1]weekly_demand!H513)</f>
        <v/>
      </c>
      <c r="D512" s="61" t="str">
        <f>IF($A512="","",IF(SUMIFS([1]Fixture_Capacity_Input!$C:$C,[1]Fixture_Capacity_Input!$A:$A,$B512,[1]Fixture_Capacity_Input!$B:$B,$C512)&gt;0,SUMIFS([1]Fixture_Capacity_Input!$C:$C,[1]Fixture_Capacity_Input!$A:$A,$B512,[1]Fixture_Capacity_Input!$B:$B,$C512),[1]weekly_demand!G513))</f>
        <v/>
      </c>
      <c r="E512" s="62" t="str">
        <f>IF($A512="","",[1]weekly_demand!I513)</f>
        <v/>
      </c>
      <c r="F512" s="61" t="str">
        <f>IF($A512="","",IF($A512&lt;&gt;$A511,IFERROR(INDEX([1]FG_Begin_Inventory!$B:$B,MATCH($A512,[1]FG_Begin_Inventory!$A:$A,0)),0),J511))</f>
        <v/>
      </c>
      <c r="G512" s="61" t="str">
        <f t="shared" si="59"/>
        <v/>
      </c>
      <c r="H512" s="62" t="str">
        <f t="shared" si="53"/>
        <v/>
      </c>
      <c r="I512" s="62" t="str">
        <f t="shared" si="54"/>
        <v/>
      </c>
      <c r="J512" s="62" t="str">
        <f t="shared" si="55"/>
        <v/>
      </c>
      <c r="K512" s="62" t="str">
        <f t="shared" si="56"/>
        <v/>
      </c>
      <c r="L512" s="62" t="str">
        <f t="shared" si="57"/>
        <v/>
      </c>
      <c r="M512" s="63" t="str">
        <f t="shared" si="58"/>
        <v/>
      </c>
      <c r="N512" s="64"/>
    </row>
    <row r="513" spans="1:14" x14ac:dyDescent="0.3">
      <c r="A513" s="58" t="str">
        <f>IF([1]weekly_demand!A514="","",[1]weekly_demand!A514)</f>
        <v/>
      </c>
      <c r="B513" s="59" t="str">
        <f>IF($A513="","",[1]weekly_demand!F514)</f>
        <v/>
      </c>
      <c r="C513" s="60" t="str">
        <f>IF($A513="","",[1]weekly_demand!H514)</f>
        <v/>
      </c>
      <c r="D513" s="61" t="str">
        <f>IF($A513="","",IF(SUMIFS([1]Fixture_Capacity_Input!$C:$C,[1]Fixture_Capacity_Input!$A:$A,$B513,[1]Fixture_Capacity_Input!$B:$B,$C513)&gt;0,SUMIFS([1]Fixture_Capacity_Input!$C:$C,[1]Fixture_Capacity_Input!$A:$A,$B513,[1]Fixture_Capacity_Input!$B:$B,$C513),[1]weekly_demand!G514))</f>
        <v/>
      </c>
      <c r="E513" s="62" t="str">
        <f>IF($A513="","",[1]weekly_demand!I514)</f>
        <v/>
      </c>
      <c r="F513" s="61" t="str">
        <f>IF($A513="","",IF($A513&lt;&gt;$A512,IFERROR(INDEX([1]FG_Begin_Inventory!$B:$B,MATCH($A513,[1]FG_Begin_Inventory!$A:$A,0)),0),J512))</f>
        <v/>
      </c>
      <c r="G513" s="61" t="str">
        <f t="shared" si="59"/>
        <v/>
      </c>
      <c r="H513" s="62" t="str">
        <f t="shared" si="53"/>
        <v/>
      </c>
      <c r="I513" s="62" t="str">
        <f t="shared" si="54"/>
        <v/>
      </c>
      <c r="J513" s="62" t="str">
        <f t="shared" si="55"/>
        <v/>
      </c>
      <c r="K513" s="62" t="str">
        <f t="shared" si="56"/>
        <v/>
      </c>
      <c r="L513" s="62" t="str">
        <f t="shared" si="57"/>
        <v/>
      </c>
      <c r="M513" s="63" t="str">
        <f t="shared" si="58"/>
        <v/>
      </c>
      <c r="N513" s="64"/>
    </row>
    <row r="514" spans="1:14" x14ac:dyDescent="0.3">
      <c r="A514" s="58" t="str">
        <f>IF([1]weekly_demand!A515="","",[1]weekly_demand!A515)</f>
        <v/>
      </c>
      <c r="B514" s="59" t="str">
        <f>IF($A514="","",[1]weekly_demand!F515)</f>
        <v/>
      </c>
      <c r="C514" s="60" t="str">
        <f>IF($A514="","",[1]weekly_demand!H515)</f>
        <v/>
      </c>
      <c r="D514" s="61" t="str">
        <f>IF($A514="","",IF(SUMIFS([1]Fixture_Capacity_Input!$C:$C,[1]Fixture_Capacity_Input!$A:$A,$B514,[1]Fixture_Capacity_Input!$B:$B,$C514)&gt;0,SUMIFS([1]Fixture_Capacity_Input!$C:$C,[1]Fixture_Capacity_Input!$A:$A,$B514,[1]Fixture_Capacity_Input!$B:$B,$C514),[1]weekly_demand!G515))</f>
        <v/>
      </c>
      <c r="E514" s="62" t="str">
        <f>IF($A514="","",[1]weekly_demand!I515)</f>
        <v/>
      </c>
      <c r="F514" s="61" t="str">
        <f>IF($A514="","",IF($A514&lt;&gt;$A513,IFERROR(INDEX([1]FG_Begin_Inventory!$B:$B,MATCH($A514,[1]FG_Begin_Inventory!$A:$A,0)),0),J513))</f>
        <v/>
      </c>
      <c r="G514" s="61" t="str">
        <f t="shared" si="59"/>
        <v/>
      </c>
      <c r="H514" s="62" t="str">
        <f t="shared" ref="H514:H577" si="60">IF($A514="","",MAX(0,E514+G514-F514))</f>
        <v/>
      </c>
      <c r="I514" s="62" t="str">
        <f t="shared" ref="I514:I577" si="61">IF($A514="","",MIN(D514,H514))</f>
        <v/>
      </c>
      <c r="J514" s="62" t="str">
        <f t="shared" ref="J514:J577" si="62">IF($A514="","",MAX(0,F514+I514-E514))</f>
        <v/>
      </c>
      <c r="K514" s="62" t="str">
        <f t="shared" ref="K514:K577" si="63">IF($A514="","",MAX(0,E514-F514-I514))</f>
        <v/>
      </c>
      <c r="L514" s="62" t="str">
        <f t="shared" ref="L514:L577" si="64">IF($A514="","",MAX(0,F514+I514-E514))</f>
        <v/>
      </c>
      <c r="M514" s="63" t="str">
        <f t="shared" ref="M514:M577" si="65">IF($A514="","",IFERROR(I514/D514,0))</f>
        <v/>
      </c>
      <c r="N514" s="64"/>
    </row>
    <row r="515" spans="1:14" x14ac:dyDescent="0.3">
      <c r="A515" s="58" t="str">
        <f>IF([1]weekly_demand!A516="","",[1]weekly_demand!A516)</f>
        <v/>
      </c>
      <c r="B515" s="59" t="str">
        <f>IF($A515="","",[1]weekly_demand!F516)</f>
        <v/>
      </c>
      <c r="C515" s="60" t="str">
        <f>IF($A515="","",[1]weekly_demand!H516)</f>
        <v/>
      </c>
      <c r="D515" s="61" t="str">
        <f>IF($A515="","",IF(SUMIFS([1]Fixture_Capacity_Input!$C:$C,[1]Fixture_Capacity_Input!$A:$A,$B515,[1]Fixture_Capacity_Input!$B:$B,$C515)&gt;0,SUMIFS([1]Fixture_Capacity_Input!$C:$C,[1]Fixture_Capacity_Input!$A:$A,$B515,[1]Fixture_Capacity_Input!$B:$B,$C515),[1]weekly_demand!G516))</f>
        <v/>
      </c>
      <c r="E515" s="62" t="str">
        <f>IF($A515="","",[1]weekly_demand!I516)</f>
        <v/>
      </c>
      <c r="F515" s="61" t="str">
        <f>IF($A515="","",IF($A515&lt;&gt;$A514,IFERROR(INDEX([1]FG_Begin_Inventory!$B:$B,MATCH($A515,[1]FG_Begin_Inventory!$A:$A,0)),0),J514))</f>
        <v/>
      </c>
      <c r="G515" s="61" t="str">
        <f t="shared" si="59"/>
        <v/>
      </c>
      <c r="H515" s="62" t="str">
        <f t="shared" si="60"/>
        <v/>
      </c>
      <c r="I515" s="62" t="str">
        <f t="shared" si="61"/>
        <v/>
      </c>
      <c r="J515" s="62" t="str">
        <f t="shared" si="62"/>
        <v/>
      </c>
      <c r="K515" s="62" t="str">
        <f t="shared" si="63"/>
        <v/>
      </c>
      <c r="L515" s="62" t="str">
        <f t="shared" si="64"/>
        <v/>
      </c>
      <c r="M515" s="63" t="str">
        <f t="shared" si="65"/>
        <v/>
      </c>
      <c r="N515" s="64"/>
    </row>
    <row r="516" spans="1:14" x14ac:dyDescent="0.3">
      <c r="A516" s="58" t="str">
        <f>IF([1]weekly_demand!A517="","",[1]weekly_demand!A517)</f>
        <v/>
      </c>
      <c r="B516" s="59" t="str">
        <f>IF($A516="","",[1]weekly_demand!F517)</f>
        <v/>
      </c>
      <c r="C516" s="60" t="str">
        <f>IF($A516="","",[1]weekly_demand!H517)</f>
        <v/>
      </c>
      <c r="D516" s="61" t="str">
        <f>IF($A516="","",IF(SUMIFS([1]Fixture_Capacity_Input!$C:$C,[1]Fixture_Capacity_Input!$A:$A,$B516,[1]Fixture_Capacity_Input!$B:$B,$C516)&gt;0,SUMIFS([1]Fixture_Capacity_Input!$C:$C,[1]Fixture_Capacity_Input!$A:$A,$B516,[1]Fixture_Capacity_Input!$B:$B,$C516),[1]weekly_demand!G517))</f>
        <v/>
      </c>
      <c r="E516" s="62" t="str">
        <f>IF($A516="","",[1]weekly_demand!I517)</f>
        <v/>
      </c>
      <c r="F516" s="61" t="str">
        <f>IF($A516="","",IF($A516&lt;&gt;$A515,IFERROR(INDEX([1]FG_Begin_Inventory!$B:$B,MATCH($A516,[1]FG_Begin_Inventory!$A:$A,0)),0),J515))</f>
        <v/>
      </c>
      <c r="G516" s="61" t="str">
        <f t="shared" si="59"/>
        <v/>
      </c>
      <c r="H516" s="62" t="str">
        <f t="shared" si="60"/>
        <v/>
      </c>
      <c r="I516" s="62" t="str">
        <f t="shared" si="61"/>
        <v/>
      </c>
      <c r="J516" s="62" t="str">
        <f t="shared" si="62"/>
        <v/>
      </c>
      <c r="K516" s="62" t="str">
        <f t="shared" si="63"/>
        <v/>
      </c>
      <c r="L516" s="62" t="str">
        <f t="shared" si="64"/>
        <v/>
      </c>
      <c r="M516" s="63" t="str">
        <f t="shared" si="65"/>
        <v/>
      </c>
      <c r="N516" s="64"/>
    </row>
    <row r="517" spans="1:14" x14ac:dyDescent="0.3">
      <c r="A517" s="58" t="str">
        <f>IF([1]weekly_demand!A518="","",[1]weekly_demand!A518)</f>
        <v/>
      </c>
      <c r="B517" s="59" t="str">
        <f>IF($A517="","",[1]weekly_demand!F518)</f>
        <v/>
      </c>
      <c r="C517" s="60" t="str">
        <f>IF($A517="","",[1]weekly_demand!H518)</f>
        <v/>
      </c>
      <c r="D517" s="61" t="str">
        <f>IF($A517="","",IF(SUMIFS([1]Fixture_Capacity_Input!$C:$C,[1]Fixture_Capacity_Input!$A:$A,$B517,[1]Fixture_Capacity_Input!$B:$B,$C517)&gt;0,SUMIFS([1]Fixture_Capacity_Input!$C:$C,[1]Fixture_Capacity_Input!$A:$A,$B517,[1]Fixture_Capacity_Input!$B:$B,$C517),[1]weekly_demand!G518))</f>
        <v/>
      </c>
      <c r="E517" s="62" t="str">
        <f>IF($A517="","",[1]weekly_demand!I518)</f>
        <v/>
      </c>
      <c r="F517" s="61" t="str">
        <f>IF($A517="","",IF($A517&lt;&gt;$A516,IFERROR(INDEX([1]FG_Begin_Inventory!$B:$B,MATCH($A517,[1]FG_Begin_Inventory!$A:$A,0)),0),J516))</f>
        <v/>
      </c>
      <c r="G517" s="61" t="str">
        <f t="shared" si="59"/>
        <v/>
      </c>
      <c r="H517" s="62" t="str">
        <f t="shared" si="60"/>
        <v/>
      </c>
      <c r="I517" s="62" t="str">
        <f t="shared" si="61"/>
        <v/>
      </c>
      <c r="J517" s="62" t="str">
        <f t="shared" si="62"/>
        <v/>
      </c>
      <c r="K517" s="62" t="str">
        <f t="shared" si="63"/>
        <v/>
      </c>
      <c r="L517" s="62" t="str">
        <f t="shared" si="64"/>
        <v/>
      </c>
      <c r="M517" s="63" t="str">
        <f t="shared" si="65"/>
        <v/>
      </c>
      <c r="N517" s="64"/>
    </row>
    <row r="518" spans="1:14" x14ac:dyDescent="0.3">
      <c r="A518" s="58" t="str">
        <f>IF([1]weekly_demand!A519="","",[1]weekly_demand!A519)</f>
        <v/>
      </c>
      <c r="B518" s="59" t="str">
        <f>IF($A518="","",[1]weekly_demand!F519)</f>
        <v/>
      </c>
      <c r="C518" s="60" t="str">
        <f>IF($A518="","",[1]weekly_demand!H519)</f>
        <v/>
      </c>
      <c r="D518" s="61" t="str">
        <f>IF($A518="","",IF(SUMIFS([1]Fixture_Capacity_Input!$C:$C,[1]Fixture_Capacity_Input!$A:$A,$B518,[1]Fixture_Capacity_Input!$B:$B,$C518)&gt;0,SUMIFS([1]Fixture_Capacity_Input!$C:$C,[1]Fixture_Capacity_Input!$A:$A,$B518,[1]Fixture_Capacity_Input!$B:$B,$C518),[1]weekly_demand!G519))</f>
        <v/>
      </c>
      <c r="E518" s="62" t="str">
        <f>IF($A518="","",[1]weekly_demand!I519)</f>
        <v/>
      </c>
      <c r="F518" s="61" t="str">
        <f>IF($A518="","",IF($A518&lt;&gt;$A517,IFERROR(INDEX([1]FG_Begin_Inventory!$B:$B,MATCH($A518,[1]FG_Begin_Inventory!$A:$A,0)),0),J517))</f>
        <v/>
      </c>
      <c r="G518" s="61" t="str">
        <f t="shared" si="59"/>
        <v/>
      </c>
      <c r="H518" s="62" t="str">
        <f t="shared" si="60"/>
        <v/>
      </c>
      <c r="I518" s="62" t="str">
        <f t="shared" si="61"/>
        <v/>
      </c>
      <c r="J518" s="62" t="str">
        <f t="shared" si="62"/>
        <v/>
      </c>
      <c r="K518" s="62" t="str">
        <f t="shared" si="63"/>
        <v/>
      </c>
      <c r="L518" s="62" t="str">
        <f t="shared" si="64"/>
        <v/>
      </c>
      <c r="M518" s="63" t="str">
        <f t="shared" si="65"/>
        <v/>
      </c>
      <c r="N518" s="64"/>
    </row>
    <row r="519" spans="1:14" x14ac:dyDescent="0.3">
      <c r="A519" s="58" t="str">
        <f>IF([1]weekly_demand!A520="","",[1]weekly_demand!A520)</f>
        <v/>
      </c>
      <c r="B519" s="59" t="str">
        <f>IF($A519="","",[1]weekly_demand!F520)</f>
        <v/>
      </c>
      <c r="C519" s="60" t="str">
        <f>IF($A519="","",[1]weekly_demand!H520)</f>
        <v/>
      </c>
      <c r="D519" s="61" t="str">
        <f>IF($A519="","",IF(SUMIFS([1]Fixture_Capacity_Input!$C:$C,[1]Fixture_Capacity_Input!$A:$A,$B519,[1]Fixture_Capacity_Input!$B:$B,$C519)&gt;0,SUMIFS([1]Fixture_Capacity_Input!$C:$C,[1]Fixture_Capacity_Input!$A:$A,$B519,[1]Fixture_Capacity_Input!$B:$B,$C519),[1]weekly_demand!G520))</f>
        <v/>
      </c>
      <c r="E519" s="62" t="str">
        <f>IF($A519="","",[1]weekly_demand!I520)</f>
        <v/>
      </c>
      <c r="F519" s="61" t="str">
        <f>IF($A519="","",IF($A519&lt;&gt;$A518,IFERROR(INDEX([1]FG_Begin_Inventory!$B:$B,MATCH($A519,[1]FG_Begin_Inventory!$A:$A,0)),0),J518))</f>
        <v/>
      </c>
      <c r="G519" s="61" t="str">
        <f t="shared" si="59"/>
        <v/>
      </c>
      <c r="H519" s="62" t="str">
        <f t="shared" si="60"/>
        <v/>
      </c>
      <c r="I519" s="62" t="str">
        <f t="shared" si="61"/>
        <v/>
      </c>
      <c r="J519" s="62" t="str">
        <f t="shared" si="62"/>
        <v/>
      </c>
      <c r="K519" s="62" t="str">
        <f t="shared" si="63"/>
        <v/>
      </c>
      <c r="L519" s="62" t="str">
        <f t="shared" si="64"/>
        <v/>
      </c>
      <c r="M519" s="63" t="str">
        <f t="shared" si="65"/>
        <v/>
      </c>
      <c r="N519" s="64"/>
    </row>
    <row r="520" spans="1:14" x14ac:dyDescent="0.3">
      <c r="A520" s="58" t="str">
        <f>IF([1]weekly_demand!A521="","",[1]weekly_demand!A521)</f>
        <v/>
      </c>
      <c r="B520" s="59" t="str">
        <f>IF($A520="","",[1]weekly_demand!F521)</f>
        <v/>
      </c>
      <c r="C520" s="60" t="str">
        <f>IF($A520="","",[1]weekly_demand!H521)</f>
        <v/>
      </c>
      <c r="D520" s="61" t="str">
        <f>IF($A520="","",IF(SUMIFS([1]Fixture_Capacity_Input!$C:$C,[1]Fixture_Capacity_Input!$A:$A,$B520,[1]Fixture_Capacity_Input!$B:$B,$C520)&gt;0,SUMIFS([1]Fixture_Capacity_Input!$C:$C,[1]Fixture_Capacity_Input!$A:$A,$B520,[1]Fixture_Capacity_Input!$B:$B,$C520),[1]weekly_demand!G521))</f>
        <v/>
      </c>
      <c r="E520" s="62" t="str">
        <f>IF($A520="","",[1]weekly_demand!I521)</f>
        <v/>
      </c>
      <c r="F520" s="61" t="str">
        <f>IF($A520="","",IF($A520&lt;&gt;$A519,IFERROR(INDEX([1]FG_Begin_Inventory!$B:$B,MATCH($A520,[1]FG_Begin_Inventory!$A:$A,0)),0),J519))</f>
        <v/>
      </c>
      <c r="G520" s="61" t="str">
        <f t="shared" si="59"/>
        <v/>
      </c>
      <c r="H520" s="62" t="str">
        <f t="shared" si="60"/>
        <v/>
      </c>
      <c r="I520" s="62" t="str">
        <f t="shared" si="61"/>
        <v/>
      </c>
      <c r="J520" s="62" t="str">
        <f t="shared" si="62"/>
        <v/>
      </c>
      <c r="K520" s="62" t="str">
        <f t="shared" si="63"/>
        <v/>
      </c>
      <c r="L520" s="62" t="str">
        <f t="shared" si="64"/>
        <v/>
      </c>
      <c r="M520" s="63" t="str">
        <f t="shared" si="65"/>
        <v/>
      </c>
      <c r="N520" s="64"/>
    </row>
    <row r="521" spans="1:14" x14ac:dyDescent="0.3">
      <c r="A521" s="58" t="str">
        <f>IF([1]weekly_demand!A522="","",[1]weekly_demand!A522)</f>
        <v/>
      </c>
      <c r="B521" s="59" t="str">
        <f>IF($A521="","",[1]weekly_demand!F522)</f>
        <v/>
      </c>
      <c r="C521" s="60" t="str">
        <f>IF($A521="","",[1]weekly_demand!H522)</f>
        <v/>
      </c>
      <c r="D521" s="61" t="str">
        <f>IF($A521="","",IF(SUMIFS([1]Fixture_Capacity_Input!$C:$C,[1]Fixture_Capacity_Input!$A:$A,$B521,[1]Fixture_Capacity_Input!$B:$B,$C521)&gt;0,SUMIFS([1]Fixture_Capacity_Input!$C:$C,[1]Fixture_Capacity_Input!$A:$A,$B521,[1]Fixture_Capacity_Input!$B:$B,$C521),[1]weekly_demand!G522))</f>
        <v/>
      </c>
      <c r="E521" s="62" t="str">
        <f>IF($A521="","",[1]weekly_demand!I522)</f>
        <v/>
      </c>
      <c r="F521" s="61" t="str">
        <f>IF($A521="","",IF($A521&lt;&gt;$A520,IFERROR(INDEX([1]FG_Begin_Inventory!$B:$B,MATCH($A521,[1]FG_Begin_Inventory!$A:$A,0)),0),J520))</f>
        <v/>
      </c>
      <c r="G521" s="61" t="str">
        <f t="shared" si="59"/>
        <v/>
      </c>
      <c r="H521" s="62" t="str">
        <f t="shared" si="60"/>
        <v/>
      </c>
      <c r="I521" s="62" t="str">
        <f t="shared" si="61"/>
        <v/>
      </c>
      <c r="J521" s="62" t="str">
        <f t="shared" si="62"/>
        <v/>
      </c>
      <c r="K521" s="62" t="str">
        <f t="shared" si="63"/>
        <v/>
      </c>
      <c r="L521" s="62" t="str">
        <f t="shared" si="64"/>
        <v/>
      </c>
      <c r="M521" s="63" t="str">
        <f t="shared" si="65"/>
        <v/>
      </c>
      <c r="N521" s="64"/>
    </row>
    <row r="522" spans="1:14" x14ac:dyDescent="0.3">
      <c r="A522" s="58" t="str">
        <f>IF([1]weekly_demand!A523="","",[1]weekly_demand!A523)</f>
        <v/>
      </c>
      <c r="B522" s="59" t="str">
        <f>IF($A522="","",[1]weekly_demand!F523)</f>
        <v/>
      </c>
      <c r="C522" s="60" t="str">
        <f>IF($A522="","",[1]weekly_demand!H523)</f>
        <v/>
      </c>
      <c r="D522" s="61" t="str">
        <f>IF($A522="","",IF(SUMIFS([1]Fixture_Capacity_Input!$C:$C,[1]Fixture_Capacity_Input!$A:$A,$B522,[1]Fixture_Capacity_Input!$B:$B,$C522)&gt;0,SUMIFS([1]Fixture_Capacity_Input!$C:$C,[1]Fixture_Capacity_Input!$A:$A,$B522,[1]Fixture_Capacity_Input!$B:$B,$C522),[1]weekly_demand!G523))</f>
        <v/>
      </c>
      <c r="E522" s="62" t="str">
        <f>IF($A522="","",[1]weekly_demand!I523)</f>
        <v/>
      </c>
      <c r="F522" s="61" t="str">
        <f>IF($A522="","",IF($A522&lt;&gt;$A521,IFERROR(INDEX([1]FG_Begin_Inventory!$B:$B,MATCH($A522,[1]FG_Begin_Inventory!$A:$A,0)),0),J521))</f>
        <v/>
      </c>
      <c r="G522" s="61" t="str">
        <f t="shared" si="59"/>
        <v/>
      </c>
      <c r="H522" s="62" t="str">
        <f t="shared" si="60"/>
        <v/>
      </c>
      <c r="I522" s="62" t="str">
        <f t="shared" si="61"/>
        <v/>
      </c>
      <c r="J522" s="62" t="str">
        <f t="shared" si="62"/>
        <v/>
      </c>
      <c r="K522" s="62" t="str">
        <f t="shared" si="63"/>
        <v/>
      </c>
      <c r="L522" s="62" t="str">
        <f t="shared" si="64"/>
        <v/>
      </c>
      <c r="M522" s="63" t="str">
        <f t="shared" si="65"/>
        <v/>
      </c>
      <c r="N522" s="64"/>
    </row>
    <row r="523" spans="1:14" x14ac:dyDescent="0.3">
      <c r="A523" s="58" t="str">
        <f>IF([1]weekly_demand!A524="","",[1]weekly_demand!A524)</f>
        <v/>
      </c>
      <c r="B523" s="59" t="str">
        <f>IF($A523="","",[1]weekly_demand!F524)</f>
        <v/>
      </c>
      <c r="C523" s="60" t="str">
        <f>IF($A523="","",[1]weekly_demand!H524)</f>
        <v/>
      </c>
      <c r="D523" s="61" t="str">
        <f>IF($A523="","",IF(SUMIFS([1]Fixture_Capacity_Input!$C:$C,[1]Fixture_Capacity_Input!$A:$A,$B523,[1]Fixture_Capacity_Input!$B:$B,$C523)&gt;0,SUMIFS([1]Fixture_Capacity_Input!$C:$C,[1]Fixture_Capacity_Input!$A:$A,$B523,[1]Fixture_Capacity_Input!$B:$B,$C523),[1]weekly_demand!G524))</f>
        <v/>
      </c>
      <c r="E523" s="62" t="str">
        <f>IF($A523="","",[1]weekly_demand!I524)</f>
        <v/>
      </c>
      <c r="F523" s="61" t="str">
        <f>IF($A523="","",IF($A523&lt;&gt;$A522,IFERROR(INDEX([1]FG_Begin_Inventory!$B:$B,MATCH($A523,[1]FG_Begin_Inventory!$A:$A,0)),0),J522))</f>
        <v/>
      </c>
      <c r="G523" s="61" t="str">
        <f t="shared" si="59"/>
        <v/>
      </c>
      <c r="H523" s="62" t="str">
        <f t="shared" si="60"/>
        <v/>
      </c>
      <c r="I523" s="62" t="str">
        <f t="shared" si="61"/>
        <v/>
      </c>
      <c r="J523" s="62" t="str">
        <f t="shared" si="62"/>
        <v/>
      </c>
      <c r="K523" s="62" t="str">
        <f t="shared" si="63"/>
        <v/>
      </c>
      <c r="L523" s="62" t="str">
        <f t="shared" si="64"/>
        <v/>
      </c>
      <c r="M523" s="63" t="str">
        <f t="shared" si="65"/>
        <v/>
      </c>
      <c r="N523" s="64"/>
    </row>
    <row r="524" spans="1:14" x14ac:dyDescent="0.3">
      <c r="A524" s="58" t="str">
        <f>IF([1]weekly_demand!A525="","",[1]weekly_demand!A525)</f>
        <v/>
      </c>
      <c r="B524" s="59" t="str">
        <f>IF($A524="","",[1]weekly_demand!F525)</f>
        <v/>
      </c>
      <c r="C524" s="60" t="str">
        <f>IF($A524="","",[1]weekly_demand!H525)</f>
        <v/>
      </c>
      <c r="D524" s="61" t="str">
        <f>IF($A524="","",IF(SUMIFS([1]Fixture_Capacity_Input!$C:$C,[1]Fixture_Capacity_Input!$A:$A,$B524,[1]Fixture_Capacity_Input!$B:$B,$C524)&gt;0,SUMIFS([1]Fixture_Capacity_Input!$C:$C,[1]Fixture_Capacity_Input!$A:$A,$B524,[1]Fixture_Capacity_Input!$B:$B,$C524),[1]weekly_demand!G525))</f>
        <v/>
      </c>
      <c r="E524" s="62" t="str">
        <f>IF($A524="","",[1]weekly_demand!I525)</f>
        <v/>
      </c>
      <c r="F524" s="61" t="str">
        <f>IF($A524="","",IF($A524&lt;&gt;$A523,IFERROR(INDEX([1]FG_Begin_Inventory!$B:$B,MATCH($A524,[1]FG_Begin_Inventory!$A:$A,0)),0),J523))</f>
        <v/>
      </c>
      <c r="G524" s="61" t="str">
        <f t="shared" si="59"/>
        <v/>
      </c>
      <c r="H524" s="62" t="str">
        <f t="shared" si="60"/>
        <v/>
      </c>
      <c r="I524" s="62" t="str">
        <f t="shared" si="61"/>
        <v/>
      </c>
      <c r="J524" s="62" t="str">
        <f t="shared" si="62"/>
        <v/>
      </c>
      <c r="K524" s="62" t="str">
        <f t="shared" si="63"/>
        <v/>
      </c>
      <c r="L524" s="62" t="str">
        <f t="shared" si="64"/>
        <v/>
      </c>
      <c r="M524" s="63" t="str">
        <f t="shared" si="65"/>
        <v/>
      </c>
      <c r="N524" s="64"/>
    </row>
    <row r="525" spans="1:14" x14ac:dyDescent="0.3">
      <c r="A525" s="58" t="str">
        <f>IF([1]weekly_demand!A526="","",[1]weekly_demand!A526)</f>
        <v/>
      </c>
      <c r="B525" s="59" t="str">
        <f>IF($A525="","",[1]weekly_demand!F526)</f>
        <v/>
      </c>
      <c r="C525" s="60" t="str">
        <f>IF($A525="","",[1]weekly_demand!H526)</f>
        <v/>
      </c>
      <c r="D525" s="61" t="str">
        <f>IF($A525="","",IF(SUMIFS([1]Fixture_Capacity_Input!$C:$C,[1]Fixture_Capacity_Input!$A:$A,$B525,[1]Fixture_Capacity_Input!$B:$B,$C525)&gt;0,SUMIFS([1]Fixture_Capacity_Input!$C:$C,[1]Fixture_Capacity_Input!$A:$A,$B525,[1]Fixture_Capacity_Input!$B:$B,$C525),[1]weekly_demand!G526))</f>
        <v/>
      </c>
      <c r="E525" s="62" t="str">
        <f>IF($A525="","",[1]weekly_demand!I526)</f>
        <v/>
      </c>
      <c r="F525" s="61" t="str">
        <f>IF($A525="","",IF($A525&lt;&gt;$A524,IFERROR(INDEX([1]FG_Begin_Inventory!$B:$B,MATCH($A525,[1]FG_Begin_Inventory!$A:$A,0)),0),J524))</f>
        <v/>
      </c>
      <c r="G525" s="61" t="str">
        <f t="shared" si="59"/>
        <v/>
      </c>
      <c r="H525" s="62" t="str">
        <f t="shared" si="60"/>
        <v/>
      </c>
      <c r="I525" s="62" t="str">
        <f t="shared" si="61"/>
        <v/>
      </c>
      <c r="J525" s="62" t="str">
        <f t="shared" si="62"/>
        <v/>
      </c>
      <c r="K525" s="62" t="str">
        <f t="shared" si="63"/>
        <v/>
      </c>
      <c r="L525" s="62" t="str">
        <f t="shared" si="64"/>
        <v/>
      </c>
      <c r="M525" s="63" t="str">
        <f t="shared" si="65"/>
        <v/>
      </c>
      <c r="N525" s="64"/>
    </row>
    <row r="526" spans="1:14" x14ac:dyDescent="0.3">
      <c r="A526" s="58" t="str">
        <f>IF([1]weekly_demand!A527="","",[1]weekly_demand!A527)</f>
        <v/>
      </c>
      <c r="B526" s="59" t="str">
        <f>IF($A526="","",[1]weekly_demand!F527)</f>
        <v/>
      </c>
      <c r="C526" s="60" t="str">
        <f>IF($A526="","",[1]weekly_demand!H527)</f>
        <v/>
      </c>
      <c r="D526" s="61" t="str">
        <f>IF($A526="","",IF(SUMIFS([1]Fixture_Capacity_Input!$C:$C,[1]Fixture_Capacity_Input!$A:$A,$B526,[1]Fixture_Capacity_Input!$B:$B,$C526)&gt;0,SUMIFS([1]Fixture_Capacity_Input!$C:$C,[1]Fixture_Capacity_Input!$A:$A,$B526,[1]Fixture_Capacity_Input!$B:$B,$C526),[1]weekly_demand!G527))</f>
        <v/>
      </c>
      <c r="E526" s="62" t="str">
        <f>IF($A526="","",[1]weekly_demand!I527)</f>
        <v/>
      </c>
      <c r="F526" s="61" t="str">
        <f>IF($A526="","",IF($A526&lt;&gt;$A525,IFERROR(INDEX([1]FG_Begin_Inventory!$B:$B,MATCH($A526,[1]FG_Begin_Inventory!$A:$A,0)),0),J525))</f>
        <v/>
      </c>
      <c r="G526" s="61" t="str">
        <f t="shared" si="59"/>
        <v/>
      </c>
      <c r="H526" s="62" t="str">
        <f t="shared" si="60"/>
        <v/>
      </c>
      <c r="I526" s="62" t="str">
        <f t="shared" si="61"/>
        <v/>
      </c>
      <c r="J526" s="62" t="str">
        <f t="shared" si="62"/>
        <v/>
      </c>
      <c r="K526" s="62" t="str">
        <f t="shared" si="63"/>
        <v/>
      </c>
      <c r="L526" s="62" t="str">
        <f t="shared" si="64"/>
        <v/>
      </c>
      <c r="M526" s="63" t="str">
        <f t="shared" si="65"/>
        <v/>
      </c>
      <c r="N526" s="64"/>
    </row>
    <row r="527" spans="1:14" x14ac:dyDescent="0.3">
      <c r="A527" s="58" t="str">
        <f>IF([1]weekly_demand!A528="","",[1]weekly_demand!A528)</f>
        <v/>
      </c>
      <c r="B527" s="59" t="str">
        <f>IF($A527="","",[1]weekly_demand!F528)</f>
        <v/>
      </c>
      <c r="C527" s="60" t="str">
        <f>IF($A527="","",[1]weekly_demand!H528)</f>
        <v/>
      </c>
      <c r="D527" s="61" t="str">
        <f>IF($A527="","",IF(SUMIFS([1]Fixture_Capacity_Input!$C:$C,[1]Fixture_Capacity_Input!$A:$A,$B527,[1]Fixture_Capacity_Input!$B:$B,$C527)&gt;0,SUMIFS([1]Fixture_Capacity_Input!$C:$C,[1]Fixture_Capacity_Input!$A:$A,$B527,[1]Fixture_Capacity_Input!$B:$B,$C527),[1]weekly_demand!G528))</f>
        <v/>
      </c>
      <c r="E527" s="62" t="str">
        <f>IF($A527="","",[1]weekly_demand!I528)</f>
        <v/>
      </c>
      <c r="F527" s="61" t="str">
        <f>IF($A527="","",IF($A527&lt;&gt;$A526,IFERROR(INDEX([1]FG_Begin_Inventory!$B:$B,MATCH($A527,[1]FG_Begin_Inventory!$A:$A,0)),0),J526))</f>
        <v/>
      </c>
      <c r="G527" s="61" t="str">
        <f t="shared" si="59"/>
        <v/>
      </c>
      <c r="H527" s="62" t="str">
        <f t="shared" si="60"/>
        <v/>
      </c>
      <c r="I527" s="62" t="str">
        <f t="shared" si="61"/>
        <v/>
      </c>
      <c r="J527" s="62" t="str">
        <f t="shared" si="62"/>
        <v/>
      </c>
      <c r="K527" s="62" t="str">
        <f t="shared" si="63"/>
        <v/>
      </c>
      <c r="L527" s="62" t="str">
        <f t="shared" si="64"/>
        <v/>
      </c>
      <c r="M527" s="63" t="str">
        <f t="shared" si="65"/>
        <v/>
      </c>
      <c r="N527" s="64"/>
    </row>
    <row r="528" spans="1:14" x14ac:dyDescent="0.3">
      <c r="A528" s="58" t="str">
        <f>IF([1]weekly_demand!A529="","",[1]weekly_demand!A529)</f>
        <v/>
      </c>
      <c r="B528" s="59" t="str">
        <f>IF($A528="","",[1]weekly_demand!F529)</f>
        <v/>
      </c>
      <c r="C528" s="60" t="str">
        <f>IF($A528="","",[1]weekly_demand!H529)</f>
        <v/>
      </c>
      <c r="D528" s="61" t="str">
        <f>IF($A528="","",IF(SUMIFS([1]Fixture_Capacity_Input!$C:$C,[1]Fixture_Capacity_Input!$A:$A,$B528,[1]Fixture_Capacity_Input!$B:$B,$C528)&gt;0,SUMIFS([1]Fixture_Capacity_Input!$C:$C,[1]Fixture_Capacity_Input!$A:$A,$B528,[1]Fixture_Capacity_Input!$B:$B,$C528),[1]weekly_demand!G529))</f>
        <v/>
      </c>
      <c r="E528" s="62" t="str">
        <f>IF($A528="","",[1]weekly_demand!I529)</f>
        <v/>
      </c>
      <c r="F528" s="61" t="str">
        <f>IF($A528="","",IF($A528&lt;&gt;$A527,IFERROR(INDEX([1]FG_Begin_Inventory!$B:$B,MATCH($A528,[1]FG_Begin_Inventory!$A:$A,0)),0),J527))</f>
        <v/>
      </c>
      <c r="G528" s="61" t="str">
        <f t="shared" si="59"/>
        <v/>
      </c>
      <c r="H528" s="62" t="str">
        <f t="shared" si="60"/>
        <v/>
      </c>
      <c r="I528" s="62" t="str">
        <f t="shared" si="61"/>
        <v/>
      </c>
      <c r="J528" s="62" t="str">
        <f t="shared" si="62"/>
        <v/>
      </c>
      <c r="K528" s="62" t="str">
        <f t="shared" si="63"/>
        <v/>
      </c>
      <c r="L528" s="62" t="str">
        <f t="shared" si="64"/>
        <v/>
      </c>
      <c r="M528" s="63" t="str">
        <f t="shared" si="65"/>
        <v/>
      </c>
      <c r="N528" s="64"/>
    </row>
    <row r="529" spans="1:14" x14ac:dyDescent="0.3">
      <c r="A529" s="58" t="str">
        <f>IF([1]weekly_demand!A530="","",[1]weekly_demand!A530)</f>
        <v/>
      </c>
      <c r="B529" s="59" t="str">
        <f>IF($A529="","",[1]weekly_demand!F530)</f>
        <v/>
      </c>
      <c r="C529" s="60" t="str">
        <f>IF($A529="","",[1]weekly_demand!H530)</f>
        <v/>
      </c>
      <c r="D529" s="61" t="str">
        <f>IF($A529="","",IF(SUMIFS([1]Fixture_Capacity_Input!$C:$C,[1]Fixture_Capacity_Input!$A:$A,$B529,[1]Fixture_Capacity_Input!$B:$B,$C529)&gt;0,SUMIFS([1]Fixture_Capacity_Input!$C:$C,[1]Fixture_Capacity_Input!$A:$A,$B529,[1]Fixture_Capacity_Input!$B:$B,$C529),[1]weekly_demand!G530))</f>
        <v/>
      </c>
      <c r="E529" s="62" t="str">
        <f>IF($A529="","",[1]weekly_demand!I530)</f>
        <v/>
      </c>
      <c r="F529" s="61" t="str">
        <f>IF($A529="","",IF($A529&lt;&gt;$A528,IFERROR(INDEX([1]FG_Begin_Inventory!$B:$B,MATCH($A529,[1]FG_Begin_Inventory!$A:$A,0)),0),J528))</f>
        <v/>
      </c>
      <c r="G529" s="61" t="str">
        <f t="shared" si="59"/>
        <v/>
      </c>
      <c r="H529" s="62" t="str">
        <f t="shared" si="60"/>
        <v/>
      </c>
      <c r="I529" s="62" t="str">
        <f t="shared" si="61"/>
        <v/>
      </c>
      <c r="J529" s="62" t="str">
        <f t="shared" si="62"/>
        <v/>
      </c>
      <c r="K529" s="62" t="str">
        <f t="shared" si="63"/>
        <v/>
      </c>
      <c r="L529" s="62" t="str">
        <f t="shared" si="64"/>
        <v/>
      </c>
      <c r="M529" s="63" t="str">
        <f t="shared" si="65"/>
        <v/>
      </c>
      <c r="N529" s="64"/>
    </row>
    <row r="530" spans="1:14" x14ac:dyDescent="0.3">
      <c r="A530" s="58" t="str">
        <f>IF([1]weekly_demand!A531="","",[1]weekly_demand!A531)</f>
        <v/>
      </c>
      <c r="B530" s="59" t="str">
        <f>IF($A530="","",[1]weekly_demand!F531)</f>
        <v/>
      </c>
      <c r="C530" s="60" t="str">
        <f>IF($A530="","",[1]weekly_demand!H531)</f>
        <v/>
      </c>
      <c r="D530" s="61" t="str">
        <f>IF($A530="","",IF(SUMIFS([1]Fixture_Capacity_Input!$C:$C,[1]Fixture_Capacity_Input!$A:$A,$B530,[1]Fixture_Capacity_Input!$B:$B,$C530)&gt;0,SUMIFS([1]Fixture_Capacity_Input!$C:$C,[1]Fixture_Capacity_Input!$A:$A,$B530,[1]Fixture_Capacity_Input!$B:$B,$C530),[1]weekly_demand!G531))</f>
        <v/>
      </c>
      <c r="E530" s="62" t="str">
        <f>IF($A530="","",[1]weekly_demand!I531)</f>
        <v/>
      </c>
      <c r="F530" s="61" t="str">
        <f>IF($A530="","",IF($A530&lt;&gt;$A529,IFERROR(INDEX([1]FG_Begin_Inventory!$B:$B,MATCH($A530,[1]FG_Begin_Inventory!$A:$A,0)),0),J529))</f>
        <v/>
      </c>
      <c r="G530" s="61" t="str">
        <f t="shared" si="59"/>
        <v/>
      </c>
      <c r="H530" s="62" t="str">
        <f t="shared" si="60"/>
        <v/>
      </c>
      <c r="I530" s="62" t="str">
        <f t="shared" si="61"/>
        <v/>
      </c>
      <c r="J530" s="62" t="str">
        <f t="shared" si="62"/>
        <v/>
      </c>
      <c r="K530" s="62" t="str">
        <f t="shared" si="63"/>
        <v/>
      </c>
      <c r="L530" s="62" t="str">
        <f t="shared" si="64"/>
        <v/>
      </c>
      <c r="M530" s="63" t="str">
        <f t="shared" si="65"/>
        <v/>
      </c>
      <c r="N530" s="64"/>
    </row>
    <row r="531" spans="1:14" x14ac:dyDescent="0.3">
      <c r="A531" s="58" t="str">
        <f>IF([1]weekly_demand!A532="","",[1]weekly_demand!A532)</f>
        <v/>
      </c>
      <c r="B531" s="59" t="str">
        <f>IF($A531="","",[1]weekly_demand!F532)</f>
        <v/>
      </c>
      <c r="C531" s="60" t="str">
        <f>IF($A531="","",[1]weekly_demand!H532)</f>
        <v/>
      </c>
      <c r="D531" s="61" t="str">
        <f>IF($A531="","",IF(SUMIFS([1]Fixture_Capacity_Input!$C:$C,[1]Fixture_Capacity_Input!$A:$A,$B531,[1]Fixture_Capacity_Input!$B:$B,$C531)&gt;0,SUMIFS([1]Fixture_Capacity_Input!$C:$C,[1]Fixture_Capacity_Input!$A:$A,$B531,[1]Fixture_Capacity_Input!$B:$B,$C531),[1]weekly_demand!G532))</f>
        <v/>
      </c>
      <c r="E531" s="62" t="str">
        <f>IF($A531="","",[1]weekly_demand!I532)</f>
        <v/>
      </c>
      <c r="F531" s="61" t="str">
        <f>IF($A531="","",IF($A531&lt;&gt;$A530,IFERROR(INDEX([1]FG_Begin_Inventory!$B:$B,MATCH($A531,[1]FG_Begin_Inventory!$A:$A,0)),0),J530))</f>
        <v/>
      </c>
      <c r="G531" s="61" t="str">
        <f t="shared" si="59"/>
        <v/>
      </c>
      <c r="H531" s="62" t="str">
        <f t="shared" si="60"/>
        <v/>
      </c>
      <c r="I531" s="62" t="str">
        <f t="shared" si="61"/>
        <v/>
      </c>
      <c r="J531" s="62" t="str">
        <f t="shared" si="62"/>
        <v/>
      </c>
      <c r="K531" s="62" t="str">
        <f t="shared" si="63"/>
        <v/>
      </c>
      <c r="L531" s="62" t="str">
        <f t="shared" si="64"/>
        <v/>
      </c>
      <c r="M531" s="63" t="str">
        <f t="shared" si="65"/>
        <v/>
      </c>
      <c r="N531" s="64"/>
    </row>
    <row r="532" spans="1:14" x14ac:dyDescent="0.3">
      <c r="A532" s="58" t="str">
        <f>IF([1]weekly_demand!A533="","",[1]weekly_demand!A533)</f>
        <v/>
      </c>
      <c r="B532" s="59" t="str">
        <f>IF($A532="","",[1]weekly_demand!F533)</f>
        <v/>
      </c>
      <c r="C532" s="60" t="str">
        <f>IF($A532="","",[1]weekly_demand!H533)</f>
        <v/>
      </c>
      <c r="D532" s="61" t="str">
        <f>IF($A532="","",IF(SUMIFS([1]Fixture_Capacity_Input!$C:$C,[1]Fixture_Capacity_Input!$A:$A,$B532,[1]Fixture_Capacity_Input!$B:$B,$C532)&gt;0,SUMIFS([1]Fixture_Capacity_Input!$C:$C,[1]Fixture_Capacity_Input!$A:$A,$B532,[1]Fixture_Capacity_Input!$B:$B,$C532),[1]weekly_demand!G533))</f>
        <v/>
      </c>
      <c r="E532" s="62" t="str">
        <f>IF($A532="","",[1]weekly_demand!I533)</f>
        <v/>
      </c>
      <c r="F532" s="61" t="str">
        <f>IF($A532="","",IF($A532&lt;&gt;$A531,IFERROR(INDEX([1]FG_Begin_Inventory!$B:$B,MATCH($A532,[1]FG_Begin_Inventory!$A:$A,0)),0),J531))</f>
        <v/>
      </c>
      <c r="G532" s="61" t="str">
        <f t="shared" si="59"/>
        <v/>
      </c>
      <c r="H532" s="62" t="str">
        <f t="shared" si="60"/>
        <v/>
      </c>
      <c r="I532" s="62" t="str">
        <f t="shared" si="61"/>
        <v/>
      </c>
      <c r="J532" s="62" t="str">
        <f t="shared" si="62"/>
        <v/>
      </c>
      <c r="K532" s="62" t="str">
        <f t="shared" si="63"/>
        <v/>
      </c>
      <c r="L532" s="62" t="str">
        <f t="shared" si="64"/>
        <v/>
      </c>
      <c r="M532" s="63" t="str">
        <f t="shared" si="65"/>
        <v/>
      </c>
      <c r="N532" s="64"/>
    </row>
    <row r="533" spans="1:14" x14ac:dyDescent="0.3">
      <c r="A533" s="58" t="str">
        <f>IF([1]weekly_demand!A534="","",[1]weekly_demand!A534)</f>
        <v/>
      </c>
      <c r="B533" s="59" t="str">
        <f>IF($A533="","",[1]weekly_demand!F534)</f>
        <v/>
      </c>
      <c r="C533" s="60" t="str">
        <f>IF($A533="","",[1]weekly_demand!H534)</f>
        <v/>
      </c>
      <c r="D533" s="61" t="str">
        <f>IF($A533="","",IF(SUMIFS([1]Fixture_Capacity_Input!$C:$C,[1]Fixture_Capacity_Input!$A:$A,$B533,[1]Fixture_Capacity_Input!$B:$B,$C533)&gt;0,SUMIFS([1]Fixture_Capacity_Input!$C:$C,[1]Fixture_Capacity_Input!$A:$A,$B533,[1]Fixture_Capacity_Input!$B:$B,$C533),[1]weekly_demand!G534))</f>
        <v/>
      </c>
      <c r="E533" s="62" t="str">
        <f>IF($A533="","",[1]weekly_demand!I534)</f>
        <v/>
      </c>
      <c r="F533" s="61" t="str">
        <f>IF($A533="","",IF($A533&lt;&gt;$A532,IFERROR(INDEX([1]FG_Begin_Inventory!$B:$B,MATCH($A533,[1]FG_Begin_Inventory!$A:$A,0)),0),J532))</f>
        <v/>
      </c>
      <c r="G533" s="61" t="str">
        <f t="shared" si="59"/>
        <v/>
      </c>
      <c r="H533" s="62" t="str">
        <f t="shared" si="60"/>
        <v/>
      </c>
      <c r="I533" s="62" t="str">
        <f t="shared" si="61"/>
        <v/>
      </c>
      <c r="J533" s="62" t="str">
        <f t="shared" si="62"/>
        <v/>
      </c>
      <c r="K533" s="62" t="str">
        <f t="shared" si="63"/>
        <v/>
      </c>
      <c r="L533" s="62" t="str">
        <f t="shared" si="64"/>
        <v/>
      </c>
      <c r="M533" s="63" t="str">
        <f t="shared" si="65"/>
        <v/>
      </c>
      <c r="N533" s="64"/>
    </row>
    <row r="534" spans="1:14" x14ac:dyDescent="0.3">
      <c r="A534" s="58" t="str">
        <f>IF([1]weekly_demand!A535="","",[1]weekly_demand!A535)</f>
        <v/>
      </c>
      <c r="B534" s="59" t="str">
        <f>IF($A534="","",[1]weekly_demand!F535)</f>
        <v/>
      </c>
      <c r="C534" s="60" t="str">
        <f>IF($A534="","",[1]weekly_demand!H535)</f>
        <v/>
      </c>
      <c r="D534" s="61" t="str">
        <f>IF($A534="","",IF(SUMIFS([1]Fixture_Capacity_Input!$C:$C,[1]Fixture_Capacity_Input!$A:$A,$B534,[1]Fixture_Capacity_Input!$B:$B,$C534)&gt;0,SUMIFS([1]Fixture_Capacity_Input!$C:$C,[1]Fixture_Capacity_Input!$A:$A,$B534,[1]Fixture_Capacity_Input!$B:$B,$C534),[1]weekly_demand!G535))</f>
        <v/>
      </c>
      <c r="E534" s="62" t="str">
        <f>IF($A534="","",[1]weekly_demand!I535)</f>
        <v/>
      </c>
      <c r="F534" s="61" t="str">
        <f>IF($A534="","",IF($A534&lt;&gt;$A533,IFERROR(INDEX([1]FG_Begin_Inventory!$B:$B,MATCH($A534,[1]FG_Begin_Inventory!$A:$A,0)),0),J533))</f>
        <v/>
      </c>
      <c r="G534" s="61" t="str">
        <f t="shared" si="59"/>
        <v/>
      </c>
      <c r="H534" s="62" t="str">
        <f t="shared" si="60"/>
        <v/>
      </c>
      <c r="I534" s="62" t="str">
        <f t="shared" si="61"/>
        <v/>
      </c>
      <c r="J534" s="62" t="str">
        <f t="shared" si="62"/>
        <v/>
      </c>
      <c r="K534" s="62" t="str">
        <f t="shared" si="63"/>
        <v/>
      </c>
      <c r="L534" s="62" t="str">
        <f t="shared" si="64"/>
        <v/>
      </c>
      <c r="M534" s="63" t="str">
        <f t="shared" si="65"/>
        <v/>
      </c>
      <c r="N534" s="64"/>
    </row>
    <row r="535" spans="1:14" x14ac:dyDescent="0.3">
      <c r="A535" s="58" t="str">
        <f>IF([1]weekly_demand!A536="","",[1]weekly_demand!A536)</f>
        <v/>
      </c>
      <c r="B535" s="59" t="str">
        <f>IF($A535="","",[1]weekly_demand!F536)</f>
        <v/>
      </c>
      <c r="C535" s="60" t="str">
        <f>IF($A535="","",[1]weekly_demand!H536)</f>
        <v/>
      </c>
      <c r="D535" s="61" t="str">
        <f>IF($A535="","",IF(SUMIFS([1]Fixture_Capacity_Input!$C:$C,[1]Fixture_Capacity_Input!$A:$A,$B535,[1]Fixture_Capacity_Input!$B:$B,$C535)&gt;0,SUMIFS([1]Fixture_Capacity_Input!$C:$C,[1]Fixture_Capacity_Input!$A:$A,$B535,[1]Fixture_Capacity_Input!$B:$B,$C535),[1]weekly_demand!G536))</f>
        <v/>
      </c>
      <c r="E535" s="62" t="str">
        <f>IF($A535="","",[1]weekly_demand!I536)</f>
        <v/>
      </c>
      <c r="F535" s="61" t="str">
        <f>IF($A535="","",IF($A535&lt;&gt;$A534,IFERROR(INDEX([1]FG_Begin_Inventory!$B:$B,MATCH($A535,[1]FG_Begin_Inventory!$A:$A,0)),0),J534))</f>
        <v/>
      </c>
      <c r="G535" s="61" t="str">
        <f t="shared" si="59"/>
        <v/>
      </c>
      <c r="H535" s="62" t="str">
        <f t="shared" si="60"/>
        <v/>
      </c>
      <c r="I535" s="62" t="str">
        <f t="shared" si="61"/>
        <v/>
      </c>
      <c r="J535" s="62" t="str">
        <f t="shared" si="62"/>
        <v/>
      </c>
      <c r="K535" s="62" t="str">
        <f t="shared" si="63"/>
        <v/>
      </c>
      <c r="L535" s="62" t="str">
        <f t="shared" si="64"/>
        <v/>
      </c>
      <c r="M535" s="63" t="str">
        <f t="shared" si="65"/>
        <v/>
      </c>
      <c r="N535" s="64"/>
    </row>
    <row r="536" spans="1:14" x14ac:dyDescent="0.3">
      <c r="A536" s="58" t="str">
        <f>IF([1]weekly_demand!A537="","",[1]weekly_demand!A537)</f>
        <v/>
      </c>
      <c r="B536" s="59" t="str">
        <f>IF($A536="","",[1]weekly_demand!F537)</f>
        <v/>
      </c>
      <c r="C536" s="60" t="str">
        <f>IF($A536="","",[1]weekly_demand!H537)</f>
        <v/>
      </c>
      <c r="D536" s="61" t="str">
        <f>IF($A536="","",IF(SUMIFS([1]Fixture_Capacity_Input!$C:$C,[1]Fixture_Capacity_Input!$A:$A,$B536,[1]Fixture_Capacity_Input!$B:$B,$C536)&gt;0,SUMIFS([1]Fixture_Capacity_Input!$C:$C,[1]Fixture_Capacity_Input!$A:$A,$B536,[1]Fixture_Capacity_Input!$B:$B,$C536),[1]weekly_demand!G537))</f>
        <v/>
      </c>
      <c r="E536" s="62" t="str">
        <f>IF($A536="","",[1]weekly_demand!I537)</f>
        <v/>
      </c>
      <c r="F536" s="61" t="str">
        <f>IF($A536="","",IF($A536&lt;&gt;$A535,IFERROR(INDEX([1]FG_Begin_Inventory!$B:$B,MATCH($A536,[1]FG_Begin_Inventory!$A:$A,0)),0),J535))</f>
        <v/>
      </c>
      <c r="G536" s="61" t="str">
        <f t="shared" si="59"/>
        <v/>
      </c>
      <c r="H536" s="62" t="str">
        <f t="shared" si="60"/>
        <v/>
      </c>
      <c r="I536" s="62" t="str">
        <f t="shared" si="61"/>
        <v/>
      </c>
      <c r="J536" s="62" t="str">
        <f t="shared" si="62"/>
        <v/>
      </c>
      <c r="K536" s="62" t="str">
        <f t="shared" si="63"/>
        <v/>
      </c>
      <c r="L536" s="62" t="str">
        <f t="shared" si="64"/>
        <v/>
      </c>
      <c r="M536" s="63" t="str">
        <f t="shared" si="65"/>
        <v/>
      </c>
      <c r="N536" s="64"/>
    </row>
    <row r="537" spans="1:14" x14ac:dyDescent="0.3">
      <c r="A537" s="58" t="str">
        <f>IF([1]weekly_demand!A538="","",[1]weekly_demand!A538)</f>
        <v/>
      </c>
      <c r="B537" s="59" t="str">
        <f>IF($A537="","",[1]weekly_demand!F538)</f>
        <v/>
      </c>
      <c r="C537" s="60" t="str">
        <f>IF($A537="","",[1]weekly_demand!H538)</f>
        <v/>
      </c>
      <c r="D537" s="61" t="str">
        <f>IF($A537="","",IF(SUMIFS([1]Fixture_Capacity_Input!$C:$C,[1]Fixture_Capacity_Input!$A:$A,$B537,[1]Fixture_Capacity_Input!$B:$B,$C537)&gt;0,SUMIFS([1]Fixture_Capacity_Input!$C:$C,[1]Fixture_Capacity_Input!$A:$A,$B537,[1]Fixture_Capacity_Input!$B:$B,$C537),[1]weekly_demand!G538))</f>
        <v/>
      </c>
      <c r="E537" s="62" t="str">
        <f>IF($A537="","",[1]weekly_demand!I538)</f>
        <v/>
      </c>
      <c r="F537" s="61" t="str">
        <f>IF($A537="","",IF($A537&lt;&gt;$A536,IFERROR(INDEX([1]FG_Begin_Inventory!$B:$B,MATCH($A537,[1]FG_Begin_Inventory!$A:$A,0)),0),J536))</f>
        <v/>
      </c>
      <c r="G537" s="61" t="str">
        <f t="shared" si="59"/>
        <v/>
      </c>
      <c r="H537" s="62" t="str">
        <f t="shared" si="60"/>
        <v/>
      </c>
      <c r="I537" s="62" t="str">
        <f t="shared" si="61"/>
        <v/>
      </c>
      <c r="J537" s="62" t="str">
        <f t="shared" si="62"/>
        <v/>
      </c>
      <c r="K537" s="62" t="str">
        <f t="shared" si="63"/>
        <v/>
      </c>
      <c r="L537" s="62" t="str">
        <f t="shared" si="64"/>
        <v/>
      </c>
      <c r="M537" s="63" t="str">
        <f t="shared" si="65"/>
        <v/>
      </c>
      <c r="N537" s="64"/>
    </row>
    <row r="538" spans="1:14" x14ac:dyDescent="0.3">
      <c r="A538" s="58" t="str">
        <f>IF([1]weekly_demand!A539="","",[1]weekly_demand!A539)</f>
        <v/>
      </c>
      <c r="B538" s="59" t="str">
        <f>IF($A538="","",[1]weekly_demand!F539)</f>
        <v/>
      </c>
      <c r="C538" s="60" t="str">
        <f>IF($A538="","",[1]weekly_demand!H539)</f>
        <v/>
      </c>
      <c r="D538" s="61" t="str">
        <f>IF($A538="","",IF(SUMIFS([1]Fixture_Capacity_Input!$C:$C,[1]Fixture_Capacity_Input!$A:$A,$B538,[1]Fixture_Capacity_Input!$B:$B,$C538)&gt;0,SUMIFS([1]Fixture_Capacity_Input!$C:$C,[1]Fixture_Capacity_Input!$A:$A,$B538,[1]Fixture_Capacity_Input!$B:$B,$C538),[1]weekly_demand!G539))</f>
        <v/>
      </c>
      <c r="E538" s="62" t="str">
        <f>IF($A538="","",[1]weekly_demand!I539)</f>
        <v/>
      </c>
      <c r="F538" s="61" t="str">
        <f>IF($A538="","",IF($A538&lt;&gt;$A537,IFERROR(INDEX([1]FG_Begin_Inventory!$B:$B,MATCH($A538,[1]FG_Begin_Inventory!$A:$A,0)),0),J537))</f>
        <v/>
      </c>
      <c r="G538" s="61" t="str">
        <f t="shared" si="59"/>
        <v/>
      </c>
      <c r="H538" s="62" t="str">
        <f t="shared" si="60"/>
        <v/>
      </c>
      <c r="I538" s="62" t="str">
        <f t="shared" si="61"/>
        <v/>
      </c>
      <c r="J538" s="62" t="str">
        <f t="shared" si="62"/>
        <v/>
      </c>
      <c r="K538" s="62" t="str">
        <f t="shared" si="63"/>
        <v/>
      </c>
      <c r="L538" s="62" t="str">
        <f t="shared" si="64"/>
        <v/>
      </c>
      <c r="M538" s="63" t="str">
        <f t="shared" si="65"/>
        <v/>
      </c>
      <c r="N538" s="64"/>
    </row>
    <row r="539" spans="1:14" x14ac:dyDescent="0.3">
      <c r="A539" s="58" t="str">
        <f>IF([1]weekly_demand!A540="","",[1]weekly_demand!A540)</f>
        <v/>
      </c>
      <c r="B539" s="59" t="str">
        <f>IF($A539="","",[1]weekly_demand!F540)</f>
        <v/>
      </c>
      <c r="C539" s="60" t="str">
        <f>IF($A539="","",[1]weekly_demand!H540)</f>
        <v/>
      </c>
      <c r="D539" s="61" t="str">
        <f>IF($A539="","",IF(SUMIFS([1]Fixture_Capacity_Input!$C:$C,[1]Fixture_Capacity_Input!$A:$A,$B539,[1]Fixture_Capacity_Input!$B:$B,$C539)&gt;0,SUMIFS([1]Fixture_Capacity_Input!$C:$C,[1]Fixture_Capacity_Input!$A:$A,$B539,[1]Fixture_Capacity_Input!$B:$B,$C539),[1]weekly_demand!G540))</f>
        <v/>
      </c>
      <c r="E539" s="62" t="str">
        <f>IF($A539="","",[1]weekly_demand!I540)</f>
        <v/>
      </c>
      <c r="F539" s="61" t="str">
        <f>IF($A539="","",IF($A539&lt;&gt;$A538,IFERROR(INDEX([1]FG_Begin_Inventory!$B:$B,MATCH($A539,[1]FG_Begin_Inventory!$A:$A,0)),0),J538))</f>
        <v/>
      </c>
      <c r="G539" s="61" t="str">
        <f t="shared" si="59"/>
        <v/>
      </c>
      <c r="H539" s="62" t="str">
        <f t="shared" si="60"/>
        <v/>
      </c>
      <c r="I539" s="62" t="str">
        <f t="shared" si="61"/>
        <v/>
      </c>
      <c r="J539" s="62" t="str">
        <f t="shared" si="62"/>
        <v/>
      </c>
      <c r="K539" s="62" t="str">
        <f t="shared" si="63"/>
        <v/>
      </c>
      <c r="L539" s="62" t="str">
        <f t="shared" si="64"/>
        <v/>
      </c>
      <c r="M539" s="63" t="str">
        <f t="shared" si="65"/>
        <v/>
      </c>
      <c r="N539" s="64"/>
    </row>
    <row r="540" spans="1:14" x14ac:dyDescent="0.3">
      <c r="A540" s="58" t="str">
        <f>IF([1]weekly_demand!A541="","",[1]weekly_demand!A541)</f>
        <v/>
      </c>
      <c r="B540" s="59" t="str">
        <f>IF($A540="","",[1]weekly_demand!F541)</f>
        <v/>
      </c>
      <c r="C540" s="60" t="str">
        <f>IF($A540="","",[1]weekly_demand!H541)</f>
        <v/>
      </c>
      <c r="D540" s="61" t="str">
        <f>IF($A540="","",IF(SUMIFS([1]Fixture_Capacity_Input!$C:$C,[1]Fixture_Capacity_Input!$A:$A,$B540,[1]Fixture_Capacity_Input!$B:$B,$C540)&gt;0,SUMIFS([1]Fixture_Capacity_Input!$C:$C,[1]Fixture_Capacity_Input!$A:$A,$B540,[1]Fixture_Capacity_Input!$B:$B,$C540),[1]weekly_demand!G541))</f>
        <v/>
      </c>
      <c r="E540" s="62" t="str">
        <f>IF($A540="","",[1]weekly_demand!I541)</f>
        <v/>
      </c>
      <c r="F540" s="61" t="str">
        <f>IF($A540="","",IF($A540&lt;&gt;$A539,IFERROR(INDEX([1]FG_Begin_Inventory!$B:$B,MATCH($A540,[1]FG_Begin_Inventory!$A:$A,0)),0),J539))</f>
        <v/>
      </c>
      <c r="G540" s="61" t="str">
        <f t="shared" si="59"/>
        <v/>
      </c>
      <c r="H540" s="62" t="str">
        <f t="shared" si="60"/>
        <v/>
      </c>
      <c r="I540" s="62" t="str">
        <f t="shared" si="61"/>
        <v/>
      </c>
      <c r="J540" s="62" t="str">
        <f t="shared" si="62"/>
        <v/>
      </c>
      <c r="K540" s="62" t="str">
        <f t="shared" si="63"/>
        <v/>
      </c>
      <c r="L540" s="62" t="str">
        <f t="shared" si="64"/>
        <v/>
      </c>
      <c r="M540" s="63" t="str">
        <f t="shared" si="65"/>
        <v/>
      </c>
      <c r="N540" s="64"/>
    </row>
    <row r="541" spans="1:14" x14ac:dyDescent="0.3">
      <c r="A541" s="58" t="str">
        <f>IF([1]weekly_demand!A542="","",[1]weekly_demand!A542)</f>
        <v/>
      </c>
      <c r="B541" s="59" t="str">
        <f>IF($A541="","",[1]weekly_demand!F542)</f>
        <v/>
      </c>
      <c r="C541" s="60" t="str">
        <f>IF($A541="","",[1]weekly_demand!H542)</f>
        <v/>
      </c>
      <c r="D541" s="61" t="str">
        <f>IF($A541="","",IF(SUMIFS([1]Fixture_Capacity_Input!$C:$C,[1]Fixture_Capacity_Input!$A:$A,$B541,[1]Fixture_Capacity_Input!$B:$B,$C541)&gt;0,SUMIFS([1]Fixture_Capacity_Input!$C:$C,[1]Fixture_Capacity_Input!$A:$A,$B541,[1]Fixture_Capacity_Input!$B:$B,$C541),[1]weekly_demand!G542))</f>
        <v/>
      </c>
      <c r="E541" s="62" t="str">
        <f>IF($A541="","",[1]weekly_demand!I542)</f>
        <v/>
      </c>
      <c r="F541" s="61" t="str">
        <f>IF($A541="","",IF($A541&lt;&gt;$A540,IFERROR(INDEX([1]FG_Begin_Inventory!$B:$B,MATCH($A541,[1]FG_Begin_Inventory!$A:$A,0)),0),J540))</f>
        <v/>
      </c>
      <c r="G541" s="61" t="str">
        <f t="shared" si="59"/>
        <v/>
      </c>
      <c r="H541" s="62" t="str">
        <f t="shared" si="60"/>
        <v/>
      </c>
      <c r="I541" s="62" t="str">
        <f t="shared" si="61"/>
        <v/>
      </c>
      <c r="J541" s="62" t="str">
        <f t="shared" si="62"/>
        <v/>
      </c>
      <c r="K541" s="62" t="str">
        <f t="shared" si="63"/>
        <v/>
      </c>
      <c r="L541" s="62" t="str">
        <f t="shared" si="64"/>
        <v/>
      </c>
      <c r="M541" s="63" t="str">
        <f t="shared" si="65"/>
        <v/>
      </c>
      <c r="N541" s="64"/>
    </row>
    <row r="542" spans="1:14" x14ac:dyDescent="0.3">
      <c r="A542" s="58" t="str">
        <f>IF([1]weekly_demand!A543="","",[1]weekly_demand!A543)</f>
        <v/>
      </c>
      <c r="B542" s="59" t="str">
        <f>IF($A542="","",[1]weekly_demand!F543)</f>
        <v/>
      </c>
      <c r="C542" s="60" t="str">
        <f>IF($A542="","",[1]weekly_demand!H543)</f>
        <v/>
      </c>
      <c r="D542" s="61" t="str">
        <f>IF($A542="","",IF(SUMIFS([1]Fixture_Capacity_Input!$C:$C,[1]Fixture_Capacity_Input!$A:$A,$B542,[1]Fixture_Capacity_Input!$B:$B,$C542)&gt;0,SUMIFS([1]Fixture_Capacity_Input!$C:$C,[1]Fixture_Capacity_Input!$A:$A,$B542,[1]Fixture_Capacity_Input!$B:$B,$C542),[1]weekly_demand!G543))</f>
        <v/>
      </c>
      <c r="E542" s="62" t="str">
        <f>IF($A542="","",[1]weekly_demand!I543)</f>
        <v/>
      </c>
      <c r="F542" s="61" t="str">
        <f>IF($A542="","",IF($A542&lt;&gt;$A541,IFERROR(INDEX([1]FG_Begin_Inventory!$B:$B,MATCH($A542,[1]FG_Begin_Inventory!$A:$A,0)),0),J541))</f>
        <v/>
      </c>
      <c r="G542" s="61" t="str">
        <f t="shared" si="59"/>
        <v/>
      </c>
      <c r="H542" s="62" t="str">
        <f t="shared" si="60"/>
        <v/>
      </c>
      <c r="I542" s="62" t="str">
        <f t="shared" si="61"/>
        <v/>
      </c>
      <c r="J542" s="62" t="str">
        <f t="shared" si="62"/>
        <v/>
      </c>
      <c r="K542" s="62" t="str">
        <f t="shared" si="63"/>
        <v/>
      </c>
      <c r="L542" s="62" t="str">
        <f t="shared" si="64"/>
        <v/>
      </c>
      <c r="M542" s="63" t="str">
        <f t="shared" si="65"/>
        <v/>
      </c>
      <c r="N542" s="64"/>
    </row>
    <row r="543" spans="1:14" x14ac:dyDescent="0.3">
      <c r="A543" s="58" t="str">
        <f>IF([1]weekly_demand!A544="","",[1]weekly_demand!A544)</f>
        <v/>
      </c>
      <c r="B543" s="59" t="str">
        <f>IF($A543="","",[1]weekly_demand!F544)</f>
        <v/>
      </c>
      <c r="C543" s="60" t="str">
        <f>IF($A543="","",[1]weekly_demand!H544)</f>
        <v/>
      </c>
      <c r="D543" s="61" t="str">
        <f>IF($A543="","",IF(SUMIFS([1]Fixture_Capacity_Input!$C:$C,[1]Fixture_Capacity_Input!$A:$A,$B543,[1]Fixture_Capacity_Input!$B:$B,$C543)&gt;0,SUMIFS([1]Fixture_Capacity_Input!$C:$C,[1]Fixture_Capacity_Input!$A:$A,$B543,[1]Fixture_Capacity_Input!$B:$B,$C543),[1]weekly_demand!G544))</f>
        <v/>
      </c>
      <c r="E543" s="62" t="str">
        <f>IF($A543="","",[1]weekly_demand!I544)</f>
        <v/>
      </c>
      <c r="F543" s="61" t="str">
        <f>IF($A543="","",IF($A543&lt;&gt;$A542,IFERROR(INDEX([1]FG_Begin_Inventory!$B:$B,MATCH($A543,[1]FG_Begin_Inventory!$A:$A,0)),0),J542))</f>
        <v/>
      </c>
      <c r="G543" s="61" t="str">
        <f t="shared" si="59"/>
        <v/>
      </c>
      <c r="H543" s="62" t="str">
        <f t="shared" si="60"/>
        <v/>
      </c>
      <c r="I543" s="62" t="str">
        <f t="shared" si="61"/>
        <v/>
      </c>
      <c r="J543" s="62" t="str">
        <f t="shared" si="62"/>
        <v/>
      </c>
      <c r="K543" s="62" t="str">
        <f t="shared" si="63"/>
        <v/>
      </c>
      <c r="L543" s="62" t="str">
        <f t="shared" si="64"/>
        <v/>
      </c>
      <c r="M543" s="63" t="str">
        <f t="shared" si="65"/>
        <v/>
      </c>
      <c r="N543" s="64"/>
    </row>
    <row r="544" spans="1:14" x14ac:dyDescent="0.3">
      <c r="A544" s="58" t="str">
        <f>IF([1]weekly_demand!A545="","",[1]weekly_demand!A545)</f>
        <v/>
      </c>
      <c r="B544" s="59" t="str">
        <f>IF($A544="","",[1]weekly_demand!F545)</f>
        <v/>
      </c>
      <c r="C544" s="60" t="str">
        <f>IF($A544="","",[1]weekly_demand!H545)</f>
        <v/>
      </c>
      <c r="D544" s="61" t="str">
        <f>IF($A544="","",IF(SUMIFS([1]Fixture_Capacity_Input!$C:$C,[1]Fixture_Capacity_Input!$A:$A,$B544,[1]Fixture_Capacity_Input!$B:$B,$C544)&gt;0,SUMIFS([1]Fixture_Capacity_Input!$C:$C,[1]Fixture_Capacity_Input!$A:$A,$B544,[1]Fixture_Capacity_Input!$B:$B,$C544),[1]weekly_demand!G545))</f>
        <v/>
      </c>
      <c r="E544" s="62" t="str">
        <f>IF($A544="","",[1]weekly_demand!I545)</f>
        <v/>
      </c>
      <c r="F544" s="61" t="str">
        <f>IF($A544="","",IF($A544&lt;&gt;$A543,IFERROR(INDEX([1]FG_Begin_Inventory!$B:$B,MATCH($A544,[1]FG_Begin_Inventory!$A:$A,0)),0),J543))</f>
        <v/>
      </c>
      <c r="G544" s="61" t="str">
        <f t="shared" si="59"/>
        <v/>
      </c>
      <c r="H544" s="62" t="str">
        <f t="shared" si="60"/>
        <v/>
      </c>
      <c r="I544" s="62" t="str">
        <f t="shared" si="61"/>
        <v/>
      </c>
      <c r="J544" s="62" t="str">
        <f t="shared" si="62"/>
        <v/>
      </c>
      <c r="K544" s="62" t="str">
        <f t="shared" si="63"/>
        <v/>
      </c>
      <c r="L544" s="62" t="str">
        <f t="shared" si="64"/>
        <v/>
      </c>
      <c r="M544" s="63" t="str">
        <f t="shared" si="65"/>
        <v/>
      </c>
      <c r="N544" s="64"/>
    </row>
    <row r="545" spans="1:14" x14ac:dyDescent="0.3">
      <c r="A545" s="58" t="str">
        <f>IF([1]weekly_demand!A546="","",[1]weekly_demand!A546)</f>
        <v/>
      </c>
      <c r="B545" s="59" t="str">
        <f>IF($A545="","",[1]weekly_demand!F546)</f>
        <v/>
      </c>
      <c r="C545" s="60" t="str">
        <f>IF($A545="","",[1]weekly_demand!H546)</f>
        <v/>
      </c>
      <c r="D545" s="61" t="str">
        <f>IF($A545="","",IF(SUMIFS([1]Fixture_Capacity_Input!$C:$C,[1]Fixture_Capacity_Input!$A:$A,$B545,[1]Fixture_Capacity_Input!$B:$B,$C545)&gt;0,SUMIFS([1]Fixture_Capacity_Input!$C:$C,[1]Fixture_Capacity_Input!$A:$A,$B545,[1]Fixture_Capacity_Input!$B:$B,$C545),[1]weekly_demand!G546))</f>
        <v/>
      </c>
      <c r="E545" s="62" t="str">
        <f>IF($A545="","",[1]weekly_demand!I546)</f>
        <v/>
      </c>
      <c r="F545" s="61" t="str">
        <f>IF($A545="","",IF($A545&lt;&gt;$A544,IFERROR(INDEX([1]FG_Begin_Inventory!$B:$B,MATCH($A545,[1]FG_Begin_Inventory!$A:$A,0)),0),J544))</f>
        <v/>
      </c>
      <c r="G545" s="61" t="str">
        <f t="shared" si="59"/>
        <v/>
      </c>
      <c r="H545" s="62" t="str">
        <f t="shared" si="60"/>
        <v/>
      </c>
      <c r="I545" s="62" t="str">
        <f t="shared" si="61"/>
        <v/>
      </c>
      <c r="J545" s="62" t="str">
        <f t="shared" si="62"/>
        <v/>
      </c>
      <c r="K545" s="62" t="str">
        <f t="shared" si="63"/>
        <v/>
      </c>
      <c r="L545" s="62" t="str">
        <f t="shared" si="64"/>
        <v/>
      </c>
      <c r="M545" s="63" t="str">
        <f t="shared" si="65"/>
        <v/>
      </c>
      <c r="N545" s="64"/>
    </row>
    <row r="546" spans="1:14" x14ac:dyDescent="0.3">
      <c r="A546" s="58" t="str">
        <f>IF([1]weekly_demand!A547="","",[1]weekly_demand!A547)</f>
        <v/>
      </c>
      <c r="B546" s="59" t="str">
        <f>IF($A546="","",[1]weekly_demand!F547)</f>
        <v/>
      </c>
      <c r="C546" s="60" t="str">
        <f>IF($A546="","",[1]weekly_demand!H547)</f>
        <v/>
      </c>
      <c r="D546" s="61" t="str">
        <f>IF($A546="","",IF(SUMIFS([1]Fixture_Capacity_Input!$C:$C,[1]Fixture_Capacity_Input!$A:$A,$B546,[1]Fixture_Capacity_Input!$B:$B,$C546)&gt;0,SUMIFS([1]Fixture_Capacity_Input!$C:$C,[1]Fixture_Capacity_Input!$A:$A,$B546,[1]Fixture_Capacity_Input!$B:$B,$C546),[1]weekly_demand!G547))</f>
        <v/>
      </c>
      <c r="E546" s="62" t="str">
        <f>IF($A546="","",[1]weekly_demand!I547)</f>
        <v/>
      </c>
      <c r="F546" s="61" t="str">
        <f>IF($A546="","",IF($A546&lt;&gt;$A545,IFERROR(INDEX([1]FG_Begin_Inventory!$B:$B,MATCH($A546,[1]FG_Begin_Inventory!$A:$A,0)),0),J545))</f>
        <v/>
      </c>
      <c r="G546" s="61" t="str">
        <f t="shared" si="59"/>
        <v/>
      </c>
      <c r="H546" s="62" t="str">
        <f t="shared" si="60"/>
        <v/>
      </c>
      <c r="I546" s="62" t="str">
        <f t="shared" si="61"/>
        <v/>
      </c>
      <c r="J546" s="62" t="str">
        <f t="shared" si="62"/>
        <v/>
      </c>
      <c r="K546" s="62" t="str">
        <f t="shared" si="63"/>
        <v/>
      </c>
      <c r="L546" s="62" t="str">
        <f t="shared" si="64"/>
        <v/>
      </c>
      <c r="M546" s="63" t="str">
        <f t="shared" si="65"/>
        <v/>
      </c>
      <c r="N546" s="64"/>
    </row>
    <row r="547" spans="1:14" x14ac:dyDescent="0.3">
      <c r="A547" s="58" t="str">
        <f>IF([1]weekly_demand!A548="","",[1]weekly_demand!A548)</f>
        <v/>
      </c>
      <c r="B547" s="59" t="str">
        <f>IF($A547="","",[1]weekly_demand!F548)</f>
        <v/>
      </c>
      <c r="C547" s="60" t="str">
        <f>IF($A547="","",[1]weekly_demand!H548)</f>
        <v/>
      </c>
      <c r="D547" s="61" t="str">
        <f>IF($A547="","",IF(SUMIFS([1]Fixture_Capacity_Input!$C:$C,[1]Fixture_Capacity_Input!$A:$A,$B547,[1]Fixture_Capacity_Input!$B:$B,$C547)&gt;0,SUMIFS([1]Fixture_Capacity_Input!$C:$C,[1]Fixture_Capacity_Input!$A:$A,$B547,[1]Fixture_Capacity_Input!$B:$B,$C547),[1]weekly_demand!G548))</f>
        <v/>
      </c>
      <c r="E547" s="62" t="str">
        <f>IF($A547="","",[1]weekly_demand!I548)</f>
        <v/>
      </c>
      <c r="F547" s="61" t="str">
        <f>IF($A547="","",IF($A547&lt;&gt;$A546,IFERROR(INDEX([1]FG_Begin_Inventory!$B:$B,MATCH($A547,[1]FG_Begin_Inventory!$A:$A,0)),0),J546))</f>
        <v/>
      </c>
      <c r="G547" s="61" t="str">
        <f t="shared" si="59"/>
        <v/>
      </c>
      <c r="H547" s="62" t="str">
        <f t="shared" si="60"/>
        <v/>
      </c>
      <c r="I547" s="62" t="str">
        <f t="shared" si="61"/>
        <v/>
      </c>
      <c r="J547" s="62" t="str">
        <f t="shared" si="62"/>
        <v/>
      </c>
      <c r="K547" s="62" t="str">
        <f t="shared" si="63"/>
        <v/>
      </c>
      <c r="L547" s="62" t="str">
        <f t="shared" si="64"/>
        <v/>
      </c>
      <c r="M547" s="63" t="str">
        <f t="shared" si="65"/>
        <v/>
      </c>
      <c r="N547" s="64"/>
    </row>
    <row r="548" spans="1:14" x14ac:dyDescent="0.3">
      <c r="A548" s="58" t="str">
        <f>IF([1]weekly_demand!A549="","",[1]weekly_demand!A549)</f>
        <v/>
      </c>
      <c r="B548" s="59" t="str">
        <f>IF($A548="","",[1]weekly_demand!F549)</f>
        <v/>
      </c>
      <c r="C548" s="60" t="str">
        <f>IF($A548="","",[1]weekly_demand!H549)</f>
        <v/>
      </c>
      <c r="D548" s="61" t="str">
        <f>IF($A548="","",IF(SUMIFS([1]Fixture_Capacity_Input!$C:$C,[1]Fixture_Capacity_Input!$A:$A,$B548,[1]Fixture_Capacity_Input!$B:$B,$C548)&gt;0,SUMIFS([1]Fixture_Capacity_Input!$C:$C,[1]Fixture_Capacity_Input!$A:$A,$B548,[1]Fixture_Capacity_Input!$B:$B,$C548),[1]weekly_demand!G549))</f>
        <v/>
      </c>
      <c r="E548" s="62" t="str">
        <f>IF($A548="","",[1]weekly_demand!I549)</f>
        <v/>
      </c>
      <c r="F548" s="61" t="str">
        <f>IF($A548="","",IF($A548&lt;&gt;$A547,IFERROR(INDEX([1]FG_Begin_Inventory!$B:$B,MATCH($A548,[1]FG_Begin_Inventory!$A:$A,0)),0),J547))</f>
        <v/>
      </c>
      <c r="G548" s="61" t="str">
        <f t="shared" si="59"/>
        <v/>
      </c>
      <c r="H548" s="62" t="str">
        <f t="shared" si="60"/>
        <v/>
      </c>
      <c r="I548" s="62" t="str">
        <f t="shared" si="61"/>
        <v/>
      </c>
      <c r="J548" s="62" t="str">
        <f t="shared" si="62"/>
        <v/>
      </c>
      <c r="K548" s="62" t="str">
        <f t="shared" si="63"/>
        <v/>
      </c>
      <c r="L548" s="62" t="str">
        <f t="shared" si="64"/>
        <v/>
      </c>
      <c r="M548" s="63" t="str">
        <f t="shared" si="65"/>
        <v/>
      </c>
      <c r="N548" s="64"/>
    </row>
    <row r="549" spans="1:14" x14ac:dyDescent="0.3">
      <c r="A549" s="58" t="str">
        <f>IF([1]weekly_demand!A550="","",[1]weekly_demand!A550)</f>
        <v/>
      </c>
      <c r="B549" s="59" t="str">
        <f>IF($A549="","",[1]weekly_demand!F550)</f>
        <v/>
      </c>
      <c r="C549" s="60" t="str">
        <f>IF($A549="","",[1]weekly_demand!H550)</f>
        <v/>
      </c>
      <c r="D549" s="61" t="str">
        <f>IF($A549="","",IF(SUMIFS([1]Fixture_Capacity_Input!$C:$C,[1]Fixture_Capacity_Input!$A:$A,$B549,[1]Fixture_Capacity_Input!$B:$B,$C549)&gt;0,SUMIFS([1]Fixture_Capacity_Input!$C:$C,[1]Fixture_Capacity_Input!$A:$A,$B549,[1]Fixture_Capacity_Input!$B:$B,$C549),[1]weekly_demand!G550))</f>
        <v/>
      </c>
      <c r="E549" s="62" t="str">
        <f>IF($A549="","",[1]weekly_demand!I550)</f>
        <v/>
      </c>
      <c r="F549" s="61" t="str">
        <f>IF($A549="","",IF($A549&lt;&gt;$A548,IFERROR(INDEX([1]FG_Begin_Inventory!$B:$B,MATCH($A549,[1]FG_Begin_Inventory!$A:$A,0)),0),J548))</f>
        <v/>
      </c>
      <c r="G549" s="61" t="str">
        <f t="shared" si="59"/>
        <v/>
      </c>
      <c r="H549" s="62" t="str">
        <f t="shared" si="60"/>
        <v/>
      </c>
      <c r="I549" s="62" t="str">
        <f t="shared" si="61"/>
        <v/>
      </c>
      <c r="J549" s="62" t="str">
        <f t="shared" si="62"/>
        <v/>
      </c>
      <c r="K549" s="62" t="str">
        <f t="shared" si="63"/>
        <v/>
      </c>
      <c r="L549" s="62" t="str">
        <f t="shared" si="64"/>
        <v/>
      </c>
      <c r="M549" s="63" t="str">
        <f t="shared" si="65"/>
        <v/>
      </c>
      <c r="N549" s="64"/>
    </row>
    <row r="550" spans="1:14" x14ac:dyDescent="0.3">
      <c r="A550" s="58" t="str">
        <f>IF([1]weekly_demand!A551="","",[1]weekly_demand!A551)</f>
        <v/>
      </c>
      <c r="B550" s="59" t="str">
        <f>IF($A550="","",[1]weekly_demand!F551)</f>
        <v/>
      </c>
      <c r="C550" s="60" t="str">
        <f>IF($A550="","",[1]weekly_demand!H551)</f>
        <v/>
      </c>
      <c r="D550" s="61" t="str">
        <f>IF($A550="","",IF(SUMIFS([1]Fixture_Capacity_Input!$C:$C,[1]Fixture_Capacity_Input!$A:$A,$B550,[1]Fixture_Capacity_Input!$B:$B,$C550)&gt;0,SUMIFS([1]Fixture_Capacity_Input!$C:$C,[1]Fixture_Capacity_Input!$A:$A,$B550,[1]Fixture_Capacity_Input!$B:$B,$C550),[1]weekly_demand!G551))</f>
        <v/>
      </c>
      <c r="E550" s="62" t="str">
        <f>IF($A550="","",[1]weekly_demand!I551)</f>
        <v/>
      </c>
      <c r="F550" s="61" t="str">
        <f>IF($A550="","",IF($A550&lt;&gt;$A549,IFERROR(INDEX([1]FG_Begin_Inventory!$B:$B,MATCH($A550,[1]FG_Begin_Inventory!$A:$A,0)),0),J549))</f>
        <v/>
      </c>
      <c r="G550" s="61" t="str">
        <f t="shared" si="59"/>
        <v/>
      </c>
      <c r="H550" s="62" t="str">
        <f t="shared" si="60"/>
        <v/>
      </c>
      <c r="I550" s="62" t="str">
        <f t="shared" si="61"/>
        <v/>
      </c>
      <c r="J550" s="62" t="str">
        <f t="shared" si="62"/>
        <v/>
      </c>
      <c r="K550" s="62" t="str">
        <f t="shared" si="63"/>
        <v/>
      </c>
      <c r="L550" s="62" t="str">
        <f t="shared" si="64"/>
        <v/>
      </c>
      <c r="M550" s="63" t="str">
        <f t="shared" si="65"/>
        <v/>
      </c>
      <c r="N550" s="64"/>
    </row>
    <row r="551" spans="1:14" x14ac:dyDescent="0.3">
      <c r="A551" s="58" t="str">
        <f>IF([1]weekly_demand!A552="","",[1]weekly_demand!A552)</f>
        <v/>
      </c>
      <c r="B551" s="59" t="str">
        <f>IF($A551="","",[1]weekly_demand!F552)</f>
        <v/>
      </c>
      <c r="C551" s="60" t="str">
        <f>IF($A551="","",[1]weekly_demand!H552)</f>
        <v/>
      </c>
      <c r="D551" s="61" t="str">
        <f>IF($A551="","",IF(SUMIFS([1]Fixture_Capacity_Input!$C:$C,[1]Fixture_Capacity_Input!$A:$A,$B551,[1]Fixture_Capacity_Input!$B:$B,$C551)&gt;0,SUMIFS([1]Fixture_Capacity_Input!$C:$C,[1]Fixture_Capacity_Input!$A:$A,$B551,[1]Fixture_Capacity_Input!$B:$B,$C551),[1]weekly_demand!G552))</f>
        <v/>
      </c>
      <c r="E551" s="62" t="str">
        <f>IF($A551="","",[1]weekly_demand!I552)</f>
        <v/>
      </c>
      <c r="F551" s="61" t="str">
        <f>IF($A551="","",IF($A551&lt;&gt;$A550,IFERROR(INDEX([1]FG_Begin_Inventory!$B:$B,MATCH($A551,[1]FG_Begin_Inventory!$A:$A,0)),0),J550))</f>
        <v/>
      </c>
      <c r="G551" s="61" t="str">
        <f t="shared" si="59"/>
        <v/>
      </c>
      <c r="H551" s="62" t="str">
        <f t="shared" si="60"/>
        <v/>
      </c>
      <c r="I551" s="62" t="str">
        <f t="shared" si="61"/>
        <v/>
      </c>
      <c r="J551" s="62" t="str">
        <f t="shared" si="62"/>
        <v/>
      </c>
      <c r="K551" s="62" t="str">
        <f t="shared" si="63"/>
        <v/>
      </c>
      <c r="L551" s="62" t="str">
        <f t="shared" si="64"/>
        <v/>
      </c>
      <c r="M551" s="63" t="str">
        <f t="shared" si="65"/>
        <v/>
      </c>
      <c r="N551" s="64"/>
    </row>
    <row r="552" spans="1:14" x14ac:dyDescent="0.3">
      <c r="A552" s="58" t="str">
        <f>IF([1]weekly_demand!A553="","",[1]weekly_demand!A553)</f>
        <v/>
      </c>
      <c r="B552" s="59" t="str">
        <f>IF($A552="","",[1]weekly_demand!F553)</f>
        <v/>
      </c>
      <c r="C552" s="60" t="str">
        <f>IF($A552="","",[1]weekly_demand!H553)</f>
        <v/>
      </c>
      <c r="D552" s="61" t="str">
        <f>IF($A552="","",IF(SUMIFS([1]Fixture_Capacity_Input!$C:$C,[1]Fixture_Capacity_Input!$A:$A,$B552,[1]Fixture_Capacity_Input!$B:$B,$C552)&gt;0,SUMIFS([1]Fixture_Capacity_Input!$C:$C,[1]Fixture_Capacity_Input!$A:$A,$B552,[1]Fixture_Capacity_Input!$B:$B,$C552),[1]weekly_demand!G553))</f>
        <v/>
      </c>
      <c r="E552" s="62" t="str">
        <f>IF($A552="","",[1]weekly_demand!I553)</f>
        <v/>
      </c>
      <c r="F552" s="61" t="str">
        <f>IF($A552="","",IF($A552&lt;&gt;$A551,IFERROR(INDEX([1]FG_Begin_Inventory!$B:$B,MATCH($A552,[1]FG_Begin_Inventory!$A:$A,0)),0),J551))</f>
        <v/>
      </c>
      <c r="G552" s="61" t="str">
        <f t="shared" si="59"/>
        <v/>
      </c>
      <c r="H552" s="62" t="str">
        <f t="shared" si="60"/>
        <v/>
      </c>
      <c r="I552" s="62" t="str">
        <f t="shared" si="61"/>
        <v/>
      </c>
      <c r="J552" s="62" t="str">
        <f t="shared" si="62"/>
        <v/>
      </c>
      <c r="K552" s="62" t="str">
        <f t="shared" si="63"/>
        <v/>
      </c>
      <c r="L552" s="62" t="str">
        <f t="shared" si="64"/>
        <v/>
      </c>
      <c r="M552" s="63" t="str">
        <f t="shared" si="65"/>
        <v/>
      </c>
      <c r="N552" s="64"/>
    </row>
    <row r="553" spans="1:14" x14ac:dyDescent="0.3">
      <c r="A553" s="58" t="str">
        <f>IF([1]weekly_demand!A554="","",[1]weekly_demand!A554)</f>
        <v/>
      </c>
      <c r="B553" s="59" t="str">
        <f>IF($A553="","",[1]weekly_demand!F554)</f>
        <v/>
      </c>
      <c r="C553" s="60" t="str">
        <f>IF($A553="","",[1]weekly_demand!H554)</f>
        <v/>
      </c>
      <c r="D553" s="61" t="str">
        <f>IF($A553="","",IF(SUMIFS([1]Fixture_Capacity_Input!$C:$C,[1]Fixture_Capacity_Input!$A:$A,$B553,[1]Fixture_Capacity_Input!$B:$B,$C553)&gt;0,SUMIFS([1]Fixture_Capacity_Input!$C:$C,[1]Fixture_Capacity_Input!$A:$A,$B553,[1]Fixture_Capacity_Input!$B:$B,$C553),[1]weekly_demand!G554))</f>
        <v/>
      </c>
      <c r="E553" s="62" t="str">
        <f>IF($A553="","",[1]weekly_demand!I554)</f>
        <v/>
      </c>
      <c r="F553" s="61" t="str">
        <f>IF($A553="","",IF($A553&lt;&gt;$A552,IFERROR(INDEX([1]FG_Begin_Inventory!$B:$B,MATCH($A553,[1]FG_Begin_Inventory!$A:$A,0)),0),J552))</f>
        <v/>
      </c>
      <c r="G553" s="61" t="str">
        <f t="shared" si="59"/>
        <v/>
      </c>
      <c r="H553" s="62" t="str">
        <f t="shared" si="60"/>
        <v/>
      </c>
      <c r="I553" s="62" t="str">
        <f t="shared" si="61"/>
        <v/>
      </c>
      <c r="J553" s="62" t="str">
        <f t="shared" si="62"/>
        <v/>
      </c>
      <c r="K553" s="62" t="str">
        <f t="shared" si="63"/>
        <v/>
      </c>
      <c r="L553" s="62" t="str">
        <f t="shared" si="64"/>
        <v/>
      </c>
      <c r="M553" s="63" t="str">
        <f t="shared" si="65"/>
        <v/>
      </c>
      <c r="N553" s="64"/>
    </row>
    <row r="554" spans="1:14" x14ac:dyDescent="0.3">
      <c r="A554" s="58" t="str">
        <f>IF([1]weekly_demand!A555="","",[1]weekly_demand!A555)</f>
        <v/>
      </c>
      <c r="B554" s="59" t="str">
        <f>IF($A554="","",[1]weekly_demand!F555)</f>
        <v/>
      </c>
      <c r="C554" s="60" t="str">
        <f>IF($A554="","",[1]weekly_demand!H555)</f>
        <v/>
      </c>
      <c r="D554" s="61" t="str">
        <f>IF($A554="","",IF(SUMIFS([1]Fixture_Capacity_Input!$C:$C,[1]Fixture_Capacity_Input!$A:$A,$B554,[1]Fixture_Capacity_Input!$B:$B,$C554)&gt;0,SUMIFS([1]Fixture_Capacity_Input!$C:$C,[1]Fixture_Capacity_Input!$A:$A,$B554,[1]Fixture_Capacity_Input!$B:$B,$C554),[1]weekly_demand!G555))</f>
        <v/>
      </c>
      <c r="E554" s="62" t="str">
        <f>IF($A554="","",[1]weekly_demand!I555)</f>
        <v/>
      </c>
      <c r="F554" s="61" t="str">
        <f>IF($A554="","",IF($A554&lt;&gt;$A553,IFERROR(INDEX([1]FG_Begin_Inventory!$B:$B,MATCH($A554,[1]FG_Begin_Inventory!$A:$A,0)),0),J553))</f>
        <v/>
      </c>
      <c r="G554" s="61" t="str">
        <f t="shared" si="59"/>
        <v/>
      </c>
      <c r="H554" s="62" t="str">
        <f t="shared" si="60"/>
        <v/>
      </c>
      <c r="I554" s="62" t="str">
        <f t="shared" si="61"/>
        <v/>
      </c>
      <c r="J554" s="62" t="str">
        <f t="shared" si="62"/>
        <v/>
      </c>
      <c r="K554" s="62" t="str">
        <f t="shared" si="63"/>
        <v/>
      </c>
      <c r="L554" s="62" t="str">
        <f t="shared" si="64"/>
        <v/>
      </c>
      <c r="M554" s="63" t="str">
        <f t="shared" si="65"/>
        <v/>
      </c>
      <c r="N554" s="64"/>
    </row>
    <row r="555" spans="1:14" x14ac:dyDescent="0.3">
      <c r="A555" s="58" t="str">
        <f>IF([1]weekly_demand!A556="","",[1]weekly_demand!A556)</f>
        <v/>
      </c>
      <c r="B555" s="59" t="str">
        <f>IF($A555="","",[1]weekly_demand!F556)</f>
        <v/>
      </c>
      <c r="C555" s="60" t="str">
        <f>IF($A555="","",[1]weekly_demand!H556)</f>
        <v/>
      </c>
      <c r="D555" s="61" t="str">
        <f>IF($A555="","",IF(SUMIFS([1]Fixture_Capacity_Input!$C:$C,[1]Fixture_Capacity_Input!$A:$A,$B555,[1]Fixture_Capacity_Input!$B:$B,$C555)&gt;0,SUMIFS([1]Fixture_Capacity_Input!$C:$C,[1]Fixture_Capacity_Input!$A:$A,$B555,[1]Fixture_Capacity_Input!$B:$B,$C555),[1]weekly_demand!G556))</f>
        <v/>
      </c>
      <c r="E555" s="62" t="str">
        <f>IF($A555="","",[1]weekly_demand!I556)</f>
        <v/>
      </c>
      <c r="F555" s="61" t="str">
        <f>IF($A555="","",IF($A555&lt;&gt;$A554,IFERROR(INDEX([1]FG_Begin_Inventory!$B:$B,MATCH($A555,[1]FG_Begin_Inventory!$A:$A,0)),0),J554))</f>
        <v/>
      </c>
      <c r="G555" s="61" t="str">
        <f t="shared" si="59"/>
        <v/>
      </c>
      <c r="H555" s="62" t="str">
        <f t="shared" si="60"/>
        <v/>
      </c>
      <c r="I555" s="62" t="str">
        <f t="shared" si="61"/>
        <v/>
      </c>
      <c r="J555" s="62" t="str">
        <f t="shared" si="62"/>
        <v/>
      </c>
      <c r="K555" s="62" t="str">
        <f t="shared" si="63"/>
        <v/>
      </c>
      <c r="L555" s="62" t="str">
        <f t="shared" si="64"/>
        <v/>
      </c>
      <c r="M555" s="63" t="str">
        <f t="shared" si="65"/>
        <v/>
      </c>
      <c r="N555" s="64"/>
    </row>
    <row r="556" spans="1:14" x14ac:dyDescent="0.3">
      <c r="A556" s="58" t="str">
        <f>IF([1]weekly_demand!A557="","",[1]weekly_demand!A557)</f>
        <v/>
      </c>
      <c r="B556" s="59" t="str">
        <f>IF($A556="","",[1]weekly_demand!F557)</f>
        <v/>
      </c>
      <c r="C556" s="60" t="str">
        <f>IF($A556="","",[1]weekly_demand!H557)</f>
        <v/>
      </c>
      <c r="D556" s="61" t="str">
        <f>IF($A556="","",IF(SUMIFS([1]Fixture_Capacity_Input!$C:$C,[1]Fixture_Capacity_Input!$A:$A,$B556,[1]Fixture_Capacity_Input!$B:$B,$C556)&gt;0,SUMIFS([1]Fixture_Capacity_Input!$C:$C,[1]Fixture_Capacity_Input!$A:$A,$B556,[1]Fixture_Capacity_Input!$B:$B,$C556),[1]weekly_demand!G557))</f>
        <v/>
      </c>
      <c r="E556" s="62" t="str">
        <f>IF($A556="","",[1]weekly_demand!I557)</f>
        <v/>
      </c>
      <c r="F556" s="61" t="str">
        <f>IF($A556="","",IF($A556&lt;&gt;$A555,IFERROR(INDEX([1]FG_Begin_Inventory!$B:$B,MATCH($A556,[1]FG_Begin_Inventory!$A:$A,0)),0),J555))</f>
        <v/>
      </c>
      <c r="G556" s="61" t="str">
        <f t="shared" si="59"/>
        <v/>
      </c>
      <c r="H556" s="62" t="str">
        <f t="shared" si="60"/>
        <v/>
      </c>
      <c r="I556" s="62" t="str">
        <f t="shared" si="61"/>
        <v/>
      </c>
      <c r="J556" s="62" t="str">
        <f t="shared" si="62"/>
        <v/>
      </c>
      <c r="K556" s="62" t="str">
        <f t="shared" si="63"/>
        <v/>
      </c>
      <c r="L556" s="62" t="str">
        <f t="shared" si="64"/>
        <v/>
      </c>
      <c r="M556" s="63" t="str">
        <f t="shared" si="65"/>
        <v/>
      </c>
      <c r="N556" s="64"/>
    </row>
    <row r="557" spans="1:14" x14ac:dyDescent="0.3">
      <c r="A557" s="58" t="str">
        <f>IF([1]weekly_demand!A558="","",[1]weekly_demand!A558)</f>
        <v/>
      </c>
      <c r="B557" s="59" t="str">
        <f>IF($A557="","",[1]weekly_demand!F558)</f>
        <v/>
      </c>
      <c r="C557" s="60" t="str">
        <f>IF($A557="","",[1]weekly_demand!H558)</f>
        <v/>
      </c>
      <c r="D557" s="61" t="str">
        <f>IF($A557="","",IF(SUMIFS([1]Fixture_Capacity_Input!$C:$C,[1]Fixture_Capacity_Input!$A:$A,$B557,[1]Fixture_Capacity_Input!$B:$B,$C557)&gt;0,SUMIFS([1]Fixture_Capacity_Input!$C:$C,[1]Fixture_Capacity_Input!$A:$A,$B557,[1]Fixture_Capacity_Input!$B:$B,$C557),[1]weekly_demand!G558))</f>
        <v/>
      </c>
      <c r="E557" s="62" t="str">
        <f>IF($A557="","",[1]weekly_demand!I558)</f>
        <v/>
      </c>
      <c r="F557" s="61" t="str">
        <f>IF($A557="","",IF($A557&lt;&gt;$A556,IFERROR(INDEX([1]FG_Begin_Inventory!$B:$B,MATCH($A557,[1]FG_Begin_Inventory!$A:$A,0)),0),J556))</f>
        <v/>
      </c>
      <c r="G557" s="61" t="str">
        <f t="shared" si="59"/>
        <v/>
      </c>
      <c r="H557" s="62" t="str">
        <f t="shared" si="60"/>
        <v/>
      </c>
      <c r="I557" s="62" t="str">
        <f t="shared" si="61"/>
        <v/>
      </c>
      <c r="J557" s="62" t="str">
        <f t="shared" si="62"/>
        <v/>
      </c>
      <c r="K557" s="62" t="str">
        <f t="shared" si="63"/>
        <v/>
      </c>
      <c r="L557" s="62" t="str">
        <f t="shared" si="64"/>
        <v/>
      </c>
      <c r="M557" s="63" t="str">
        <f t="shared" si="65"/>
        <v/>
      </c>
      <c r="N557" s="64"/>
    </row>
    <row r="558" spans="1:14" x14ac:dyDescent="0.3">
      <c r="A558" s="58" t="str">
        <f>IF([1]weekly_demand!A559="","",[1]weekly_demand!A559)</f>
        <v/>
      </c>
      <c r="B558" s="59" t="str">
        <f>IF($A558="","",[1]weekly_demand!F559)</f>
        <v/>
      </c>
      <c r="C558" s="60" t="str">
        <f>IF($A558="","",[1]weekly_demand!H559)</f>
        <v/>
      </c>
      <c r="D558" s="61" t="str">
        <f>IF($A558="","",IF(SUMIFS([1]Fixture_Capacity_Input!$C:$C,[1]Fixture_Capacity_Input!$A:$A,$B558,[1]Fixture_Capacity_Input!$B:$B,$C558)&gt;0,SUMIFS([1]Fixture_Capacity_Input!$C:$C,[1]Fixture_Capacity_Input!$A:$A,$B558,[1]Fixture_Capacity_Input!$B:$B,$C558),[1]weekly_demand!G559))</f>
        <v/>
      </c>
      <c r="E558" s="62" t="str">
        <f>IF($A558="","",[1]weekly_demand!I559)</f>
        <v/>
      </c>
      <c r="F558" s="61" t="str">
        <f>IF($A558="","",IF($A558&lt;&gt;$A557,IFERROR(INDEX([1]FG_Begin_Inventory!$B:$B,MATCH($A558,[1]FG_Begin_Inventory!$A:$A,0)),0),J557))</f>
        <v/>
      </c>
      <c r="G558" s="61" t="str">
        <f t="shared" si="59"/>
        <v/>
      </c>
      <c r="H558" s="62" t="str">
        <f t="shared" si="60"/>
        <v/>
      </c>
      <c r="I558" s="62" t="str">
        <f t="shared" si="61"/>
        <v/>
      </c>
      <c r="J558" s="62" t="str">
        <f t="shared" si="62"/>
        <v/>
      </c>
      <c r="K558" s="62" t="str">
        <f t="shared" si="63"/>
        <v/>
      </c>
      <c r="L558" s="62" t="str">
        <f t="shared" si="64"/>
        <v/>
      </c>
      <c r="M558" s="63" t="str">
        <f t="shared" si="65"/>
        <v/>
      </c>
      <c r="N558" s="64"/>
    </row>
    <row r="559" spans="1:14" x14ac:dyDescent="0.3">
      <c r="A559" s="58" t="str">
        <f>IF([1]weekly_demand!A560="","",[1]weekly_demand!A560)</f>
        <v/>
      </c>
      <c r="B559" s="59" t="str">
        <f>IF($A559="","",[1]weekly_demand!F560)</f>
        <v/>
      </c>
      <c r="C559" s="60" t="str">
        <f>IF($A559="","",[1]weekly_demand!H560)</f>
        <v/>
      </c>
      <c r="D559" s="61" t="str">
        <f>IF($A559="","",IF(SUMIFS([1]Fixture_Capacity_Input!$C:$C,[1]Fixture_Capacity_Input!$A:$A,$B559,[1]Fixture_Capacity_Input!$B:$B,$C559)&gt;0,SUMIFS([1]Fixture_Capacity_Input!$C:$C,[1]Fixture_Capacity_Input!$A:$A,$B559,[1]Fixture_Capacity_Input!$B:$B,$C559),[1]weekly_demand!G560))</f>
        <v/>
      </c>
      <c r="E559" s="62" t="str">
        <f>IF($A559="","",[1]weekly_demand!I560)</f>
        <v/>
      </c>
      <c r="F559" s="61" t="str">
        <f>IF($A559="","",IF($A559&lt;&gt;$A558,IFERROR(INDEX([1]FG_Begin_Inventory!$B:$B,MATCH($A559,[1]FG_Begin_Inventory!$A:$A,0)),0),J558))</f>
        <v/>
      </c>
      <c r="G559" s="61" t="str">
        <f t="shared" si="59"/>
        <v/>
      </c>
      <c r="H559" s="62" t="str">
        <f t="shared" si="60"/>
        <v/>
      </c>
      <c r="I559" s="62" t="str">
        <f t="shared" si="61"/>
        <v/>
      </c>
      <c r="J559" s="62" t="str">
        <f t="shared" si="62"/>
        <v/>
      </c>
      <c r="K559" s="62" t="str">
        <f t="shared" si="63"/>
        <v/>
      </c>
      <c r="L559" s="62" t="str">
        <f t="shared" si="64"/>
        <v/>
      </c>
      <c r="M559" s="63" t="str">
        <f t="shared" si="65"/>
        <v/>
      </c>
      <c r="N559" s="64"/>
    </row>
    <row r="560" spans="1:14" x14ac:dyDescent="0.3">
      <c r="A560" s="58" t="str">
        <f>IF([1]weekly_demand!A561="","",[1]weekly_demand!A561)</f>
        <v/>
      </c>
      <c r="B560" s="59" t="str">
        <f>IF($A560="","",[1]weekly_demand!F561)</f>
        <v/>
      </c>
      <c r="C560" s="60" t="str">
        <f>IF($A560="","",[1]weekly_demand!H561)</f>
        <v/>
      </c>
      <c r="D560" s="61" t="str">
        <f>IF($A560="","",IF(SUMIFS([1]Fixture_Capacity_Input!$C:$C,[1]Fixture_Capacity_Input!$A:$A,$B560,[1]Fixture_Capacity_Input!$B:$B,$C560)&gt;0,SUMIFS([1]Fixture_Capacity_Input!$C:$C,[1]Fixture_Capacity_Input!$A:$A,$B560,[1]Fixture_Capacity_Input!$B:$B,$C560),[1]weekly_demand!G561))</f>
        <v/>
      </c>
      <c r="E560" s="62" t="str">
        <f>IF($A560="","",[1]weekly_demand!I561)</f>
        <v/>
      </c>
      <c r="F560" s="61" t="str">
        <f>IF($A560="","",IF($A560&lt;&gt;$A559,IFERROR(INDEX([1]FG_Begin_Inventory!$B:$B,MATCH($A560,[1]FG_Begin_Inventory!$A:$A,0)),0),J559))</f>
        <v/>
      </c>
      <c r="G560" s="61" t="str">
        <f t="shared" si="59"/>
        <v/>
      </c>
      <c r="H560" s="62" t="str">
        <f t="shared" si="60"/>
        <v/>
      </c>
      <c r="I560" s="62" t="str">
        <f t="shared" si="61"/>
        <v/>
      </c>
      <c r="J560" s="62" t="str">
        <f t="shared" si="62"/>
        <v/>
      </c>
      <c r="K560" s="62" t="str">
        <f t="shared" si="63"/>
        <v/>
      </c>
      <c r="L560" s="62" t="str">
        <f t="shared" si="64"/>
        <v/>
      </c>
      <c r="M560" s="63" t="str">
        <f t="shared" si="65"/>
        <v/>
      </c>
      <c r="N560" s="64"/>
    </row>
    <row r="561" spans="1:14" x14ac:dyDescent="0.3">
      <c r="A561" s="58" t="str">
        <f>IF([1]weekly_demand!A562="","",[1]weekly_demand!A562)</f>
        <v/>
      </c>
      <c r="B561" s="59" t="str">
        <f>IF($A561="","",[1]weekly_demand!F562)</f>
        <v/>
      </c>
      <c r="C561" s="60" t="str">
        <f>IF($A561="","",[1]weekly_demand!H562)</f>
        <v/>
      </c>
      <c r="D561" s="61" t="str">
        <f>IF($A561="","",IF(SUMIFS([1]Fixture_Capacity_Input!$C:$C,[1]Fixture_Capacity_Input!$A:$A,$B561,[1]Fixture_Capacity_Input!$B:$B,$C561)&gt;0,SUMIFS([1]Fixture_Capacity_Input!$C:$C,[1]Fixture_Capacity_Input!$A:$A,$B561,[1]Fixture_Capacity_Input!$B:$B,$C561),[1]weekly_demand!G562))</f>
        <v/>
      </c>
      <c r="E561" s="62" t="str">
        <f>IF($A561="","",[1]weekly_demand!I562)</f>
        <v/>
      </c>
      <c r="F561" s="61" t="str">
        <f>IF($A561="","",IF($A561&lt;&gt;$A560,IFERROR(INDEX([1]FG_Begin_Inventory!$B:$B,MATCH($A561,[1]FG_Begin_Inventory!$A:$A,0)),0),J560))</f>
        <v/>
      </c>
      <c r="G561" s="61" t="str">
        <f t="shared" si="59"/>
        <v/>
      </c>
      <c r="H561" s="62" t="str">
        <f t="shared" si="60"/>
        <v/>
      </c>
      <c r="I561" s="62" t="str">
        <f t="shared" si="61"/>
        <v/>
      </c>
      <c r="J561" s="62" t="str">
        <f t="shared" si="62"/>
        <v/>
      </c>
      <c r="K561" s="62" t="str">
        <f t="shared" si="63"/>
        <v/>
      </c>
      <c r="L561" s="62" t="str">
        <f t="shared" si="64"/>
        <v/>
      </c>
      <c r="M561" s="63" t="str">
        <f t="shared" si="65"/>
        <v/>
      </c>
      <c r="N561" s="64"/>
    </row>
    <row r="562" spans="1:14" x14ac:dyDescent="0.3">
      <c r="A562" s="58" t="str">
        <f>IF([1]weekly_demand!A563="","",[1]weekly_demand!A563)</f>
        <v/>
      </c>
      <c r="B562" s="59" t="str">
        <f>IF($A562="","",[1]weekly_demand!F563)</f>
        <v/>
      </c>
      <c r="C562" s="60" t="str">
        <f>IF($A562="","",[1]weekly_demand!H563)</f>
        <v/>
      </c>
      <c r="D562" s="61" t="str">
        <f>IF($A562="","",IF(SUMIFS([1]Fixture_Capacity_Input!$C:$C,[1]Fixture_Capacity_Input!$A:$A,$B562,[1]Fixture_Capacity_Input!$B:$B,$C562)&gt;0,SUMIFS([1]Fixture_Capacity_Input!$C:$C,[1]Fixture_Capacity_Input!$A:$A,$B562,[1]Fixture_Capacity_Input!$B:$B,$C562),[1]weekly_demand!G563))</f>
        <v/>
      </c>
      <c r="E562" s="62" t="str">
        <f>IF($A562="","",[1]weekly_demand!I563)</f>
        <v/>
      </c>
      <c r="F562" s="61" t="str">
        <f>IF($A562="","",IF($A562&lt;&gt;$A561,IFERROR(INDEX([1]FG_Begin_Inventory!$B:$B,MATCH($A562,[1]FG_Begin_Inventory!$A:$A,0)),0),J561))</f>
        <v/>
      </c>
      <c r="G562" s="61" t="str">
        <f t="shared" si="59"/>
        <v/>
      </c>
      <c r="H562" s="62" t="str">
        <f t="shared" si="60"/>
        <v/>
      </c>
      <c r="I562" s="62" t="str">
        <f t="shared" si="61"/>
        <v/>
      </c>
      <c r="J562" s="62" t="str">
        <f t="shared" si="62"/>
        <v/>
      </c>
      <c r="K562" s="62" t="str">
        <f t="shared" si="63"/>
        <v/>
      </c>
      <c r="L562" s="62" t="str">
        <f t="shared" si="64"/>
        <v/>
      </c>
      <c r="M562" s="63" t="str">
        <f t="shared" si="65"/>
        <v/>
      </c>
      <c r="N562" s="64"/>
    </row>
    <row r="563" spans="1:14" x14ac:dyDescent="0.3">
      <c r="A563" s="58" t="str">
        <f>IF([1]weekly_demand!A564="","",[1]weekly_demand!A564)</f>
        <v/>
      </c>
      <c r="B563" s="59" t="str">
        <f>IF($A563="","",[1]weekly_demand!F564)</f>
        <v/>
      </c>
      <c r="C563" s="60" t="str">
        <f>IF($A563="","",[1]weekly_demand!H564)</f>
        <v/>
      </c>
      <c r="D563" s="61" t="str">
        <f>IF($A563="","",IF(SUMIFS([1]Fixture_Capacity_Input!$C:$C,[1]Fixture_Capacity_Input!$A:$A,$B563,[1]Fixture_Capacity_Input!$B:$B,$C563)&gt;0,SUMIFS([1]Fixture_Capacity_Input!$C:$C,[1]Fixture_Capacity_Input!$A:$A,$B563,[1]Fixture_Capacity_Input!$B:$B,$C563),[1]weekly_demand!G564))</f>
        <v/>
      </c>
      <c r="E563" s="62" t="str">
        <f>IF($A563="","",[1]weekly_demand!I564)</f>
        <v/>
      </c>
      <c r="F563" s="61" t="str">
        <f>IF($A563="","",IF($A563&lt;&gt;$A562,IFERROR(INDEX([1]FG_Begin_Inventory!$B:$B,MATCH($A563,[1]FG_Begin_Inventory!$A:$A,0)),0),J562))</f>
        <v/>
      </c>
      <c r="G563" s="61" t="str">
        <f t="shared" ref="G563:G626" si="66">IF($A563="","",IF($A563&lt;&gt;$A564,0,MAX(0,G564+E564-D564)))</f>
        <v/>
      </c>
      <c r="H563" s="62" t="str">
        <f t="shared" si="60"/>
        <v/>
      </c>
      <c r="I563" s="62" t="str">
        <f t="shared" si="61"/>
        <v/>
      </c>
      <c r="J563" s="62" t="str">
        <f t="shared" si="62"/>
        <v/>
      </c>
      <c r="K563" s="62" t="str">
        <f t="shared" si="63"/>
        <v/>
      </c>
      <c r="L563" s="62" t="str">
        <f t="shared" si="64"/>
        <v/>
      </c>
      <c r="M563" s="63" t="str">
        <f t="shared" si="65"/>
        <v/>
      </c>
      <c r="N563" s="64"/>
    </row>
    <row r="564" spans="1:14" x14ac:dyDescent="0.3">
      <c r="A564" s="58" t="str">
        <f>IF([1]weekly_demand!A565="","",[1]weekly_demand!A565)</f>
        <v/>
      </c>
      <c r="B564" s="59" t="str">
        <f>IF($A564="","",[1]weekly_demand!F565)</f>
        <v/>
      </c>
      <c r="C564" s="60" t="str">
        <f>IF($A564="","",[1]weekly_demand!H565)</f>
        <v/>
      </c>
      <c r="D564" s="61" t="str">
        <f>IF($A564="","",IF(SUMIFS([1]Fixture_Capacity_Input!$C:$C,[1]Fixture_Capacity_Input!$A:$A,$B564,[1]Fixture_Capacity_Input!$B:$B,$C564)&gt;0,SUMIFS([1]Fixture_Capacity_Input!$C:$C,[1]Fixture_Capacity_Input!$A:$A,$B564,[1]Fixture_Capacity_Input!$B:$B,$C564),[1]weekly_demand!G565))</f>
        <v/>
      </c>
      <c r="E564" s="62" t="str">
        <f>IF($A564="","",[1]weekly_demand!I565)</f>
        <v/>
      </c>
      <c r="F564" s="61" t="str">
        <f>IF($A564="","",IF($A564&lt;&gt;$A563,IFERROR(INDEX([1]FG_Begin_Inventory!$B:$B,MATCH($A564,[1]FG_Begin_Inventory!$A:$A,0)),0),J563))</f>
        <v/>
      </c>
      <c r="G564" s="61" t="str">
        <f t="shared" si="66"/>
        <v/>
      </c>
      <c r="H564" s="62" t="str">
        <f t="shared" si="60"/>
        <v/>
      </c>
      <c r="I564" s="62" t="str">
        <f t="shared" si="61"/>
        <v/>
      </c>
      <c r="J564" s="62" t="str">
        <f t="shared" si="62"/>
        <v/>
      </c>
      <c r="K564" s="62" t="str">
        <f t="shared" si="63"/>
        <v/>
      </c>
      <c r="L564" s="62" t="str">
        <f t="shared" si="64"/>
        <v/>
      </c>
      <c r="M564" s="63" t="str">
        <f t="shared" si="65"/>
        <v/>
      </c>
      <c r="N564" s="64"/>
    </row>
    <row r="565" spans="1:14" x14ac:dyDescent="0.3">
      <c r="A565" s="58" t="str">
        <f>IF([1]weekly_demand!A566="","",[1]weekly_demand!A566)</f>
        <v/>
      </c>
      <c r="B565" s="59" t="str">
        <f>IF($A565="","",[1]weekly_demand!F566)</f>
        <v/>
      </c>
      <c r="C565" s="60" t="str">
        <f>IF($A565="","",[1]weekly_demand!H566)</f>
        <v/>
      </c>
      <c r="D565" s="61" t="str">
        <f>IF($A565="","",IF(SUMIFS([1]Fixture_Capacity_Input!$C:$C,[1]Fixture_Capacity_Input!$A:$A,$B565,[1]Fixture_Capacity_Input!$B:$B,$C565)&gt;0,SUMIFS([1]Fixture_Capacity_Input!$C:$C,[1]Fixture_Capacity_Input!$A:$A,$B565,[1]Fixture_Capacity_Input!$B:$B,$C565),[1]weekly_demand!G566))</f>
        <v/>
      </c>
      <c r="E565" s="62" t="str">
        <f>IF($A565="","",[1]weekly_demand!I566)</f>
        <v/>
      </c>
      <c r="F565" s="61" t="str">
        <f>IF($A565="","",IF($A565&lt;&gt;$A564,IFERROR(INDEX([1]FG_Begin_Inventory!$B:$B,MATCH($A565,[1]FG_Begin_Inventory!$A:$A,0)),0),J564))</f>
        <v/>
      </c>
      <c r="G565" s="61" t="str">
        <f t="shared" si="66"/>
        <v/>
      </c>
      <c r="H565" s="62" t="str">
        <f t="shared" si="60"/>
        <v/>
      </c>
      <c r="I565" s="62" t="str">
        <f t="shared" si="61"/>
        <v/>
      </c>
      <c r="J565" s="62" t="str">
        <f t="shared" si="62"/>
        <v/>
      </c>
      <c r="K565" s="62" t="str">
        <f t="shared" si="63"/>
        <v/>
      </c>
      <c r="L565" s="62" t="str">
        <f t="shared" si="64"/>
        <v/>
      </c>
      <c r="M565" s="63" t="str">
        <f t="shared" si="65"/>
        <v/>
      </c>
      <c r="N565" s="64"/>
    </row>
    <row r="566" spans="1:14" x14ac:dyDescent="0.3">
      <c r="A566" s="58" t="str">
        <f>IF([1]weekly_demand!A567="","",[1]weekly_demand!A567)</f>
        <v/>
      </c>
      <c r="B566" s="59" t="str">
        <f>IF($A566="","",[1]weekly_demand!F567)</f>
        <v/>
      </c>
      <c r="C566" s="60" t="str">
        <f>IF($A566="","",[1]weekly_demand!H567)</f>
        <v/>
      </c>
      <c r="D566" s="61" t="str">
        <f>IF($A566="","",IF(SUMIFS([1]Fixture_Capacity_Input!$C:$C,[1]Fixture_Capacity_Input!$A:$A,$B566,[1]Fixture_Capacity_Input!$B:$B,$C566)&gt;0,SUMIFS([1]Fixture_Capacity_Input!$C:$C,[1]Fixture_Capacity_Input!$A:$A,$B566,[1]Fixture_Capacity_Input!$B:$B,$C566),[1]weekly_demand!G567))</f>
        <v/>
      </c>
      <c r="E566" s="62" t="str">
        <f>IF($A566="","",[1]weekly_demand!I567)</f>
        <v/>
      </c>
      <c r="F566" s="61" t="str">
        <f>IF($A566="","",IF($A566&lt;&gt;$A565,IFERROR(INDEX([1]FG_Begin_Inventory!$B:$B,MATCH($A566,[1]FG_Begin_Inventory!$A:$A,0)),0),J565))</f>
        <v/>
      </c>
      <c r="G566" s="61" t="str">
        <f t="shared" si="66"/>
        <v/>
      </c>
      <c r="H566" s="62" t="str">
        <f t="shared" si="60"/>
        <v/>
      </c>
      <c r="I566" s="62" t="str">
        <f t="shared" si="61"/>
        <v/>
      </c>
      <c r="J566" s="62" t="str">
        <f t="shared" si="62"/>
        <v/>
      </c>
      <c r="K566" s="62" t="str">
        <f t="shared" si="63"/>
        <v/>
      </c>
      <c r="L566" s="62" t="str">
        <f t="shared" si="64"/>
        <v/>
      </c>
      <c r="M566" s="63" t="str">
        <f t="shared" si="65"/>
        <v/>
      </c>
      <c r="N566" s="64"/>
    </row>
    <row r="567" spans="1:14" x14ac:dyDescent="0.3">
      <c r="A567" s="58" t="str">
        <f>IF([1]weekly_demand!A568="","",[1]weekly_demand!A568)</f>
        <v/>
      </c>
      <c r="B567" s="59" t="str">
        <f>IF($A567="","",[1]weekly_demand!F568)</f>
        <v/>
      </c>
      <c r="C567" s="60" t="str">
        <f>IF($A567="","",[1]weekly_demand!H568)</f>
        <v/>
      </c>
      <c r="D567" s="61" t="str">
        <f>IF($A567="","",IF(SUMIFS([1]Fixture_Capacity_Input!$C:$C,[1]Fixture_Capacity_Input!$A:$A,$B567,[1]Fixture_Capacity_Input!$B:$B,$C567)&gt;0,SUMIFS([1]Fixture_Capacity_Input!$C:$C,[1]Fixture_Capacity_Input!$A:$A,$B567,[1]Fixture_Capacity_Input!$B:$B,$C567),[1]weekly_demand!G568))</f>
        <v/>
      </c>
      <c r="E567" s="62" t="str">
        <f>IF($A567="","",[1]weekly_demand!I568)</f>
        <v/>
      </c>
      <c r="F567" s="61" t="str">
        <f>IF($A567="","",IF($A567&lt;&gt;$A566,IFERROR(INDEX([1]FG_Begin_Inventory!$B:$B,MATCH($A567,[1]FG_Begin_Inventory!$A:$A,0)),0),J566))</f>
        <v/>
      </c>
      <c r="G567" s="61" t="str">
        <f t="shared" si="66"/>
        <v/>
      </c>
      <c r="H567" s="62" t="str">
        <f t="shared" si="60"/>
        <v/>
      </c>
      <c r="I567" s="62" t="str">
        <f t="shared" si="61"/>
        <v/>
      </c>
      <c r="J567" s="62" t="str">
        <f t="shared" si="62"/>
        <v/>
      </c>
      <c r="K567" s="62" t="str">
        <f t="shared" si="63"/>
        <v/>
      </c>
      <c r="L567" s="62" t="str">
        <f t="shared" si="64"/>
        <v/>
      </c>
      <c r="M567" s="63" t="str">
        <f t="shared" si="65"/>
        <v/>
      </c>
      <c r="N567" s="64"/>
    </row>
    <row r="568" spans="1:14" x14ac:dyDescent="0.3">
      <c r="A568" s="58" t="str">
        <f>IF([1]weekly_demand!A569="","",[1]weekly_demand!A569)</f>
        <v/>
      </c>
      <c r="B568" s="59" t="str">
        <f>IF($A568="","",[1]weekly_demand!F569)</f>
        <v/>
      </c>
      <c r="C568" s="60" t="str">
        <f>IF($A568="","",[1]weekly_demand!H569)</f>
        <v/>
      </c>
      <c r="D568" s="61" t="str">
        <f>IF($A568="","",IF(SUMIFS([1]Fixture_Capacity_Input!$C:$C,[1]Fixture_Capacity_Input!$A:$A,$B568,[1]Fixture_Capacity_Input!$B:$B,$C568)&gt;0,SUMIFS([1]Fixture_Capacity_Input!$C:$C,[1]Fixture_Capacity_Input!$A:$A,$B568,[1]Fixture_Capacity_Input!$B:$B,$C568),[1]weekly_demand!G569))</f>
        <v/>
      </c>
      <c r="E568" s="62" t="str">
        <f>IF($A568="","",[1]weekly_demand!I569)</f>
        <v/>
      </c>
      <c r="F568" s="61" t="str">
        <f>IF($A568="","",IF($A568&lt;&gt;$A567,IFERROR(INDEX([1]FG_Begin_Inventory!$B:$B,MATCH($A568,[1]FG_Begin_Inventory!$A:$A,0)),0),J567))</f>
        <v/>
      </c>
      <c r="G568" s="61" t="str">
        <f t="shared" si="66"/>
        <v/>
      </c>
      <c r="H568" s="62" t="str">
        <f t="shared" si="60"/>
        <v/>
      </c>
      <c r="I568" s="62" t="str">
        <f t="shared" si="61"/>
        <v/>
      </c>
      <c r="J568" s="62" t="str">
        <f t="shared" si="62"/>
        <v/>
      </c>
      <c r="K568" s="62" t="str">
        <f t="shared" si="63"/>
        <v/>
      </c>
      <c r="L568" s="62" t="str">
        <f t="shared" si="64"/>
        <v/>
      </c>
      <c r="M568" s="63" t="str">
        <f t="shared" si="65"/>
        <v/>
      </c>
      <c r="N568" s="64"/>
    </row>
    <row r="569" spans="1:14" x14ac:dyDescent="0.3">
      <c r="A569" s="58" t="str">
        <f>IF([1]weekly_demand!A570="","",[1]weekly_demand!A570)</f>
        <v/>
      </c>
      <c r="B569" s="59" t="str">
        <f>IF($A569="","",[1]weekly_demand!F570)</f>
        <v/>
      </c>
      <c r="C569" s="60" t="str">
        <f>IF($A569="","",[1]weekly_demand!H570)</f>
        <v/>
      </c>
      <c r="D569" s="61" t="str">
        <f>IF($A569="","",IF(SUMIFS([1]Fixture_Capacity_Input!$C:$C,[1]Fixture_Capacity_Input!$A:$A,$B569,[1]Fixture_Capacity_Input!$B:$B,$C569)&gt;0,SUMIFS([1]Fixture_Capacity_Input!$C:$C,[1]Fixture_Capacity_Input!$A:$A,$B569,[1]Fixture_Capacity_Input!$B:$B,$C569),[1]weekly_demand!G570))</f>
        <v/>
      </c>
      <c r="E569" s="62" t="str">
        <f>IF($A569="","",[1]weekly_demand!I570)</f>
        <v/>
      </c>
      <c r="F569" s="61" t="str">
        <f>IF($A569="","",IF($A569&lt;&gt;$A568,IFERROR(INDEX([1]FG_Begin_Inventory!$B:$B,MATCH($A569,[1]FG_Begin_Inventory!$A:$A,0)),0),J568))</f>
        <v/>
      </c>
      <c r="G569" s="61" t="str">
        <f t="shared" si="66"/>
        <v/>
      </c>
      <c r="H569" s="62" t="str">
        <f t="shared" si="60"/>
        <v/>
      </c>
      <c r="I569" s="62" t="str">
        <f t="shared" si="61"/>
        <v/>
      </c>
      <c r="J569" s="62" t="str">
        <f t="shared" si="62"/>
        <v/>
      </c>
      <c r="K569" s="62" t="str">
        <f t="shared" si="63"/>
        <v/>
      </c>
      <c r="L569" s="62" t="str">
        <f t="shared" si="64"/>
        <v/>
      </c>
      <c r="M569" s="63" t="str">
        <f t="shared" si="65"/>
        <v/>
      </c>
      <c r="N569" s="64"/>
    </row>
    <row r="570" spans="1:14" x14ac:dyDescent="0.3">
      <c r="A570" s="58" t="str">
        <f>IF([1]weekly_demand!A571="","",[1]weekly_demand!A571)</f>
        <v/>
      </c>
      <c r="B570" s="59" t="str">
        <f>IF($A570="","",[1]weekly_demand!F571)</f>
        <v/>
      </c>
      <c r="C570" s="60" t="str">
        <f>IF($A570="","",[1]weekly_demand!H571)</f>
        <v/>
      </c>
      <c r="D570" s="61" t="str">
        <f>IF($A570="","",IF(SUMIFS([1]Fixture_Capacity_Input!$C:$C,[1]Fixture_Capacity_Input!$A:$A,$B570,[1]Fixture_Capacity_Input!$B:$B,$C570)&gt;0,SUMIFS([1]Fixture_Capacity_Input!$C:$C,[1]Fixture_Capacity_Input!$A:$A,$B570,[1]Fixture_Capacity_Input!$B:$B,$C570),[1]weekly_demand!G571))</f>
        <v/>
      </c>
      <c r="E570" s="62" t="str">
        <f>IF($A570="","",[1]weekly_demand!I571)</f>
        <v/>
      </c>
      <c r="F570" s="61" t="str">
        <f>IF($A570="","",IF($A570&lt;&gt;$A569,IFERROR(INDEX([1]FG_Begin_Inventory!$B:$B,MATCH($A570,[1]FG_Begin_Inventory!$A:$A,0)),0),J569))</f>
        <v/>
      </c>
      <c r="G570" s="61" t="str">
        <f t="shared" si="66"/>
        <v/>
      </c>
      <c r="H570" s="62" t="str">
        <f t="shared" si="60"/>
        <v/>
      </c>
      <c r="I570" s="62" t="str">
        <f t="shared" si="61"/>
        <v/>
      </c>
      <c r="J570" s="62" t="str">
        <f t="shared" si="62"/>
        <v/>
      </c>
      <c r="K570" s="62" t="str">
        <f t="shared" si="63"/>
        <v/>
      </c>
      <c r="L570" s="62" t="str">
        <f t="shared" si="64"/>
        <v/>
      </c>
      <c r="M570" s="63" t="str">
        <f t="shared" si="65"/>
        <v/>
      </c>
      <c r="N570" s="64"/>
    </row>
    <row r="571" spans="1:14" x14ac:dyDescent="0.3">
      <c r="A571" s="58" t="str">
        <f>IF([1]weekly_demand!A572="","",[1]weekly_demand!A572)</f>
        <v/>
      </c>
      <c r="B571" s="59" t="str">
        <f>IF($A571="","",[1]weekly_demand!F572)</f>
        <v/>
      </c>
      <c r="C571" s="60" t="str">
        <f>IF($A571="","",[1]weekly_demand!H572)</f>
        <v/>
      </c>
      <c r="D571" s="61" t="str">
        <f>IF($A571="","",IF(SUMIFS([1]Fixture_Capacity_Input!$C:$C,[1]Fixture_Capacity_Input!$A:$A,$B571,[1]Fixture_Capacity_Input!$B:$B,$C571)&gt;0,SUMIFS([1]Fixture_Capacity_Input!$C:$C,[1]Fixture_Capacity_Input!$A:$A,$B571,[1]Fixture_Capacity_Input!$B:$B,$C571),[1]weekly_demand!G572))</f>
        <v/>
      </c>
      <c r="E571" s="62" t="str">
        <f>IF($A571="","",[1]weekly_demand!I572)</f>
        <v/>
      </c>
      <c r="F571" s="61" t="str">
        <f>IF($A571="","",IF($A571&lt;&gt;$A570,IFERROR(INDEX([1]FG_Begin_Inventory!$B:$B,MATCH($A571,[1]FG_Begin_Inventory!$A:$A,0)),0),J570))</f>
        <v/>
      </c>
      <c r="G571" s="61" t="str">
        <f t="shared" si="66"/>
        <v/>
      </c>
      <c r="H571" s="62" t="str">
        <f t="shared" si="60"/>
        <v/>
      </c>
      <c r="I571" s="62" t="str">
        <f t="shared" si="61"/>
        <v/>
      </c>
      <c r="J571" s="62" t="str">
        <f t="shared" si="62"/>
        <v/>
      </c>
      <c r="K571" s="62" t="str">
        <f t="shared" si="63"/>
        <v/>
      </c>
      <c r="L571" s="62" t="str">
        <f t="shared" si="64"/>
        <v/>
      </c>
      <c r="M571" s="63" t="str">
        <f t="shared" si="65"/>
        <v/>
      </c>
      <c r="N571" s="64"/>
    </row>
    <row r="572" spans="1:14" x14ac:dyDescent="0.3">
      <c r="A572" s="58" t="str">
        <f>IF([1]weekly_demand!A573="","",[1]weekly_demand!A573)</f>
        <v/>
      </c>
      <c r="B572" s="59" t="str">
        <f>IF($A572="","",[1]weekly_demand!F573)</f>
        <v/>
      </c>
      <c r="C572" s="60" t="str">
        <f>IF($A572="","",[1]weekly_demand!H573)</f>
        <v/>
      </c>
      <c r="D572" s="61" t="str">
        <f>IF($A572="","",IF(SUMIFS([1]Fixture_Capacity_Input!$C:$C,[1]Fixture_Capacity_Input!$A:$A,$B572,[1]Fixture_Capacity_Input!$B:$B,$C572)&gt;0,SUMIFS([1]Fixture_Capacity_Input!$C:$C,[1]Fixture_Capacity_Input!$A:$A,$B572,[1]Fixture_Capacity_Input!$B:$B,$C572),[1]weekly_demand!G573))</f>
        <v/>
      </c>
      <c r="E572" s="62" t="str">
        <f>IF($A572="","",[1]weekly_demand!I573)</f>
        <v/>
      </c>
      <c r="F572" s="61" t="str">
        <f>IF($A572="","",IF($A572&lt;&gt;$A571,IFERROR(INDEX([1]FG_Begin_Inventory!$B:$B,MATCH($A572,[1]FG_Begin_Inventory!$A:$A,0)),0),J571))</f>
        <v/>
      </c>
      <c r="G572" s="61" t="str">
        <f t="shared" si="66"/>
        <v/>
      </c>
      <c r="H572" s="62" t="str">
        <f t="shared" si="60"/>
        <v/>
      </c>
      <c r="I572" s="62" t="str">
        <f t="shared" si="61"/>
        <v/>
      </c>
      <c r="J572" s="62" t="str">
        <f t="shared" si="62"/>
        <v/>
      </c>
      <c r="K572" s="62" t="str">
        <f t="shared" si="63"/>
        <v/>
      </c>
      <c r="L572" s="62" t="str">
        <f t="shared" si="64"/>
        <v/>
      </c>
      <c r="M572" s="63" t="str">
        <f t="shared" si="65"/>
        <v/>
      </c>
      <c r="N572" s="64"/>
    </row>
    <row r="573" spans="1:14" x14ac:dyDescent="0.3">
      <c r="A573" s="58" t="str">
        <f>IF([1]weekly_demand!A574="","",[1]weekly_demand!A574)</f>
        <v/>
      </c>
      <c r="B573" s="59" t="str">
        <f>IF($A573="","",[1]weekly_demand!F574)</f>
        <v/>
      </c>
      <c r="C573" s="60" t="str">
        <f>IF($A573="","",[1]weekly_demand!H574)</f>
        <v/>
      </c>
      <c r="D573" s="61" t="str">
        <f>IF($A573="","",IF(SUMIFS([1]Fixture_Capacity_Input!$C:$C,[1]Fixture_Capacity_Input!$A:$A,$B573,[1]Fixture_Capacity_Input!$B:$B,$C573)&gt;0,SUMIFS([1]Fixture_Capacity_Input!$C:$C,[1]Fixture_Capacity_Input!$A:$A,$B573,[1]Fixture_Capacity_Input!$B:$B,$C573),[1]weekly_demand!G574))</f>
        <v/>
      </c>
      <c r="E573" s="62" t="str">
        <f>IF($A573="","",[1]weekly_demand!I574)</f>
        <v/>
      </c>
      <c r="F573" s="61" t="str">
        <f>IF($A573="","",IF($A573&lt;&gt;$A572,IFERROR(INDEX([1]FG_Begin_Inventory!$B:$B,MATCH($A573,[1]FG_Begin_Inventory!$A:$A,0)),0),J572))</f>
        <v/>
      </c>
      <c r="G573" s="61" t="str">
        <f t="shared" si="66"/>
        <v/>
      </c>
      <c r="H573" s="62" t="str">
        <f t="shared" si="60"/>
        <v/>
      </c>
      <c r="I573" s="62" t="str">
        <f t="shared" si="61"/>
        <v/>
      </c>
      <c r="J573" s="62" t="str">
        <f t="shared" si="62"/>
        <v/>
      </c>
      <c r="K573" s="62" t="str">
        <f t="shared" si="63"/>
        <v/>
      </c>
      <c r="L573" s="62" t="str">
        <f t="shared" si="64"/>
        <v/>
      </c>
      <c r="M573" s="63" t="str">
        <f t="shared" si="65"/>
        <v/>
      </c>
      <c r="N573" s="64"/>
    </row>
    <row r="574" spans="1:14" x14ac:dyDescent="0.3">
      <c r="A574" s="58" t="str">
        <f>IF([1]weekly_demand!A575="","",[1]weekly_demand!A575)</f>
        <v/>
      </c>
      <c r="B574" s="59" t="str">
        <f>IF($A574="","",[1]weekly_demand!F575)</f>
        <v/>
      </c>
      <c r="C574" s="60" t="str">
        <f>IF($A574="","",[1]weekly_demand!H575)</f>
        <v/>
      </c>
      <c r="D574" s="61" t="str">
        <f>IF($A574="","",IF(SUMIFS([1]Fixture_Capacity_Input!$C:$C,[1]Fixture_Capacity_Input!$A:$A,$B574,[1]Fixture_Capacity_Input!$B:$B,$C574)&gt;0,SUMIFS([1]Fixture_Capacity_Input!$C:$C,[1]Fixture_Capacity_Input!$A:$A,$B574,[1]Fixture_Capacity_Input!$B:$B,$C574),[1]weekly_demand!G575))</f>
        <v/>
      </c>
      <c r="E574" s="62" t="str">
        <f>IF($A574="","",[1]weekly_demand!I575)</f>
        <v/>
      </c>
      <c r="F574" s="61" t="str">
        <f>IF($A574="","",IF($A574&lt;&gt;$A573,IFERROR(INDEX([1]FG_Begin_Inventory!$B:$B,MATCH($A574,[1]FG_Begin_Inventory!$A:$A,0)),0),J573))</f>
        <v/>
      </c>
      <c r="G574" s="61" t="str">
        <f t="shared" si="66"/>
        <v/>
      </c>
      <c r="H574" s="62" t="str">
        <f t="shared" si="60"/>
        <v/>
      </c>
      <c r="I574" s="62" t="str">
        <f t="shared" si="61"/>
        <v/>
      </c>
      <c r="J574" s="62" t="str">
        <f t="shared" si="62"/>
        <v/>
      </c>
      <c r="K574" s="62" t="str">
        <f t="shared" si="63"/>
        <v/>
      </c>
      <c r="L574" s="62" t="str">
        <f t="shared" si="64"/>
        <v/>
      </c>
      <c r="M574" s="63" t="str">
        <f t="shared" si="65"/>
        <v/>
      </c>
      <c r="N574" s="64"/>
    </row>
    <row r="575" spans="1:14" x14ac:dyDescent="0.3">
      <c r="A575" s="58" t="str">
        <f>IF([1]weekly_demand!A576="","",[1]weekly_demand!A576)</f>
        <v/>
      </c>
      <c r="B575" s="59" t="str">
        <f>IF($A575="","",[1]weekly_demand!F576)</f>
        <v/>
      </c>
      <c r="C575" s="60" t="str">
        <f>IF($A575="","",[1]weekly_demand!H576)</f>
        <v/>
      </c>
      <c r="D575" s="61" t="str">
        <f>IF($A575="","",IF(SUMIFS([1]Fixture_Capacity_Input!$C:$C,[1]Fixture_Capacity_Input!$A:$A,$B575,[1]Fixture_Capacity_Input!$B:$B,$C575)&gt;0,SUMIFS([1]Fixture_Capacity_Input!$C:$C,[1]Fixture_Capacity_Input!$A:$A,$B575,[1]Fixture_Capacity_Input!$B:$B,$C575),[1]weekly_demand!G576))</f>
        <v/>
      </c>
      <c r="E575" s="62" t="str">
        <f>IF($A575="","",[1]weekly_demand!I576)</f>
        <v/>
      </c>
      <c r="F575" s="61" t="str">
        <f>IF($A575="","",IF($A575&lt;&gt;$A574,IFERROR(INDEX([1]FG_Begin_Inventory!$B:$B,MATCH($A575,[1]FG_Begin_Inventory!$A:$A,0)),0),J574))</f>
        <v/>
      </c>
      <c r="G575" s="61" t="str">
        <f t="shared" si="66"/>
        <v/>
      </c>
      <c r="H575" s="62" t="str">
        <f t="shared" si="60"/>
        <v/>
      </c>
      <c r="I575" s="62" t="str">
        <f t="shared" si="61"/>
        <v/>
      </c>
      <c r="J575" s="62" t="str">
        <f t="shared" si="62"/>
        <v/>
      </c>
      <c r="K575" s="62" t="str">
        <f t="shared" si="63"/>
        <v/>
      </c>
      <c r="L575" s="62" t="str">
        <f t="shared" si="64"/>
        <v/>
      </c>
      <c r="M575" s="63" t="str">
        <f t="shared" si="65"/>
        <v/>
      </c>
      <c r="N575" s="64"/>
    </row>
    <row r="576" spans="1:14" x14ac:dyDescent="0.3">
      <c r="A576" s="58" t="str">
        <f>IF([1]weekly_demand!A577="","",[1]weekly_demand!A577)</f>
        <v/>
      </c>
      <c r="B576" s="59" t="str">
        <f>IF($A576="","",[1]weekly_demand!F577)</f>
        <v/>
      </c>
      <c r="C576" s="60" t="str">
        <f>IF($A576="","",[1]weekly_demand!H577)</f>
        <v/>
      </c>
      <c r="D576" s="61" t="str">
        <f>IF($A576="","",IF(SUMIFS([1]Fixture_Capacity_Input!$C:$C,[1]Fixture_Capacity_Input!$A:$A,$B576,[1]Fixture_Capacity_Input!$B:$B,$C576)&gt;0,SUMIFS([1]Fixture_Capacity_Input!$C:$C,[1]Fixture_Capacity_Input!$A:$A,$B576,[1]Fixture_Capacity_Input!$B:$B,$C576),[1]weekly_demand!G577))</f>
        <v/>
      </c>
      <c r="E576" s="62" t="str">
        <f>IF($A576="","",[1]weekly_demand!I577)</f>
        <v/>
      </c>
      <c r="F576" s="61" t="str">
        <f>IF($A576="","",IF($A576&lt;&gt;$A575,IFERROR(INDEX([1]FG_Begin_Inventory!$B:$B,MATCH($A576,[1]FG_Begin_Inventory!$A:$A,0)),0),J575))</f>
        <v/>
      </c>
      <c r="G576" s="61" t="str">
        <f t="shared" si="66"/>
        <v/>
      </c>
      <c r="H576" s="62" t="str">
        <f t="shared" si="60"/>
        <v/>
      </c>
      <c r="I576" s="62" t="str">
        <f t="shared" si="61"/>
        <v/>
      </c>
      <c r="J576" s="62" t="str">
        <f t="shared" si="62"/>
        <v/>
      </c>
      <c r="K576" s="62" t="str">
        <f t="shared" si="63"/>
        <v/>
      </c>
      <c r="L576" s="62" t="str">
        <f t="shared" si="64"/>
        <v/>
      </c>
      <c r="M576" s="63" t="str">
        <f t="shared" si="65"/>
        <v/>
      </c>
      <c r="N576" s="64"/>
    </row>
    <row r="577" spans="1:14" x14ac:dyDescent="0.3">
      <c r="A577" s="58" t="str">
        <f>IF([1]weekly_demand!A578="","",[1]weekly_demand!A578)</f>
        <v/>
      </c>
      <c r="B577" s="59" t="str">
        <f>IF($A577="","",[1]weekly_demand!F578)</f>
        <v/>
      </c>
      <c r="C577" s="60" t="str">
        <f>IF($A577="","",[1]weekly_demand!H578)</f>
        <v/>
      </c>
      <c r="D577" s="61" t="str">
        <f>IF($A577="","",IF(SUMIFS([1]Fixture_Capacity_Input!$C:$C,[1]Fixture_Capacity_Input!$A:$A,$B577,[1]Fixture_Capacity_Input!$B:$B,$C577)&gt;0,SUMIFS([1]Fixture_Capacity_Input!$C:$C,[1]Fixture_Capacity_Input!$A:$A,$B577,[1]Fixture_Capacity_Input!$B:$B,$C577),[1]weekly_demand!G578))</f>
        <v/>
      </c>
      <c r="E577" s="62" t="str">
        <f>IF($A577="","",[1]weekly_demand!I578)</f>
        <v/>
      </c>
      <c r="F577" s="61" t="str">
        <f>IF($A577="","",IF($A577&lt;&gt;$A576,IFERROR(INDEX([1]FG_Begin_Inventory!$B:$B,MATCH($A577,[1]FG_Begin_Inventory!$A:$A,0)),0),J576))</f>
        <v/>
      </c>
      <c r="G577" s="61" t="str">
        <f t="shared" si="66"/>
        <v/>
      </c>
      <c r="H577" s="62" t="str">
        <f t="shared" si="60"/>
        <v/>
      </c>
      <c r="I577" s="62" t="str">
        <f t="shared" si="61"/>
        <v/>
      </c>
      <c r="J577" s="62" t="str">
        <f t="shared" si="62"/>
        <v/>
      </c>
      <c r="K577" s="62" t="str">
        <f t="shared" si="63"/>
        <v/>
      </c>
      <c r="L577" s="62" t="str">
        <f t="shared" si="64"/>
        <v/>
      </c>
      <c r="M577" s="63" t="str">
        <f t="shared" si="65"/>
        <v/>
      </c>
      <c r="N577" s="64"/>
    </row>
    <row r="578" spans="1:14" x14ac:dyDescent="0.3">
      <c r="A578" s="58" t="str">
        <f>IF([1]weekly_demand!A579="","",[1]weekly_demand!A579)</f>
        <v/>
      </c>
      <c r="B578" s="59" t="str">
        <f>IF($A578="","",[1]weekly_demand!F579)</f>
        <v/>
      </c>
      <c r="C578" s="60" t="str">
        <f>IF($A578="","",[1]weekly_demand!H579)</f>
        <v/>
      </c>
      <c r="D578" s="61" t="str">
        <f>IF($A578="","",IF(SUMIFS([1]Fixture_Capacity_Input!$C:$C,[1]Fixture_Capacity_Input!$A:$A,$B578,[1]Fixture_Capacity_Input!$B:$B,$C578)&gt;0,SUMIFS([1]Fixture_Capacity_Input!$C:$C,[1]Fixture_Capacity_Input!$A:$A,$B578,[1]Fixture_Capacity_Input!$B:$B,$C578),[1]weekly_demand!G579))</f>
        <v/>
      </c>
      <c r="E578" s="62" t="str">
        <f>IF($A578="","",[1]weekly_demand!I579)</f>
        <v/>
      </c>
      <c r="F578" s="61" t="str">
        <f>IF($A578="","",IF($A578&lt;&gt;$A577,IFERROR(INDEX([1]FG_Begin_Inventory!$B:$B,MATCH($A578,[1]FG_Begin_Inventory!$A:$A,0)),0),J577))</f>
        <v/>
      </c>
      <c r="G578" s="61" t="str">
        <f t="shared" si="66"/>
        <v/>
      </c>
      <c r="H578" s="62" t="str">
        <f t="shared" ref="H578:H641" si="67">IF($A578="","",MAX(0,E578+G578-F578))</f>
        <v/>
      </c>
      <c r="I578" s="62" t="str">
        <f t="shared" ref="I578:I641" si="68">IF($A578="","",MIN(D578,H578))</f>
        <v/>
      </c>
      <c r="J578" s="62" t="str">
        <f t="shared" ref="J578:J641" si="69">IF($A578="","",MAX(0,F578+I578-E578))</f>
        <v/>
      </c>
      <c r="K578" s="62" t="str">
        <f t="shared" ref="K578:K641" si="70">IF($A578="","",MAX(0,E578-F578-I578))</f>
        <v/>
      </c>
      <c r="L578" s="62" t="str">
        <f t="shared" ref="L578:L641" si="71">IF($A578="","",MAX(0,F578+I578-E578))</f>
        <v/>
      </c>
      <c r="M578" s="63" t="str">
        <f t="shared" ref="M578:M641" si="72">IF($A578="","",IFERROR(I578/D578,0))</f>
        <v/>
      </c>
      <c r="N578" s="64"/>
    </row>
    <row r="579" spans="1:14" x14ac:dyDescent="0.3">
      <c r="A579" s="58" t="str">
        <f>IF([1]weekly_demand!A580="","",[1]weekly_demand!A580)</f>
        <v/>
      </c>
      <c r="B579" s="59" t="str">
        <f>IF($A579="","",[1]weekly_demand!F580)</f>
        <v/>
      </c>
      <c r="C579" s="60" t="str">
        <f>IF($A579="","",[1]weekly_demand!H580)</f>
        <v/>
      </c>
      <c r="D579" s="61" t="str">
        <f>IF($A579="","",IF(SUMIFS([1]Fixture_Capacity_Input!$C:$C,[1]Fixture_Capacity_Input!$A:$A,$B579,[1]Fixture_Capacity_Input!$B:$B,$C579)&gt;0,SUMIFS([1]Fixture_Capacity_Input!$C:$C,[1]Fixture_Capacity_Input!$A:$A,$B579,[1]Fixture_Capacity_Input!$B:$B,$C579),[1]weekly_demand!G580))</f>
        <v/>
      </c>
      <c r="E579" s="62" t="str">
        <f>IF($A579="","",[1]weekly_demand!I580)</f>
        <v/>
      </c>
      <c r="F579" s="61" t="str">
        <f>IF($A579="","",IF($A579&lt;&gt;$A578,IFERROR(INDEX([1]FG_Begin_Inventory!$B:$B,MATCH($A579,[1]FG_Begin_Inventory!$A:$A,0)),0),J578))</f>
        <v/>
      </c>
      <c r="G579" s="61" t="str">
        <f t="shared" si="66"/>
        <v/>
      </c>
      <c r="H579" s="62" t="str">
        <f t="shared" si="67"/>
        <v/>
      </c>
      <c r="I579" s="62" t="str">
        <f t="shared" si="68"/>
        <v/>
      </c>
      <c r="J579" s="62" t="str">
        <f t="shared" si="69"/>
        <v/>
      </c>
      <c r="K579" s="62" t="str">
        <f t="shared" si="70"/>
        <v/>
      </c>
      <c r="L579" s="62" t="str">
        <f t="shared" si="71"/>
        <v/>
      </c>
      <c r="M579" s="63" t="str">
        <f t="shared" si="72"/>
        <v/>
      </c>
      <c r="N579" s="64"/>
    </row>
    <row r="580" spans="1:14" x14ac:dyDescent="0.3">
      <c r="A580" s="58" t="str">
        <f>IF([1]weekly_demand!A581="","",[1]weekly_demand!A581)</f>
        <v/>
      </c>
      <c r="B580" s="59" t="str">
        <f>IF($A580="","",[1]weekly_demand!F581)</f>
        <v/>
      </c>
      <c r="C580" s="60" t="str">
        <f>IF($A580="","",[1]weekly_demand!H581)</f>
        <v/>
      </c>
      <c r="D580" s="61" t="str">
        <f>IF($A580="","",IF(SUMIFS([1]Fixture_Capacity_Input!$C:$C,[1]Fixture_Capacity_Input!$A:$A,$B580,[1]Fixture_Capacity_Input!$B:$B,$C580)&gt;0,SUMIFS([1]Fixture_Capacity_Input!$C:$C,[1]Fixture_Capacity_Input!$A:$A,$B580,[1]Fixture_Capacity_Input!$B:$B,$C580),[1]weekly_demand!G581))</f>
        <v/>
      </c>
      <c r="E580" s="62" t="str">
        <f>IF($A580="","",[1]weekly_demand!I581)</f>
        <v/>
      </c>
      <c r="F580" s="61" t="str">
        <f>IF($A580="","",IF($A580&lt;&gt;$A579,IFERROR(INDEX([1]FG_Begin_Inventory!$B:$B,MATCH($A580,[1]FG_Begin_Inventory!$A:$A,0)),0),J579))</f>
        <v/>
      </c>
      <c r="G580" s="61" t="str">
        <f t="shared" si="66"/>
        <v/>
      </c>
      <c r="H580" s="62" t="str">
        <f t="shared" si="67"/>
        <v/>
      </c>
      <c r="I580" s="62" t="str">
        <f t="shared" si="68"/>
        <v/>
      </c>
      <c r="J580" s="62" t="str">
        <f t="shared" si="69"/>
        <v/>
      </c>
      <c r="K580" s="62" t="str">
        <f t="shared" si="70"/>
        <v/>
      </c>
      <c r="L580" s="62" t="str">
        <f t="shared" si="71"/>
        <v/>
      </c>
      <c r="M580" s="63" t="str">
        <f t="shared" si="72"/>
        <v/>
      </c>
      <c r="N580" s="64"/>
    </row>
    <row r="581" spans="1:14" x14ac:dyDescent="0.3">
      <c r="A581" s="58" t="str">
        <f>IF([1]weekly_demand!A582="","",[1]weekly_demand!A582)</f>
        <v/>
      </c>
      <c r="B581" s="59" t="str">
        <f>IF($A581="","",[1]weekly_demand!F582)</f>
        <v/>
      </c>
      <c r="C581" s="60" t="str">
        <f>IF($A581="","",[1]weekly_demand!H582)</f>
        <v/>
      </c>
      <c r="D581" s="61" t="str">
        <f>IF($A581="","",IF(SUMIFS([1]Fixture_Capacity_Input!$C:$C,[1]Fixture_Capacity_Input!$A:$A,$B581,[1]Fixture_Capacity_Input!$B:$B,$C581)&gt;0,SUMIFS([1]Fixture_Capacity_Input!$C:$C,[1]Fixture_Capacity_Input!$A:$A,$B581,[1]Fixture_Capacity_Input!$B:$B,$C581),[1]weekly_demand!G582))</f>
        <v/>
      </c>
      <c r="E581" s="62" t="str">
        <f>IF($A581="","",[1]weekly_demand!I582)</f>
        <v/>
      </c>
      <c r="F581" s="61" t="str">
        <f>IF($A581="","",IF($A581&lt;&gt;$A580,IFERROR(INDEX([1]FG_Begin_Inventory!$B:$B,MATCH($A581,[1]FG_Begin_Inventory!$A:$A,0)),0),J580))</f>
        <v/>
      </c>
      <c r="G581" s="61" t="str">
        <f t="shared" si="66"/>
        <v/>
      </c>
      <c r="H581" s="62" t="str">
        <f t="shared" si="67"/>
        <v/>
      </c>
      <c r="I581" s="62" t="str">
        <f t="shared" si="68"/>
        <v/>
      </c>
      <c r="J581" s="62" t="str">
        <f t="shared" si="69"/>
        <v/>
      </c>
      <c r="K581" s="62" t="str">
        <f t="shared" si="70"/>
        <v/>
      </c>
      <c r="L581" s="62" t="str">
        <f t="shared" si="71"/>
        <v/>
      </c>
      <c r="M581" s="63" t="str">
        <f t="shared" si="72"/>
        <v/>
      </c>
      <c r="N581" s="64"/>
    </row>
    <row r="582" spans="1:14" x14ac:dyDescent="0.3">
      <c r="A582" s="58" t="str">
        <f>IF([1]weekly_demand!A583="","",[1]weekly_demand!A583)</f>
        <v/>
      </c>
      <c r="B582" s="59" t="str">
        <f>IF($A582="","",[1]weekly_demand!F583)</f>
        <v/>
      </c>
      <c r="C582" s="60" t="str">
        <f>IF($A582="","",[1]weekly_demand!H583)</f>
        <v/>
      </c>
      <c r="D582" s="61" t="str">
        <f>IF($A582="","",IF(SUMIFS([1]Fixture_Capacity_Input!$C:$C,[1]Fixture_Capacity_Input!$A:$A,$B582,[1]Fixture_Capacity_Input!$B:$B,$C582)&gt;0,SUMIFS([1]Fixture_Capacity_Input!$C:$C,[1]Fixture_Capacity_Input!$A:$A,$B582,[1]Fixture_Capacity_Input!$B:$B,$C582),[1]weekly_demand!G583))</f>
        <v/>
      </c>
      <c r="E582" s="62" t="str">
        <f>IF($A582="","",[1]weekly_demand!I583)</f>
        <v/>
      </c>
      <c r="F582" s="61" t="str">
        <f>IF($A582="","",IF($A582&lt;&gt;$A581,IFERROR(INDEX([1]FG_Begin_Inventory!$B:$B,MATCH($A582,[1]FG_Begin_Inventory!$A:$A,0)),0),J581))</f>
        <v/>
      </c>
      <c r="G582" s="61" t="str">
        <f t="shared" si="66"/>
        <v/>
      </c>
      <c r="H582" s="62" t="str">
        <f t="shared" si="67"/>
        <v/>
      </c>
      <c r="I582" s="62" t="str">
        <f t="shared" si="68"/>
        <v/>
      </c>
      <c r="J582" s="62" t="str">
        <f t="shared" si="69"/>
        <v/>
      </c>
      <c r="K582" s="62" t="str">
        <f t="shared" si="70"/>
        <v/>
      </c>
      <c r="L582" s="62" t="str">
        <f t="shared" si="71"/>
        <v/>
      </c>
      <c r="M582" s="63" t="str">
        <f t="shared" si="72"/>
        <v/>
      </c>
      <c r="N582" s="64"/>
    </row>
    <row r="583" spans="1:14" x14ac:dyDescent="0.3">
      <c r="A583" s="58" t="str">
        <f>IF([1]weekly_demand!A584="","",[1]weekly_demand!A584)</f>
        <v/>
      </c>
      <c r="B583" s="59" t="str">
        <f>IF($A583="","",[1]weekly_demand!F584)</f>
        <v/>
      </c>
      <c r="C583" s="60" t="str">
        <f>IF($A583="","",[1]weekly_demand!H584)</f>
        <v/>
      </c>
      <c r="D583" s="61" t="str">
        <f>IF($A583="","",IF(SUMIFS([1]Fixture_Capacity_Input!$C:$C,[1]Fixture_Capacity_Input!$A:$A,$B583,[1]Fixture_Capacity_Input!$B:$B,$C583)&gt;0,SUMIFS([1]Fixture_Capacity_Input!$C:$C,[1]Fixture_Capacity_Input!$A:$A,$B583,[1]Fixture_Capacity_Input!$B:$B,$C583),[1]weekly_demand!G584))</f>
        <v/>
      </c>
      <c r="E583" s="62" t="str">
        <f>IF($A583="","",[1]weekly_demand!I584)</f>
        <v/>
      </c>
      <c r="F583" s="61" t="str">
        <f>IF($A583="","",IF($A583&lt;&gt;$A582,IFERROR(INDEX([1]FG_Begin_Inventory!$B:$B,MATCH($A583,[1]FG_Begin_Inventory!$A:$A,0)),0),J582))</f>
        <v/>
      </c>
      <c r="G583" s="61" t="str">
        <f t="shared" si="66"/>
        <v/>
      </c>
      <c r="H583" s="62" t="str">
        <f t="shared" si="67"/>
        <v/>
      </c>
      <c r="I583" s="62" t="str">
        <f t="shared" si="68"/>
        <v/>
      </c>
      <c r="J583" s="62" t="str">
        <f t="shared" si="69"/>
        <v/>
      </c>
      <c r="K583" s="62" t="str">
        <f t="shared" si="70"/>
        <v/>
      </c>
      <c r="L583" s="62" t="str">
        <f t="shared" si="71"/>
        <v/>
      </c>
      <c r="M583" s="63" t="str">
        <f t="shared" si="72"/>
        <v/>
      </c>
      <c r="N583" s="64"/>
    </row>
    <row r="584" spans="1:14" x14ac:dyDescent="0.3">
      <c r="A584" s="58" t="str">
        <f>IF([1]weekly_demand!A585="","",[1]weekly_demand!A585)</f>
        <v/>
      </c>
      <c r="B584" s="59" t="str">
        <f>IF($A584="","",[1]weekly_demand!F585)</f>
        <v/>
      </c>
      <c r="C584" s="60" t="str">
        <f>IF($A584="","",[1]weekly_demand!H585)</f>
        <v/>
      </c>
      <c r="D584" s="61" t="str">
        <f>IF($A584="","",IF(SUMIFS([1]Fixture_Capacity_Input!$C:$C,[1]Fixture_Capacity_Input!$A:$A,$B584,[1]Fixture_Capacity_Input!$B:$B,$C584)&gt;0,SUMIFS([1]Fixture_Capacity_Input!$C:$C,[1]Fixture_Capacity_Input!$A:$A,$B584,[1]Fixture_Capacity_Input!$B:$B,$C584),[1]weekly_demand!G585))</f>
        <v/>
      </c>
      <c r="E584" s="62" t="str">
        <f>IF($A584="","",[1]weekly_demand!I585)</f>
        <v/>
      </c>
      <c r="F584" s="61" t="str">
        <f>IF($A584="","",IF($A584&lt;&gt;$A583,IFERROR(INDEX([1]FG_Begin_Inventory!$B:$B,MATCH($A584,[1]FG_Begin_Inventory!$A:$A,0)),0),J583))</f>
        <v/>
      </c>
      <c r="G584" s="61" t="str">
        <f t="shared" si="66"/>
        <v/>
      </c>
      <c r="H584" s="62" t="str">
        <f t="shared" si="67"/>
        <v/>
      </c>
      <c r="I584" s="62" t="str">
        <f t="shared" si="68"/>
        <v/>
      </c>
      <c r="J584" s="62" t="str">
        <f t="shared" si="69"/>
        <v/>
      </c>
      <c r="K584" s="62" t="str">
        <f t="shared" si="70"/>
        <v/>
      </c>
      <c r="L584" s="62" t="str">
        <f t="shared" si="71"/>
        <v/>
      </c>
      <c r="M584" s="63" t="str">
        <f t="shared" si="72"/>
        <v/>
      </c>
      <c r="N584" s="64"/>
    </row>
    <row r="585" spans="1:14" x14ac:dyDescent="0.3">
      <c r="A585" s="58" t="str">
        <f>IF([1]weekly_demand!A586="","",[1]weekly_demand!A586)</f>
        <v/>
      </c>
      <c r="B585" s="59" t="str">
        <f>IF($A585="","",[1]weekly_demand!F586)</f>
        <v/>
      </c>
      <c r="C585" s="60" t="str">
        <f>IF($A585="","",[1]weekly_demand!H586)</f>
        <v/>
      </c>
      <c r="D585" s="61" t="str">
        <f>IF($A585="","",IF(SUMIFS([1]Fixture_Capacity_Input!$C:$C,[1]Fixture_Capacity_Input!$A:$A,$B585,[1]Fixture_Capacity_Input!$B:$B,$C585)&gt;0,SUMIFS([1]Fixture_Capacity_Input!$C:$C,[1]Fixture_Capacity_Input!$A:$A,$B585,[1]Fixture_Capacity_Input!$B:$B,$C585),[1]weekly_demand!G586))</f>
        <v/>
      </c>
      <c r="E585" s="62" t="str">
        <f>IF($A585="","",[1]weekly_demand!I586)</f>
        <v/>
      </c>
      <c r="F585" s="61" t="str">
        <f>IF($A585="","",IF($A585&lt;&gt;$A584,IFERROR(INDEX([1]FG_Begin_Inventory!$B:$B,MATCH($A585,[1]FG_Begin_Inventory!$A:$A,0)),0),J584))</f>
        <v/>
      </c>
      <c r="G585" s="61" t="str">
        <f t="shared" si="66"/>
        <v/>
      </c>
      <c r="H585" s="62" t="str">
        <f t="shared" si="67"/>
        <v/>
      </c>
      <c r="I585" s="62" t="str">
        <f t="shared" si="68"/>
        <v/>
      </c>
      <c r="J585" s="62" t="str">
        <f t="shared" si="69"/>
        <v/>
      </c>
      <c r="K585" s="62" t="str">
        <f t="shared" si="70"/>
        <v/>
      </c>
      <c r="L585" s="62" t="str">
        <f t="shared" si="71"/>
        <v/>
      </c>
      <c r="M585" s="63" t="str">
        <f t="shared" si="72"/>
        <v/>
      </c>
      <c r="N585" s="64"/>
    </row>
    <row r="586" spans="1:14" x14ac:dyDescent="0.3">
      <c r="A586" s="58" t="str">
        <f>IF([1]weekly_demand!A587="","",[1]weekly_demand!A587)</f>
        <v/>
      </c>
      <c r="B586" s="59" t="str">
        <f>IF($A586="","",[1]weekly_demand!F587)</f>
        <v/>
      </c>
      <c r="C586" s="60" t="str">
        <f>IF($A586="","",[1]weekly_demand!H587)</f>
        <v/>
      </c>
      <c r="D586" s="61" t="str">
        <f>IF($A586="","",IF(SUMIFS([1]Fixture_Capacity_Input!$C:$C,[1]Fixture_Capacity_Input!$A:$A,$B586,[1]Fixture_Capacity_Input!$B:$B,$C586)&gt;0,SUMIFS([1]Fixture_Capacity_Input!$C:$C,[1]Fixture_Capacity_Input!$A:$A,$B586,[1]Fixture_Capacity_Input!$B:$B,$C586),[1]weekly_demand!G587))</f>
        <v/>
      </c>
      <c r="E586" s="62" t="str">
        <f>IF($A586="","",[1]weekly_demand!I587)</f>
        <v/>
      </c>
      <c r="F586" s="61" t="str">
        <f>IF($A586="","",IF($A586&lt;&gt;$A585,IFERROR(INDEX([1]FG_Begin_Inventory!$B:$B,MATCH($A586,[1]FG_Begin_Inventory!$A:$A,0)),0),J585))</f>
        <v/>
      </c>
      <c r="G586" s="61" t="str">
        <f t="shared" si="66"/>
        <v/>
      </c>
      <c r="H586" s="62" t="str">
        <f t="shared" si="67"/>
        <v/>
      </c>
      <c r="I586" s="62" t="str">
        <f t="shared" si="68"/>
        <v/>
      </c>
      <c r="J586" s="62" t="str">
        <f t="shared" si="69"/>
        <v/>
      </c>
      <c r="K586" s="62" t="str">
        <f t="shared" si="70"/>
        <v/>
      </c>
      <c r="L586" s="62" t="str">
        <f t="shared" si="71"/>
        <v/>
      </c>
      <c r="M586" s="63" t="str">
        <f t="shared" si="72"/>
        <v/>
      </c>
      <c r="N586" s="64"/>
    </row>
    <row r="587" spans="1:14" x14ac:dyDescent="0.3">
      <c r="A587" s="58" t="str">
        <f>IF([1]weekly_demand!A588="","",[1]weekly_demand!A588)</f>
        <v/>
      </c>
      <c r="B587" s="59" t="str">
        <f>IF($A587="","",[1]weekly_demand!F588)</f>
        <v/>
      </c>
      <c r="C587" s="60" t="str">
        <f>IF($A587="","",[1]weekly_demand!H588)</f>
        <v/>
      </c>
      <c r="D587" s="61" t="str">
        <f>IF($A587="","",IF(SUMIFS([1]Fixture_Capacity_Input!$C:$C,[1]Fixture_Capacity_Input!$A:$A,$B587,[1]Fixture_Capacity_Input!$B:$B,$C587)&gt;0,SUMIFS([1]Fixture_Capacity_Input!$C:$C,[1]Fixture_Capacity_Input!$A:$A,$B587,[1]Fixture_Capacity_Input!$B:$B,$C587),[1]weekly_demand!G588))</f>
        <v/>
      </c>
      <c r="E587" s="62" t="str">
        <f>IF($A587="","",[1]weekly_demand!I588)</f>
        <v/>
      </c>
      <c r="F587" s="61" t="str">
        <f>IF($A587="","",IF($A587&lt;&gt;$A586,IFERROR(INDEX([1]FG_Begin_Inventory!$B:$B,MATCH($A587,[1]FG_Begin_Inventory!$A:$A,0)),0),J586))</f>
        <v/>
      </c>
      <c r="G587" s="61" t="str">
        <f t="shared" si="66"/>
        <v/>
      </c>
      <c r="H587" s="62" t="str">
        <f t="shared" si="67"/>
        <v/>
      </c>
      <c r="I587" s="62" t="str">
        <f t="shared" si="68"/>
        <v/>
      </c>
      <c r="J587" s="62" t="str">
        <f t="shared" si="69"/>
        <v/>
      </c>
      <c r="K587" s="62" t="str">
        <f t="shared" si="70"/>
        <v/>
      </c>
      <c r="L587" s="62" t="str">
        <f t="shared" si="71"/>
        <v/>
      </c>
      <c r="M587" s="63" t="str">
        <f t="shared" si="72"/>
        <v/>
      </c>
      <c r="N587" s="64"/>
    </row>
    <row r="588" spans="1:14" x14ac:dyDescent="0.3">
      <c r="A588" s="58" t="str">
        <f>IF([1]weekly_demand!A589="","",[1]weekly_demand!A589)</f>
        <v/>
      </c>
      <c r="B588" s="59" t="str">
        <f>IF($A588="","",[1]weekly_demand!F589)</f>
        <v/>
      </c>
      <c r="C588" s="60" t="str">
        <f>IF($A588="","",[1]weekly_demand!H589)</f>
        <v/>
      </c>
      <c r="D588" s="61" t="str">
        <f>IF($A588="","",IF(SUMIFS([1]Fixture_Capacity_Input!$C:$C,[1]Fixture_Capacity_Input!$A:$A,$B588,[1]Fixture_Capacity_Input!$B:$B,$C588)&gt;0,SUMIFS([1]Fixture_Capacity_Input!$C:$C,[1]Fixture_Capacity_Input!$A:$A,$B588,[1]Fixture_Capacity_Input!$B:$B,$C588),[1]weekly_demand!G589))</f>
        <v/>
      </c>
      <c r="E588" s="62" t="str">
        <f>IF($A588="","",[1]weekly_demand!I589)</f>
        <v/>
      </c>
      <c r="F588" s="61" t="str">
        <f>IF($A588="","",IF($A588&lt;&gt;$A587,IFERROR(INDEX([1]FG_Begin_Inventory!$B:$B,MATCH($A588,[1]FG_Begin_Inventory!$A:$A,0)),0),J587))</f>
        <v/>
      </c>
      <c r="G588" s="61" t="str">
        <f t="shared" si="66"/>
        <v/>
      </c>
      <c r="H588" s="62" t="str">
        <f t="shared" si="67"/>
        <v/>
      </c>
      <c r="I588" s="62" t="str">
        <f t="shared" si="68"/>
        <v/>
      </c>
      <c r="J588" s="62" t="str">
        <f t="shared" si="69"/>
        <v/>
      </c>
      <c r="K588" s="62" t="str">
        <f t="shared" si="70"/>
        <v/>
      </c>
      <c r="L588" s="62" t="str">
        <f t="shared" si="71"/>
        <v/>
      </c>
      <c r="M588" s="63" t="str">
        <f t="shared" si="72"/>
        <v/>
      </c>
      <c r="N588" s="64"/>
    </row>
    <row r="589" spans="1:14" x14ac:dyDescent="0.3">
      <c r="A589" s="58" t="str">
        <f>IF([1]weekly_demand!A590="","",[1]weekly_demand!A590)</f>
        <v/>
      </c>
      <c r="B589" s="59" t="str">
        <f>IF($A589="","",[1]weekly_demand!F590)</f>
        <v/>
      </c>
      <c r="C589" s="60" t="str">
        <f>IF($A589="","",[1]weekly_demand!H590)</f>
        <v/>
      </c>
      <c r="D589" s="61" t="str">
        <f>IF($A589="","",IF(SUMIFS([1]Fixture_Capacity_Input!$C:$C,[1]Fixture_Capacity_Input!$A:$A,$B589,[1]Fixture_Capacity_Input!$B:$B,$C589)&gt;0,SUMIFS([1]Fixture_Capacity_Input!$C:$C,[1]Fixture_Capacity_Input!$A:$A,$B589,[1]Fixture_Capacity_Input!$B:$B,$C589),[1]weekly_demand!G590))</f>
        <v/>
      </c>
      <c r="E589" s="62" t="str">
        <f>IF($A589="","",[1]weekly_demand!I590)</f>
        <v/>
      </c>
      <c r="F589" s="61" t="str">
        <f>IF($A589="","",IF($A589&lt;&gt;$A588,IFERROR(INDEX([1]FG_Begin_Inventory!$B:$B,MATCH($A589,[1]FG_Begin_Inventory!$A:$A,0)),0),J588))</f>
        <v/>
      </c>
      <c r="G589" s="61" t="str">
        <f t="shared" si="66"/>
        <v/>
      </c>
      <c r="H589" s="62" t="str">
        <f t="shared" si="67"/>
        <v/>
      </c>
      <c r="I589" s="62" t="str">
        <f t="shared" si="68"/>
        <v/>
      </c>
      <c r="J589" s="62" t="str">
        <f t="shared" si="69"/>
        <v/>
      </c>
      <c r="K589" s="62" t="str">
        <f t="shared" si="70"/>
        <v/>
      </c>
      <c r="L589" s="62" t="str">
        <f t="shared" si="71"/>
        <v/>
      </c>
      <c r="M589" s="63" t="str">
        <f t="shared" si="72"/>
        <v/>
      </c>
      <c r="N589" s="64"/>
    </row>
    <row r="590" spans="1:14" x14ac:dyDescent="0.3">
      <c r="A590" s="58" t="str">
        <f>IF([1]weekly_demand!A591="","",[1]weekly_demand!A591)</f>
        <v/>
      </c>
      <c r="B590" s="59" t="str">
        <f>IF($A590="","",[1]weekly_demand!F591)</f>
        <v/>
      </c>
      <c r="C590" s="60" t="str">
        <f>IF($A590="","",[1]weekly_demand!H591)</f>
        <v/>
      </c>
      <c r="D590" s="61" t="str">
        <f>IF($A590="","",IF(SUMIFS([1]Fixture_Capacity_Input!$C:$C,[1]Fixture_Capacity_Input!$A:$A,$B590,[1]Fixture_Capacity_Input!$B:$B,$C590)&gt;0,SUMIFS([1]Fixture_Capacity_Input!$C:$C,[1]Fixture_Capacity_Input!$A:$A,$B590,[1]Fixture_Capacity_Input!$B:$B,$C590),[1]weekly_demand!G591))</f>
        <v/>
      </c>
      <c r="E590" s="62" t="str">
        <f>IF($A590="","",[1]weekly_demand!I591)</f>
        <v/>
      </c>
      <c r="F590" s="61" t="str">
        <f>IF($A590="","",IF($A590&lt;&gt;$A589,IFERROR(INDEX([1]FG_Begin_Inventory!$B:$B,MATCH($A590,[1]FG_Begin_Inventory!$A:$A,0)),0),J589))</f>
        <v/>
      </c>
      <c r="G590" s="61" t="str">
        <f t="shared" si="66"/>
        <v/>
      </c>
      <c r="H590" s="62" t="str">
        <f t="shared" si="67"/>
        <v/>
      </c>
      <c r="I590" s="62" t="str">
        <f t="shared" si="68"/>
        <v/>
      </c>
      <c r="J590" s="62" t="str">
        <f t="shared" si="69"/>
        <v/>
      </c>
      <c r="K590" s="62" t="str">
        <f t="shared" si="70"/>
        <v/>
      </c>
      <c r="L590" s="62" t="str">
        <f t="shared" si="71"/>
        <v/>
      </c>
      <c r="M590" s="63" t="str">
        <f t="shared" si="72"/>
        <v/>
      </c>
      <c r="N590" s="64"/>
    </row>
    <row r="591" spans="1:14" x14ac:dyDescent="0.3">
      <c r="A591" s="58" t="str">
        <f>IF([1]weekly_demand!A592="","",[1]weekly_demand!A592)</f>
        <v/>
      </c>
      <c r="B591" s="59" t="str">
        <f>IF($A591="","",[1]weekly_demand!F592)</f>
        <v/>
      </c>
      <c r="C591" s="60" t="str">
        <f>IF($A591="","",[1]weekly_demand!H592)</f>
        <v/>
      </c>
      <c r="D591" s="61" t="str">
        <f>IF($A591="","",IF(SUMIFS([1]Fixture_Capacity_Input!$C:$C,[1]Fixture_Capacity_Input!$A:$A,$B591,[1]Fixture_Capacity_Input!$B:$B,$C591)&gt;0,SUMIFS([1]Fixture_Capacity_Input!$C:$C,[1]Fixture_Capacity_Input!$A:$A,$B591,[1]Fixture_Capacity_Input!$B:$B,$C591),[1]weekly_demand!G592))</f>
        <v/>
      </c>
      <c r="E591" s="62" t="str">
        <f>IF($A591="","",[1]weekly_demand!I592)</f>
        <v/>
      </c>
      <c r="F591" s="61" t="str">
        <f>IF($A591="","",IF($A591&lt;&gt;$A590,IFERROR(INDEX([1]FG_Begin_Inventory!$B:$B,MATCH($A591,[1]FG_Begin_Inventory!$A:$A,0)),0),J590))</f>
        <v/>
      </c>
      <c r="G591" s="61" t="str">
        <f t="shared" si="66"/>
        <v/>
      </c>
      <c r="H591" s="62" t="str">
        <f t="shared" si="67"/>
        <v/>
      </c>
      <c r="I591" s="62" t="str">
        <f t="shared" si="68"/>
        <v/>
      </c>
      <c r="J591" s="62" t="str">
        <f t="shared" si="69"/>
        <v/>
      </c>
      <c r="K591" s="62" t="str">
        <f t="shared" si="70"/>
        <v/>
      </c>
      <c r="L591" s="62" t="str">
        <f t="shared" si="71"/>
        <v/>
      </c>
      <c r="M591" s="63" t="str">
        <f t="shared" si="72"/>
        <v/>
      </c>
      <c r="N591" s="64"/>
    </row>
    <row r="592" spans="1:14" x14ac:dyDescent="0.3">
      <c r="A592" s="58" t="str">
        <f>IF([1]weekly_demand!A593="","",[1]weekly_demand!A593)</f>
        <v/>
      </c>
      <c r="B592" s="59" t="str">
        <f>IF($A592="","",[1]weekly_demand!F593)</f>
        <v/>
      </c>
      <c r="C592" s="60" t="str">
        <f>IF($A592="","",[1]weekly_demand!H593)</f>
        <v/>
      </c>
      <c r="D592" s="61" t="str">
        <f>IF($A592="","",IF(SUMIFS([1]Fixture_Capacity_Input!$C:$C,[1]Fixture_Capacity_Input!$A:$A,$B592,[1]Fixture_Capacity_Input!$B:$B,$C592)&gt;0,SUMIFS([1]Fixture_Capacity_Input!$C:$C,[1]Fixture_Capacity_Input!$A:$A,$B592,[1]Fixture_Capacity_Input!$B:$B,$C592),[1]weekly_demand!G593))</f>
        <v/>
      </c>
      <c r="E592" s="62" t="str">
        <f>IF($A592="","",[1]weekly_demand!I593)</f>
        <v/>
      </c>
      <c r="F592" s="61" t="str">
        <f>IF($A592="","",IF($A592&lt;&gt;$A591,IFERROR(INDEX([1]FG_Begin_Inventory!$B:$B,MATCH($A592,[1]FG_Begin_Inventory!$A:$A,0)),0),J591))</f>
        <v/>
      </c>
      <c r="G592" s="61" t="str">
        <f t="shared" si="66"/>
        <v/>
      </c>
      <c r="H592" s="62" t="str">
        <f t="shared" si="67"/>
        <v/>
      </c>
      <c r="I592" s="62" t="str">
        <f t="shared" si="68"/>
        <v/>
      </c>
      <c r="J592" s="62" t="str">
        <f t="shared" si="69"/>
        <v/>
      </c>
      <c r="K592" s="62" t="str">
        <f t="shared" si="70"/>
        <v/>
      </c>
      <c r="L592" s="62" t="str">
        <f t="shared" si="71"/>
        <v/>
      </c>
      <c r="M592" s="63" t="str">
        <f t="shared" si="72"/>
        <v/>
      </c>
      <c r="N592" s="64"/>
    </row>
    <row r="593" spans="1:14" x14ac:dyDescent="0.3">
      <c r="A593" s="58" t="str">
        <f>IF([1]weekly_demand!A594="","",[1]weekly_demand!A594)</f>
        <v/>
      </c>
      <c r="B593" s="59" t="str">
        <f>IF($A593="","",[1]weekly_demand!F594)</f>
        <v/>
      </c>
      <c r="C593" s="60" t="str">
        <f>IF($A593="","",[1]weekly_demand!H594)</f>
        <v/>
      </c>
      <c r="D593" s="61" t="str">
        <f>IF($A593="","",IF(SUMIFS([1]Fixture_Capacity_Input!$C:$C,[1]Fixture_Capacity_Input!$A:$A,$B593,[1]Fixture_Capacity_Input!$B:$B,$C593)&gt;0,SUMIFS([1]Fixture_Capacity_Input!$C:$C,[1]Fixture_Capacity_Input!$A:$A,$B593,[1]Fixture_Capacity_Input!$B:$B,$C593),[1]weekly_demand!G594))</f>
        <v/>
      </c>
      <c r="E593" s="62" t="str">
        <f>IF($A593="","",[1]weekly_demand!I594)</f>
        <v/>
      </c>
      <c r="F593" s="61" t="str">
        <f>IF($A593="","",IF($A593&lt;&gt;$A592,IFERROR(INDEX([1]FG_Begin_Inventory!$B:$B,MATCH($A593,[1]FG_Begin_Inventory!$A:$A,0)),0),J592))</f>
        <v/>
      </c>
      <c r="G593" s="61" t="str">
        <f t="shared" si="66"/>
        <v/>
      </c>
      <c r="H593" s="62" t="str">
        <f t="shared" si="67"/>
        <v/>
      </c>
      <c r="I593" s="62" t="str">
        <f t="shared" si="68"/>
        <v/>
      </c>
      <c r="J593" s="62" t="str">
        <f t="shared" si="69"/>
        <v/>
      </c>
      <c r="K593" s="62" t="str">
        <f t="shared" si="70"/>
        <v/>
      </c>
      <c r="L593" s="62" t="str">
        <f t="shared" si="71"/>
        <v/>
      </c>
      <c r="M593" s="63" t="str">
        <f t="shared" si="72"/>
        <v/>
      </c>
      <c r="N593" s="64"/>
    </row>
    <row r="594" spans="1:14" x14ac:dyDescent="0.3">
      <c r="A594" s="58" t="str">
        <f>IF([1]weekly_demand!A595="","",[1]weekly_demand!A595)</f>
        <v/>
      </c>
      <c r="B594" s="59" t="str">
        <f>IF($A594="","",[1]weekly_demand!F595)</f>
        <v/>
      </c>
      <c r="C594" s="60" t="str">
        <f>IF($A594="","",[1]weekly_demand!H595)</f>
        <v/>
      </c>
      <c r="D594" s="61" t="str">
        <f>IF($A594="","",IF(SUMIFS([1]Fixture_Capacity_Input!$C:$C,[1]Fixture_Capacity_Input!$A:$A,$B594,[1]Fixture_Capacity_Input!$B:$B,$C594)&gt;0,SUMIFS([1]Fixture_Capacity_Input!$C:$C,[1]Fixture_Capacity_Input!$A:$A,$B594,[1]Fixture_Capacity_Input!$B:$B,$C594),[1]weekly_demand!G595))</f>
        <v/>
      </c>
      <c r="E594" s="62" t="str">
        <f>IF($A594="","",[1]weekly_demand!I595)</f>
        <v/>
      </c>
      <c r="F594" s="61" t="str">
        <f>IF($A594="","",IF($A594&lt;&gt;$A593,IFERROR(INDEX([1]FG_Begin_Inventory!$B:$B,MATCH($A594,[1]FG_Begin_Inventory!$A:$A,0)),0),J593))</f>
        <v/>
      </c>
      <c r="G594" s="61" t="str">
        <f t="shared" si="66"/>
        <v/>
      </c>
      <c r="H594" s="62" t="str">
        <f t="shared" si="67"/>
        <v/>
      </c>
      <c r="I594" s="62" t="str">
        <f t="shared" si="68"/>
        <v/>
      </c>
      <c r="J594" s="62" t="str">
        <f t="shared" si="69"/>
        <v/>
      </c>
      <c r="K594" s="62" t="str">
        <f t="shared" si="70"/>
        <v/>
      </c>
      <c r="L594" s="62" t="str">
        <f t="shared" si="71"/>
        <v/>
      </c>
      <c r="M594" s="63" t="str">
        <f t="shared" si="72"/>
        <v/>
      </c>
      <c r="N594" s="64"/>
    </row>
    <row r="595" spans="1:14" x14ac:dyDescent="0.3">
      <c r="A595" s="58" t="str">
        <f>IF([1]weekly_demand!A596="","",[1]weekly_demand!A596)</f>
        <v/>
      </c>
      <c r="B595" s="59" t="str">
        <f>IF($A595="","",[1]weekly_demand!F596)</f>
        <v/>
      </c>
      <c r="C595" s="60" t="str">
        <f>IF($A595="","",[1]weekly_demand!H596)</f>
        <v/>
      </c>
      <c r="D595" s="61" t="str">
        <f>IF($A595="","",IF(SUMIFS([1]Fixture_Capacity_Input!$C:$C,[1]Fixture_Capacity_Input!$A:$A,$B595,[1]Fixture_Capacity_Input!$B:$B,$C595)&gt;0,SUMIFS([1]Fixture_Capacity_Input!$C:$C,[1]Fixture_Capacity_Input!$A:$A,$B595,[1]Fixture_Capacity_Input!$B:$B,$C595),[1]weekly_demand!G596))</f>
        <v/>
      </c>
      <c r="E595" s="62" t="str">
        <f>IF($A595="","",[1]weekly_demand!I596)</f>
        <v/>
      </c>
      <c r="F595" s="61" t="str">
        <f>IF($A595="","",IF($A595&lt;&gt;$A594,IFERROR(INDEX([1]FG_Begin_Inventory!$B:$B,MATCH($A595,[1]FG_Begin_Inventory!$A:$A,0)),0),J594))</f>
        <v/>
      </c>
      <c r="G595" s="61" t="str">
        <f t="shared" si="66"/>
        <v/>
      </c>
      <c r="H595" s="62" t="str">
        <f t="shared" si="67"/>
        <v/>
      </c>
      <c r="I595" s="62" t="str">
        <f t="shared" si="68"/>
        <v/>
      </c>
      <c r="J595" s="62" t="str">
        <f t="shared" si="69"/>
        <v/>
      </c>
      <c r="K595" s="62" t="str">
        <f t="shared" si="70"/>
        <v/>
      </c>
      <c r="L595" s="62" t="str">
        <f t="shared" si="71"/>
        <v/>
      </c>
      <c r="M595" s="63" t="str">
        <f t="shared" si="72"/>
        <v/>
      </c>
      <c r="N595" s="64"/>
    </row>
    <row r="596" spans="1:14" x14ac:dyDescent="0.3">
      <c r="A596" s="58" t="str">
        <f>IF([1]weekly_demand!A597="","",[1]weekly_demand!A597)</f>
        <v/>
      </c>
      <c r="B596" s="59" t="str">
        <f>IF($A596="","",[1]weekly_demand!F597)</f>
        <v/>
      </c>
      <c r="C596" s="60" t="str">
        <f>IF($A596="","",[1]weekly_demand!H597)</f>
        <v/>
      </c>
      <c r="D596" s="61" t="str">
        <f>IF($A596="","",IF(SUMIFS([1]Fixture_Capacity_Input!$C:$C,[1]Fixture_Capacity_Input!$A:$A,$B596,[1]Fixture_Capacity_Input!$B:$B,$C596)&gt;0,SUMIFS([1]Fixture_Capacity_Input!$C:$C,[1]Fixture_Capacity_Input!$A:$A,$B596,[1]Fixture_Capacity_Input!$B:$B,$C596),[1]weekly_demand!G597))</f>
        <v/>
      </c>
      <c r="E596" s="62" t="str">
        <f>IF($A596="","",[1]weekly_demand!I597)</f>
        <v/>
      </c>
      <c r="F596" s="61" t="str">
        <f>IF($A596="","",IF($A596&lt;&gt;$A595,IFERROR(INDEX([1]FG_Begin_Inventory!$B:$B,MATCH($A596,[1]FG_Begin_Inventory!$A:$A,0)),0),J595))</f>
        <v/>
      </c>
      <c r="G596" s="61" t="str">
        <f t="shared" si="66"/>
        <v/>
      </c>
      <c r="H596" s="62" t="str">
        <f t="shared" si="67"/>
        <v/>
      </c>
      <c r="I596" s="62" t="str">
        <f t="shared" si="68"/>
        <v/>
      </c>
      <c r="J596" s="62" t="str">
        <f t="shared" si="69"/>
        <v/>
      </c>
      <c r="K596" s="62" t="str">
        <f t="shared" si="70"/>
        <v/>
      </c>
      <c r="L596" s="62" t="str">
        <f t="shared" si="71"/>
        <v/>
      </c>
      <c r="M596" s="63" t="str">
        <f t="shared" si="72"/>
        <v/>
      </c>
      <c r="N596" s="64"/>
    </row>
    <row r="597" spans="1:14" x14ac:dyDescent="0.3">
      <c r="A597" s="58" t="str">
        <f>IF([1]weekly_demand!A598="","",[1]weekly_demand!A598)</f>
        <v/>
      </c>
      <c r="B597" s="59" t="str">
        <f>IF($A597="","",[1]weekly_demand!F598)</f>
        <v/>
      </c>
      <c r="C597" s="60" t="str">
        <f>IF($A597="","",[1]weekly_demand!H598)</f>
        <v/>
      </c>
      <c r="D597" s="61" t="str">
        <f>IF($A597="","",IF(SUMIFS([1]Fixture_Capacity_Input!$C:$C,[1]Fixture_Capacity_Input!$A:$A,$B597,[1]Fixture_Capacity_Input!$B:$B,$C597)&gt;0,SUMIFS([1]Fixture_Capacity_Input!$C:$C,[1]Fixture_Capacity_Input!$A:$A,$B597,[1]Fixture_Capacity_Input!$B:$B,$C597),[1]weekly_demand!G598))</f>
        <v/>
      </c>
      <c r="E597" s="62" t="str">
        <f>IF($A597="","",[1]weekly_demand!I598)</f>
        <v/>
      </c>
      <c r="F597" s="61" t="str">
        <f>IF($A597="","",IF($A597&lt;&gt;$A596,IFERROR(INDEX([1]FG_Begin_Inventory!$B:$B,MATCH($A597,[1]FG_Begin_Inventory!$A:$A,0)),0),J596))</f>
        <v/>
      </c>
      <c r="G597" s="61" t="str">
        <f t="shared" si="66"/>
        <v/>
      </c>
      <c r="H597" s="62" t="str">
        <f t="shared" si="67"/>
        <v/>
      </c>
      <c r="I597" s="62" t="str">
        <f t="shared" si="68"/>
        <v/>
      </c>
      <c r="J597" s="62" t="str">
        <f t="shared" si="69"/>
        <v/>
      </c>
      <c r="K597" s="62" t="str">
        <f t="shared" si="70"/>
        <v/>
      </c>
      <c r="L597" s="62" t="str">
        <f t="shared" si="71"/>
        <v/>
      </c>
      <c r="M597" s="63" t="str">
        <f t="shared" si="72"/>
        <v/>
      </c>
      <c r="N597" s="64"/>
    </row>
    <row r="598" spans="1:14" x14ac:dyDescent="0.3">
      <c r="A598" s="58" t="str">
        <f>IF([1]weekly_demand!A599="","",[1]weekly_demand!A599)</f>
        <v/>
      </c>
      <c r="B598" s="59" t="str">
        <f>IF($A598="","",[1]weekly_demand!F599)</f>
        <v/>
      </c>
      <c r="C598" s="60" t="str">
        <f>IF($A598="","",[1]weekly_demand!H599)</f>
        <v/>
      </c>
      <c r="D598" s="61" t="str">
        <f>IF($A598="","",IF(SUMIFS([1]Fixture_Capacity_Input!$C:$C,[1]Fixture_Capacity_Input!$A:$A,$B598,[1]Fixture_Capacity_Input!$B:$B,$C598)&gt;0,SUMIFS([1]Fixture_Capacity_Input!$C:$C,[1]Fixture_Capacity_Input!$A:$A,$B598,[1]Fixture_Capacity_Input!$B:$B,$C598),[1]weekly_demand!G599))</f>
        <v/>
      </c>
      <c r="E598" s="62" t="str">
        <f>IF($A598="","",[1]weekly_demand!I599)</f>
        <v/>
      </c>
      <c r="F598" s="61" t="str">
        <f>IF($A598="","",IF($A598&lt;&gt;$A597,IFERROR(INDEX([1]FG_Begin_Inventory!$B:$B,MATCH($A598,[1]FG_Begin_Inventory!$A:$A,0)),0),J597))</f>
        <v/>
      </c>
      <c r="G598" s="61" t="str">
        <f t="shared" si="66"/>
        <v/>
      </c>
      <c r="H598" s="62" t="str">
        <f t="shared" si="67"/>
        <v/>
      </c>
      <c r="I598" s="62" t="str">
        <f t="shared" si="68"/>
        <v/>
      </c>
      <c r="J598" s="62" t="str">
        <f t="shared" si="69"/>
        <v/>
      </c>
      <c r="K598" s="62" t="str">
        <f t="shared" si="70"/>
        <v/>
      </c>
      <c r="L598" s="62" t="str">
        <f t="shared" si="71"/>
        <v/>
      </c>
      <c r="M598" s="63" t="str">
        <f t="shared" si="72"/>
        <v/>
      </c>
      <c r="N598" s="64"/>
    </row>
    <row r="599" spans="1:14" x14ac:dyDescent="0.3">
      <c r="A599" s="58" t="str">
        <f>IF([1]weekly_demand!A600="","",[1]weekly_demand!A600)</f>
        <v/>
      </c>
      <c r="B599" s="59" t="str">
        <f>IF($A599="","",[1]weekly_demand!F600)</f>
        <v/>
      </c>
      <c r="C599" s="60" t="str">
        <f>IF($A599="","",[1]weekly_demand!H600)</f>
        <v/>
      </c>
      <c r="D599" s="61" t="str">
        <f>IF($A599="","",IF(SUMIFS([1]Fixture_Capacity_Input!$C:$C,[1]Fixture_Capacity_Input!$A:$A,$B599,[1]Fixture_Capacity_Input!$B:$B,$C599)&gt;0,SUMIFS([1]Fixture_Capacity_Input!$C:$C,[1]Fixture_Capacity_Input!$A:$A,$B599,[1]Fixture_Capacity_Input!$B:$B,$C599),[1]weekly_demand!G600))</f>
        <v/>
      </c>
      <c r="E599" s="62" t="str">
        <f>IF($A599="","",[1]weekly_demand!I600)</f>
        <v/>
      </c>
      <c r="F599" s="61" t="str">
        <f>IF($A599="","",IF($A599&lt;&gt;$A598,IFERROR(INDEX([1]FG_Begin_Inventory!$B:$B,MATCH($A599,[1]FG_Begin_Inventory!$A:$A,0)),0),J598))</f>
        <v/>
      </c>
      <c r="G599" s="61" t="str">
        <f t="shared" si="66"/>
        <v/>
      </c>
      <c r="H599" s="62" t="str">
        <f t="shared" si="67"/>
        <v/>
      </c>
      <c r="I599" s="62" t="str">
        <f t="shared" si="68"/>
        <v/>
      </c>
      <c r="J599" s="62" t="str">
        <f t="shared" si="69"/>
        <v/>
      </c>
      <c r="K599" s="62" t="str">
        <f t="shared" si="70"/>
        <v/>
      </c>
      <c r="L599" s="62" t="str">
        <f t="shared" si="71"/>
        <v/>
      </c>
      <c r="M599" s="63" t="str">
        <f t="shared" si="72"/>
        <v/>
      </c>
      <c r="N599" s="64"/>
    </row>
    <row r="600" spans="1:14" x14ac:dyDescent="0.3">
      <c r="A600" s="58" t="str">
        <f>IF([1]weekly_demand!A601="","",[1]weekly_demand!A601)</f>
        <v/>
      </c>
      <c r="B600" s="59" t="str">
        <f>IF($A600="","",[1]weekly_demand!F601)</f>
        <v/>
      </c>
      <c r="C600" s="60" t="str">
        <f>IF($A600="","",[1]weekly_demand!H601)</f>
        <v/>
      </c>
      <c r="D600" s="61" t="str">
        <f>IF($A600="","",IF(SUMIFS([1]Fixture_Capacity_Input!$C:$C,[1]Fixture_Capacity_Input!$A:$A,$B600,[1]Fixture_Capacity_Input!$B:$B,$C600)&gt;0,SUMIFS([1]Fixture_Capacity_Input!$C:$C,[1]Fixture_Capacity_Input!$A:$A,$B600,[1]Fixture_Capacity_Input!$B:$B,$C600),[1]weekly_demand!G601))</f>
        <v/>
      </c>
      <c r="E600" s="62" t="str">
        <f>IF($A600="","",[1]weekly_demand!I601)</f>
        <v/>
      </c>
      <c r="F600" s="61" t="str">
        <f>IF($A600="","",IF($A600&lt;&gt;$A599,IFERROR(INDEX([1]FG_Begin_Inventory!$B:$B,MATCH($A600,[1]FG_Begin_Inventory!$A:$A,0)),0),J599))</f>
        <v/>
      </c>
      <c r="G600" s="61" t="str">
        <f t="shared" si="66"/>
        <v/>
      </c>
      <c r="H600" s="62" t="str">
        <f t="shared" si="67"/>
        <v/>
      </c>
      <c r="I600" s="62" t="str">
        <f t="shared" si="68"/>
        <v/>
      </c>
      <c r="J600" s="62" t="str">
        <f t="shared" si="69"/>
        <v/>
      </c>
      <c r="K600" s="62" t="str">
        <f t="shared" si="70"/>
        <v/>
      </c>
      <c r="L600" s="62" t="str">
        <f t="shared" si="71"/>
        <v/>
      </c>
      <c r="M600" s="63" t="str">
        <f t="shared" si="72"/>
        <v/>
      </c>
      <c r="N600" s="64"/>
    </row>
    <row r="601" spans="1:14" x14ac:dyDescent="0.3">
      <c r="A601" s="58" t="str">
        <f>IF([1]weekly_demand!A602="","",[1]weekly_demand!A602)</f>
        <v/>
      </c>
      <c r="B601" s="59" t="str">
        <f>IF($A601="","",[1]weekly_demand!F602)</f>
        <v/>
      </c>
      <c r="C601" s="60" t="str">
        <f>IF($A601="","",[1]weekly_demand!H602)</f>
        <v/>
      </c>
      <c r="D601" s="61" t="str">
        <f>IF($A601="","",IF(SUMIFS([1]Fixture_Capacity_Input!$C:$C,[1]Fixture_Capacity_Input!$A:$A,$B601,[1]Fixture_Capacity_Input!$B:$B,$C601)&gt;0,SUMIFS([1]Fixture_Capacity_Input!$C:$C,[1]Fixture_Capacity_Input!$A:$A,$B601,[1]Fixture_Capacity_Input!$B:$B,$C601),[1]weekly_demand!G602))</f>
        <v/>
      </c>
      <c r="E601" s="62" t="str">
        <f>IF($A601="","",[1]weekly_demand!I602)</f>
        <v/>
      </c>
      <c r="F601" s="61" t="str">
        <f>IF($A601="","",IF($A601&lt;&gt;$A600,IFERROR(INDEX([1]FG_Begin_Inventory!$B:$B,MATCH($A601,[1]FG_Begin_Inventory!$A:$A,0)),0),J600))</f>
        <v/>
      </c>
      <c r="G601" s="61" t="str">
        <f t="shared" si="66"/>
        <v/>
      </c>
      <c r="H601" s="62" t="str">
        <f t="shared" si="67"/>
        <v/>
      </c>
      <c r="I601" s="62" t="str">
        <f t="shared" si="68"/>
        <v/>
      </c>
      <c r="J601" s="62" t="str">
        <f t="shared" si="69"/>
        <v/>
      </c>
      <c r="K601" s="62" t="str">
        <f t="shared" si="70"/>
        <v/>
      </c>
      <c r="L601" s="62" t="str">
        <f t="shared" si="71"/>
        <v/>
      </c>
      <c r="M601" s="63" t="str">
        <f t="shared" si="72"/>
        <v/>
      </c>
      <c r="N601" s="64"/>
    </row>
    <row r="602" spans="1:14" x14ac:dyDescent="0.3">
      <c r="A602" s="58" t="str">
        <f>IF([1]weekly_demand!A603="","",[1]weekly_demand!A603)</f>
        <v/>
      </c>
      <c r="B602" s="59" t="str">
        <f>IF($A602="","",[1]weekly_demand!F603)</f>
        <v/>
      </c>
      <c r="C602" s="60" t="str">
        <f>IF($A602="","",[1]weekly_demand!H603)</f>
        <v/>
      </c>
      <c r="D602" s="61" t="str">
        <f>IF($A602="","",IF(SUMIFS([1]Fixture_Capacity_Input!$C:$C,[1]Fixture_Capacity_Input!$A:$A,$B602,[1]Fixture_Capacity_Input!$B:$B,$C602)&gt;0,SUMIFS([1]Fixture_Capacity_Input!$C:$C,[1]Fixture_Capacity_Input!$A:$A,$B602,[1]Fixture_Capacity_Input!$B:$B,$C602),[1]weekly_demand!G603))</f>
        <v/>
      </c>
      <c r="E602" s="62" t="str">
        <f>IF($A602="","",[1]weekly_demand!I603)</f>
        <v/>
      </c>
      <c r="F602" s="61" t="str">
        <f>IF($A602="","",IF($A602&lt;&gt;$A601,IFERROR(INDEX([1]FG_Begin_Inventory!$B:$B,MATCH($A602,[1]FG_Begin_Inventory!$A:$A,0)),0),J601))</f>
        <v/>
      </c>
      <c r="G602" s="61" t="str">
        <f t="shared" si="66"/>
        <v/>
      </c>
      <c r="H602" s="62" t="str">
        <f t="shared" si="67"/>
        <v/>
      </c>
      <c r="I602" s="62" t="str">
        <f t="shared" si="68"/>
        <v/>
      </c>
      <c r="J602" s="62" t="str">
        <f t="shared" si="69"/>
        <v/>
      </c>
      <c r="K602" s="62" t="str">
        <f t="shared" si="70"/>
        <v/>
      </c>
      <c r="L602" s="62" t="str">
        <f t="shared" si="71"/>
        <v/>
      </c>
      <c r="M602" s="63" t="str">
        <f t="shared" si="72"/>
        <v/>
      </c>
      <c r="N602" s="64"/>
    </row>
    <row r="603" spans="1:14" x14ac:dyDescent="0.3">
      <c r="A603" s="58" t="str">
        <f>IF([1]weekly_demand!A604="","",[1]weekly_demand!A604)</f>
        <v/>
      </c>
      <c r="B603" s="59" t="str">
        <f>IF($A603="","",[1]weekly_demand!F604)</f>
        <v/>
      </c>
      <c r="C603" s="60" t="str">
        <f>IF($A603="","",[1]weekly_demand!H604)</f>
        <v/>
      </c>
      <c r="D603" s="61" t="str">
        <f>IF($A603="","",IF(SUMIFS([1]Fixture_Capacity_Input!$C:$C,[1]Fixture_Capacity_Input!$A:$A,$B603,[1]Fixture_Capacity_Input!$B:$B,$C603)&gt;0,SUMIFS([1]Fixture_Capacity_Input!$C:$C,[1]Fixture_Capacity_Input!$A:$A,$B603,[1]Fixture_Capacity_Input!$B:$B,$C603),[1]weekly_demand!G604))</f>
        <v/>
      </c>
      <c r="E603" s="62" t="str">
        <f>IF($A603="","",[1]weekly_demand!I604)</f>
        <v/>
      </c>
      <c r="F603" s="61" t="str">
        <f>IF($A603="","",IF($A603&lt;&gt;$A602,IFERROR(INDEX([1]FG_Begin_Inventory!$B:$B,MATCH($A603,[1]FG_Begin_Inventory!$A:$A,0)),0),J602))</f>
        <v/>
      </c>
      <c r="G603" s="61" t="str">
        <f t="shared" si="66"/>
        <v/>
      </c>
      <c r="H603" s="62" t="str">
        <f t="shared" si="67"/>
        <v/>
      </c>
      <c r="I603" s="62" t="str">
        <f t="shared" si="68"/>
        <v/>
      </c>
      <c r="J603" s="62" t="str">
        <f t="shared" si="69"/>
        <v/>
      </c>
      <c r="K603" s="62" t="str">
        <f t="shared" si="70"/>
        <v/>
      </c>
      <c r="L603" s="62" t="str">
        <f t="shared" si="71"/>
        <v/>
      </c>
      <c r="M603" s="63" t="str">
        <f t="shared" si="72"/>
        <v/>
      </c>
      <c r="N603" s="64"/>
    </row>
    <row r="604" spans="1:14" x14ac:dyDescent="0.3">
      <c r="A604" s="58" t="str">
        <f>IF([1]weekly_demand!A605="","",[1]weekly_demand!A605)</f>
        <v/>
      </c>
      <c r="B604" s="59" t="str">
        <f>IF($A604="","",[1]weekly_demand!F605)</f>
        <v/>
      </c>
      <c r="C604" s="60" t="str">
        <f>IF($A604="","",[1]weekly_demand!H605)</f>
        <v/>
      </c>
      <c r="D604" s="61" t="str">
        <f>IF($A604="","",IF(SUMIFS([1]Fixture_Capacity_Input!$C:$C,[1]Fixture_Capacity_Input!$A:$A,$B604,[1]Fixture_Capacity_Input!$B:$B,$C604)&gt;0,SUMIFS([1]Fixture_Capacity_Input!$C:$C,[1]Fixture_Capacity_Input!$A:$A,$B604,[1]Fixture_Capacity_Input!$B:$B,$C604),[1]weekly_demand!G605))</f>
        <v/>
      </c>
      <c r="E604" s="62" t="str">
        <f>IF($A604="","",[1]weekly_demand!I605)</f>
        <v/>
      </c>
      <c r="F604" s="61" t="str">
        <f>IF($A604="","",IF($A604&lt;&gt;$A603,IFERROR(INDEX([1]FG_Begin_Inventory!$B:$B,MATCH($A604,[1]FG_Begin_Inventory!$A:$A,0)),0),J603))</f>
        <v/>
      </c>
      <c r="G604" s="61" t="str">
        <f t="shared" si="66"/>
        <v/>
      </c>
      <c r="H604" s="62" t="str">
        <f t="shared" si="67"/>
        <v/>
      </c>
      <c r="I604" s="62" t="str">
        <f t="shared" si="68"/>
        <v/>
      </c>
      <c r="J604" s="62" t="str">
        <f t="shared" si="69"/>
        <v/>
      </c>
      <c r="K604" s="62" t="str">
        <f t="shared" si="70"/>
        <v/>
      </c>
      <c r="L604" s="62" t="str">
        <f t="shared" si="71"/>
        <v/>
      </c>
      <c r="M604" s="63" t="str">
        <f t="shared" si="72"/>
        <v/>
      </c>
      <c r="N604" s="64"/>
    </row>
    <row r="605" spans="1:14" x14ac:dyDescent="0.3">
      <c r="A605" s="58" t="str">
        <f>IF([1]weekly_demand!A606="","",[1]weekly_demand!A606)</f>
        <v/>
      </c>
      <c r="B605" s="59" t="str">
        <f>IF($A605="","",[1]weekly_demand!F606)</f>
        <v/>
      </c>
      <c r="C605" s="60" t="str">
        <f>IF($A605="","",[1]weekly_demand!H606)</f>
        <v/>
      </c>
      <c r="D605" s="61" t="str">
        <f>IF($A605="","",IF(SUMIFS([1]Fixture_Capacity_Input!$C:$C,[1]Fixture_Capacity_Input!$A:$A,$B605,[1]Fixture_Capacity_Input!$B:$B,$C605)&gt;0,SUMIFS([1]Fixture_Capacity_Input!$C:$C,[1]Fixture_Capacity_Input!$A:$A,$B605,[1]Fixture_Capacity_Input!$B:$B,$C605),[1]weekly_demand!G606))</f>
        <v/>
      </c>
      <c r="E605" s="62" t="str">
        <f>IF($A605="","",[1]weekly_demand!I606)</f>
        <v/>
      </c>
      <c r="F605" s="61" t="str">
        <f>IF($A605="","",IF($A605&lt;&gt;$A604,IFERROR(INDEX([1]FG_Begin_Inventory!$B:$B,MATCH($A605,[1]FG_Begin_Inventory!$A:$A,0)),0),J604))</f>
        <v/>
      </c>
      <c r="G605" s="61" t="str">
        <f t="shared" si="66"/>
        <v/>
      </c>
      <c r="H605" s="62" t="str">
        <f t="shared" si="67"/>
        <v/>
      </c>
      <c r="I605" s="62" t="str">
        <f t="shared" si="68"/>
        <v/>
      </c>
      <c r="J605" s="62" t="str">
        <f t="shared" si="69"/>
        <v/>
      </c>
      <c r="K605" s="62" t="str">
        <f t="shared" si="70"/>
        <v/>
      </c>
      <c r="L605" s="62" t="str">
        <f t="shared" si="71"/>
        <v/>
      </c>
      <c r="M605" s="63" t="str">
        <f t="shared" si="72"/>
        <v/>
      </c>
      <c r="N605" s="64"/>
    </row>
    <row r="606" spans="1:14" x14ac:dyDescent="0.3">
      <c r="A606" s="58" t="str">
        <f>IF([1]weekly_demand!A607="","",[1]weekly_demand!A607)</f>
        <v/>
      </c>
      <c r="B606" s="59" t="str">
        <f>IF($A606="","",[1]weekly_demand!F607)</f>
        <v/>
      </c>
      <c r="C606" s="60" t="str">
        <f>IF($A606="","",[1]weekly_demand!H607)</f>
        <v/>
      </c>
      <c r="D606" s="61" t="str">
        <f>IF($A606="","",IF(SUMIFS([1]Fixture_Capacity_Input!$C:$C,[1]Fixture_Capacity_Input!$A:$A,$B606,[1]Fixture_Capacity_Input!$B:$B,$C606)&gt;0,SUMIFS([1]Fixture_Capacity_Input!$C:$C,[1]Fixture_Capacity_Input!$A:$A,$B606,[1]Fixture_Capacity_Input!$B:$B,$C606),[1]weekly_demand!G607))</f>
        <v/>
      </c>
      <c r="E606" s="62" t="str">
        <f>IF($A606="","",[1]weekly_demand!I607)</f>
        <v/>
      </c>
      <c r="F606" s="61" t="str">
        <f>IF($A606="","",IF($A606&lt;&gt;$A605,IFERROR(INDEX([1]FG_Begin_Inventory!$B:$B,MATCH($A606,[1]FG_Begin_Inventory!$A:$A,0)),0),J605))</f>
        <v/>
      </c>
      <c r="G606" s="61" t="str">
        <f t="shared" si="66"/>
        <v/>
      </c>
      <c r="H606" s="62" t="str">
        <f t="shared" si="67"/>
        <v/>
      </c>
      <c r="I606" s="62" t="str">
        <f t="shared" si="68"/>
        <v/>
      </c>
      <c r="J606" s="62" t="str">
        <f t="shared" si="69"/>
        <v/>
      </c>
      <c r="K606" s="62" t="str">
        <f t="shared" si="70"/>
        <v/>
      </c>
      <c r="L606" s="62" t="str">
        <f t="shared" si="71"/>
        <v/>
      </c>
      <c r="M606" s="63" t="str">
        <f t="shared" si="72"/>
        <v/>
      </c>
      <c r="N606" s="64"/>
    </row>
    <row r="607" spans="1:14" x14ac:dyDescent="0.3">
      <c r="A607" s="58" t="str">
        <f>IF([1]weekly_demand!A608="","",[1]weekly_demand!A608)</f>
        <v/>
      </c>
      <c r="B607" s="59" t="str">
        <f>IF($A607="","",[1]weekly_demand!F608)</f>
        <v/>
      </c>
      <c r="C607" s="60" t="str">
        <f>IF($A607="","",[1]weekly_demand!H608)</f>
        <v/>
      </c>
      <c r="D607" s="61" t="str">
        <f>IF($A607="","",IF(SUMIFS([1]Fixture_Capacity_Input!$C:$C,[1]Fixture_Capacity_Input!$A:$A,$B607,[1]Fixture_Capacity_Input!$B:$B,$C607)&gt;0,SUMIFS([1]Fixture_Capacity_Input!$C:$C,[1]Fixture_Capacity_Input!$A:$A,$B607,[1]Fixture_Capacity_Input!$B:$B,$C607),[1]weekly_demand!G608))</f>
        <v/>
      </c>
      <c r="E607" s="62" t="str">
        <f>IF($A607="","",[1]weekly_demand!I608)</f>
        <v/>
      </c>
      <c r="F607" s="61" t="str">
        <f>IF($A607="","",IF($A607&lt;&gt;$A606,IFERROR(INDEX([1]FG_Begin_Inventory!$B:$B,MATCH($A607,[1]FG_Begin_Inventory!$A:$A,0)),0),J606))</f>
        <v/>
      </c>
      <c r="G607" s="61" t="str">
        <f t="shared" si="66"/>
        <v/>
      </c>
      <c r="H607" s="62" t="str">
        <f t="shared" si="67"/>
        <v/>
      </c>
      <c r="I607" s="62" t="str">
        <f t="shared" si="68"/>
        <v/>
      </c>
      <c r="J607" s="62" t="str">
        <f t="shared" si="69"/>
        <v/>
      </c>
      <c r="K607" s="62" t="str">
        <f t="shared" si="70"/>
        <v/>
      </c>
      <c r="L607" s="62" t="str">
        <f t="shared" si="71"/>
        <v/>
      </c>
      <c r="M607" s="63" t="str">
        <f t="shared" si="72"/>
        <v/>
      </c>
      <c r="N607" s="64"/>
    </row>
    <row r="608" spans="1:14" x14ac:dyDescent="0.3">
      <c r="A608" s="58" t="str">
        <f>IF([1]weekly_demand!A609="","",[1]weekly_demand!A609)</f>
        <v/>
      </c>
      <c r="B608" s="59" t="str">
        <f>IF($A608="","",[1]weekly_demand!F609)</f>
        <v/>
      </c>
      <c r="C608" s="60" t="str">
        <f>IF($A608="","",[1]weekly_demand!H609)</f>
        <v/>
      </c>
      <c r="D608" s="61" t="str">
        <f>IF($A608="","",IF(SUMIFS([1]Fixture_Capacity_Input!$C:$C,[1]Fixture_Capacity_Input!$A:$A,$B608,[1]Fixture_Capacity_Input!$B:$B,$C608)&gt;0,SUMIFS([1]Fixture_Capacity_Input!$C:$C,[1]Fixture_Capacity_Input!$A:$A,$B608,[1]Fixture_Capacity_Input!$B:$B,$C608),[1]weekly_demand!G609))</f>
        <v/>
      </c>
      <c r="E608" s="62" t="str">
        <f>IF($A608="","",[1]weekly_demand!I609)</f>
        <v/>
      </c>
      <c r="F608" s="61" t="str">
        <f>IF($A608="","",IF($A608&lt;&gt;$A607,IFERROR(INDEX([1]FG_Begin_Inventory!$B:$B,MATCH($A608,[1]FG_Begin_Inventory!$A:$A,0)),0),J607))</f>
        <v/>
      </c>
      <c r="G608" s="61" t="str">
        <f t="shared" si="66"/>
        <v/>
      </c>
      <c r="H608" s="62" t="str">
        <f t="shared" si="67"/>
        <v/>
      </c>
      <c r="I608" s="62" t="str">
        <f t="shared" si="68"/>
        <v/>
      </c>
      <c r="J608" s="62" t="str">
        <f t="shared" si="69"/>
        <v/>
      </c>
      <c r="K608" s="62" t="str">
        <f t="shared" si="70"/>
        <v/>
      </c>
      <c r="L608" s="62" t="str">
        <f t="shared" si="71"/>
        <v/>
      </c>
      <c r="M608" s="63" t="str">
        <f t="shared" si="72"/>
        <v/>
      </c>
      <c r="N608" s="64"/>
    </row>
    <row r="609" spans="1:14" x14ac:dyDescent="0.3">
      <c r="A609" s="58" t="str">
        <f>IF([1]weekly_demand!A610="","",[1]weekly_demand!A610)</f>
        <v/>
      </c>
      <c r="B609" s="59" t="str">
        <f>IF($A609="","",[1]weekly_demand!F610)</f>
        <v/>
      </c>
      <c r="C609" s="60" t="str">
        <f>IF($A609="","",[1]weekly_demand!H610)</f>
        <v/>
      </c>
      <c r="D609" s="61" t="str">
        <f>IF($A609="","",IF(SUMIFS([1]Fixture_Capacity_Input!$C:$C,[1]Fixture_Capacity_Input!$A:$A,$B609,[1]Fixture_Capacity_Input!$B:$B,$C609)&gt;0,SUMIFS([1]Fixture_Capacity_Input!$C:$C,[1]Fixture_Capacity_Input!$A:$A,$B609,[1]Fixture_Capacity_Input!$B:$B,$C609),[1]weekly_demand!G610))</f>
        <v/>
      </c>
      <c r="E609" s="62" t="str">
        <f>IF($A609="","",[1]weekly_demand!I610)</f>
        <v/>
      </c>
      <c r="F609" s="61" t="str">
        <f>IF($A609="","",IF($A609&lt;&gt;$A608,IFERROR(INDEX([1]FG_Begin_Inventory!$B:$B,MATCH($A609,[1]FG_Begin_Inventory!$A:$A,0)),0),J608))</f>
        <v/>
      </c>
      <c r="G609" s="61" t="str">
        <f t="shared" si="66"/>
        <v/>
      </c>
      <c r="H609" s="62" t="str">
        <f t="shared" si="67"/>
        <v/>
      </c>
      <c r="I609" s="62" t="str">
        <f t="shared" si="68"/>
        <v/>
      </c>
      <c r="J609" s="62" t="str">
        <f t="shared" si="69"/>
        <v/>
      </c>
      <c r="K609" s="62" t="str">
        <f t="shared" si="70"/>
        <v/>
      </c>
      <c r="L609" s="62" t="str">
        <f t="shared" si="71"/>
        <v/>
      </c>
      <c r="M609" s="63" t="str">
        <f t="shared" si="72"/>
        <v/>
      </c>
      <c r="N609" s="64"/>
    </row>
    <row r="610" spans="1:14" x14ac:dyDescent="0.3">
      <c r="A610" s="58" t="str">
        <f>IF([1]weekly_demand!A611="","",[1]weekly_demand!A611)</f>
        <v/>
      </c>
      <c r="B610" s="59" t="str">
        <f>IF($A610="","",[1]weekly_demand!F611)</f>
        <v/>
      </c>
      <c r="C610" s="60" t="str">
        <f>IF($A610="","",[1]weekly_demand!H611)</f>
        <v/>
      </c>
      <c r="D610" s="61" t="str">
        <f>IF($A610="","",IF(SUMIFS([1]Fixture_Capacity_Input!$C:$C,[1]Fixture_Capacity_Input!$A:$A,$B610,[1]Fixture_Capacity_Input!$B:$B,$C610)&gt;0,SUMIFS([1]Fixture_Capacity_Input!$C:$C,[1]Fixture_Capacity_Input!$A:$A,$B610,[1]Fixture_Capacity_Input!$B:$B,$C610),[1]weekly_demand!G611))</f>
        <v/>
      </c>
      <c r="E610" s="62" t="str">
        <f>IF($A610="","",[1]weekly_demand!I611)</f>
        <v/>
      </c>
      <c r="F610" s="61" t="str">
        <f>IF($A610="","",IF($A610&lt;&gt;$A609,IFERROR(INDEX([1]FG_Begin_Inventory!$B:$B,MATCH($A610,[1]FG_Begin_Inventory!$A:$A,0)),0),J609))</f>
        <v/>
      </c>
      <c r="G610" s="61" t="str">
        <f t="shared" si="66"/>
        <v/>
      </c>
      <c r="H610" s="62" t="str">
        <f t="shared" si="67"/>
        <v/>
      </c>
      <c r="I610" s="62" t="str">
        <f t="shared" si="68"/>
        <v/>
      </c>
      <c r="J610" s="62" t="str">
        <f t="shared" si="69"/>
        <v/>
      </c>
      <c r="K610" s="62" t="str">
        <f t="shared" si="70"/>
        <v/>
      </c>
      <c r="L610" s="62" t="str">
        <f t="shared" si="71"/>
        <v/>
      </c>
      <c r="M610" s="63" t="str">
        <f t="shared" si="72"/>
        <v/>
      </c>
      <c r="N610" s="64"/>
    </row>
    <row r="611" spans="1:14" x14ac:dyDescent="0.3">
      <c r="A611" s="58" t="str">
        <f>IF([1]weekly_demand!A612="","",[1]weekly_demand!A612)</f>
        <v/>
      </c>
      <c r="B611" s="59" t="str">
        <f>IF($A611="","",[1]weekly_demand!F612)</f>
        <v/>
      </c>
      <c r="C611" s="60" t="str">
        <f>IF($A611="","",[1]weekly_demand!H612)</f>
        <v/>
      </c>
      <c r="D611" s="61" t="str">
        <f>IF($A611="","",IF(SUMIFS([1]Fixture_Capacity_Input!$C:$C,[1]Fixture_Capacity_Input!$A:$A,$B611,[1]Fixture_Capacity_Input!$B:$B,$C611)&gt;0,SUMIFS([1]Fixture_Capacity_Input!$C:$C,[1]Fixture_Capacity_Input!$A:$A,$B611,[1]Fixture_Capacity_Input!$B:$B,$C611),[1]weekly_demand!G612))</f>
        <v/>
      </c>
      <c r="E611" s="62" t="str">
        <f>IF($A611="","",[1]weekly_demand!I612)</f>
        <v/>
      </c>
      <c r="F611" s="61" t="str">
        <f>IF($A611="","",IF($A611&lt;&gt;$A610,IFERROR(INDEX([1]FG_Begin_Inventory!$B:$B,MATCH($A611,[1]FG_Begin_Inventory!$A:$A,0)),0),J610))</f>
        <v/>
      </c>
      <c r="G611" s="61" t="str">
        <f t="shared" si="66"/>
        <v/>
      </c>
      <c r="H611" s="62" t="str">
        <f t="shared" si="67"/>
        <v/>
      </c>
      <c r="I611" s="62" t="str">
        <f t="shared" si="68"/>
        <v/>
      </c>
      <c r="J611" s="62" t="str">
        <f t="shared" si="69"/>
        <v/>
      </c>
      <c r="K611" s="62" t="str">
        <f t="shared" si="70"/>
        <v/>
      </c>
      <c r="L611" s="62" t="str">
        <f t="shared" si="71"/>
        <v/>
      </c>
      <c r="M611" s="63" t="str">
        <f t="shared" si="72"/>
        <v/>
      </c>
      <c r="N611" s="64"/>
    </row>
    <row r="612" spans="1:14" x14ac:dyDescent="0.3">
      <c r="A612" s="58" t="str">
        <f>IF([1]weekly_demand!A613="","",[1]weekly_demand!A613)</f>
        <v/>
      </c>
      <c r="B612" s="59" t="str">
        <f>IF($A612="","",[1]weekly_demand!F613)</f>
        <v/>
      </c>
      <c r="C612" s="60" t="str">
        <f>IF($A612="","",[1]weekly_demand!H613)</f>
        <v/>
      </c>
      <c r="D612" s="61" t="str">
        <f>IF($A612="","",IF(SUMIFS([1]Fixture_Capacity_Input!$C:$C,[1]Fixture_Capacity_Input!$A:$A,$B612,[1]Fixture_Capacity_Input!$B:$B,$C612)&gt;0,SUMIFS([1]Fixture_Capacity_Input!$C:$C,[1]Fixture_Capacity_Input!$A:$A,$B612,[1]Fixture_Capacity_Input!$B:$B,$C612),[1]weekly_demand!G613))</f>
        <v/>
      </c>
      <c r="E612" s="62" t="str">
        <f>IF($A612="","",[1]weekly_demand!I613)</f>
        <v/>
      </c>
      <c r="F612" s="61" t="str">
        <f>IF($A612="","",IF($A612&lt;&gt;$A611,IFERROR(INDEX([1]FG_Begin_Inventory!$B:$B,MATCH($A612,[1]FG_Begin_Inventory!$A:$A,0)),0),J611))</f>
        <v/>
      </c>
      <c r="G612" s="61" t="str">
        <f t="shared" si="66"/>
        <v/>
      </c>
      <c r="H612" s="62" t="str">
        <f t="shared" si="67"/>
        <v/>
      </c>
      <c r="I612" s="62" t="str">
        <f t="shared" si="68"/>
        <v/>
      </c>
      <c r="J612" s="62" t="str">
        <f t="shared" si="69"/>
        <v/>
      </c>
      <c r="K612" s="62" t="str">
        <f t="shared" si="70"/>
        <v/>
      </c>
      <c r="L612" s="62" t="str">
        <f t="shared" si="71"/>
        <v/>
      </c>
      <c r="M612" s="63" t="str">
        <f t="shared" si="72"/>
        <v/>
      </c>
      <c r="N612" s="64"/>
    </row>
    <row r="613" spans="1:14" x14ac:dyDescent="0.3">
      <c r="A613" s="58" t="str">
        <f>IF([1]weekly_demand!A614="","",[1]weekly_demand!A614)</f>
        <v/>
      </c>
      <c r="B613" s="59" t="str">
        <f>IF($A613="","",[1]weekly_demand!F614)</f>
        <v/>
      </c>
      <c r="C613" s="60" t="str">
        <f>IF($A613="","",[1]weekly_demand!H614)</f>
        <v/>
      </c>
      <c r="D613" s="61" t="str">
        <f>IF($A613="","",IF(SUMIFS([1]Fixture_Capacity_Input!$C:$C,[1]Fixture_Capacity_Input!$A:$A,$B613,[1]Fixture_Capacity_Input!$B:$B,$C613)&gt;0,SUMIFS([1]Fixture_Capacity_Input!$C:$C,[1]Fixture_Capacity_Input!$A:$A,$B613,[1]Fixture_Capacity_Input!$B:$B,$C613),[1]weekly_demand!G614))</f>
        <v/>
      </c>
      <c r="E613" s="62" t="str">
        <f>IF($A613="","",[1]weekly_demand!I614)</f>
        <v/>
      </c>
      <c r="F613" s="61" t="str">
        <f>IF($A613="","",IF($A613&lt;&gt;$A612,IFERROR(INDEX([1]FG_Begin_Inventory!$B:$B,MATCH($A613,[1]FG_Begin_Inventory!$A:$A,0)),0),J612))</f>
        <v/>
      </c>
      <c r="G613" s="61" t="str">
        <f t="shared" si="66"/>
        <v/>
      </c>
      <c r="H613" s="62" t="str">
        <f t="shared" si="67"/>
        <v/>
      </c>
      <c r="I613" s="62" t="str">
        <f t="shared" si="68"/>
        <v/>
      </c>
      <c r="J613" s="62" t="str">
        <f t="shared" si="69"/>
        <v/>
      </c>
      <c r="K613" s="62" t="str">
        <f t="shared" si="70"/>
        <v/>
      </c>
      <c r="L613" s="62" t="str">
        <f t="shared" si="71"/>
        <v/>
      </c>
      <c r="M613" s="63" t="str">
        <f t="shared" si="72"/>
        <v/>
      </c>
      <c r="N613" s="64"/>
    </row>
    <row r="614" spans="1:14" x14ac:dyDescent="0.3">
      <c r="A614" s="58" t="str">
        <f>IF([1]weekly_demand!A615="","",[1]weekly_demand!A615)</f>
        <v/>
      </c>
      <c r="B614" s="59" t="str">
        <f>IF($A614="","",[1]weekly_demand!F615)</f>
        <v/>
      </c>
      <c r="C614" s="60" t="str">
        <f>IF($A614="","",[1]weekly_demand!H615)</f>
        <v/>
      </c>
      <c r="D614" s="61" t="str">
        <f>IF($A614="","",IF(SUMIFS([1]Fixture_Capacity_Input!$C:$C,[1]Fixture_Capacity_Input!$A:$A,$B614,[1]Fixture_Capacity_Input!$B:$B,$C614)&gt;0,SUMIFS([1]Fixture_Capacity_Input!$C:$C,[1]Fixture_Capacity_Input!$A:$A,$B614,[1]Fixture_Capacity_Input!$B:$B,$C614),[1]weekly_demand!G615))</f>
        <v/>
      </c>
      <c r="E614" s="62" t="str">
        <f>IF($A614="","",[1]weekly_demand!I615)</f>
        <v/>
      </c>
      <c r="F614" s="61" t="str">
        <f>IF($A614="","",IF($A614&lt;&gt;$A613,IFERROR(INDEX([1]FG_Begin_Inventory!$B:$B,MATCH($A614,[1]FG_Begin_Inventory!$A:$A,0)),0),J613))</f>
        <v/>
      </c>
      <c r="G614" s="61" t="str">
        <f t="shared" si="66"/>
        <v/>
      </c>
      <c r="H614" s="62" t="str">
        <f t="shared" si="67"/>
        <v/>
      </c>
      <c r="I614" s="62" t="str">
        <f t="shared" si="68"/>
        <v/>
      </c>
      <c r="J614" s="62" t="str">
        <f t="shared" si="69"/>
        <v/>
      </c>
      <c r="K614" s="62" t="str">
        <f t="shared" si="70"/>
        <v/>
      </c>
      <c r="L614" s="62" t="str">
        <f t="shared" si="71"/>
        <v/>
      </c>
      <c r="M614" s="63" t="str">
        <f t="shared" si="72"/>
        <v/>
      </c>
      <c r="N614" s="64"/>
    </row>
    <row r="615" spans="1:14" x14ac:dyDescent="0.3">
      <c r="A615" s="58" t="str">
        <f>IF([1]weekly_demand!A616="","",[1]weekly_demand!A616)</f>
        <v/>
      </c>
      <c r="B615" s="59" t="str">
        <f>IF($A615="","",[1]weekly_demand!F616)</f>
        <v/>
      </c>
      <c r="C615" s="60" t="str">
        <f>IF($A615="","",[1]weekly_demand!H616)</f>
        <v/>
      </c>
      <c r="D615" s="61" t="str">
        <f>IF($A615="","",IF(SUMIFS([1]Fixture_Capacity_Input!$C:$C,[1]Fixture_Capacity_Input!$A:$A,$B615,[1]Fixture_Capacity_Input!$B:$B,$C615)&gt;0,SUMIFS([1]Fixture_Capacity_Input!$C:$C,[1]Fixture_Capacity_Input!$A:$A,$B615,[1]Fixture_Capacity_Input!$B:$B,$C615),[1]weekly_demand!G616))</f>
        <v/>
      </c>
      <c r="E615" s="62" t="str">
        <f>IF($A615="","",[1]weekly_demand!I616)</f>
        <v/>
      </c>
      <c r="F615" s="61" t="str">
        <f>IF($A615="","",IF($A615&lt;&gt;$A614,IFERROR(INDEX([1]FG_Begin_Inventory!$B:$B,MATCH($A615,[1]FG_Begin_Inventory!$A:$A,0)),0),J614))</f>
        <v/>
      </c>
      <c r="G615" s="61" t="str">
        <f t="shared" si="66"/>
        <v/>
      </c>
      <c r="H615" s="62" t="str">
        <f t="shared" si="67"/>
        <v/>
      </c>
      <c r="I615" s="62" t="str">
        <f t="shared" si="68"/>
        <v/>
      </c>
      <c r="J615" s="62" t="str">
        <f t="shared" si="69"/>
        <v/>
      </c>
      <c r="K615" s="62" t="str">
        <f t="shared" si="70"/>
        <v/>
      </c>
      <c r="L615" s="62" t="str">
        <f t="shared" si="71"/>
        <v/>
      </c>
      <c r="M615" s="63" t="str">
        <f t="shared" si="72"/>
        <v/>
      </c>
      <c r="N615" s="64"/>
    </row>
    <row r="616" spans="1:14" x14ac:dyDescent="0.3">
      <c r="A616" s="58" t="str">
        <f>IF([1]weekly_demand!A617="","",[1]weekly_demand!A617)</f>
        <v/>
      </c>
      <c r="B616" s="59" t="str">
        <f>IF($A616="","",[1]weekly_demand!F617)</f>
        <v/>
      </c>
      <c r="C616" s="60" t="str">
        <f>IF($A616="","",[1]weekly_demand!H617)</f>
        <v/>
      </c>
      <c r="D616" s="61" t="str">
        <f>IF($A616="","",IF(SUMIFS([1]Fixture_Capacity_Input!$C:$C,[1]Fixture_Capacity_Input!$A:$A,$B616,[1]Fixture_Capacity_Input!$B:$B,$C616)&gt;0,SUMIFS([1]Fixture_Capacity_Input!$C:$C,[1]Fixture_Capacity_Input!$A:$A,$B616,[1]Fixture_Capacity_Input!$B:$B,$C616),[1]weekly_demand!G617))</f>
        <v/>
      </c>
      <c r="E616" s="62" t="str">
        <f>IF($A616="","",[1]weekly_demand!I617)</f>
        <v/>
      </c>
      <c r="F616" s="61" t="str">
        <f>IF($A616="","",IF($A616&lt;&gt;$A615,IFERROR(INDEX([1]FG_Begin_Inventory!$B:$B,MATCH($A616,[1]FG_Begin_Inventory!$A:$A,0)),0),J615))</f>
        <v/>
      </c>
      <c r="G616" s="61" t="str">
        <f t="shared" si="66"/>
        <v/>
      </c>
      <c r="H616" s="62" t="str">
        <f t="shared" si="67"/>
        <v/>
      </c>
      <c r="I616" s="62" t="str">
        <f t="shared" si="68"/>
        <v/>
      </c>
      <c r="J616" s="62" t="str">
        <f t="shared" si="69"/>
        <v/>
      </c>
      <c r="K616" s="62" t="str">
        <f t="shared" si="70"/>
        <v/>
      </c>
      <c r="L616" s="62" t="str">
        <f t="shared" si="71"/>
        <v/>
      </c>
      <c r="M616" s="63" t="str">
        <f t="shared" si="72"/>
        <v/>
      </c>
      <c r="N616" s="64"/>
    </row>
    <row r="617" spans="1:14" x14ac:dyDescent="0.3">
      <c r="A617" s="58" t="str">
        <f>IF([1]weekly_demand!A618="","",[1]weekly_demand!A618)</f>
        <v/>
      </c>
      <c r="B617" s="59" t="str">
        <f>IF($A617="","",[1]weekly_demand!F618)</f>
        <v/>
      </c>
      <c r="C617" s="60" t="str">
        <f>IF($A617="","",[1]weekly_demand!H618)</f>
        <v/>
      </c>
      <c r="D617" s="61" t="str">
        <f>IF($A617="","",IF(SUMIFS([1]Fixture_Capacity_Input!$C:$C,[1]Fixture_Capacity_Input!$A:$A,$B617,[1]Fixture_Capacity_Input!$B:$B,$C617)&gt;0,SUMIFS([1]Fixture_Capacity_Input!$C:$C,[1]Fixture_Capacity_Input!$A:$A,$B617,[1]Fixture_Capacity_Input!$B:$B,$C617),[1]weekly_demand!G618))</f>
        <v/>
      </c>
      <c r="E617" s="62" t="str">
        <f>IF($A617="","",[1]weekly_demand!I618)</f>
        <v/>
      </c>
      <c r="F617" s="61" t="str">
        <f>IF($A617="","",IF($A617&lt;&gt;$A616,IFERROR(INDEX([1]FG_Begin_Inventory!$B:$B,MATCH($A617,[1]FG_Begin_Inventory!$A:$A,0)),0),J616))</f>
        <v/>
      </c>
      <c r="G617" s="61" t="str">
        <f t="shared" si="66"/>
        <v/>
      </c>
      <c r="H617" s="62" t="str">
        <f t="shared" si="67"/>
        <v/>
      </c>
      <c r="I617" s="62" t="str">
        <f t="shared" si="68"/>
        <v/>
      </c>
      <c r="J617" s="62" t="str">
        <f t="shared" si="69"/>
        <v/>
      </c>
      <c r="K617" s="62" t="str">
        <f t="shared" si="70"/>
        <v/>
      </c>
      <c r="L617" s="62" t="str">
        <f t="shared" si="71"/>
        <v/>
      </c>
      <c r="M617" s="63" t="str">
        <f t="shared" si="72"/>
        <v/>
      </c>
      <c r="N617" s="64"/>
    </row>
    <row r="618" spans="1:14" x14ac:dyDescent="0.3">
      <c r="A618" s="58" t="str">
        <f>IF([1]weekly_demand!A619="","",[1]weekly_demand!A619)</f>
        <v/>
      </c>
      <c r="B618" s="59" t="str">
        <f>IF($A618="","",[1]weekly_demand!F619)</f>
        <v/>
      </c>
      <c r="C618" s="60" t="str">
        <f>IF($A618="","",[1]weekly_demand!H619)</f>
        <v/>
      </c>
      <c r="D618" s="61" t="str">
        <f>IF($A618="","",IF(SUMIFS([1]Fixture_Capacity_Input!$C:$C,[1]Fixture_Capacity_Input!$A:$A,$B618,[1]Fixture_Capacity_Input!$B:$B,$C618)&gt;0,SUMIFS([1]Fixture_Capacity_Input!$C:$C,[1]Fixture_Capacity_Input!$A:$A,$B618,[1]Fixture_Capacity_Input!$B:$B,$C618),[1]weekly_demand!G619))</f>
        <v/>
      </c>
      <c r="E618" s="62" t="str">
        <f>IF($A618="","",[1]weekly_demand!I619)</f>
        <v/>
      </c>
      <c r="F618" s="61" t="str">
        <f>IF($A618="","",IF($A618&lt;&gt;$A617,IFERROR(INDEX([1]FG_Begin_Inventory!$B:$B,MATCH($A618,[1]FG_Begin_Inventory!$A:$A,0)),0),J617))</f>
        <v/>
      </c>
      <c r="G618" s="61" t="str">
        <f t="shared" si="66"/>
        <v/>
      </c>
      <c r="H618" s="62" t="str">
        <f t="shared" si="67"/>
        <v/>
      </c>
      <c r="I618" s="62" t="str">
        <f t="shared" si="68"/>
        <v/>
      </c>
      <c r="J618" s="62" t="str">
        <f t="shared" si="69"/>
        <v/>
      </c>
      <c r="K618" s="62" t="str">
        <f t="shared" si="70"/>
        <v/>
      </c>
      <c r="L618" s="62" t="str">
        <f t="shared" si="71"/>
        <v/>
      </c>
      <c r="M618" s="63" t="str">
        <f t="shared" si="72"/>
        <v/>
      </c>
      <c r="N618" s="64"/>
    </row>
    <row r="619" spans="1:14" x14ac:dyDescent="0.3">
      <c r="A619" s="58" t="str">
        <f>IF([1]weekly_demand!A620="","",[1]weekly_demand!A620)</f>
        <v/>
      </c>
      <c r="B619" s="59" t="str">
        <f>IF($A619="","",[1]weekly_demand!F620)</f>
        <v/>
      </c>
      <c r="C619" s="60" t="str">
        <f>IF($A619="","",[1]weekly_demand!H620)</f>
        <v/>
      </c>
      <c r="D619" s="61" t="str">
        <f>IF($A619="","",IF(SUMIFS([1]Fixture_Capacity_Input!$C:$C,[1]Fixture_Capacity_Input!$A:$A,$B619,[1]Fixture_Capacity_Input!$B:$B,$C619)&gt;0,SUMIFS([1]Fixture_Capacity_Input!$C:$C,[1]Fixture_Capacity_Input!$A:$A,$B619,[1]Fixture_Capacity_Input!$B:$B,$C619),[1]weekly_demand!G620))</f>
        <v/>
      </c>
      <c r="E619" s="62" t="str">
        <f>IF($A619="","",[1]weekly_demand!I620)</f>
        <v/>
      </c>
      <c r="F619" s="61" t="str">
        <f>IF($A619="","",IF($A619&lt;&gt;$A618,IFERROR(INDEX([1]FG_Begin_Inventory!$B:$B,MATCH($A619,[1]FG_Begin_Inventory!$A:$A,0)),0),J618))</f>
        <v/>
      </c>
      <c r="G619" s="61" t="str">
        <f t="shared" si="66"/>
        <v/>
      </c>
      <c r="H619" s="62" t="str">
        <f t="shared" si="67"/>
        <v/>
      </c>
      <c r="I619" s="62" t="str">
        <f t="shared" si="68"/>
        <v/>
      </c>
      <c r="J619" s="62" t="str">
        <f t="shared" si="69"/>
        <v/>
      </c>
      <c r="K619" s="62" t="str">
        <f t="shared" si="70"/>
        <v/>
      </c>
      <c r="L619" s="62" t="str">
        <f t="shared" si="71"/>
        <v/>
      </c>
      <c r="M619" s="63" t="str">
        <f t="shared" si="72"/>
        <v/>
      </c>
      <c r="N619" s="64"/>
    </row>
    <row r="620" spans="1:14" x14ac:dyDescent="0.3">
      <c r="A620" s="58" t="str">
        <f>IF([1]weekly_demand!A621="","",[1]weekly_demand!A621)</f>
        <v/>
      </c>
      <c r="B620" s="59" t="str">
        <f>IF($A620="","",[1]weekly_demand!F621)</f>
        <v/>
      </c>
      <c r="C620" s="60" t="str">
        <f>IF($A620="","",[1]weekly_demand!H621)</f>
        <v/>
      </c>
      <c r="D620" s="61" t="str">
        <f>IF($A620="","",IF(SUMIFS([1]Fixture_Capacity_Input!$C:$C,[1]Fixture_Capacity_Input!$A:$A,$B620,[1]Fixture_Capacity_Input!$B:$B,$C620)&gt;0,SUMIFS([1]Fixture_Capacity_Input!$C:$C,[1]Fixture_Capacity_Input!$A:$A,$B620,[1]Fixture_Capacity_Input!$B:$B,$C620),[1]weekly_demand!G621))</f>
        <v/>
      </c>
      <c r="E620" s="62" t="str">
        <f>IF($A620="","",[1]weekly_demand!I621)</f>
        <v/>
      </c>
      <c r="F620" s="61" t="str">
        <f>IF($A620="","",IF($A620&lt;&gt;$A619,IFERROR(INDEX([1]FG_Begin_Inventory!$B:$B,MATCH($A620,[1]FG_Begin_Inventory!$A:$A,0)),0),J619))</f>
        <v/>
      </c>
      <c r="G620" s="61" t="str">
        <f t="shared" si="66"/>
        <v/>
      </c>
      <c r="H620" s="62" t="str">
        <f t="shared" si="67"/>
        <v/>
      </c>
      <c r="I620" s="62" t="str">
        <f t="shared" si="68"/>
        <v/>
      </c>
      <c r="J620" s="62" t="str">
        <f t="shared" si="69"/>
        <v/>
      </c>
      <c r="K620" s="62" t="str">
        <f t="shared" si="70"/>
        <v/>
      </c>
      <c r="L620" s="62" t="str">
        <f t="shared" si="71"/>
        <v/>
      </c>
      <c r="M620" s="63" t="str">
        <f t="shared" si="72"/>
        <v/>
      </c>
      <c r="N620" s="64"/>
    </row>
    <row r="621" spans="1:14" x14ac:dyDescent="0.3">
      <c r="A621" s="58" t="str">
        <f>IF([1]weekly_demand!A622="","",[1]weekly_demand!A622)</f>
        <v/>
      </c>
      <c r="B621" s="59" t="str">
        <f>IF($A621="","",[1]weekly_demand!F622)</f>
        <v/>
      </c>
      <c r="C621" s="60" t="str">
        <f>IF($A621="","",[1]weekly_demand!H622)</f>
        <v/>
      </c>
      <c r="D621" s="61" t="str">
        <f>IF($A621="","",IF(SUMIFS([1]Fixture_Capacity_Input!$C:$C,[1]Fixture_Capacity_Input!$A:$A,$B621,[1]Fixture_Capacity_Input!$B:$B,$C621)&gt;0,SUMIFS([1]Fixture_Capacity_Input!$C:$C,[1]Fixture_Capacity_Input!$A:$A,$B621,[1]Fixture_Capacity_Input!$B:$B,$C621),[1]weekly_demand!G622))</f>
        <v/>
      </c>
      <c r="E621" s="62" t="str">
        <f>IF($A621="","",[1]weekly_demand!I622)</f>
        <v/>
      </c>
      <c r="F621" s="61" t="str">
        <f>IF($A621="","",IF($A621&lt;&gt;$A620,IFERROR(INDEX([1]FG_Begin_Inventory!$B:$B,MATCH($A621,[1]FG_Begin_Inventory!$A:$A,0)),0),J620))</f>
        <v/>
      </c>
      <c r="G621" s="61" t="str">
        <f t="shared" si="66"/>
        <v/>
      </c>
      <c r="H621" s="62" t="str">
        <f t="shared" si="67"/>
        <v/>
      </c>
      <c r="I621" s="62" t="str">
        <f t="shared" si="68"/>
        <v/>
      </c>
      <c r="J621" s="62" t="str">
        <f t="shared" si="69"/>
        <v/>
      </c>
      <c r="K621" s="62" t="str">
        <f t="shared" si="70"/>
        <v/>
      </c>
      <c r="L621" s="62" t="str">
        <f t="shared" si="71"/>
        <v/>
      </c>
      <c r="M621" s="63" t="str">
        <f t="shared" si="72"/>
        <v/>
      </c>
      <c r="N621" s="64"/>
    </row>
    <row r="622" spans="1:14" x14ac:dyDescent="0.3">
      <c r="A622" s="58" t="str">
        <f>IF([1]weekly_demand!A623="","",[1]weekly_demand!A623)</f>
        <v/>
      </c>
      <c r="B622" s="59" t="str">
        <f>IF($A622="","",[1]weekly_demand!F623)</f>
        <v/>
      </c>
      <c r="C622" s="60" t="str">
        <f>IF($A622="","",[1]weekly_demand!H623)</f>
        <v/>
      </c>
      <c r="D622" s="61" t="str">
        <f>IF($A622="","",IF(SUMIFS([1]Fixture_Capacity_Input!$C:$C,[1]Fixture_Capacity_Input!$A:$A,$B622,[1]Fixture_Capacity_Input!$B:$B,$C622)&gt;0,SUMIFS([1]Fixture_Capacity_Input!$C:$C,[1]Fixture_Capacity_Input!$A:$A,$B622,[1]Fixture_Capacity_Input!$B:$B,$C622),[1]weekly_demand!G623))</f>
        <v/>
      </c>
      <c r="E622" s="62" t="str">
        <f>IF($A622="","",[1]weekly_demand!I623)</f>
        <v/>
      </c>
      <c r="F622" s="61" t="str">
        <f>IF($A622="","",IF($A622&lt;&gt;$A621,IFERROR(INDEX([1]FG_Begin_Inventory!$B:$B,MATCH($A622,[1]FG_Begin_Inventory!$A:$A,0)),0),J621))</f>
        <v/>
      </c>
      <c r="G622" s="61" t="str">
        <f t="shared" si="66"/>
        <v/>
      </c>
      <c r="H622" s="62" t="str">
        <f t="shared" si="67"/>
        <v/>
      </c>
      <c r="I622" s="62" t="str">
        <f t="shared" si="68"/>
        <v/>
      </c>
      <c r="J622" s="62" t="str">
        <f t="shared" si="69"/>
        <v/>
      </c>
      <c r="K622" s="62" t="str">
        <f t="shared" si="70"/>
        <v/>
      </c>
      <c r="L622" s="62" t="str">
        <f t="shared" si="71"/>
        <v/>
      </c>
      <c r="M622" s="63" t="str">
        <f t="shared" si="72"/>
        <v/>
      </c>
      <c r="N622" s="64"/>
    </row>
    <row r="623" spans="1:14" x14ac:dyDescent="0.3">
      <c r="A623" s="58" t="str">
        <f>IF([1]weekly_demand!A624="","",[1]weekly_demand!A624)</f>
        <v/>
      </c>
      <c r="B623" s="59" t="str">
        <f>IF($A623="","",[1]weekly_demand!F624)</f>
        <v/>
      </c>
      <c r="C623" s="60" t="str">
        <f>IF($A623="","",[1]weekly_demand!H624)</f>
        <v/>
      </c>
      <c r="D623" s="61" t="str">
        <f>IF($A623="","",IF(SUMIFS([1]Fixture_Capacity_Input!$C:$C,[1]Fixture_Capacity_Input!$A:$A,$B623,[1]Fixture_Capacity_Input!$B:$B,$C623)&gt;0,SUMIFS([1]Fixture_Capacity_Input!$C:$C,[1]Fixture_Capacity_Input!$A:$A,$B623,[1]Fixture_Capacity_Input!$B:$B,$C623),[1]weekly_demand!G624))</f>
        <v/>
      </c>
      <c r="E623" s="62" t="str">
        <f>IF($A623="","",[1]weekly_demand!I624)</f>
        <v/>
      </c>
      <c r="F623" s="61" t="str">
        <f>IF($A623="","",IF($A623&lt;&gt;$A622,IFERROR(INDEX([1]FG_Begin_Inventory!$B:$B,MATCH($A623,[1]FG_Begin_Inventory!$A:$A,0)),0),J622))</f>
        <v/>
      </c>
      <c r="G623" s="61" t="str">
        <f t="shared" si="66"/>
        <v/>
      </c>
      <c r="H623" s="62" t="str">
        <f t="shared" si="67"/>
        <v/>
      </c>
      <c r="I623" s="62" t="str">
        <f t="shared" si="68"/>
        <v/>
      </c>
      <c r="J623" s="62" t="str">
        <f t="shared" si="69"/>
        <v/>
      </c>
      <c r="K623" s="62" t="str">
        <f t="shared" si="70"/>
        <v/>
      </c>
      <c r="L623" s="62" t="str">
        <f t="shared" si="71"/>
        <v/>
      </c>
      <c r="M623" s="63" t="str">
        <f t="shared" si="72"/>
        <v/>
      </c>
      <c r="N623" s="64"/>
    </row>
    <row r="624" spans="1:14" x14ac:dyDescent="0.3">
      <c r="A624" s="58" t="str">
        <f>IF([1]weekly_demand!A625="","",[1]weekly_demand!A625)</f>
        <v/>
      </c>
      <c r="B624" s="59" t="str">
        <f>IF($A624="","",[1]weekly_demand!F625)</f>
        <v/>
      </c>
      <c r="C624" s="60" t="str">
        <f>IF($A624="","",[1]weekly_demand!H625)</f>
        <v/>
      </c>
      <c r="D624" s="61" t="str">
        <f>IF($A624="","",IF(SUMIFS([1]Fixture_Capacity_Input!$C:$C,[1]Fixture_Capacity_Input!$A:$A,$B624,[1]Fixture_Capacity_Input!$B:$B,$C624)&gt;0,SUMIFS([1]Fixture_Capacity_Input!$C:$C,[1]Fixture_Capacity_Input!$A:$A,$B624,[1]Fixture_Capacity_Input!$B:$B,$C624),[1]weekly_demand!G625))</f>
        <v/>
      </c>
      <c r="E624" s="62" t="str">
        <f>IF($A624="","",[1]weekly_demand!I625)</f>
        <v/>
      </c>
      <c r="F624" s="61" t="str">
        <f>IF($A624="","",IF($A624&lt;&gt;$A623,IFERROR(INDEX([1]FG_Begin_Inventory!$B:$B,MATCH($A624,[1]FG_Begin_Inventory!$A:$A,0)),0),J623))</f>
        <v/>
      </c>
      <c r="G624" s="61" t="str">
        <f t="shared" si="66"/>
        <v/>
      </c>
      <c r="H624" s="62" t="str">
        <f t="shared" si="67"/>
        <v/>
      </c>
      <c r="I624" s="62" t="str">
        <f t="shared" si="68"/>
        <v/>
      </c>
      <c r="J624" s="62" t="str">
        <f t="shared" si="69"/>
        <v/>
      </c>
      <c r="K624" s="62" t="str">
        <f t="shared" si="70"/>
        <v/>
      </c>
      <c r="L624" s="62" t="str">
        <f t="shared" si="71"/>
        <v/>
      </c>
      <c r="M624" s="63" t="str">
        <f t="shared" si="72"/>
        <v/>
      </c>
      <c r="N624" s="64"/>
    </row>
    <row r="625" spans="1:14" x14ac:dyDescent="0.3">
      <c r="A625" s="58" t="str">
        <f>IF([1]weekly_demand!A626="","",[1]weekly_demand!A626)</f>
        <v/>
      </c>
      <c r="B625" s="59" t="str">
        <f>IF($A625="","",[1]weekly_demand!F626)</f>
        <v/>
      </c>
      <c r="C625" s="60" t="str">
        <f>IF($A625="","",[1]weekly_demand!H626)</f>
        <v/>
      </c>
      <c r="D625" s="61" t="str">
        <f>IF($A625="","",IF(SUMIFS([1]Fixture_Capacity_Input!$C:$C,[1]Fixture_Capacity_Input!$A:$A,$B625,[1]Fixture_Capacity_Input!$B:$B,$C625)&gt;0,SUMIFS([1]Fixture_Capacity_Input!$C:$C,[1]Fixture_Capacity_Input!$A:$A,$B625,[1]Fixture_Capacity_Input!$B:$B,$C625),[1]weekly_demand!G626))</f>
        <v/>
      </c>
      <c r="E625" s="62" t="str">
        <f>IF($A625="","",[1]weekly_demand!I626)</f>
        <v/>
      </c>
      <c r="F625" s="61" t="str">
        <f>IF($A625="","",IF($A625&lt;&gt;$A624,IFERROR(INDEX([1]FG_Begin_Inventory!$B:$B,MATCH($A625,[1]FG_Begin_Inventory!$A:$A,0)),0),J624))</f>
        <v/>
      </c>
      <c r="G625" s="61" t="str">
        <f t="shared" si="66"/>
        <v/>
      </c>
      <c r="H625" s="62" t="str">
        <f t="shared" si="67"/>
        <v/>
      </c>
      <c r="I625" s="62" t="str">
        <f t="shared" si="68"/>
        <v/>
      </c>
      <c r="J625" s="62" t="str">
        <f t="shared" si="69"/>
        <v/>
      </c>
      <c r="K625" s="62" t="str">
        <f t="shared" si="70"/>
        <v/>
      </c>
      <c r="L625" s="62" t="str">
        <f t="shared" si="71"/>
        <v/>
      </c>
      <c r="M625" s="63" t="str">
        <f t="shared" si="72"/>
        <v/>
      </c>
      <c r="N625" s="64"/>
    </row>
    <row r="626" spans="1:14" x14ac:dyDescent="0.3">
      <c r="A626" s="58" t="str">
        <f>IF([1]weekly_demand!A627="","",[1]weekly_demand!A627)</f>
        <v/>
      </c>
      <c r="B626" s="59" t="str">
        <f>IF($A626="","",[1]weekly_demand!F627)</f>
        <v/>
      </c>
      <c r="C626" s="60" t="str">
        <f>IF($A626="","",[1]weekly_demand!H627)</f>
        <v/>
      </c>
      <c r="D626" s="61" t="str">
        <f>IF($A626="","",IF(SUMIFS([1]Fixture_Capacity_Input!$C:$C,[1]Fixture_Capacity_Input!$A:$A,$B626,[1]Fixture_Capacity_Input!$B:$B,$C626)&gt;0,SUMIFS([1]Fixture_Capacity_Input!$C:$C,[1]Fixture_Capacity_Input!$A:$A,$B626,[1]Fixture_Capacity_Input!$B:$B,$C626),[1]weekly_demand!G627))</f>
        <v/>
      </c>
      <c r="E626" s="62" t="str">
        <f>IF($A626="","",[1]weekly_demand!I627)</f>
        <v/>
      </c>
      <c r="F626" s="61" t="str">
        <f>IF($A626="","",IF($A626&lt;&gt;$A625,IFERROR(INDEX([1]FG_Begin_Inventory!$B:$B,MATCH($A626,[1]FG_Begin_Inventory!$A:$A,0)),0),J625))</f>
        <v/>
      </c>
      <c r="G626" s="61" t="str">
        <f t="shared" si="66"/>
        <v/>
      </c>
      <c r="H626" s="62" t="str">
        <f t="shared" si="67"/>
        <v/>
      </c>
      <c r="I626" s="62" t="str">
        <f t="shared" si="68"/>
        <v/>
      </c>
      <c r="J626" s="62" t="str">
        <f t="shared" si="69"/>
        <v/>
      </c>
      <c r="K626" s="62" t="str">
        <f t="shared" si="70"/>
        <v/>
      </c>
      <c r="L626" s="62" t="str">
        <f t="shared" si="71"/>
        <v/>
      </c>
      <c r="M626" s="63" t="str">
        <f t="shared" si="72"/>
        <v/>
      </c>
      <c r="N626" s="64"/>
    </row>
    <row r="627" spans="1:14" x14ac:dyDescent="0.3">
      <c r="A627" s="58" t="str">
        <f>IF([1]weekly_demand!A628="","",[1]weekly_demand!A628)</f>
        <v/>
      </c>
      <c r="B627" s="59" t="str">
        <f>IF($A627="","",[1]weekly_demand!F628)</f>
        <v/>
      </c>
      <c r="C627" s="60" t="str">
        <f>IF($A627="","",[1]weekly_demand!H628)</f>
        <v/>
      </c>
      <c r="D627" s="61" t="str">
        <f>IF($A627="","",IF(SUMIFS([1]Fixture_Capacity_Input!$C:$C,[1]Fixture_Capacity_Input!$A:$A,$B627,[1]Fixture_Capacity_Input!$B:$B,$C627)&gt;0,SUMIFS([1]Fixture_Capacity_Input!$C:$C,[1]Fixture_Capacity_Input!$A:$A,$B627,[1]Fixture_Capacity_Input!$B:$B,$C627),[1]weekly_demand!G628))</f>
        <v/>
      </c>
      <c r="E627" s="62" t="str">
        <f>IF($A627="","",[1]weekly_demand!I628)</f>
        <v/>
      </c>
      <c r="F627" s="61" t="str">
        <f>IF($A627="","",IF($A627&lt;&gt;$A626,IFERROR(INDEX([1]FG_Begin_Inventory!$B:$B,MATCH($A627,[1]FG_Begin_Inventory!$A:$A,0)),0),J626))</f>
        <v/>
      </c>
      <c r="G627" s="61" t="str">
        <f t="shared" ref="G627:G690" si="73">IF($A627="","",IF($A627&lt;&gt;$A628,0,MAX(0,G628+E628-D628)))</f>
        <v/>
      </c>
      <c r="H627" s="62" t="str">
        <f t="shared" si="67"/>
        <v/>
      </c>
      <c r="I627" s="62" t="str">
        <f t="shared" si="68"/>
        <v/>
      </c>
      <c r="J627" s="62" t="str">
        <f t="shared" si="69"/>
        <v/>
      </c>
      <c r="K627" s="62" t="str">
        <f t="shared" si="70"/>
        <v/>
      </c>
      <c r="L627" s="62" t="str">
        <f t="shared" si="71"/>
        <v/>
      </c>
      <c r="M627" s="63" t="str">
        <f t="shared" si="72"/>
        <v/>
      </c>
      <c r="N627" s="64"/>
    </row>
    <row r="628" spans="1:14" x14ac:dyDescent="0.3">
      <c r="A628" s="58" t="str">
        <f>IF([1]weekly_demand!A629="","",[1]weekly_demand!A629)</f>
        <v/>
      </c>
      <c r="B628" s="59" t="str">
        <f>IF($A628="","",[1]weekly_demand!F629)</f>
        <v/>
      </c>
      <c r="C628" s="60" t="str">
        <f>IF($A628="","",[1]weekly_demand!H629)</f>
        <v/>
      </c>
      <c r="D628" s="61" t="str">
        <f>IF($A628="","",IF(SUMIFS([1]Fixture_Capacity_Input!$C:$C,[1]Fixture_Capacity_Input!$A:$A,$B628,[1]Fixture_Capacity_Input!$B:$B,$C628)&gt;0,SUMIFS([1]Fixture_Capacity_Input!$C:$C,[1]Fixture_Capacity_Input!$A:$A,$B628,[1]Fixture_Capacity_Input!$B:$B,$C628),[1]weekly_demand!G629))</f>
        <v/>
      </c>
      <c r="E628" s="62" t="str">
        <f>IF($A628="","",[1]weekly_demand!I629)</f>
        <v/>
      </c>
      <c r="F628" s="61" t="str">
        <f>IF($A628="","",IF($A628&lt;&gt;$A627,IFERROR(INDEX([1]FG_Begin_Inventory!$B:$B,MATCH($A628,[1]FG_Begin_Inventory!$A:$A,0)),0),J627))</f>
        <v/>
      </c>
      <c r="G628" s="61" t="str">
        <f t="shared" si="73"/>
        <v/>
      </c>
      <c r="H628" s="62" t="str">
        <f t="shared" si="67"/>
        <v/>
      </c>
      <c r="I628" s="62" t="str">
        <f t="shared" si="68"/>
        <v/>
      </c>
      <c r="J628" s="62" t="str">
        <f t="shared" si="69"/>
        <v/>
      </c>
      <c r="K628" s="62" t="str">
        <f t="shared" si="70"/>
        <v/>
      </c>
      <c r="L628" s="62" t="str">
        <f t="shared" si="71"/>
        <v/>
      </c>
      <c r="M628" s="63" t="str">
        <f t="shared" si="72"/>
        <v/>
      </c>
      <c r="N628" s="64"/>
    </row>
    <row r="629" spans="1:14" x14ac:dyDescent="0.3">
      <c r="A629" s="58" t="str">
        <f>IF([1]weekly_demand!A630="","",[1]weekly_demand!A630)</f>
        <v/>
      </c>
      <c r="B629" s="59" t="str">
        <f>IF($A629="","",[1]weekly_demand!F630)</f>
        <v/>
      </c>
      <c r="C629" s="60" t="str">
        <f>IF($A629="","",[1]weekly_demand!H630)</f>
        <v/>
      </c>
      <c r="D629" s="61" t="str">
        <f>IF($A629="","",IF(SUMIFS([1]Fixture_Capacity_Input!$C:$C,[1]Fixture_Capacity_Input!$A:$A,$B629,[1]Fixture_Capacity_Input!$B:$B,$C629)&gt;0,SUMIFS([1]Fixture_Capacity_Input!$C:$C,[1]Fixture_Capacity_Input!$A:$A,$B629,[1]Fixture_Capacity_Input!$B:$B,$C629),[1]weekly_demand!G630))</f>
        <v/>
      </c>
      <c r="E629" s="62" t="str">
        <f>IF($A629="","",[1]weekly_demand!I630)</f>
        <v/>
      </c>
      <c r="F629" s="61" t="str">
        <f>IF($A629="","",IF($A629&lt;&gt;$A628,IFERROR(INDEX([1]FG_Begin_Inventory!$B:$B,MATCH($A629,[1]FG_Begin_Inventory!$A:$A,0)),0),J628))</f>
        <v/>
      </c>
      <c r="G629" s="61" t="str">
        <f t="shared" si="73"/>
        <v/>
      </c>
      <c r="H629" s="62" t="str">
        <f t="shared" si="67"/>
        <v/>
      </c>
      <c r="I629" s="62" t="str">
        <f t="shared" si="68"/>
        <v/>
      </c>
      <c r="J629" s="62" t="str">
        <f t="shared" si="69"/>
        <v/>
      </c>
      <c r="K629" s="62" t="str">
        <f t="shared" si="70"/>
        <v/>
      </c>
      <c r="L629" s="62" t="str">
        <f t="shared" si="71"/>
        <v/>
      </c>
      <c r="M629" s="63" t="str">
        <f t="shared" si="72"/>
        <v/>
      </c>
      <c r="N629" s="64"/>
    </row>
    <row r="630" spans="1:14" x14ac:dyDescent="0.3">
      <c r="A630" s="58" t="str">
        <f>IF([1]weekly_demand!A631="","",[1]weekly_demand!A631)</f>
        <v/>
      </c>
      <c r="B630" s="59" t="str">
        <f>IF($A630="","",[1]weekly_demand!F631)</f>
        <v/>
      </c>
      <c r="C630" s="60" t="str">
        <f>IF($A630="","",[1]weekly_demand!H631)</f>
        <v/>
      </c>
      <c r="D630" s="61" t="str">
        <f>IF($A630="","",IF(SUMIFS([1]Fixture_Capacity_Input!$C:$C,[1]Fixture_Capacity_Input!$A:$A,$B630,[1]Fixture_Capacity_Input!$B:$B,$C630)&gt;0,SUMIFS([1]Fixture_Capacity_Input!$C:$C,[1]Fixture_Capacity_Input!$A:$A,$B630,[1]Fixture_Capacity_Input!$B:$B,$C630),[1]weekly_demand!G631))</f>
        <v/>
      </c>
      <c r="E630" s="62" t="str">
        <f>IF($A630="","",[1]weekly_demand!I631)</f>
        <v/>
      </c>
      <c r="F630" s="61" t="str">
        <f>IF($A630="","",IF($A630&lt;&gt;$A629,IFERROR(INDEX([1]FG_Begin_Inventory!$B:$B,MATCH($A630,[1]FG_Begin_Inventory!$A:$A,0)),0),J629))</f>
        <v/>
      </c>
      <c r="G630" s="61" t="str">
        <f t="shared" si="73"/>
        <v/>
      </c>
      <c r="H630" s="62" t="str">
        <f t="shared" si="67"/>
        <v/>
      </c>
      <c r="I630" s="62" t="str">
        <f t="shared" si="68"/>
        <v/>
      </c>
      <c r="J630" s="62" t="str">
        <f t="shared" si="69"/>
        <v/>
      </c>
      <c r="K630" s="62" t="str">
        <f t="shared" si="70"/>
        <v/>
      </c>
      <c r="L630" s="62" t="str">
        <f t="shared" si="71"/>
        <v/>
      </c>
      <c r="M630" s="63" t="str">
        <f t="shared" si="72"/>
        <v/>
      </c>
      <c r="N630" s="64"/>
    </row>
    <row r="631" spans="1:14" x14ac:dyDescent="0.3">
      <c r="A631" s="58" t="str">
        <f>IF([1]weekly_demand!A632="","",[1]weekly_demand!A632)</f>
        <v/>
      </c>
      <c r="B631" s="59" t="str">
        <f>IF($A631="","",[1]weekly_demand!F632)</f>
        <v/>
      </c>
      <c r="C631" s="60" t="str">
        <f>IF($A631="","",[1]weekly_demand!H632)</f>
        <v/>
      </c>
      <c r="D631" s="61" t="str">
        <f>IF($A631="","",IF(SUMIFS([1]Fixture_Capacity_Input!$C:$C,[1]Fixture_Capacity_Input!$A:$A,$B631,[1]Fixture_Capacity_Input!$B:$B,$C631)&gt;0,SUMIFS([1]Fixture_Capacity_Input!$C:$C,[1]Fixture_Capacity_Input!$A:$A,$B631,[1]Fixture_Capacity_Input!$B:$B,$C631),[1]weekly_demand!G632))</f>
        <v/>
      </c>
      <c r="E631" s="62" t="str">
        <f>IF($A631="","",[1]weekly_demand!I632)</f>
        <v/>
      </c>
      <c r="F631" s="61" t="str">
        <f>IF($A631="","",IF($A631&lt;&gt;$A630,IFERROR(INDEX([1]FG_Begin_Inventory!$B:$B,MATCH($A631,[1]FG_Begin_Inventory!$A:$A,0)),0),J630))</f>
        <v/>
      </c>
      <c r="G631" s="61" t="str">
        <f t="shared" si="73"/>
        <v/>
      </c>
      <c r="H631" s="62" t="str">
        <f t="shared" si="67"/>
        <v/>
      </c>
      <c r="I631" s="62" t="str">
        <f t="shared" si="68"/>
        <v/>
      </c>
      <c r="J631" s="62" t="str">
        <f t="shared" si="69"/>
        <v/>
      </c>
      <c r="K631" s="62" t="str">
        <f t="shared" si="70"/>
        <v/>
      </c>
      <c r="L631" s="62" t="str">
        <f t="shared" si="71"/>
        <v/>
      </c>
      <c r="M631" s="63" t="str">
        <f t="shared" si="72"/>
        <v/>
      </c>
      <c r="N631" s="64"/>
    </row>
    <row r="632" spans="1:14" x14ac:dyDescent="0.3">
      <c r="A632" s="58" t="str">
        <f>IF([1]weekly_demand!A633="","",[1]weekly_demand!A633)</f>
        <v/>
      </c>
      <c r="B632" s="59" t="str">
        <f>IF($A632="","",[1]weekly_demand!F633)</f>
        <v/>
      </c>
      <c r="C632" s="60" t="str">
        <f>IF($A632="","",[1]weekly_demand!H633)</f>
        <v/>
      </c>
      <c r="D632" s="61" t="str">
        <f>IF($A632="","",IF(SUMIFS([1]Fixture_Capacity_Input!$C:$C,[1]Fixture_Capacity_Input!$A:$A,$B632,[1]Fixture_Capacity_Input!$B:$B,$C632)&gt;0,SUMIFS([1]Fixture_Capacity_Input!$C:$C,[1]Fixture_Capacity_Input!$A:$A,$B632,[1]Fixture_Capacity_Input!$B:$B,$C632),[1]weekly_demand!G633))</f>
        <v/>
      </c>
      <c r="E632" s="62" t="str">
        <f>IF($A632="","",[1]weekly_demand!I633)</f>
        <v/>
      </c>
      <c r="F632" s="61" t="str">
        <f>IF($A632="","",IF($A632&lt;&gt;$A631,IFERROR(INDEX([1]FG_Begin_Inventory!$B:$B,MATCH($A632,[1]FG_Begin_Inventory!$A:$A,0)),0),J631))</f>
        <v/>
      </c>
      <c r="G632" s="61" t="str">
        <f t="shared" si="73"/>
        <v/>
      </c>
      <c r="H632" s="62" t="str">
        <f t="shared" si="67"/>
        <v/>
      </c>
      <c r="I632" s="62" t="str">
        <f t="shared" si="68"/>
        <v/>
      </c>
      <c r="J632" s="62" t="str">
        <f t="shared" si="69"/>
        <v/>
      </c>
      <c r="K632" s="62" t="str">
        <f t="shared" si="70"/>
        <v/>
      </c>
      <c r="L632" s="62" t="str">
        <f t="shared" si="71"/>
        <v/>
      </c>
      <c r="M632" s="63" t="str">
        <f t="shared" si="72"/>
        <v/>
      </c>
      <c r="N632" s="64"/>
    </row>
    <row r="633" spans="1:14" x14ac:dyDescent="0.3">
      <c r="A633" s="58" t="str">
        <f>IF([1]weekly_demand!A634="","",[1]weekly_demand!A634)</f>
        <v/>
      </c>
      <c r="B633" s="59" t="str">
        <f>IF($A633="","",[1]weekly_demand!F634)</f>
        <v/>
      </c>
      <c r="C633" s="60" t="str">
        <f>IF($A633="","",[1]weekly_demand!H634)</f>
        <v/>
      </c>
      <c r="D633" s="61" t="str">
        <f>IF($A633="","",IF(SUMIFS([1]Fixture_Capacity_Input!$C:$C,[1]Fixture_Capacity_Input!$A:$A,$B633,[1]Fixture_Capacity_Input!$B:$B,$C633)&gt;0,SUMIFS([1]Fixture_Capacity_Input!$C:$C,[1]Fixture_Capacity_Input!$A:$A,$B633,[1]Fixture_Capacity_Input!$B:$B,$C633),[1]weekly_demand!G634))</f>
        <v/>
      </c>
      <c r="E633" s="62" t="str">
        <f>IF($A633="","",[1]weekly_demand!I634)</f>
        <v/>
      </c>
      <c r="F633" s="61" t="str">
        <f>IF($A633="","",IF($A633&lt;&gt;$A632,IFERROR(INDEX([1]FG_Begin_Inventory!$B:$B,MATCH($A633,[1]FG_Begin_Inventory!$A:$A,0)),0),J632))</f>
        <v/>
      </c>
      <c r="G633" s="61" t="str">
        <f t="shared" si="73"/>
        <v/>
      </c>
      <c r="H633" s="62" t="str">
        <f t="shared" si="67"/>
        <v/>
      </c>
      <c r="I633" s="62" t="str">
        <f t="shared" si="68"/>
        <v/>
      </c>
      <c r="J633" s="62" t="str">
        <f t="shared" si="69"/>
        <v/>
      </c>
      <c r="K633" s="62" t="str">
        <f t="shared" si="70"/>
        <v/>
      </c>
      <c r="L633" s="62" t="str">
        <f t="shared" si="71"/>
        <v/>
      </c>
      <c r="M633" s="63" t="str">
        <f t="shared" si="72"/>
        <v/>
      </c>
      <c r="N633" s="64"/>
    </row>
    <row r="634" spans="1:14" x14ac:dyDescent="0.3">
      <c r="A634" s="58" t="str">
        <f>IF([1]weekly_demand!A635="","",[1]weekly_demand!A635)</f>
        <v/>
      </c>
      <c r="B634" s="59" t="str">
        <f>IF($A634="","",[1]weekly_demand!F635)</f>
        <v/>
      </c>
      <c r="C634" s="60" t="str">
        <f>IF($A634="","",[1]weekly_demand!H635)</f>
        <v/>
      </c>
      <c r="D634" s="61" t="str">
        <f>IF($A634="","",IF(SUMIFS([1]Fixture_Capacity_Input!$C:$C,[1]Fixture_Capacity_Input!$A:$A,$B634,[1]Fixture_Capacity_Input!$B:$B,$C634)&gt;0,SUMIFS([1]Fixture_Capacity_Input!$C:$C,[1]Fixture_Capacity_Input!$A:$A,$B634,[1]Fixture_Capacity_Input!$B:$B,$C634),[1]weekly_demand!G635))</f>
        <v/>
      </c>
      <c r="E634" s="62" t="str">
        <f>IF($A634="","",[1]weekly_demand!I635)</f>
        <v/>
      </c>
      <c r="F634" s="61" t="str">
        <f>IF($A634="","",IF($A634&lt;&gt;$A633,IFERROR(INDEX([1]FG_Begin_Inventory!$B:$B,MATCH($A634,[1]FG_Begin_Inventory!$A:$A,0)),0),J633))</f>
        <v/>
      </c>
      <c r="G634" s="61" t="str">
        <f t="shared" si="73"/>
        <v/>
      </c>
      <c r="H634" s="62" t="str">
        <f t="shared" si="67"/>
        <v/>
      </c>
      <c r="I634" s="62" t="str">
        <f t="shared" si="68"/>
        <v/>
      </c>
      <c r="J634" s="62" t="str">
        <f t="shared" si="69"/>
        <v/>
      </c>
      <c r="K634" s="62" t="str">
        <f t="shared" si="70"/>
        <v/>
      </c>
      <c r="L634" s="62" t="str">
        <f t="shared" si="71"/>
        <v/>
      </c>
      <c r="M634" s="63" t="str">
        <f t="shared" si="72"/>
        <v/>
      </c>
      <c r="N634" s="64"/>
    </row>
    <row r="635" spans="1:14" x14ac:dyDescent="0.3">
      <c r="A635" s="58" t="str">
        <f>IF([1]weekly_demand!A636="","",[1]weekly_demand!A636)</f>
        <v/>
      </c>
      <c r="B635" s="59" t="str">
        <f>IF($A635="","",[1]weekly_demand!F636)</f>
        <v/>
      </c>
      <c r="C635" s="60" t="str">
        <f>IF($A635="","",[1]weekly_demand!H636)</f>
        <v/>
      </c>
      <c r="D635" s="61" t="str">
        <f>IF($A635="","",IF(SUMIFS([1]Fixture_Capacity_Input!$C:$C,[1]Fixture_Capacity_Input!$A:$A,$B635,[1]Fixture_Capacity_Input!$B:$B,$C635)&gt;0,SUMIFS([1]Fixture_Capacity_Input!$C:$C,[1]Fixture_Capacity_Input!$A:$A,$B635,[1]Fixture_Capacity_Input!$B:$B,$C635),[1]weekly_demand!G636))</f>
        <v/>
      </c>
      <c r="E635" s="62" t="str">
        <f>IF($A635="","",[1]weekly_demand!I636)</f>
        <v/>
      </c>
      <c r="F635" s="61" t="str">
        <f>IF($A635="","",IF($A635&lt;&gt;$A634,IFERROR(INDEX([1]FG_Begin_Inventory!$B:$B,MATCH($A635,[1]FG_Begin_Inventory!$A:$A,0)),0),J634))</f>
        <v/>
      </c>
      <c r="G635" s="61" t="str">
        <f t="shared" si="73"/>
        <v/>
      </c>
      <c r="H635" s="62" t="str">
        <f t="shared" si="67"/>
        <v/>
      </c>
      <c r="I635" s="62" t="str">
        <f t="shared" si="68"/>
        <v/>
      </c>
      <c r="J635" s="62" t="str">
        <f t="shared" si="69"/>
        <v/>
      </c>
      <c r="K635" s="62" t="str">
        <f t="shared" si="70"/>
        <v/>
      </c>
      <c r="L635" s="62" t="str">
        <f t="shared" si="71"/>
        <v/>
      </c>
      <c r="M635" s="63" t="str">
        <f t="shared" si="72"/>
        <v/>
      </c>
      <c r="N635" s="64"/>
    </row>
    <row r="636" spans="1:14" x14ac:dyDescent="0.3">
      <c r="A636" s="58" t="str">
        <f>IF([1]weekly_demand!A637="","",[1]weekly_demand!A637)</f>
        <v/>
      </c>
      <c r="B636" s="59" t="str">
        <f>IF($A636="","",[1]weekly_demand!F637)</f>
        <v/>
      </c>
      <c r="C636" s="60" t="str">
        <f>IF($A636="","",[1]weekly_demand!H637)</f>
        <v/>
      </c>
      <c r="D636" s="61" t="str">
        <f>IF($A636="","",IF(SUMIFS([1]Fixture_Capacity_Input!$C:$C,[1]Fixture_Capacity_Input!$A:$A,$B636,[1]Fixture_Capacity_Input!$B:$B,$C636)&gt;0,SUMIFS([1]Fixture_Capacity_Input!$C:$C,[1]Fixture_Capacity_Input!$A:$A,$B636,[1]Fixture_Capacity_Input!$B:$B,$C636),[1]weekly_demand!G637))</f>
        <v/>
      </c>
      <c r="E636" s="62" t="str">
        <f>IF($A636="","",[1]weekly_demand!I637)</f>
        <v/>
      </c>
      <c r="F636" s="61" t="str">
        <f>IF($A636="","",IF($A636&lt;&gt;$A635,IFERROR(INDEX([1]FG_Begin_Inventory!$B:$B,MATCH($A636,[1]FG_Begin_Inventory!$A:$A,0)),0),J635))</f>
        <v/>
      </c>
      <c r="G636" s="61" t="str">
        <f t="shared" si="73"/>
        <v/>
      </c>
      <c r="H636" s="62" t="str">
        <f t="shared" si="67"/>
        <v/>
      </c>
      <c r="I636" s="62" t="str">
        <f t="shared" si="68"/>
        <v/>
      </c>
      <c r="J636" s="62" t="str">
        <f t="shared" si="69"/>
        <v/>
      </c>
      <c r="K636" s="62" t="str">
        <f t="shared" si="70"/>
        <v/>
      </c>
      <c r="L636" s="62" t="str">
        <f t="shared" si="71"/>
        <v/>
      </c>
      <c r="M636" s="63" t="str">
        <f t="shared" si="72"/>
        <v/>
      </c>
      <c r="N636" s="64"/>
    </row>
    <row r="637" spans="1:14" x14ac:dyDescent="0.3">
      <c r="A637" s="58" t="str">
        <f>IF([1]weekly_demand!A638="","",[1]weekly_demand!A638)</f>
        <v/>
      </c>
      <c r="B637" s="59" t="str">
        <f>IF($A637="","",[1]weekly_demand!F638)</f>
        <v/>
      </c>
      <c r="C637" s="60" t="str">
        <f>IF($A637="","",[1]weekly_demand!H638)</f>
        <v/>
      </c>
      <c r="D637" s="61" t="str">
        <f>IF($A637="","",IF(SUMIFS([1]Fixture_Capacity_Input!$C:$C,[1]Fixture_Capacity_Input!$A:$A,$B637,[1]Fixture_Capacity_Input!$B:$B,$C637)&gt;0,SUMIFS([1]Fixture_Capacity_Input!$C:$C,[1]Fixture_Capacity_Input!$A:$A,$B637,[1]Fixture_Capacity_Input!$B:$B,$C637),[1]weekly_demand!G638))</f>
        <v/>
      </c>
      <c r="E637" s="62" t="str">
        <f>IF($A637="","",[1]weekly_demand!I638)</f>
        <v/>
      </c>
      <c r="F637" s="61" t="str">
        <f>IF($A637="","",IF($A637&lt;&gt;$A636,IFERROR(INDEX([1]FG_Begin_Inventory!$B:$B,MATCH($A637,[1]FG_Begin_Inventory!$A:$A,0)),0),J636))</f>
        <v/>
      </c>
      <c r="G637" s="61" t="str">
        <f t="shared" si="73"/>
        <v/>
      </c>
      <c r="H637" s="62" t="str">
        <f t="shared" si="67"/>
        <v/>
      </c>
      <c r="I637" s="62" t="str">
        <f t="shared" si="68"/>
        <v/>
      </c>
      <c r="J637" s="62" t="str">
        <f t="shared" si="69"/>
        <v/>
      </c>
      <c r="K637" s="62" t="str">
        <f t="shared" si="70"/>
        <v/>
      </c>
      <c r="L637" s="62" t="str">
        <f t="shared" si="71"/>
        <v/>
      </c>
      <c r="M637" s="63" t="str">
        <f t="shared" si="72"/>
        <v/>
      </c>
      <c r="N637" s="64"/>
    </row>
    <row r="638" spans="1:14" x14ac:dyDescent="0.3">
      <c r="A638" s="58" t="str">
        <f>IF([1]weekly_demand!A639="","",[1]weekly_demand!A639)</f>
        <v/>
      </c>
      <c r="B638" s="59" t="str">
        <f>IF($A638="","",[1]weekly_demand!F639)</f>
        <v/>
      </c>
      <c r="C638" s="60" t="str">
        <f>IF($A638="","",[1]weekly_demand!H639)</f>
        <v/>
      </c>
      <c r="D638" s="61" t="str">
        <f>IF($A638="","",IF(SUMIFS([1]Fixture_Capacity_Input!$C:$C,[1]Fixture_Capacity_Input!$A:$A,$B638,[1]Fixture_Capacity_Input!$B:$B,$C638)&gt;0,SUMIFS([1]Fixture_Capacity_Input!$C:$C,[1]Fixture_Capacity_Input!$A:$A,$B638,[1]Fixture_Capacity_Input!$B:$B,$C638),[1]weekly_demand!G639))</f>
        <v/>
      </c>
      <c r="E638" s="62" t="str">
        <f>IF($A638="","",[1]weekly_demand!I639)</f>
        <v/>
      </c>
      <c r="F638" s="61" t="str">
        <f>IF($A638="","",IF($A638&lt;&gt;$A637,IFERROR(INDEX([1]FG_Begin_Inventory!$B:$B,MATCH($A638,[1]FG_Begin_Inventory!$A:$A,0)),0),J637))</f>
        <v/>
      </c>
      <c r="G638" s="61" t="str">
        <f t="shared" si="73"/>
        <v/>
      </c>
      <c r="H638" s="62" t="str">
        <f t="shared" si="67"/>
        <v/>
      </c>
      <c r="I638" s="62" t="str">
        <f t="shared" si="68"/>
        <v/>
      </c>
      <c r="J638" s="62" t="str">
        <f t="shared" si="69"/>
        <v/>
      </c>
      <c r="K638" s="62" t="str">
        <f t="shared" si="70"/>
        <v/>
      </c>
      <c r="L638" s="62" t="str">
        <f t="shared" si="71"/>
        <v/>
      </c>
      <c r="M638" s="63" t="str">
        <f t="shared" si="72"/>
        <v/>
      </c>
      <c r="N638" s="64"/>
    </row>
    <row r="639" spans="1:14" x14ac:dyDescent="0.3">
      <c r="A639" s="58" t="str">
        <f>IF([1]weekly_demand!A640="","",[1]weekly_demand!A640)</f>
        <v/>
      </c>
      <c r="B639" s="59" t="str">
        <f>IF($A639="","",[1]weekly_demand!F640)</f>
        <v/>
      </c>
      <c r="C639" s="60" t="str">
        <f>IF($A639="","",[1]weekly_demand!H640)</f>
        <v/>
      </c>
      <c r="D639" s="61" t="str">
        <f>IF($A639="","",IF(SUMIFS([1]Fixture_Capacity_Input!$C:$C,[1]Fixture_Capacity_Input!$A:$A,$B639,[1]Fixture_Capacity_Input!$B:$B,$C639)&gt;0,SUMIFS([1]Fixture_Capacity_Input!$C:$C,[1]Fixture_Capacity_Input!$A:$A,$B639,[1]Fixture_Capacity_Input!$B:$B,$C639),[1]weekly_demand!G640))</f>
        <v/>
      </c>
      <c r="E639" s="62" t="str">
        <f>IF($A639="","",[1]weekly_demand!I640)</f>
        <v/>
      </c>
      <c r="F639" s="61" t="str">
        <f>IF($A639="","",IF($A639&lt;&gt;$A638,IFERROR(INDEX([1]FG_Begin_Inventory!$B:$B,MATCH($A639,[1]FG_Begin_Inventory!$A:$A,0)),0),J638))</f>
        <v/>
      </c>
      <c r="G639" s="61" t="str">
        <f t="shared" si="73"/>
        <v/>
      </c>
      <c r="H639" s="62" t="str">
        <f t="shared" si="67"/>
        <v/>
      </c>
      <c r="I639" s="62" t="str">
        <f t="shared" si="68"/>
        <v/>
      </c>
      <c r="J639" s="62" t="str">
        <f t="shared" si="69"/>
        <v/>
      </c>
      <c r="K639" s="62" t="str">
        <f t="shared" si="70"/>
        <v/>
      </c>
      <c r="L639" s="62" t="str">
        <f t="shared" si="71"/>
        <v/>
      </c>
      <c r="M639" s="63" t="str">
        <f t="shared" si="72"/>
        <v/>
      </c>
      <c r="N639" s="64"/>
    </row>
    <row r="640" spans="1:14" x14ac:dyDescent="0.3">
      <c r="A640" s="58" t="str">
        <f>IF([1]weekly_demand!A641="","",[1]weekly_demand!A641)</f>
        <v/>
      </c>
      <c r="B640" s="59" t="str">
        <f>IF($A640="","",[1]weekly_demand!F641)</f>
        <v/>
      </c>
      <c r="C640" s="60" t="str">
        <f>IF($A640="","",[1]weekly_demand!H641)</f>
        <v/>
      </c>
      <c r="D640" s="61" t="str">
        <f>IF($A640="","",IF(SUMIFS([1]Fixture_Capacity_Input!$C:$C,[1]Fixture_Capacity_Input!$A:$A,$B640,[1]Fixture_Capacity_Input!$B:$B,$C640)&gt;0,SUMIFS([1]Fixture_Capacity_Input!$C:$C,[1]Fixture_Capacity_Input!$A:$A,$B640,[1]Fixture_Capacity_Input!$B:$B,$C640),[1]weekly_demand!G641))</f>
        <v/>
      </c>
      <c r="E640" s="62" t="str">
        <f>IF($A640="","",[1]weekly_demand!I641)</f>
        <v/>
      </c>
      <c r="F640" s="61" t="str">
        <f>IF($A640="","",IF($A640&lt;&gt;$A639,IFERROR(INDEX([1]FG_Begin_Inventory!$B:$B,MATCH($A640,[1]FG_Begin_Inventory!$A:$A,0)),0),J639))</f>
        <v/>
      </c>
      <c r="G640" s="61" t="str">
        <f t="shared" si="73"/>
        <v/>
      </c>
      <c r="H640" s="62" t="str">
        <f t="shared" si="67"/>
        <v/>
      </c>
      <c r="I640" s="62" t="str">
        <f t="shared" si="68"/>
        <v/>
      </c>
      <c r="J640" s="62" t="str">
        <f t="shared" si="69"/>
        <v/>
      </c>
      <c r="K640" s="62" t="str">
        <f t="shared" si="70"/>
        <v/>
      </c>
      <c r="L640" s="62" t="str">
        <f t="shared" si="71"/>
        <v/>
      </c>
      <c r="M640" s="63" t="str">
        <f t="shared" si="72"/>
        <v/>
      </c>
      <c r="N640" s="64"/>
    </row>
    <row r="641" spans="1:14" x14ac:dyDescent="0.3">
      <c r="A641" s="58" t="str">
        <f>IF([1]weekly_demand!A642="","",[1]weekly_demand!A642)</f>
        <v/>
      </c>
      <c r="B641" s="59" t="str">
        <f>IF($A641="","",[1]weekly_demand!F642)</f>
        <v/>
      </c>
      <c r="C641" s="60" t="str">
        <f>IF($A641="","",[1]weekly_demand!H642)</f>
        <v/>
      </c>
      <c r="D641" s="61" t="str">
        <f>IF($A641="","",IF(SUMIFS([1]Fixture_Capacity_Input!$C:$C,[1]Fixture_Capacity_Input!$A:$A,$B641,[1]Fixture_Capacity_Input!$B:$B,$C641)&gt;0,SUMIFS([1]Fixture_Capacity_Input!$C:$C,[1]Fixture_Capacity_Input!$A:$A,$B641,[1]Fixture_Capacity_Input!$B:$B,$C641),[1]weekly_demand!G642))</f>
        <v/>
      </c>
      <c r="E641" s="62" t="str">
        <f>IF($A641="","",[1]weekly_demand!I642)</f>
        <v/>
      </c>
      <c r="F641" s="61" t="str">
        <f>IF($A641="","",IF($A641&lt;&gt;$A640,IFERROR(INDEX([1]FG_Begin_Inventory!$B:$B,MATCH($A641,[1]FG_Begin_Inventory!$A:$A,0)),0),J640))</f>
        <v/>
      </c>
      <c r="G641" s="61" t="str">
        <f t="shared" si="73"/>
        <v/>
      </c>
      <c r="H641" s="62" t="str">
        <f t="shared" si="67"/>
        <v/>
      </c>
      <c r="I641" s="62" t="str">
        <f t="shared" si="68"/>
        <v/>
      </c>
      <c r="J641" s="62" t="str">
        <f t="shared" si="69"/>
        <v/>
      </c>
      <c r="K641" s="62" t="str">
        <f t="shared" si="70"/>
        <v/>
      </c>
      <c r="L641" s="62" t="str">
        <f t="shared" si="71"/>
        <v/>
      </c>
      <c r="M641" s="63" t="str">
        <f t="shared" si="72"/>
        <v/>
      </c>
      <c r="N641" s="64"/>
    </row>
    <row r="642" spans="1:14" x14ac:dyDescent="0.3">
      <c r="A642" s="58" t="str">
        <f>IF([1]weekly_demand!A643="","",[1]weekly_demand!A643)</f>
        <v/>
      </c>
      <c r="B642" s="59" t="str">
        <f>IF($A642="","",[1]weekly_demand!F643)</f>
        <v/>
      </c>
      <c r="C642" s="60" t="str">
        <f>IF($A642="","",[1]weekly_demand!H643)</f>
        <v/>
      </c>
      <c r="D642" s="61" t="str">
        <f>IF($A642="","",IF(SUMIFS([1]Fixture_Capacity_Input!$C:$C,[1]Fixture_Capacity_Input!$A:$A,$B642,[1]Fixture_Capacity_Input!$B:$B,$C642)&gt;0,SUMIFS([1]Fixture_Capacity_Input!$C:$C,[1]Fixture_Capacity_Input!$A:$A,$B642,[1]Fixture_Capacity_Input!$B:$B,$C642),[1]weekly_demand!G643))</f>
        <v/>
      </c>
      <c r="E642" s="62" t="str">
        <f>IF($A642="","",[1]weekly_demand!I643)</f>
        <v/>
      </c>
      <c r="F642" s="61" t="str">
        <f>IF($A642="","",IF($A642&lt;&gt;$A641,IFERROR(INDEX([1]FG_Begin_Inventory!$B:$B,MATCH($A642,[1]FG_Begin_Inventory!$A:$A,0)),0),J641))</f>
        <v/>
      </c>
      <c r="G642" s="61" t="str">
        <f t="shared" si="73"/>
        <v/>
      </c>
      <c r="H642" s="62" t="str">
        <f t="shared" ref="H642:H705" si="74">IF($A642="","",MAX(0,E642+G642-F642))</f>
        <v/>
      </c>
      <c r="I642" s="62" t="str">
        <f t="shared" ref="I642:I705" si="75">IF($A642="","",MIN(D642,H642))</f>
        <v/>
      </c>
      <c r="J642" s="62" t="str">
        <f t="shared" ref="J642:J705" si="76">IF($A642="","",MAX(0,F642+I642-E642))</f>
        <v/>
      </c>
      <c r="K642" s="62" t="str">
        <f t="shared" ref="K642:K705" si="77">IF($A642="","",MAX(0,E642-F642-I642))</f>
        <v/>
      </c>
      <c r="L642" s="62" t="str">
        <f t="shared" ref="L642:L705" si="78">IF($A642="","",MAX(0,F642+I642-E642))</f>
        <v/>
      </c>
      <c r="M642" s="63" t="str">
        <f t="shared" ref="M642:M705" si="79">IF($A642="","",IFERROR(I642/D642,0))</f>
        <v/>
      </c>
      <c r="N642" s="64"/>
    </row>
    <row r="643" spans="1:14" x14ac:dyDescent="0.3">
      <c r="A643" s="58" t="str">
        <f>IF([1]weekly_demand!A644="","",[1]weekly_demand!A644)</f>
        <v/>
      </c>
      <c r="B643" s="59" t="str">
        <f>IF($A643="","",[1]weekly_demand!F644)</f>
        <v/>
      </c>
      <c r="C643" s="60" t="str">
        <f>IF($A643="","",[1]weekly_demand!H644)</f>
        <v/>
      </c>
      <c r="D643" s="61" t="str">
        <f>IF($A643="","",IF(SUMIFS([1]Fixture_Capacity_Input!$C:$C,[1]Fixture_Capacity_Input!$A:$A,$B643,[1]Fixture_Capacity_Input!$B:$B,$C643)&gt;0,SUMIFS([1]Fixture_Capacity_Input!$C:$C,[1]Fixture_Capacity_Input!$A:$A,$B643,[1]Fixture_Capacity_Input!$B:$B,$C643),[1]weekly_demand!G644))</f>
        <v/>
      </c>
      <c r="E643" s="62" t="str">
        <f>IF($A643="","",[1]weekly_demand!I644)</f>
        <v/>
      </c>
      <c r="F643" s="61" t="str">
        <f>IF($A643="","",IF($A643&lt;&gt;$A642,IFERROR(INDEX([1]FG_Begin_Inventory!$B:$B,MATCH($A643,[1]FG_Begin_Inventory!$A:$A,0)),0),J642))</f>
        <v/>
      </c>
      <c r="G643" s="61" t="str">
        <f t="shared" si="73"/>
        <v/>
      </c>
      <c r="H643" s="62" t="str">
        <f t="shared" si="74"/>
        <v/>
      </c>
      <c r="I643" s="62" t="str">
        <f t="shared" si="75"/>
        <v/>
      </c>
      <c r="J643" s="62" t="str">
        <f t="shared" si="76"/>
        <v/>
      </c>
      <c r="K643" s="62" t="str">
        <f t="shared" si="77"/>
        <v/>
      </c>
      <c r="L643" s="62" t="str">
        <f t="shared" si="78"/>
        <v/>
      </c>
      <c r="M643" s="63" t="str">
        <f t="shared" si="79"/>
        <v/>
      </c>
      <c r="N643" s="64"/>
    </row>
    <row r="644" spans="1:14" x14ac:dyDescent="0.3">
      <c r="A644" s="58" t="str">
        <f>IF([1]weekly_demand!A645="","",[1]weekly_demand!A645)</f>
        <v/>
      </c>
      <c r="B644" s="59" t="str">
        <f>IF($A644="","",[1]weekly_demand!F645)</f>
        <v/>
      </c>
      <c r="C644" s="60" t="str">
        <f>IF($A644="","",[1]weekly_demand!H645)</f>
        <v/>
      </c>
      <c r="D644" s="61" t="str">
        <f>IF($A644="","",IF(SUMIFS([1]Fixture_Capacity_Input!$C:$C,[1]Fixture_Capacity_Input!$A:$A,$B644,[1]Fixture_Capacity_Input!$B:$B,$C644)&gt;0,SUMIFS([1]Fixture_Capacity_Input!$C:$C,[1]Fixture_Capacity_Input!$A:$A,$B644,[1]Fixture_Capacity_Input!$B:$B,$C644),[1]weekly_demand!G645))</f>
        <v/>
      </c>
      <c r="E644" s="62" t="str">
        <f>IF($A644="","",[1]weekly_demand!I645)</f>
        <v/>
      </c>
      <c r="F644" s="61" t="str">
        <f>IF($A644="","",IF($A644&lt;&gt;$A643,IFERROR(INDEX([1]FG_Begin_Inventory!$B:$B,MATCH($A644,[1]FG_Begin_Inventory!$A:$A,0)),0),J643))</f>
        <v/>
      </c>
      <c r="G644" s="61" t="str">
        <f t="shared" si="73"/>
        <v/>
      </c>
      <c r="H644" s="62" t="str">
        <f t="shared" si="74"/>
        <v/>
      </c>
      <c r="I644" s="62" t="str">
        <f t="shared" si="75"/>
        <v/>
      </c>
      <c r="J644" s="62" t="str">
        <f t="shared" si="76"/>
        <v/>
      </c>
      <c r="K644" s="62" t="str">
        <f t="shared" si="77"/>
        <v/>
      </c>
      <c r="L644" s="62" t="str">
        <f t="shared" si="78"/>
        <v/>
      </c>
      <c r="M644" s="63" t="str">
        <f t="shared" si="79"/>
        <v/>
      </c>
      <c r="N644" s="64"/>
    </row>
    <row r="645" spans="1:14" x14ac:dyDescent="0.3">
      <c r="A645" s="58" t="str">
        <f>IF([1]weekly_demand!A646="","",[1]weekly_demand!A646)</f>
        <v/>
      </c>
      <c r="B645" s="59" t="str">
        <f>IF($A645="","",[1]weekly_demand!F646)</f>
        <v/>
      </c>
      <c r="C645" s="60" t="str">
        <f>IF($A645="","",[1]weekly_demand!H646)</f>
        <v/>
      </c>
      <c r="D645" s="61" t="str">
        <f>IF($A645="","",IF(SUMIFS([1]Fixture_Capacity_Input!$C:$C,[1]Fixture_Capacity_Input!$A:$A,$B645,[1]Fixture_Capacity_Input!$B:$B,$C645)&gt;0,SUMIFS([1]Fixture_Capacity_Input!$C:$C,[1]Fixture_Capacity_Input!$A:$A,$B645,[1]Fixture_Capacity_Input!$B:$B,$C645),[1]weekly_demand!G646))</f>
        <v/>
      </c>
      <c r="E645" s="62" t="str">
        <f>IF($A645="","",[1]weekly_demand!I646)</f>
        <v/>
      </c>
      <c r="F645" s="61" t="str">
        <f>IF($A645="","",IF($A645&lt;&gt;$A644,IFERROR(INDEX([1]FG_Begin_Inventory!$B:$B,MATCH($A645,[1]FG_Begin_Inventory!$A:$A,0)),0),J644))</f>
        <v/>
      </c>
      <c r="G645" s="61" t="str">
        <f t="shared" si="73"/>
        <v/>
      </c>
      <c r="H645" s="62" t="str">
        <f t="shared" si="74"/>
        <v/>
      </c>
      <c r="I645" s="62" t="str">
        <f t="shared" si="75"/>
        <v/>
      </c>
      <c r="J645" s="62" t="str">
        <f t="shared" si="76"/>
        <v/>
      </c>
      <c r="K645" s="62" t="str">
        <f t="shared" si="77"/>
        <v/>
      </c>
      <c r="L645" s="62" t="str">
        <f t="shared" si="78"/>
        <v/>
      </c>
      <c r="M645" s="63" t="str">
        <f t="shared" si="79"/>
        <v/>
      </c>
      <c r="N645" s="64"/>
    </row>
    <row r="646" spans="1:14" x14ac:dyDescent="0.3">
      <c r="A646" s="58" t="str">
        <f>IF([1]weekly_demand!A647="","",[1]weekly_demand!A647)</f>
        <v/>
      </c>
      <c r="B646" s="59" t="str">
        <f>IF($A646="","",[1]weekly_demand!F647)</f>
        <v/>
      </c>
      <c r="C646" s="60" t="str">
        <f>IF($A646="","",[1]weekly_demand!H647)</f>
        <v/>
      </c>
      <c r="D646" s="61" t="str">
        <f>IF($A646="","",IF(SUMIFS([1]Fixture_Capacity_Input!$C:$C,[1]Fixture_Capacity_Input!$A:$A,$B646,[1]Fixture_Capacity_Input!$B:$B,$C646)&gt;0,SUMIFS([1]Fixture_Capacity_Input!$C:$C,[1]Fixture_Capacity_Input!$A:$A,$B646,[1]Fixture_Capacity_Input!$B:$B,$C646),[1]weekly_demand!G647))</f>
        <v/>
      </c>
      <c r="E646" s="62" t="str">
        <f>IF($A646="","",[1]weekly_demand!I647)</f>
        <v/>
      </c>
      <c r="F646" s="61" t="str">
        <f>IF($A646="","",IF($A646&lt;&gt;$A645,IFERROR(INDEX([1]FG_Begin_Inventory!$B:$B,MATCH($A646,[1]FG_Begin_Inventory!$A:$A,0)),0),J645))</f>
        <v/>
      </c>
      <c r="G646" s="61" t="str">
        <f t="shared" si="73"/>
        <v/>
      </c>
      <c r="H646" s="62" t="str">
        <f t="shared" si="74"/>
        <v/>
      </c>
      <c r="I646" s="62" t="str">
        <f t="shared" si="75"/>
        <v/>
      </c>
      <c r="J646" s="62" t="str">
        <f t="shared" si="76"/>
        <v/>
      </c>
      <c r="K646" s="62" t="str">
        <f t="shared" si="77"/>
        <v/>
      </c>
      <c r="L646" s="62" t="str">
        <f t="shared" si="78"/>
        <v/>
      </c>
      <c r="M646" s="63" t="str">
        <f t="shared" si="79"/>
        <v/>
      </c>
      <c r="N646" s="64"/>
    </row>
    <row r="647" spans="1:14" x14ac:dyDescent="0.3">
      <c r="A647" s="58" t="str">
        <f>IF([1]weekly_demand!A648="","",[1]weekly_demand!A648)</f>
        <v/>
      </c>
      <c r="B647" s="59" t="str">
        <f>IF($A647="","",[1]weekly_demand!F648)</f>
        <v/>
      </c>
      <c r="C647" s="60" t="str">
        <f>IF($A647="","",[1]weekly_demand!H648)</f>
        <v/>
      </c>
      <c r="D647" s="61" t="str">
        <f>IF($A647="","",IF(SUMIFS([1]Fixture_Capacity_Input!$C:$C,[1]Fixture_Capacity_Input!$A:$A,$B647,[1]Fixture_Capacity_Input!$B:$B,$C647)&gt;0,SUMIFS([1]Fixture_Capacity_Input!$C:$C,[1]Fixture_Capacity_Input!$A:$A,$B647,[1]Fixture_Capacity_Input!$B:$B,$C647),[1]weekly_demand!G648))</f>
        <v/>
      </c>
      <c r="E647" s="62" t="str">
        <f>IF($A647="","",[1]weekly_demand!I648)</f>
        <v/>
      </c>
      <c r="F647" s="61" t="str">
        <f>IF($A647="","",IF($A647&lt;&gt;$A646,IFERROR(INDEX([1]FG_Begin_Inventory!$B:$B,MATCH($A647,[1]FG_Begin_Inventory!$A:$A,0)),0),J646))</f>
        <v/>
      </c>
      <c r="G647" s="61" t="str">
        <f t="shared" si="73"/>
        <v/>
      </c>
      <c r="H647" s="62" t="str">
        <f t="shared" si="74"/>
        <v/>
      </c>
      <c r="I647" s="62" t="str">
        <f t="shared" si="75"/>
        <v/>
      </c>
      <c r="J647" s="62" t="str">
        <f t="shared" si="76"/>
        <v/>
      </c>
      <c r="K647" s="62" t="str">
        <f t="shared" si="77"/>
        <v/>
      </c>
      <c r="L647" s="62" t="str">
        <f t="shared" si="78"/>
        <v/>
      </c>
      <c r="M647" s="63" t="str">
        <f t="shared" si="79"/>
        <v/>
      </c>
      <c r="N647" s="64"/>
    </row>
    <row r="648" spans="1:14" x14ac:dyDescent="0.3">
      <c r="A648" s="58" t="str">
        <f>IF([1]weekly_demand!A649="","",[1]weekly_demand!A649)</f>
        <v/>
      </c>
      <c r="B648" s="59" t="str">
        <f>IF($A648="","",[1]weekly_demand!F649)</f>
        <v/>
      </c>
      <c r="C648" s="60" t="str">
        <f>IF($A648="","",[1]weekly_demand!H649)</f>
        <v/>
      </c>
      <c r="D648" s="61" t="str">
        <f>IF($A648="","",IF(SUMIFS([1]Fixture_Capacity_Input!$C:$C,[1]Fixture_Capacity_Input!$A:$A,$B648,[1]Fixture_Capacity_Input!$B:$B,$C648)&gt;0,SUMIFS([1]Fixture_Capacity_Input!$C:$C,[1]Fixture_Capacity_Input!$A:$A,$B648,[1]Fixture_Capacity_Input!$B:$B,$C648),[1]weekly_demand!G649))</f>
        <v/>
      </c>
      <c r="E648" s="62" t="str">
        <f>IF($A648="","",[1]weekly_demand!I649)</f>
        <v/>
      </c>
      <c r="F648" s="61" t="str">
        <f>IF($A648="","",IF($A648&lt;&gt;$A647,IFERROR(INDEX([1]FG_Begin_Inventory!$B:$B,MATCH($A648,[1]FG_Begin_Inventory!$A:$A,0)),0),J647))</f>
        <v/>
      </c>
      <c r="G648" s="61" t="str">
        <f t="shared" si="73"/>
        <v/>
      </c>
      <c r="H648" s="62" t="str">
        <f t="shared" si="74"/>
        <v/>
      </c>
      <c r="I648" s="62" t="str">
        <f t="shared" si="75"/>
        <v/>
      </c>
      <c r="J648" s="62" t="str">
        <f t="shared" si="76"/>
        <v/>
      </c>
      <c r="K648" s="62" t="str">
        <f t="shared" si="77"/>
        <v/>
      </c>
      <c r="L648" s="62" t="str">
        <f t="shared" si="78"/>
        <v/>
      </c>
      <c r="M648" s="63" t="str">
        <f t="shared" si="79"/>
        <v/>
      </c>
      <c r="N648" s="64"/>
    </row>
    <row r="649" spans="1:14" x14ac:dyDescent="0.3">
      <c r="A649" s="58" t="str">
        <f>IF([1]weekly_demand!A650="","",[1]weekly_demand!A650)</f>
        <v/>
      </c>
      <c r="B649" s="59" t="str">
        <f>IF($A649="","",[1]weekly_demand!F650)</f>
        <v/>
      </c>
      <c r="C649" s="60" t="str">
        <f>IF($A649="","",[1]weekly_demand!H650)</f>
        <v/>
      </c>
      <c r="D649" s="61" t="str">
        <f>IF($A649="","",IF(SUMIFS([1]Fixture_Capacity_Input!$C:$C,[1]Fixture_Capacity_Input!$A:$A,$B649,[1]Fixture_Capacity_Input!$B:$B,$C649)&gt;0,SUMIFS([1]Fixture_Capacity_Input!$C:$C,[1]Fixture_Capacity_Input!$A:$A,$B649,[1]Fixture_Capacity_Input!$B:$B,$C649),[1]weekly_demand!G650))</f>
        <v/>
      </c>
      <c r="E649" s="62" t="str">
        <f>IF($A649="","",[1]weekly_demand!I650)</f>
        <v/>
      </c>
      <c r="F649" s="61" t="str">
        <f>IF($A649="","",IF($A649&lt;&gt;$A648,IFERROR(INDEX([1]FG_Begin_Inventory!$B:$B,MATCH($A649,[1]FG_Begin_Inventory!$A:$A,0)),0),J648))</f>
        <v/>
      </c>
      <c r="G649" s="61" t="str">
        <f t="shared" si="73"/>
        <v/>
      </c>
      <c r="H649" s="62" t="str">
        <f t="shared" si="74"/>
        <v/>
      </c>
      <c r="I649" s="62" t="str">
        <f t="shared" si="75"/>
        <v/>
      </c>
      <c r="J649" s="62" t="str">
        <f t="shared" si="76"/>
        <v/>
      </c>
      <c r="K649" s="62" t="str">
        <f t="shared" si="77"/>
        <v/>
      </c>
      <c r="L649" s="62" t="str">
        <f t="shared" si="78"/>
        <v/>
      </c>
      <c r="M649" s="63" t="str">
        <f t="shared" si="79"/>
        <v/>
      </c>
      <c r="N649" s="64"/>
    </row>
    <row r="650" spans="1:14" x14ac:dyDescent="0.3">
      <c r="A650" s="58" t="str">
        <f>IF([1]weekly_demand!A651="","",[1]weekly_demand!A651)</f>
        <v/>
      </c>
      <c r="B650" s="59" t="str">
        <f>IF($A650="","",[1]weekly_demand!F651)</f>
        <v/>
      </c>
      <c r="C650" s="60" t="str">
        <f>IF($A650="","",[1]weekly_demand!H651)</f>
        <v/>
      </c>
      <c r="D650" s="61" t="str">
        <f>IF($A650="","",IF(SUMIFS([1]Fixture_Capacity_Input!$C:$C,[1]Fixture_Capacity_Input!$A:$A,$B650,[1]Fixture_Capacity_Input!$B:$B,$C650)&gt;0,SUMIFS([1]Fixture_Capacity_Input!$C:$C,[1]Fixture_Capacity_Input!$A:$A,$B650,[1]Fixture_Capacity_Input!$B:$B,$C650),[1]weekly_demand!G651))</f>
        <v/>
      </c>
      <c r="E650" s="62" t="str">
        <f>IF($A650="","",[1]weekly_demand!I651)</f>
        <v/>
      </c>
      <c r="F650" s="61" t="str">
        <f>IF($A650="","",IF($A650&lt;&gt;$A649,IFERROR(INDEX([1]FG_Begin_Inventory!$B:$B,MATCH($A650,[1]FG_Begin_Inventory!$A:$A,0)),0),J649))</f>
        <v/>
      </c>
      <c r="G650" s="61" t="str">
        <f t="shared" si="73"/>
        <v/>
      </c>
      <c r="H650" s="62" t="str">
        <f t="shared" si="74"/>
        <v/>
      </c>
      <c r="I650" s="62" t="str">
        <f t="shared" si="75"/>
        <v/>
      </c>
      <c r="J650" s="62" t="str">
        <f t="shared" si="76"/>
        <v/>
      </c>
      <c r="K650" s="62" t="str">
        <f t="shared" si="77"/>
        <v/>
      </c>
      <c r="L650" s="62" t="str">
        <f t="shared" si="78"/>
        <v/>
      </c>
      <c r="M650" s="63" t="str">
        <f t="shared" si="79"/>
        <v/>
      </c>
      <c r="N650" s="64"/>
    </row>
    <row r="651" spans="1:14" x14ac:dyDescent="0.3">
      <c r="A651" s="58" t="str">
        <f>IF([1]weekly_demand!A652="","",[1]weekly_demand!A652)</f>
        <v/>
      </c>
      <c r="B651" s="59" t="str">
        <f>IF($A651="","",[1]weekly_demand!F652)</f>
        <v/>
      </c>
      <c r="C651" s="60" t="str">
        <f>IF($A651="","",[1]weekly_demand!H652)</f>
        <v/>
      </c>
      <c r="D651" s="61" t="str">
        <f>IF($A651="","",IF(SUMIFS([1]Fixture_Capacity_Input!$C:$C,[1]Fixture_Capacity_Input!$A:$A,$B651,[1]Fixture_Capacity_Input!$B:$B,$C651)&gt;0,SUMIFS([1]Fixture_Capacity_Input!$C:$C,[1]Fixture_Capacity_Input!$A:$A,$B651,[1]Fixture_Capacity_Input!$B:$B,$C651),[1]weekly_demand!G652))</f>
        <v/>
      </c>
      <c r="E651" s="62" t="str">
        <f>IF($A651="","",[1]weekly_demand!I652)</f>
        <v/>
      </c>
      <c r="F651" s="61" t="str">
        <f>IF($A651="","",IF($A651&lt;&gt;$A650,IFERROR(INDEX([1]FG_Begin_Inventory!$B:$B,MATCH($A651,[1]FG_Begin_Inventory!$A:$A,0)),0),J650))</f>
        <v/>
      </c>
      <c r="G651" s="61" t="str">
        <f t="shared" si="73"/>
        <v/>
      </c>
      <c r="H651" s="62" t="str">
        <f t="shared" si="74"/>
        <v/>
      </c>
      <c r="I651" s="62" t="str">
        <f t="shared" si="75"/>
        <v/>
      </c>
      <c r="J651" s="62" t="str">
        <f t="shared" si="76"/>
        <v/>
      </c>
      <c r="K651" s="62" t="str">
        <f t="shared" si="77"/>
        <v/>
      </c>
      <c r="L651" s="62" t="str">
        <f t="shared" si="78"/>
        <v/>
      </c>
      <c r="M651" s="63" t="str">
        <f t="shared" si="79"/>
        <v/>
      </c>
      <c r="N651" s="64"/>
    </row>
    <row r="652" spans="1:14" x14ac:dyDescent="0.3">
      <c r="A652" s="58" t="str">
        <f>IF([1]weekly_demand!A653="","",[1]weekly_demand!A653)</f>
        <v/>
      </c>
      <c r="B652" s="59" t="str">
        <f>IF($A652="","",[1]weekly_demand!F653)</f>
        <v/>
      </c>
      <c r="C652" s="60" t="str">
        <f>IF($A652="","",[1]weekly_demand!H653)</f>
        <v/>
      </c>
      <c r="D652" s="61" t="str">
        <f>IF($A652="","",IF(SUMIFS([1]Fixture_Capacity_Input!$C:$C,[1]Fixture_Capacity_Input!$A:$A,$B652,[1]Fixture_Capacity_Input!$B:$B,$C652)&gt;0,SUMIFS([1]Fixture_Capacity_Input!$C:$C,[1]Fixture_Capacity_Input!$A:$A,$B652,[1]Fixture_Capacity_Input!$B:$B,$C652),[1]weekly_demand!G653))</f>
        <v/>
      </c>
      <c r="E652" s="62" t="str">
        <f>IF($A652="","",[1]weekly_demand!I653)</f>
        <v/>
      </c>
      <c r="F652" s="61" t="str">
        <f>IF($A652="","",IF($A652&lt;&gt;$A651,IFERROR(INDEX([1]FG_Begin_Inventory!$B:$B,MATCH($A652,[1]FG_Begin_Inventory!$A:$A,0)),0),J651))</f>
        <v/>
      </c>
      <c r="G652" s="61" t="str">
        <f t="shared" si="73"/>
        <v/>
      </c>
      <c r="H652" s="62" t="str">
        <f t="shared" si="74"/>
        <v/>
      </c>
      <c r="I652" s="62" t="str">
        <f t="shared" si="75"/>
        <v/>
      </c>
      <c r="J652" s="62" t="str">
        <f t="shared" si="76"/>
        <v/>
      </c>
      <c r="K652" s="62" t="str">
        <f t="shared" si="77"/>
        <v/>
      </c>
      <c r="L652" s="62" t="str">
        <f t="shared" si="78"/>
        <v/>
      </c>
      <c r="M652" s="63" t="str">
        <f t="shared" si="79"/>
        <v/>
      </c>
      <c r="N652" s="64"/>
    </row>
    <row r="653" spans="1:14" x14ac:dyDescent="0.3">
      <c r="A653" s="58" t="str">
        <f>IF([1]weekly_demand!A654="","",[1]weekly_demand!A654)</f>
        <v/>
      </c>
      <c r="B653" s="59" t="str">
        <f>IF($A653="","",[1]weekly_demand!F654)</f>
        <v/>
      </c>
      <c r="C653" s="60" t="str">
        <f>IF($A653="","",[1]weekly_demand!H654)</f>
        <v/>
      </c>
      <c r="D653" s="61" t="str">
        <f>IF($A653="","",IF(SUMIFS([1]Fixture_Capacity_Input!$C:$C,[1]Fixture_Capacity_Input!$A:$A,$B653,[1]Fixture_Capacity_Input!$B:$B,$C653)&gt;0,SUMIFS([1]Fixture_Capacity_Input!$C:$C,[1]Fixture_Capacity_Input!$A:$A,$B653,[1]Fixture_Capacity_Input!$B:$B,$C653),[1]weekly_demand!G654))</f>
        <v/>
      </c>
      <c r="E653" s="62" t="str">
        <f>IF($A653="","",[1]weekly_demand!I654)</f>
        <v/>
      </c>
      <c r="F653" s="61" t="str">
        <f>IF($A653="","",IF($A653&lt;&gt;$A652,IFERROR(INDEX([1]FG_Begin_Inventory!$B:$B,MATCH($A653,[1]FG_Begin_Inventory!$A:$A,0)),0),J652))</f>
        <v/>
      </c>
      <c r="G653" s="61" t="str">
        <f t="shared" si="73"/>
        <v/>
      </c>
      <c r="H653" s="62" t="str">
        <f t="shared" si="74"/>
        <v/>
      </c>
      <c r="I653" s="62" t="str">
        <f t="shared" si="75"/>
        <v/>
      </c>
      <c r="J653" s="62" t="str">
        <f t="shared" si="76"/>
        <v/>
      </c>
      <c r="K653" s="62" t="str">
        <f t="shared" si="77"/>
        <v/>
      </c>
      <c r="L653" s="62" t="str">
        <f t="shared" si="78"/>
        <v/>
      </c>
      <c r="M653" s="63" t="str">
        <f t="shared" si="79"/>
        <v/>
      </c>
      <c r="N653" s="64"/>
    </row>
    <row r="654" spans="1:14" x14ac:dyDescent="0.3">
      <c r="A654" s="58" t="str">
        <f>IF([1]weekly_demand!A655="","",[1]weekly_demand!A655)</f>
        <v/>
      </c>
      <c r="B654" s="59" t="str">
        <f>IF($A654="","",[1]weekly_demand!F655)</f>
        <v/>
      </c>
      <c r="C654" s="60" t="str">
        <f>IF($A654="","",[1]weekly_demand!H655)</f>
        <v/>
      </c>
      <c r="D654" s="61" t="str">
        <f>IF($A654="","",IF(SUMIFS([1]Fixture_Capacity_Input!$C:$C,[1]Fixture_Capacity_Input!$A:$A,$B654,[1]Fixture_Capacity_Input!$B:$B,$C654)&gt;0,SUMIFS([1]Fixture_Capacity_Input!$C:$C,[1]Fixture_Capacity_Input!$A:$A,$B654,[1]Fixture_Capacity_Input!$B:$B,$C654),[1]weekly_demand!G655))</f>
        <v/>
      </c>
      <c r="E654" s="62" t="str">
        <f>IF($A654="","",[1]weekly_demand!I655)</f>
        <v/>
      </c>
      <c r="F654" s="61" t="str">
        <f>IF($A654="","",IF($A654&lt;&gt;$A653,IFERROR(INDEX([1]FG_Begin_Inventory!$B:$B,MATCH($A654,[1]FG_Begin_Inventory!$A:$A,0)),0),J653))</f>
        <v/>
      </c>
      <c r="G654" s="61" t="str">
        <f t="shared" si="73"/>
        <v/>
      </c>
      <c r="H654" s="62" t="str">
        <f t="shared" si="74"/>
        <v/>
      </c>
      <c r="I654" s="62" t="str">
        <f t="shared" si="75"/>
        <v/>
      </c>
      <c r="J654" s="62" t="str">
        <f t="shared" si="76"/>
        <v/>
      </c>
      <c r="K654" s="62" t="str">
        <f t="shared" si="77"/>
        <v/>
      </c>
      <c r="L654" s="62" t="str">
        <f t="shared" si="78"/>
        <v/>
      </c>
      <c r="M654" s="63" t="str">
        <f t="shared" si="79"/>
        <v/>
      </c>
      <c r="N654" s="64"/>
    </row>
    <row r="655" spans="1:14" x14ac:dyDescent="0.3">
      <c r="A655" s="58" t="str">
        <f>IF([1]weekly_demand!A656="","",[1]weekly_demand!A656)</f>
        <v/>
      </c>
      <c r="B655" s="59" t="str">
        <f>IF($A655="","",[1]weekly_demand!F656)</f>
        <v/>
      </c>
      <c r="C655" s="60" t="str">
        <f>IF($A655="","",[1]weekly_demand!H656)</f>
        <v/>
      </c>
      <c r="D655" s="61" t="str">
        <f>IF($A655="","",IF(SUMIFS([1]Fixture_Capacity_Input!$C:$C,[1]Fixture_Capacity_Input!$A:$A,$B655,[1]Fixture_Capacity_Input!$B:$B,$C655)&gt;0,SUMIFS([1]Fixture_Capacity_Input!$C:$C,[1]Fixture_Capacity_Input!$A:$A,$B655,[1]Fixture_Capacity_Input!$B:$B,$C655),[1]weekly_demand!G656))</f>
        <v/>
      </c>
      <c r="E655" s="62" t="str">
        <f>IF($A655="","",[1]weekly_demand!I656)</f>
        <v/>
      </c>
      <c r="F655" s="61" t="str">
        <f>IF($A655="","",IF($A655&lt;&gt;$A654,IFERROR(INDEX([1]FG_Begin_Inventory!$B:$B,MATCH($A655,[1]FG_Begin_Inventory!$A:$A,0)),0),J654))</f>
        <v/>
      </c>
      <c r="G655" s="61" t="str">
        <f t="shared" si="73"/>
        <v/>
      </c>
      <c r="H655" s="62" t="str">
        <f t="shared" si="74"/>
        <v/>
      </c>
      <c r="I655" s="62" t="str">
        <f t="shared" si="75"/>
        <v/>
      </c>
      <c r="J655" s="62" t="str">
        <f t="shared" si="76"/>
        <v/>
      </c>
      <c r="K655" s="62" t="str">
        <f t="shared" si="77"/>
        <v/>
      </c>
      <c r="L655" s="62" t="str">
        <f t="shared" si="78"/>
        <v/>
      </c>
      <c r="M655" s="63" t="str">
        <f t="shared" si="79"/>
        <v/>
      </c>
      <c r="N655" s="64"/>
    </row>
    <row r="656" spans="1:14" x14ac:dyDescent="0.3">
      <c r="A656" s="58" t="str">
        <f>IF([1]weekly_demand!A657="","",[1]weekly_demand!A657)</f>
        <v/>
      </c>
      <c r="B656" s="59" t="str">
        <f>IF($A656="","",[1]weekly_demand!F657)</f>
        <v/>
      </c>
      <c r="C656" s="60" t="str">
        <f>IF($A656="","",[1]weekly_demand!H657)</f>
        <v/>
      </c>
      <c r="D656" s="61" t="str">
        <f>IF($A656="","",IF(SUMIFS([1]Fixture_Capacity_Input!$C:$C,[1]Fixture_Capacity_Input!$A:$A,$B656,[1]Fixture_Capacity_Input!$B:$B,$C656)&gt;0,SUMIFS([1]Fixture_Capacity_Input!$C:$C,[1]Fixture_Capacity_Input!$A:$A,$B656,[1]Fixture_Capacity_Input!$B:$B,$C656),[1]weekly_demand!G657))</f>
        <v/>
      </c>
      <c r="E656" s="62" t="str">
        <f>IF($A656="","",[1]weekly_demand!I657)</f>
        <v/>
      </c>
      <c r="F656" s="61" t="str">
        <f>IF($A656="","",IF($A656&lt;&gt;$A655,IFERROR(INDEX([1]FG_Begin_Inventory!$B:$B,MATCH($A656,[1]FG_Begin_Inventory!$A:$A,0)),0),J655))</f>
        <v/>
      </c>
      <c r="G656" s="61" t="str">
        <f t="shared" si="73"/>
        <v/>
      </c>
      <c r="H656" s="62" t="str">
        <f t="shared" si="74"/>
        <v/>
      </c>
      <c r="I656" s="62" t="str">
        <f t="shared" si="75"/>
        <v/>
      </c>
      <c r="J656" s="62" t="str">
        <f t="shared" si="76"/>
        <v/>
      </c>
      <c r="K656" s="62" t="str">
        <f t="shared" si="77"/>
        <v/>
      </c>
      <c r="L656" s="62" t="str">
        <f t="shared" si="78"/>
        <v/>
      </c>
      <c r="M656" s="63" t="str">
        <f t="shared" si="79"/>
        <v/>
      </c>
      <c r="N656" s="64"/>
    </row>
    <row r="657" spans="1:14" x14ac:dyDescent="0.3">
      <c r="A657" s="58" t="str">
        <f>IF([1]weekly_demand!A658="","",[1]weekly_demand!A658)</f>
        <v/>
      </c>
      <c r="B657" s="59" t="str">
        <f>IF($A657="","",[1]weekly_demand!F658)</f>
        <v/>
      </c>
      <c r="C657" s="60" t="str">
        <f>IF($A657="","",[1]weekly_demand!H658)</f>
        <v/>
      </c>
      <c r="D657" s="61" t="str">
        <f>IF($A657="","",IF(SUMIFS([1]Fixture_Capacity_Input!$C:$C,[1]Fixture_Capacity_Input!$A:$A,$B657,[1]Fixture_Capacity_Input!$B:$B,$C657)&gt;0,SUMIFS([1]Fixture_Capacity_Input!$C:$C,[1]Fixture_Capacity_Input!$A:$A,$B657,[1]Fixture_Capacity_Input!$B:$B,$C657),[1]weekly_demand!G658))</f>
        <v/>
      </c>
      <c r="E657" s="62" t="str">
        <f>IF($A657="","",[1]weekly_demand!I658)</f>
        <v/>
      </c>
      <c r="F657" s="61" t="str">
        <f>IF($A657="","",IF($A657&lt;&gt;$A656,IFERROR(INDEX([1]FG_Begin_Inventory!$B:$B,MATCH($A657,[1]FG_Begin_Inventory!$A:$A,0)),0),J656))</f>
        <v/>
      </c>
      <c r="G657" s="61" t="str">
        <f t="shared" si="73"/>
        <v/>
      </c>
      <c r="H657" s="62" t="str">
        <f t="shared" si="74"/>
        <v/>
      </c>
      <c r="I657" s="62" t="str">
        <f t="shared" si="75"/>
        <v/>
      </c>
      <c r="J657" s="62" t="str">
        <f t="shared" si="76"/>
        <v/>
      </c>
      <c r="K657" s="62" t="str">
        <f t="shared" si="77"/>
        <v/>
      </c>
      <c r="L657" s="62" t="str">
        <f t="shared" si="78"/>
        <v/>
      </c>
      <c r="M657" s="63" t="str">
        <f t="shared" si="79"/>
        <v/>
      </c>
      <c r="N657" s="64"/>
    </row>
    <row r="658" spans="1:14" x14ac:dyDescent="0.3">
      <c r="A658" s="58" t="str">
        <f>IF([1]weekly_demand!A659="","",[1]weekly_demand!A659)</f>
        <v/>
      </c>
      <c r="B658" s="59" t="str">
        <f>IF($A658="","",[1]weekly_demand!F659)</f>
        <v/>
      </c>
      <c r="C658" s="60" t="str">
        <f>IF($A658="","",[1]weekly_demand!H659)</f>
        <v/>
      </c>
      <c r="D658" s="61" t="str">
        <f>IF($A658="","",IF(SUMIFS([1]Fixture_Capacity_Input!$C:$C,[1]Fixture_Capacity_Input!$A:$A,$B658,[1]Fixture_Capacity_Input!$B:$B,$C658)&gt;0,SUMIFS([1]Fixture_Capacity_Input!$C:$C,[1]Fixture_Capacity_Input!$A:$A,$B658,[1]Fixture_Capacity_Input!$B:$B,$C658),[1]weekly_demand!G659))</f>
        <v/>
      </c>
      <c r="E658" s="62" t="str">
        <f>IF($A658="","",[1]weekly_demand!I659)</f>
        <v/>
      </c>
      <c r="F658" s="61" t="str">
        <f>IF($A658="","",IF($A658&lt;&gt;$A657,IFERROR(INDEX([1]FG_Begin_Inventory!$B:$B,MATCH($A658,[1]FG_Begin_Inventory!$A:$A,0)),0),J657))</f>
        <v/>
      </c>
      <c r="G658" s="61" t="str">
        <f t="shared" si="73"/>
        <v/>
      </c>
      <c r="H658" s="62" t="str">
        <f t="shared" si="74"/>
        <v/>
      </c>
      <c r="I658" s="62" t="str">
        <f t="shared" si="75"/>
        <v/>
      </c>
      <c r="J658" s="62" t="str">
        <f t="shared" si="76"/>
        <v/>
      </c>
      <c r="K658" s="62" t="str">
        <f t="shared" si="77"/>
        <v/>
      </c>
      <c r="L658" s="62" t="str">
        <f t="shared" si="78"/>
        <v/>
      </c>
      <c r="M658" s="63" t="str">
        <f t="shared" si="79"/>
        <v/>
      </c>
      <c r="N658" s="64"/>
    </row>
    <row r="659" spans="1:14" x14ac:dyDescent="0.3">
      <c r="A659" s="58" t="str">
        <f>IF([1]weekly_demand!A660="","",[1]weekly_demand!A660)</f>
        <v/>
      </c>
      <c r="B659" s="59" t="str">
        <f>IF($A659="","",[1]weekly_demand!F660)</f>
        <v/>
      </c>
      <c r="C659" s="60" t="str">
        <f>IF($A659="","",[1]weekly_demand!H660)</f>
        <v/>
      </c>
      <c r="D659" s="61" t="str">
        <f>IF($A659="","",IF(SUMIFS([1]Fixture_Capacity_Input!$C:$C,[1]Fixture_Capacity_Input!$A:$A,$B659,[1]Fixture_Capacity_Input!$B:$B,$C659)&gt;0,SUMIFS([1]Fixture_Capacity_Input!$C:$C,[1]Fixture_Capacity_Input!$A:$A,$B659,[1]Fixture_Capacity_Input!$B:$B,$C659),[1]weekly_demand!G660))</f>
        <v/>
      </c>
      <c r="E659" s="62" t="str">
        <f>IF($A659="","",[1]weekly_demand!I660)</f>
        <v/>
      </c>
      <c r="F659" s="61" t="str">
        <f>IF($A659="","",IF($A659&lt;&gt;$A658,IFERROR(INDEX([1]FG_Begin_Inventory!$B:$B,MATCH($A659,[1]FG_Begin_Inventory!$A:$A,0)),0),J658))</f>
        <v/>
      </c>
      <c r="G659" s="61" t="str">
        <f t="shared" si="73"/>
        <v/>
      </c>
      <c r="H659" s="62" t="str">
        <f t="shared" si="74"/>
        <v/>
      </c>
      <c r="I659" s="62" t="str">
        <f t="shared" si="75"/>
        <v/>
      </c>
      <c r="J659" s="62" t="str">
        <f t="shared" si="76"/>
        <v/>
      </c>
      <c r="K659" s="62" t="str">
        <f t="shared" si="77"/>
        <v/>
      </c>
      <c r="L659" s="62" t="str">
        <f t="shared" si="78"/>
        <v/>
      </c>
      <c r="M659" s="63" t="str">
        <f t="shared" si="79"/>
        <v/>
      </c>
      <c r="N659" s="64"/>
    </row>
    <row r="660" spans="1:14" x14ac:dyDescent="0.3">
      <c r="A660" s="58" t="str">
        <f>IF([1]weekly_demand!A661="","",[1]weekly_demand!A661)</f>
        <v/>
      </c>
      <c r="B660" s="59" t="str">
        <f>IF($A660="","",[1]weekly_demand!F661)</f>
        <v/>
      </c>
      <c r="C660" s="60" t="str">
        <f>IF($A660="","",[1]weekly_demand!H661)</f>
        <v/>
      </c>
      <c r="D660" s="61" t="str">
        <f>IF($A660="","",IF(SUMIFS([1]Fixture_Capacity_Input!$C:$C,[1]Fixture_Capacity_Input!$A:$A,$B660,[1]Fixture_Capacity_Input!$B:$B,$C660)&gt;0,SUMIFS([1]Fixture_Capacity_Input!$C:$C,[1]Fixture_Capacity_Input!$A:$A,$B660,[1]Fixture_Capacity_Input!$B:$B,$C660),[1]weekly_demand!G661))</f>
        <v/>
      </c>
      <c r="E660" s="62" t="str">
        <f>IF($A660="","",[1]weekly_demand!I661)</f>
        <v/>
      </c>
      <c r="F660" s="61" t="str">
        <f>IF($A660="","",IF($A660&lt;&gt;$A659,IFERROR(INDEX([1]FG_Begin_Inventory!$B:$B,MATCH($A660,[1]FG_Begin_Inventory!$A:$A,0)),0),J659))</f>
        <v/>
      </c>
      <c r="G660" s="61" t="str">
        <f t="shared" si="73"/>
        <v/>
      </c>
      <c r="H660" s="62" t="str">
        <f t="shared" si="74"/>
        <v/>
      </c>
      <c r="I660" s="62" t="str">
        <f t="shared" si="75"/>
        <v/>
      </c>
      <c r="J660" s="62" t="str">
        <f t="shared" si="76"/>
        <v/>
      </c>
      <c r="K660" s="62" t="str">
        <f t="shared" si="77"/>
        <v/>
      </c>
      <c r="L660" s="62" t="str">
        <f t="shared" si="78"/>
        <v/>
      </c>
      <c r="M660" s="63" t="str">
        <f t="shared" si="79"/>
        <v/>
      </c>
      <c r="N660" s="64"/>
    </row>
    <row r="661" spans="1:14" x14ac:dyDescent="0.3">
      <c r="A661" s="58" t="str">
        <f>IF([1]weekly_demand!A662="","",[1]weekly_demand!A662)</f>
        <v/>
      </c>
      <c r="B661" s="59" t="str">
        <f>IF($A661="","",[1]weekly_demand!F662)</f>
        <v/>
      </c>
      <c r="C661" s="60" t="str">
        <f>IF($A661="","",[1]weekly_demand!H662)</f>
        <v/>
      </c>
      <c r="D661" s="61" t="str">
        <f>IF($A661="","",IF(SUMIFS([1]Fixture_Capacity_Input!$C:$C,[1]Fixture_Capacity_Input!$A:$A,$B661,[1]Fixture_Capacity_Input!$B:$B,$C661)&gt;0,SUMIFS([1]Fixture_Capacity_Input!$C:$C,[1]Fixture_Capacity_Input!$A:$A,$B661,[1]Fixture_Capacity_Input!$B:$B,$C661),[1]weekly_demand!G662))</f>
        <v/>
      </c>
      <c r="E661" s="62" t="str">
        <f>IF($A661="","",[1]weekly_demand!I662)</f>
        <v/>
      </c>
      <c r="F661" s="61" t="str">
        <f>IF($A661="","",IF($A661&lt;&gt;$A660,IFERROR(INDEX([1]FG_Begin_Inventory!$B:$B,MATCH($A661,[1]FG_Begin_Inventory!$A:$A,0)),0),J660))</f>
        <v/>
      </c>
      <c r="G661" s="61" t="str">
        <f t="shared" si="73"/>
        <v/>
      </c>
      <c r="H661" s="62" t="str">
        <f t="shared" si="74"/>
        <v/>
      </c>
      <c r="I661" s="62" t="str">
        <f t="shared" si="75"/>
        <v/>
      </c>
      <c r="J661" s="62" t="str">
        <f t="shared" si="76"/>
        <v/>
      </c>
      <c r="K661" s="62" t="str">
        <f t="shared" si="77"/>
        <v/>
      </c>
      <c r="L661" s="62" t="str">
        <f t="shared" si="78"/>
        <v/>
      </c>
      <c r="M661" s="63" t="str">
        <f t="shared" si="79"/>
        <v/>
      </c>
      <c r="N661" s="64"/>
    </row>
    <row r="662" spans="1:14" x14ac:dyDescent="0.3">
      <c r="A662" s="58" t="str">
        <f>IF([1]weekly_demand!A663="","",[1]weekly_demand!A663)</f>
        <v/>
      </c>
      <c r="B662" s="59" t="str">
        <f>IF($A662="","",[1]weekly_demand!F663)</f>
        <v/>
      </c>
      <c r="C662" s="60" t="str">
        <f>IF($A662="","",[1]weekly_demand!H663)</f>
        <v/>
      </c>
      <c r="D662" s="61" t="str">
        <f>IF($A662="","",IF(SUMIFS([1]Fixture_Capacity_Input!$C:$C,[1]Fixture_Capacity_Input!$A:$A,$B662,[1]Fixture_Capacity_Input!$B:$B,$C662)&gt;0,SUMIFS([1]Fixture_Capacity_Input!$C:$C,[1]Fixture_Capacity_Input!$A:$A,$B662,[1]Fixture_Capacity_Input!$B:$B,$C662),[1]weekly_demand!G663))</f>
        <v/>
      </c>
      <c r="E662" s="62" t="str">
        <f>IF($A662="","",[1]weekly_demand!I663)</f>
        <v/>
      </c>
      <c r="F662" s="61" t="str">
        <f>IF($A662="","",IF($A662&lt;&gt;$A661,IFERROR(INDEX([1]FG_Begin_Inventory!$B:$B,MATCH($A662,[1]FG_Begin_Inventory!$A:$A,0)),0),J661))</f>
        <v/>
      </c>
      <c r="G662" s="61" t="str">
        <f t="shared" si="73"/>
        <v/>
      </c>
      <c r="H662" s="62" t="str">
        <f t="shared" si="74"/>
        <v/>
      </c>
      <c r="I662" s="62" t="str">
        <f t="shared" si="75"/>
        <v/>
      </c>
      <c r="J662" s="62" t="str">
        <f t="shared" si="76"/>
        <v/>
      </c>
      <c r="K662" s="62" t="str">
        <f t="shared" si="77"/>
        <v/>
      </c>
      <c r="L662" s="62" t="str">
        <f t="shared" si="78"/>
        <v/>
      </c>
      <c r="M662" s="63" t="str">
        <f t="shared" si="79"/>
        <v/>
      </c>
      <c r="N662" s="64"/>
    </row>
    <row r="663" spans="1:14" x14ac:dyDescent="0.3">
      <c r="A663" s="58" t="str">
        <f>IF([1]weekly_demand!A664="","",[1]weekly_demand!A664)</f>
        <v/>
      </c>
      <c r="B663" s="59" t="str">
        <f>IF($A663="","",[1]weekly_demand!F664)</f>
        <v/>
      </c>
      <c r="C663" s="60" t="str">
        <f>IF($A663="","",[1]weekly_demand!H664)</f>
        <v/>
      </c>
      <c r="D663" s="61" t="str">
        <f>IF($A663="","",IF(SUMIFS([1]Fixture_Capacity_Input!$C:$C,[1]Fixture_Capacity_Input!$A:$A,$B663,[1]Fixture_Capacity_Input!$B:$B,$C663)&gt;0,SUMIFS([1]Fixture_Capacity_Input!$C:$C,[1]Fixture_Capacity_Input!$A:$A,$B663,[1]Fixture_Capacity_Input!$B:$B,$C663),[1]weekly_demand!G664))</f>
        <v/>
      </c>
      <c r="E663" s="62" t="str">
        <f>IF($A663="","",[1]weekly_demand!I664)</f>
        <v/>
      </c>
      <c r="F663" s="61" t="str">
        <f>IF($A663="","",IF($A663&lt;&gt;$A662,IFERROR(INDEX([1]FG_Begin_Inventory!$B:$B,MATCH($A663,[1]FG_Begin_Inventory!$A:$A,0)),0),J662))</f>
        <v/>
      </c>
      <c r="G663" s="61" t="str">
        <f t="shared" si="73"/>
        <v/>
      </c>
      <c r="H663" s="62" t="str">
        <f t="shared" si="74"/>
        <v/>
      </c>
      <c r="I663" s="62" t="str">
        <f t="shared" si="75"/>
        <v/>
      </c>
      <c r="J663" s="62" t="str">
        <f t="shared" si="76"/>
        <v/>
      </c>
      <c r="K663" s="62" t="str">
        <f t="shared" si="77"/>
        <v/>
      </c>
      <c r="L663" s="62" t="str">
        <f t="shared" si="78"/>
        <v/>
      </c>
      <c r="M663" s="63" t="str">
        <f t="shared" si="79"/>
        <v/>
      </c>
      <c r="N663" s="64"/>
    </row>
    <row r="664" spans="1:14" x14ac:dyDescent="0.3">
      <c r="A664" s="58" t="str">
        <f>IF([1]weekly_demand!A665="","",[1]weekly_demand!A665)</f>
        <v/>
      </c>
      <c r="B664" s="59" t="str">
        <f>IF($A664="","",[1]weekly_demand!F665)</f>
        <v/>
      </c>
      <c r="C664" s="60" t="str">
        <f>IF($A664="","",[1]weekly_demand!H665)</f>
        <v/>
      </c>
      <c r="D664" s="61" t="str">
        <f>IF($A664="","",IF(SUMIFS([1]Fixture_Capacity_Input!$C:$C,[1]Fixture_Capacity_Input!$A:$A,$B664,[1]Fixture_Capacity_Input!$B:$B,$C664)&gt;0,SUMIFS([1]Fixture_Capacity_Input!$C:$C,[1]Fixture_Capacity_Input!$A:$A,$B664,[1]Fixture_Capacity_Input!$B:$B,$C664),[1]weekly_demand!G665))</f>
        <v/>
      </c>
      <c r="E664" s="62" t="str">
        <f>IF($A664="","",[1]weekly_demand!I665)</f>
        <v/>
      </c>
      <c r="F664" s="61" t="str">
        <f>IF($A664="","",IF($A664&lt;&gt;$A663,IFERROR(INDEX([1]FG_Begin_Inventory!$B:$B,MATCH($A664,[1]FG_Begin_Inventory!$A:$A,0)),0),J663))</f>
        <v/>
      </c>
      <c r="G664" s="61" t="str">
        <f t="shared" si="73"/>
        <v/>
      </c>
      <c r="H664" s="62" t="str">
        <f t="shared" si="74"/>
        <v/>
      </c>
      <c r="I664" s="62" t="str">
        <f t="shared" si="75"/>
        <v/>
      </c>
      <c r="J664" s="62" t="str">
        <f t="shared" si="76"/>
        <v/>
      </c>
      <c r="K664" s="62" t="str">
        <f t="shared" si="77"/>
        <v/>
      </c>
      <c r="L664" s="62" t="str">
        <f t="shared" si="78"/>
        <v/>
      </c>
      <c r="M664" s="63" t="str">
        <f t="shared" si="79"/>
        <v/>
      </c>
      <c r="N664" s="64"/>
    </row>
    <row r="665" spans="1:14" x14ac:dyDescent="0.3">
      <c r="A665" s="58" t="str">
        <f>IF([1]weekly_demand!A666="","",[1]weekly_demand!A666)</f>
        <v/>
      </c>
      <c r="B665" s="59" t="str">
        <f>IF($A665="","",[1]weekly_demand!F666)</f>
        <v/>
      </c>
      <c r="C665" s="60" t="str">
        <f>IF($A665="","",[1]weekly_demand!H666)</f>
        <v/>
      </c>
      <c r="D665" s="61" t="str">
        <f>IF($A665="","",IF(SUMIFS([1]Fixture_Capacity_Input!$C:$C,[1]Fixture_Capacity_Input!$A:$A,$B665,[1]Fixture_Capacity_Input!$B:$B,$C665)&gt;0,SUMIFS([1]Fixture_Capacity_Input!$C:$C,[1]Fixture_Capacity_Input!$A:$A,$B665,[1]Fixture_Capacity_Input!$B:$B,$C665),[1]weekly_demand!G666))</f>
        <v/>
      </c>
      <c r="E665" s="62" t="str">
        <f>IF($A665="","",[1]weekly_demand!I666)</f>
        <v/>
      </c>
      <c r="F665" s="61" t="str">
        <f>IF($A665="","",IF($A665&lt;&gt;$A664,IFERROR(INDEX([1]FG_Begin_Inventory!$B:$B,MATCH($A665,[1]FG_Begin_Inventory!$A:$A,0)),0),J664))</f>
        <v/>
      </c>
      <c r="G665" s="61" t="str">
        <f t="shared" si="73"/>
        <v/>
      </c>
      <c r="H665" s="62" t="str">
        <f t="shared" si="74"/>
        <v/>
      </c>
      <c r="I665" s="62" t="str">
        <f t="shared" si="75"/>
        <v/>
      </c>
      <c r="J665" s="62" t="str">
        <f t="shared" si="76"/>
        <v/>
      </c>
      <c r="K665" s="62" t="str">
        <f t="shared" si="77"/>
        <v/>
      </c>
      <c r="L665" s="62" t="str">
        <f t="shared" si="78"/>
        <v/>
      </c>
      <c r="M665" s="63" t="str">
        <f t="shared" si="79"/>
        <v/>
      </c>
      <c r="N665" s="64"/>
    </row>
    <row r="666" spans="1:14" x14ac:dyDescent="0.3">
      <c r="A666" s="58" t="str">
        <f>IF([1]weekly_demand!A667="","",[1]weekly_demand!A667)</f>
        <v/>
      </c>
      <c r="B666" s="59" t="str">
        <f>IF($A666="","",[1]weekly_demand!F667)</f>
        <v/>
      </c>
      <c r="C666" s="60" t="str">
        <f>IF($A666="","",[1]weekly_demand!H667)</f>
        <v/>
      </c>
      <c r="D666" s="61" t="str">
        <f>IF($A666="","",IF(SUMIFS([1]Fixture_Capacity_Input!$C:$C,[1]Fixture_Capacity_Input!$A:$A,$B666,[1]Fixture_Capacity_Input!$B:$B,$C666)&gt;0,SUMIFS([1]Fixture_Capacity_Input!$C:$C,[1]Fixture_Capacity_Input!$A:$A,$B666,[1]Fixture_Capacity_Input!$B:$B,$C666),[1]weekly_demand!G667))</f>
        <v/>
      </c>
      <c r="E666" s="62" t="str">
        <f>IF($A666="","",[1]weekly_demand!I667)</f>
        <v/>
      </c>
      <c r="F666" s="61" t="str">
        <f>IF($A666="","",IF($A666&lt;&gt;$A665,IFERROR(INDEX([1]FG_Begin_Inventory!$B:$B,MATCH($A666,[1]FG_Begin_Inventory!$A:$A,0)),0),J665))</f>
        <v/>
      </c>
      <c r="G666" s="61" t="str">
        <f t="shared" si="73"/>
        <v/>
      </c>
      <c r="H666" s="62" t="str">
        <f t="shared" si="74"/>
        <v/>
      </c>
      <c r="I666" s="62" t="str">
        <f t="shared" si="75"/>
        <v/>
      </c>
      <c r="J666" s="62" t="str">
        <f t="shared" si="76"/>
        <v/>
      </c>
      <c r="K666" s="62" t="str">
        <f t="shared" si="77"/>
        <v/>
      </c>
      <c r="L666" s="62" t="str">
        <f t="shared" si="78"/>
        <v/>
      </c>
      <c r="M666" s="63" t="str">
        <f t="shared" si="79"/>
        <v/>
      </c>
      <c r="N666" s="64"/>
    </row>
    <row r="667" spans="1:14" x14ac:dyDescent="0.3">
      <c r="A667" s="58" t="str">
        <f>IF([1]weekly_demand!A668="","",[1]weekly_demand!A668)</f>
        <v/>
      </c>
      <c r="B667" s="59" t="str">
        <f>IF($A667="","",[1]weekly_demand!F668)</f>
        <v/>
      </c>
      <c r="C667" s="60" t="str">
        <f>IF($A667="","",[1]weekly_demand!H668)</f>
        <v/>
      </c>
      <c r="D667" s="61" t="str">
        <f>IF($A667="","",IF(SUMIFS([1]Fixture_Capacity_Input!$C:$C,[1]Fixture_Capacity_Input!$A:$A,$B667,[1]Fixture_Capacity_Input!$B:$B,$C667)&gt;0,SUMIFS([1]Fixture_Capacity_Input!$C:$C,[1]Fixture_Capacity_Input!$A:$A,$B667,[1]Fixture_Capacity_Input!$B:$B,$C667),[1]weekly_demand!G668))</f>
        <v/>
      </c>
      <c r="E667" s="62" t="str">
        <f>IF($A667="","",[1]weekly_demand!I668)</f>
        <v/>
      </c>
      <c r="F667" s="61" t="str">
        <f>IF($A667="","",IF($A667&lt;&gt;$A666,IFERROR(INDEX([1]FG_Begin_Inventory!$B:$B,MATCH($A667,[1]FG_Begin_Inventory!$A:$A,0)),0),J666))</f>
        <v/>
      </c>
      <c r="G667" s="61" t="str">
        <f t="shared" si="73"/>
        <v/>
      </c>
      <c r="H667" s="62" t="str">
        <f t="shared" si="74"/>
        <v/>
      </c>
      <c r="I667" s="62" t="str">
        <f t="shared" si="75"/>
        <v/>
      </c>
      <c r="J667" s="62" t="str">
        <f t="shared" si="76"/>
        <v/>
      </c>
      <c r="K667" s="62" t="str">
        <f t="shared" si="77"/>
        <v/>
      </c>
      <c r="L667" s="62" t="str">
        <f t="shared" si="78"/>
        <v/>
      </c>
      <c r="M667" s="63" t="str">
        <f t="shared" si="79"/>
        <v/>
      </c>
      <c r="N667" s="64"/>
    </row>
    <row r="668" spans="1:14" x14ac:dyDescent="0.3">
      <c r="A668" s="58" t="str">
        <f>IF([1]weekly_demand!A669="","",[1]weekly_demand!A669)</f>
        <v/>
      </c>
      <c r="B668" s="59" t="str">
        <f>IF($A668="","",[1]weekly_demand!F669)</f>
        <v/>
      </c>
      <c r="C668" s="60" t="str">
        <f>IF($A668="","",[1]weekly_demand!H669)</f>
        <v/>
      </c>
      <c r="D668" s="61" t="str">
        <f>IF($A668="","",IF(SUMIFS([1]Fixture_Capacity_Input!$C:$C,[1]Fixture_Capacity_Input!$A:$A,$B668,[1]Fixture_Capacity_Input!$B:$B,$C668)&gt;0,SUMIFS([1]Fixture_Capacity_Input!$C:$C,[1]Fixture_Capacity_Input!$A:$A,$B668,[1]Fixture_Capacity_Input!$B:$B,$C668),[1]weekly_demand!G669))</f>
        <v/>
      </c>
      <c r="E668" s="62" t="str">
        <f>IF($A668="","",[1]weekly_demand!I669)</f>
        <v/>
      </c>
      <c r="F668" s="61" t="str">
        <f>IF($A668="","",IF($A668&lt;&gt;$A667,IFERROR(INDEX([1]FG_Begin_Inventory!$B:$B,MATCH($A668,[1]FG_Begin_Inventory!$A:$A,0)),0),J667))</f>
        <v/>
      </c>
      <c r="G668" s="61" t="str">
        <f t="shared" si="73"/>
        <v/>
      </c>
      <c r="H668" s="62" t="str">
        <f t="shared" si="74"/>
        <v/>
      </c>
      <c r="I668" s="62" t="str">
        <f t="shared" si="75"/>
        <v/>
      </c>
      <c r="J668" s="62" t="str">
        <f t="shared" si="76"/>
        <v/>
      </c>
      <c r="K668" s="62" t="str">
        <f t="shared" si="77"/>
        <v/>
      </c>
      <c r="L668" s="62" t="str">
        <f t="shared" si="78"/>
        <v/>
      </c>
      <c r="M668" s="63" t="str">
        <f t="shared" si="79"/>
        <v/>
      </c>
      <c r="N668" s="64"/>
    </row>
    <row r="669" spans="1:14" x14ac:dyDescent="0.3">
      <c r="A669" s="58" t="str">
        <f>IF([1]weekly_demand!A670="","",[1]weekly_demand!A670)</f>
        <v/>
      </c>
      <c r="B669" s="59" t="str">
        <f>IF($A669="","",[1]weekly_demand!F670)</f>
        <v/>
      </c>
      <c r="C669" s="60" t="str">
        <f>IF($A669="","",[1]weekly_demand!H670)</f>
        <v/>
      </c>
      <c r="D669" s="61" t="str">
        <f>IF($A669="","",IF(SUMIFS([1]Fixture_Capacity_Input!$C:$C,[1]Fixture_Capacity_Input!$A:$A,$B669,[1]Fixture_Capacity_Input!$B:$B,$C669)&gt;0,SUMIFS([1]Fixture_Capacity_Input!$C:$C,[1]Fixture_Capacity_Input!$A:$A,$B669,[1]Fixture_Capacity_Input!$B:$B,$C669),[1]weekly_demand!G670))</f>
        <v/>
      </c>
      <c r="E669" s="62" t="str">
        <f>IF($A669="","",[1]weekly_demand!I670)</f>
        <v/>
      </c>
      <c r="F669" s="61" t="str">
        <f>IF($A669="","",IF($A669&lt;&gt;$A668,IFERROR(INDEX([1]FG_Begin_Inventory!$B:$B,MATCH($A669,[1]FG_Begin_Inventory!$A:$A,0)),0),J668))</f>
        <v/>
      </c>
      <c r="G669" s="61" t="str">
        <f t="shared" si="73"/>
        <v/>
      </c>
      <c r="H669" s="62" t="str">
        <f t="shared" si="74"/>
        <v/>
      </c>
      <c r="I669" s="62" t="str">
        <f t="shared" si="75"/>
        <v/>
      </c>
      <c r="J669" s="62" t="str">
        <f t="shared" si="76"/>
        <v/>
      </c>
      <c r="K669" s="62" t="str">
        <f t="shared" si="77"/>
        <v/>
      </c>
      <c r="L669" s="62" t="str">
        <f t="shared" si="78"/>
        <v/>
      </c>
      <c r="M669" s="63" t="str">
        <f t="shared" si="79"/>
        <v/>
      </c>
      <c r="N669" s="64"/>
    </row>
    <row r="670" spans="1:14" x14ac:dyDescent="0.3">
      <c r="A670" s="58" t="str">
        <f>IF([1]weekly_demand!A671="","",[1]weekly_demand!A671)</f>
        <v/>
      </c>
      <c r="B670" s="59" t="str">
        <f>IF($A670="","",[1]weekly_demand!F671)</f>
        <v/>
      </c>
      <c r="C670" s="60" t="str">
        <f>IF($A670="","",[1]weekly_demand!H671)</f>
        <v/>
      </c>
      <c r="D670" s="61" t="str">
        <f>IF($A670="","",IF(SUMIFS([1]Fixture_Capacity_Input!$C:$C,[1]Fixture_Capacity_Input!$A:$A,$B670,[1]Fixture_Capacity_Input!$B:$B,$C670)&gt;0,SUMIFS([1]Fixture_Capacity_Input!$C:$C,[1]Fixture_Capacity_Input!$A:$A,$B670,[1]Fixture_Capacity_Input!$B:$B,$C670),[1]weekly_demand!G671))</f>
        <v/>
      </c>
      <c r="E670" s="62" t="str">
        <f>IF($A670="","",[1]weekly_demand!I671)</f>
        <v/>
      </c>
      <c r="F670" s="61" t="str">
        <f>IF($A670="","",IF($A670&lt;&gt;$A669,IFERROR(INDEX([1]FG_Begin_Inventory!$B:$B,MATCH($A670,[1]FG_Begin_Inventory!$A:$A,0)),0),J669))</f>
        <v/>
      </c>
      <c r="G670" s="61" t="str">
        <f t="shared" si="73"/>
        <v/>
      </c>
      <c r="H670" s="62" t="str">
        <f t="shared" si="74"/>
        <v/>
      </c>
      <c r="I670" s="62" t="str">
        <f t="shared" si="75"/>
        <v/>
      </c>
      <c r="J670" s="62" t="str">
        <f t="shared" si="76"/>
        <v/>
      </c>
      <c r="K670" s="62" t="str">
        <f t="shared" si="77"/>
        <v/>
      </c>
      <c r="L670" s="62" t="str">
        <f t="shared" si="78"/>
        <v/>
      </c>
      <c r="M670" s="63" t="str">
        <f t="shared" si="79"/>
        <v/>
      </c>
      <c r="N670" s="64"/>
    </row>
    <row r="671" spans="1:14" x14ac:dyDescent="0.3">
      <c r="A671" s="58" t="str">
        <f>IF([1]weekly_demand!A672="","",[1]weekly_demand!A672)</f>
        <v/>
      </c>
      <c r="B671" s="59" t="str">
        <f>IF($A671="","",[1]weekly_demand!F672)</f>
        <v/>
      </c>
      <c r="C671" s="60" t="str">
        <f>IF($A671="","",[1]weekly_demand!H672)</f>
        <v/>
      </c>
      <c r="D671" s="61" t="str">
        <f>IF($A671="","",IF(SUMIFS([1]Fixture_Capacity_Input!$C:$C,[1]Fixture_Capacity_Input!$A:$A,$B671,[1]Fixture_Capacity_Input!$B:$B,$C671)&gt;0,SUMIFS([1]Fixture_Capacity_Input!$C:$C,[1]Fixture_Capacity_Input!$A:$A,$B671,[1]Fixture_Capacity_Input!$B:$B,$C671),[1]weekly_demand!G672))</f>
        <v/>
      </c>
      <c r="E671" s="62" t="str">
        <f>IF($A671="","",[1]weekly_demand!I672)</f>
        <v/>
      </c>
      <c r="F671" s="61" t="str">
        <f>IF($A671="","",IF($A671&lt;&gt;$A670,IFERROR(INDEX([1]FG_Begin_Inventory!$B:$B,MATCH($A671,[1]FG_Begin_Inventory!$A:$A,0)),0),J670))</f>
        <v/>
      </c>
      <c r="G671" s="61" t="str">
        <f t="shared" si="73"/>
        <v/>
      </c>
      <c r="H671" s="62" t="str">
        <f t="shared" si="74"/>
        <v/>
      </c>
      <c r="I671" s="62" t="str">
        <f t="shared" si="75"/>
        <v/>
      </c>
      <c r="J671" s="62" t="str">
        <f t="shared" si="76"/>
        <v/>
      </c>
      <c r="K671" s="62" t="str">
        <f t="shared" si="77"/>
        <v/>
      </c>
      <c r="L671" s="62" t="str">
        <f t="shared" si="78"/>
        <v/>
      </c>
      <c r="M671" s="63" t="str">
        <f t="shared" si="79"/>
        <v/>
      </c>
      <c r="N671" s="64"/>
    </row>
    <row r="672" spans="1:14" x14ac:dyDescent="0.3">
      <c r="A672" s="58" t="str">
        <f>IF([1]weekly_demand!A673="","",[1]weekly_demand!A673)</f>
        <v/>
      </c>
      <c r="B672" s="59" t="str">
        <f>IF($A672="","",[1]weekly_demand!F673)</f>
        <v/>
      </c>
      <c r="C672" s="60" t="str">
        <f>IF($A672="","",[1]weekly_demand!H673)</f>
        <v/>
      </c>
      <c r="D672" s="61" t="str">
        <f>IF($A672="","",IF(SUMIFS([1]Fixture_Capacity_Input!$C:$C,[1]Fixture_Capacity_Input!$A:$A,$B672,[1]Fixture_Capacity_Input!$B:$B,$C672)&gt;0,SUMIFS([1]Fixture_Capacity_Input!$C:$C,[1]Fixture_Capacity_Input!$A:$A,$B672,[1]Fixture_Capacity_Input!$B:$B,$C672),[1]weekly_demand!G673))</f>
        <v/>
      </c>
      <c r="E672" s="62" t="str">
        <f>IF($A672="","",[1]weekly_demand!I673)</f>
        <v/>
      </c>
      <c r="F672" s="61" t="str">
        <f>IF($A672="","",IF($A672&lt;&gt;$A671,IFERROR(INDEX([1]FG_Begin_Inventory!$B:$B,MATCH($A672,[1]FG_Begin_Inventory!$A:$A,0)),0),J671))</f>
        <v/>
      </c>
      <c r="G672" s="61" t="str">
        <f t="shared" si="73"/>
        <v/>
      </c>
      <c r="H672" s="62" t="str">
        <f t="shared" si="74"/>
        <v/>
      </c>
      <c r="I672" s="62" t="str">
        <f t="shared" si="75"/>
        <v/>
      </c>
      <c r="J672" s="62" t="str">
        <f t="shared" si="76"/>
        <v/>
      </c>
      <c r="K672" s="62" t="str">
        <f t="shared" si="77"/>
        <v/>
      </c>
      <c r="L672" s="62" t="str">
        <f t="shared" si="78"/>
        <v/>
      </c>
      <c r="M672" s="63" t="str">
        <f t="shared" si="79"/>
        <v/>
      </c>
      <c r="N672" s="64"/>
    </row>
    <row r="673" spans="1:14" x14ac:dyDescent="0.3">
      <c r="A673" s="58" t="str">
        <f>IF([1]weekly_demand!A674="","",[1]weekly_demand!A674)</f>
        <v/>
      </c>
      <c r="B673" s="59" t="str">
        <f>IF($A673="","",[1]weekly_demand!F674)</f>
        <v/>
      </c>
      <c r="C673" s="60" t="str">
        <f>IF($A673="","",[1]weekly_demand!H674)</f>
        <v/>
      </c>
      <c r="D673" s="61" t="str">
        <f>IF($A673="","",IF(SUMIFS([1]Fixture_Capacity_Input!$C:$C,[1]Fixture_Capacity_Input!$A:$A,$B673,[1]Fixture_Capacity_Input!$B:$B,$C673)&gt;0,SUMIFS([1]Fixture_Capacity_Input!$C:$C,[1]Fixture_Capacity_Input!$A:$A,$B673,[1]Fixture_Capacity_Input!$B:$B,$C673),[1]weekly_demand!G674))</f>
        <v/>
      </c>
      <c r="E673" s="62" t="str">
        <f>IF($A673="","",[1]weekly_demand!I674)</f>
        <v/>
      </c>
      <c r="F673" s="61" t="str">
        <f>IF($A673="","",IF($A673&lt;&gt;$A672,IFERROR(INDEX([1]FG_Begin_Inventory!$B:$B,MATCH($A673,[1]FG_Begin_Inventory!$A:$A,0)),0),J672))</f>
        <v/>
      </c>
      <c r="G673" s="61" t="str">
        <f t="shared" si="73"/>
        <v/>
      </c>
      <c r="H673" s="62" t="str">
        <f t="shared" si="74"/>
        <v/>
      </c>
      <c r="I673" s="62" t="str">
        <f t="shared" si="75"/>
        <v/>
      </c>
      <c r="J673" s="62" t="str">
        <f t="shared" si="76"/>
        <v/>
      </c>
      <c r="K673" s="62" t="str">
        <f t="shared" si="77"/>
        <v/>
      </c>
      <c r="L673" s="62" t="str">
        <f t="shared" si="78"/>
        <v/>
      </c>
      <c r="M673" s="63" t="str">
        <f t="shared" si="79"/>
        <v/>
      </c>
      <c r="N673" s="64"/>
    </row>
    <row r="674" spans="1:14" x14ac:dyDescent="0.3">
      <c r="A674" s="58" t="str">
        <f>IF([1]weekly_demand!A675="","",[1]weekly_demand!A675)</f>
        <v/>
      </c>
      <c r="B674" s="59" t="str">
        <f>IF($A674="","",[1]weekly_demand!F675)</f>
        <v/>
      </c>
      <c r="C674" s="60" t="str">
        <f>IF($A674="","",[1]weekly_demand!H675)</f>
        <v/>
      </c>
      <c r="D674" s="61" t="str">
        <f>IF($A674="","",IF(SUMIFS([1]Fixture_Capacity_Input!$C:$C,[1]Fixture_Capacity_Input!$A:$A,$B674,[1]Fixture_Capacity_Input!$B:$B,$C674)&gt;0,SUMIFS([1]Fixture_Capacity_Input!$C:$C,[1]Fixture_Capacity_Input!$A:$A,$B674,[1]Fixture_Capacity_Input!$B:$B,$C674),[1]weekly_demand!G675))</f>
        <v/>
      </c>
      <c r="E674" s="62" t="str">
        <f>IF($A674="","",[1]weekly_demand!I675)</f>
        <v/>
      </c>
      <c r="F674" s="61" t="str">
        <f>IF($A674="","",IF($A674&lt;&gt;$A673,IFERROR(INDEX([1]FG_Begin_Inventory!$B:$B,MATCH($A674,[1]FG_Begin_Inventory!$A:$A,0)),0),J673))</f>
        <v/>
      </c>
      <c r="G674" s="61" t="str">
        <f t="shared" si="73"/>
        <v/>
      </c>
      <c r="H674" s="62" t="str">
        <f t="shared" si="74"/>
        <v/>
      </c>
      <c r="I674" s="62" t="str">
        <f t="shared" si="75"/>
        <v/>
      </c>
      <c r="J674" s="62" t="str">
        <f t="shared" si="76"/>
        <v/>
      </c>
      <c r="K674" s="62" t="str">
        <f t="shared" si="77"/>
        <v/>
      </c>
      <c r="L674" s="62" t="str">
        <f t="shared" si="78"/>
        <v/>
      </c>
      <c r="M674" s="63" t="str">
        <f t="shared" si="79"/>
        <v/>
      </c>
      <c r="N674" s="64"/>
    </row>
    <row r="675" spans="1:14" x14ac:dyDescent="0.3">
      <c r="A675" s="58" t="str">
        <f>IF([1]weekly_demand!A676="","",[1]weekly_demand!A676)</f>
        <v/>
      </c>
      <c r="B675" s="59" t="str">
        <f>IF($A675="","",[1]weekly_demand!F676)</f>
        <v/>
      </c>
      <c r="C675" s="60" t="str">
        <f>IF($A675="","",[1]weekly_demand!H676)</f>
        <v/>
      </c>
      <c r="D675" s="61" t="str">
        <f>IF($A675="","",IF(SUMIFS([1]Fixture_Capacity_Input!$C:$C,[1]Fixture_Capacity_Input!$A:$A,$B675,[1]Fixture_Capacity_Input!$B:$B,$C675)&gt;0,SUMIFS([1]Fixture_Capacity_Input!$C:$C,[1]Fixture_Capacity_Input!$A:$A,$B675,[1]Fixture_Capacity_Input!$B:$B,$C675),[1]weekly_demand!G676))</f>
        <v/>
      </c>
      <c r="E675" s="62" t="str">
        <f>IF($A675="","",[1]weekly_demand!I676)</f>
        <v/>
      </c>
      <c r="F675" s="61" t="str">
        <f>IF($A675="","",IF($A675&lt;&gt;$A674,IFERROR(INDEX([1]FG_Begin_Inventory!$B:$B,MATCH($A675,[1]FG_Begin_Inventory!$A:$A,0)),0),J674))</f>
        <v/>
      </c>
      <c r="G675" s="61" t="str">
        <f t="shared" si="73"/>
        <v/>
      </c>
      <c r="H675" s="62" t="str">
        <f t="shared" si="74"/>
        <v/>
      </c>
      <c r="I675" s="62" t="str">
        <f t="shared" si="75"/>
        <v/>
      </c>
      <c r="J675" s="62" t="str">
        <f t="shared" si="76"/>
        <v/>
      </c>
      <c r="K675" s="62" t="str">
        <f t="shared" si="77"/>
        <v/>
      </c>
      <c r="L675" s="62" t="str">
        <f t="shared" si="78"/>
        <v/>
      </c>
      <c r="M675" s="63" t="str">
        <f t="shared" si="79"/>
        <v/>
      </c>
      <c r="N675" s="64"/>
    </row>
    <row r="676" spans="1:14" x14ac:dyDescent="0.3">
      <c r="A676" s="58" t="str">
        <f>IF([1]weekly_demand!A677="","",[1]weekly_demand!A677)</f>
        <v/>
      </c>
      <c r="B676" s="59" t="str">
        <f>IF($A676="","",[1]weekly_demand!F677)</f>
        <v/>
      </c>
      <c r="C676" s="60" t="str">
        <f>IF($A676="","",[1]weekly_demand!H677)</f>
        <v/>
      </c>
      <c r="D676" s="61" t="str">
        <f>IF($A676="","",IF(SUMIFS([1]Fixture_Capacity_Input!$C:$C,[1]Fixture_Capacity_Input!$A:$A,$B676,[1]Fixture_Capacity_Input!$B:$B,$C676)&gt;0,SUMIFS([1]Fixture_Capacity_Input!$C:$C,[1]Fixture_Capacity_Input!$A:$A,$B676,[1]Fixture_Capacity_Input!$B:$B,$C676),[1]weekly_demand!G677))</f>
        <v/>
      </c>
      <c r="E676" s="62" t="str">
        <f>IF($A676="","",[1]weekly_demand!I677)</f>
        <v/>
      </c>
      <c r="F676" s="61" t="str">
        <f>IF($A676="","",IF($A676&lt;&gt;$A675,IFERROR(INDEX([1]FG_Begin_Inventory!$B:$B,MATCH($A676,[1]FG_Begin_Inventory!$A:$A,0)),0),J675))</f>
        <v/>
      </c>
      <c r="G676" s="61" t="str">
        <f t="shared" si="73"/>
        <v/>
      </c>
      <c r="H676" s="62" t="str">
        <f t="shared" si="74"/>
        <v/>
      </c>
      <c r="I676" s="62" t="str">
        <f t="shared" si="75"/>
        <v/>
      </c>
      <c r="J676" s="62" t="str">
        <f t="shared" si="76"/>
        <v/>
      </c>
      <c r="K676" s="62" t="str">
        <f t="shared" si="77"/>
        <v/>
      </c>
      <c r="L676" s="62" t="str">
        <f t="shared" si="78"/>
        <v/>
      </c>
      <c r="M676" s="63" t="str">
        <f t="shared" si="79"/>
        <v/>
      </c>
      <c r="N676" s="64"/>
    </row>
    <row r="677" spans="1:14" x14ac:dyDescent="0.3">
      <c r="A677" s="58" t="str">
        <f>IF([1]weekly_demand!A678="","",[1]weekly_demand!A678)</f>
        <v/>
      </c>
      <c r="B677" s="59" t="str">
        <f>IF($A677="","",[1]weekly_demand!F678)</f>
        <v/>
      </c>
      <c r="C677" s="60" t="str">
        <f>IF($A677="","",[1]weekly_demand!H678)</f>
        <v/>
      </c>
      <c r="D677" s="61" t="str">
        <f>IF($A677="","",IF(SUMIFS([1]Fixture_Capacity_Input!$C:$C,[1]Fixture_Capacity_Input!$A:$A,$B677,[1]Fixture_Capacity_Input!$B:$B,$C677)&gt;0,SUMIFS([1]Fixture_Capacity_Input!$C:$C,[1]Fixture_Capacity_Input!$A:$A,$B677,[1]Fixture_Capacity_Input!$B:$B,$C677),[1]weekly_demand!G678))</f>
        <v/>
      </c>
      <c r="E677" s="62" t="str">
        <f>IF($A677="","",[1]weekly_demand!I678)</f>
        <v/>
      </c>
      <c r="F677" s="61" t="str">
        <f>IF($A677="","",IF($A677&lt;&gt;$A676,IFERROR(INDEX([1]FG_Begin_Inventory!$B:$B,MATCH($A677,[1]FG_Begin_Inventory!$A:$A,0)),0),J676))</f>
        <v/>
      </c>
      <c r="G677" s="61" t="str">
        <f t="shared" si="73"/>
        <v/>
      </c>
      <c r="H677" s="62" t="str">
        <f t="shared" si="74"/>
        <v/>
      </c>
      <c r="I677" s="62" t="str">
        <f t="shared" si="75"/>
        <v/>
      </c>
      <c r="J677" s="62" t="str">
        <f t="shared" si="76"/>
        <v/>
      </c>
      <c r="K677" s="62" t="str">
        <f t="shared" si="77"/>
        <v/>
      </c>
      <c r="L677" s="62" t="str">
        <f t="shared" si="78"/>
        <v/>
      </c>
      <c r="M677" s="63" t="str">
        <f t="shared" si="79"/>
        <v/>
      </c>
      <c r="N677" s="64"/>
    </row>
    <row r="678" spans="1:14" x14ac:dyDescent="0.3">
      <c r="A678" s="58" t="str">
        <f>IF([1]weekly_demand!A679="","",[1]weekly_demand!A679)</f>
        <v/>
      </c>
      <c r="B678" s="59" t="str">
        <f>IF($A678="","",[1]weekly_demand!F679)</f>
        <v/>
      </c>
      <c r="C678" s="60" t="str">
        <f>IF($A678="","",[1]weekly_demand!H679)</f>
        <v/>
      </c>
      <c r="D678" s="61" t="str">
        <f>IF($A678="","",IF(SUMIFS([1]Fixture_Capacity_Input!$C:$C,[1]Fixture_Capacity_Input!$A:$A,$B678,[1]Fixture_Capacity_Input!$B:$B,$C678)&gt;0,SUMIFS([1]Fixture_Capacity_Input!$C:$C,[1]Fixture_Capacity_Input!$A:$A,$B678,[1]Fixture_Capacity_Input!$B:$B,$C678),[1]weekly_demand!G679))</f>
        <v/>
      </c>
      <c r="E678" s="62" t="str">
        <f>IF($A678="","",[1]weekly_demand!I679)</f>
        <v/>
      </c>
      <c r="F678" s="61" t="str">
        <f>IF($A678="","",IF($A678&lt;&gt;$A677,IFERROR(INDEX([1]FG_Begin_Inventory!$B:$B,MATCH($A678,[1]FG_Begin_Inventory!$A:$A,0)),0),J677))</f>
        <v/>
      </c>
      <c r="G678" s="61" t="str">
        <f t="shared" si="73"/>
        <v/>
      </c>
      <c r="H678" s="62" t="str">
        <f t="shared" si="74"/>
        <v/>
      </c>
      <c r="I678" s="62" t="str">
        <f t="shared" si="75"/>
        <v/>
      </c>
      <c r="J678" s="62" t="str">
        <f t="shared" si="76"/>
        <v/>
      </c>
      <c r="K678" s="62" t="str">
        <f t="shared" si="77"/>
        <v/>
      </c>
      <c r="L678" s="62" t="str">
        <f t="shared" si="78"/>
        <v/>
      </c>
      <c r="M678" s="63" t="str">
        <f t="shared" si="79"/>
        <v/>
      </c>
      <c r="N678" s="64"/>
    </row>
    <row r="679" spans="1:14" x14ac:dyDescent="0.3">
      <c r="A679" s="58" t="str">
        <f>IF([1]weekly_demand!A680="","",[1]weekly_demand!A680)</f>
        <v/>
      </c>
      <c r="B679" s="59" t="str">
        <f>IF($A679="","",[1]weekly_demand!F680)</f>
        <v/>
      </c>
      <c r="C679" s="60" t="str">
        <f>IF($A679="","",[1]weekly_demand!H680)</f>
        <v/>
      </c>
      <c r="D679" s="61" t="str">
        <f>IF($A679="","",IF(SUMIFS([1]Fixture_Capacity_Input!$C:$C,[1]Fixture_Capacity_Input!$A:$A,$B679,[1]Fixture_Capacity_Input!$B:$B,$C679)&gt;0,SUMIFS([1]Fixture_Capacity_Input!$C:$C,[1]Fixture_Capacity_Input!$A:$A,$B679,[1]Fixture_Capacity_Input!$B:$B,$C679),[1]weekly_demand!G680))</f>
        <v/>
      </c>
      <c r="E679" s="62" t="str">
        <f>IF($A679="","",[1]weekly_demand!I680)</f>
        <v/>
      </c>
      <c r="F679" s="61" t="str">
        <f>IF($A679="","",IF($A679&lt;&gt;$A678,IFERROR(INDEX([1]FG_Begin_Inventory!$B:$B,MATCH($A679,[1]FG_Begin_Inventory!$A:$A,0)),0),J678))</f>
        <v/>
      </c>
      <c r="G679" s="61" t="str">
        <f t="shared" si="73"/>
        <v/>
      </c>
      <c r="H679" s="62" t="str">
        <f t="shared" si="74"/>
        <v/>
      </c>
      <c r="I679" s="62" t="str">
        <f t="shared" si="75"/>
        <v/>
      </c>
      <c r="J679" s="62" t="str">
        <f t="shared" si="76"/>
        <v/>
      </c>
      <c r="K679" s="62" t="str">
        <f t="shared" si="77"/>
        <v/>
      </c>
      <c r="L679" s="62" t="str">
        <f t="shared" si="78"/>
        <v/>
      </c>
      <c r="M679" s="63" t="str">
        <f t="shared" si="79"/>
        <v/>
      </c>
      <c r="N679" s="64"/>
    </row>
    <row r="680" spans="1:14" x14ac:dyDescent="0.3">
      <c r="A680" s="58" t="str">
        <f>IF([1]weekly_demand!A681="","",[1]weekly_demand!A681)</f>
        <v/>
      </c>
      <c r="B680" s="59" t="str">
        <f>IF($A680="","",[1]weekly_demand!F681)</f>
        <v/>
      </c>
      <c r="C680" s="60" t="str">
        <f>IF($A680="","",[1]weekly_demand!H681)</f>
        <v/>
      </c>
      <c r="D680" s="61" t="str">
        <f>IF($A680="","",IF(SUMIFS([1]Fixture_Capacity_Input!$C:$C,[1]Fixture_Capacity_Input!$A:$A,$B680,[1]Fixture_Capacity_Input!$B:$B,$C680)&gt;0,SUMIFS([1]Fixture_Capacity_Input!$C:$C,[1]Fixture_Capacity_Input!$A:$A,$B680,[1]Fixture_Capacity_Input!$B:$B,$C680),[1]weekly_demand!G681))</f>
        <v/>
      </c>
      <c r="E680" s="62" t="str">
        <f>IF($A680="","",[1]weekly_demand!I681)</f>
        <v/>
      </c>
      <c r="F680" s="61" t="str">
        <f>IF($A680="","",IF($A680&lt;&gt;$A679,IFERROR(INDEX([1]FG_Begin_Inventory!$B:$B,MATCH($A680,[1]FG_Begin_Inventory!$A:$A,0)),0),J679))</f>
        <v/>
      </c>
      <c r="G680" s="61" t="str">
        <f t="shared" si="73"/>
        <v/>
      </c>
      <c r="H680" s="62" t="str">
        <f t="shared" si="74"/>
        <v/>
      </c>
      <c r="I680" s="62" t="str">
        <f t="shared" si="75"/>
        <v/>
      </c>
      <c r="J680" s="62" t="str">
        <f t="shared" si="76"/>
        <v/>
      </c>
      <c r="K680" s="62" t="str">
        <f t="shared" si="77"/>
        <v/>
      </c>
      <c r="L680" s="62" t="str">
        <f t="shared" si="78"/>
        <v/>
      </c>
      <c r="M680" s="63" t="str">
        <f t="shared" si="79"/>
        <v/>
      </c>
      <c r="N680" s="64"/>
    </row>
    <row r="681" spans="1:14" x14ac:dyDescent="0.3">
      <c r="A681" s="58" t="str">
        <f>IF([1]weekly_demand!A682="","",[1]weekly_demand!A682)</f>
        <v/>
      </c>
      <c r="B681" s="59" t="str">
        <f>IF($A681="","",[1]weekly_demand!F682)</f>
        <v/>
      </c>
      <c r="C681" s="60" t="str">
        <f>IF($A681="","",[1]weekly_demand!H682)</f>
        <v/>
      </c>
      <c r="D681" s="61" t="str">
        <f>IF($A681="","",IF(SUMIFS([1]Fixture_Capacity_Input!$C:$C,[1]Fixture_Capacity_Input!$A:$A,$B681,[1]Fixture_Capacity_Input!$B:$B,$C681)&gt;0,SUMIFS([1]Fixture_Capacity_Input!$C:$C,[1]Fixture_Capacity_Input!$A:$A,$B681,[1]Fixture_Capacity_Input!$B:$B,$C681),[1]weekly_demand!G682))</f>
        <v/>
      </c>
      <c r="E681" s="62" t="str">
        <f>IF($A681="","",[1]weekly_demand!I682)</f>
        <v/>
      </c>
      <c r="F681" s="61" t="str">
        <f>IF($A681="","",IF($A681&lt;&gt;$A680,IFERROR(INDEX([1]FG_Begin_Inventory!$B:$B,MATCH($A681,[1]FG_Begin_Inventory!$A:$A,0)),0),J680))</f>
        <v/>
      </c>
      <c r="G681" s="61" t="str">
        <f t="shared" si="73"/>
        <v/>
      </c>
      <c r="H681" s="62" t="str">
        <f t="shared" si="74"/>
        <v/>
      </c>
      <c r="I681" s="62" t="str">
        <f t="shared" si="75"/>
        <v/>
      </c>
      <c r="J681" s="62" t="str">
        <f t="shared" si="76"/>
        <v/>
      </c>
      <c r="K681" s="62" t="str">
        <f t="shared" si="77"/>
        <v/>
      </c>
      <c r="L681" s="62" t="str">
        <f t="shared" si="78"/>
        <v/>
      </c>
      <c r="M681" s="63" t="str">
        <f t="shared" si="79"/>
        <v/>
      </c>
      <c r="N681" s="64"/>
    </row>
    <row r="682" spans="1:14" x14ac:dyDescent="0.3">
      <c r="A682" s="58" t="str">
        <f>IF([1]weekly_demand!A683="","",[1]weekly_demand!A683)</f>
        <v/>
      </c>
      <c r="B682" s="59" t="str">
        <f>IF($A682="","",[1]weekly_demand!F683)</f>
        <v/>
      </c>
      <c r="C682" s="60" t="str">
        <f>IF($A682="","",[1]weekly_demand!H683)</f>
        <v/>
      </c>
      <c r="D682" s="61" t="str">
        <f>IF($A682="","",IF(SUMIFS([1]Fixture_Capacity_Input!$C:$C,[1]Fixture_Capacity_Input!$A:$A,$B682,[1]Fixture_Capacity_Input!$B:$B,$C682)&gt;0,SUMIFS([1]Fixture_Capacity_Input!$C:$C,[1]Fixture_Capacity_Input!$A:$A,$B682,[1]Fixture_Capacity_Input!$B:$B,$C682),[1]weekly_demand!G683))</f>
        <v/>
      </c>
      <c r="E682" s="62" t="str">
        <f>IF($A682="","",[1]weekly_demand!I683)</f>
        <v/>
      </c>
      <c r="F682" s="61" t="str">
        <f>IF($A682="","",IF($A682&lt;&gt;$A681,IFERROR(INDEX([1]FG_Begin_Inventory!$B:$B,MATCH($A682,[1]FG_Begin_Inventory!$A:$A,0)),0),J681))</f>
        <v/>
      </c>
      <c r="G682" s="61" t="str">
        <f t="shared" si="73"/>
        <v/>
      </c>
      <c r="H682" s="62" t="str">
        <f t="shared" si="74"/>
        <v/>
      </c>
      <c r="I682" s="62" t="str">
        <f t="shared" si="75"/>
        <v/>
      </c>
      <c r="J682" s="62" t="str">
        <f t="shared" si="76"/>
        <v/>
      </c>
      <c r="K682" s="62" t="str">
        <f t="shared" si="77"/>
        <v/>
      </c>
      <c r="L682" s="62" t="str">
        <f t="shared" si="78"/>
        <v/>
      </c>
      <c r="M682" s="63" t="str">
        <f t="shared" si="79"/>
        <v/>
      </c>
      <c r="N682" s="64"/>
    </row>
    <row r="683" spans="1:14" x14ac:dyDescent="0.3">
      <c r="A683" s="58" t="str">
        <f>IF([1]weekly_demand!A684="","",[1]weekly_demand!A684)</f>
        <v/>
      </c>
      <c r="B683" s="59" t="str">
        <f>IF($A683="","",[1]weekly_demand!F684)</f>
        <v/>
      </c>
      <c r="C683" s="60" t="str">
        <f>IF($A683="","",[1]weekly_demand!H684)</f>
        <v/>
      </c>
      <c r="D683" s="61" t="str">
        <f>IF($A683="","",IF(SUMIFS([1]Fixture_Capacity_Input!$C:$C,[1]Fixture_Capacity_Input!$A:$A,$B683,[1]Fixture_Capacity_Input!$B:$B,$C683)&gt;0,SUMIFS([1]Fixture_Capacity_Input!$C:$C,[1]Fixture_Capacity_Input!$A:$A,$B683,[1]Fixture_Capacity_Input!$B:$B,$C683),[1]weekly_demand!G684))</f>
        <v/>
      </c>
      <c r="E683" s="62" t="str">
        <f>IF($A683="","",[1]weekly_demand!I684)</f>
        <v/>
      </c>
      <c r="F683" s="61" t="str">
        <f>IF($A683="","",IF($A683&lt;&gt;$A682,IFERROR(INDEX([1]FG_Begin_Inventory!$B:$B,MATCH($A683,[1]FG_Begin_Inventory!$A:$A,0)),0),J682))</f>
        <v/>
      </c>
      <c r="G683" s="61" t="str">
        <f t="shared" si="73"/>
        <v/>
      </c>
      <c r="H683" s="62" t="str">
        <f t="shared" si="74"/>
        <v/>
      </c>
      <c r="I683" s="62" t="str">
        <f t="shared" si="75"/>
        <v/>
      </c>
      <c r="J683" s="62" t="str">
        <f t="shared" si="76"/>
        <v/>
      </c>
      <c r="K683" s="62" t="str">
        <f t="shared" si="77"/>
        <v/>
      </c>
      <c r="L683" s="62" t="str">
        <f t="shared" si="78"/>
        <v/>
      </c>
      <c r="M683" s="63" t="str">
        <f t="shared" si="79"/>
        <v/>
      </c>
      <c r="N683" s="64"/>
    </row>
    <row r="684" spans="1:14" x14ac:dyDescent="0.3">
      <c r="A684" s="58" t="str">
        <f>IF([1]weekly_demand!A685="","",[1]weekly_demand!A685)</f>
        <v/>
      </c>
      <c r="B684" s="59" t="str">
        <f>IF($A684="","",[1]weekly_demand!F685)</f>
        <v/>
      </c>
      <c r="C684" s="60" t="str">
        <f>IF($A684="","",[1]weekly_demand!H685)</f>
        <v/>
      </c>
      <c r="D684" s="61" t="str">
        <f>IF($A684="","",IF(SUMIFS([1]Fixture_Capacity_Input!$C:$C,[1]Fixture_Capacity_Input!$A:$A,$B684,[1]Fixture_Capacity_Input!$B:$B,$C684)&gt;0,SUMIFS([1]Fixture_Capacity_Input!$C:$C,[1]Fixture_Capacity_Input!$A:$A,$B684,[1]Fixture_Capacity_Input!$B:$B,$C684),[1]weekly_demand!G685))</f>
        <v/>
      </c>
      <c r="E684" s="62" t="str">
        <f>IF($A684="","",[1]weekly_demand!I685)</f>
        <v/>
      </c>
      <c r="F684" s="61" t="str">
        <f>IF($A684="","",IF($A684&lt;&gt;$A683,IFERROR(INDEX([1]FG_Begin_Inventory!$B:$B,MATCH($A684,[1]FG_Begin_Inventory!$A:$A,0)),0),J683))</f>
        <v/>
      </c>
      <c r="G684" s="61" t="str">
        <f t="shared" si="73"/>
        <v/>
      </c>
      <c r="H684" s="62" t="str">
        <f t="shared" si="74"/>
        <v/>
      </c>
      <c r="I684" s="62" t="str">
        <f t="shared" si="75"/>
        <v/>
      </c>
      <c r="J684" s="62" t="str">
        <f t="shared" si="76"/>
        <v/>
      </c>
      <c r="K684" s="62" t="str">
        <f t="shared" si="77"/>
        <v/>
      </c>
      <c r="L684" s="62" t="str">
        <f t="shared" si="78"/>
        <v/>
      </c>
      <c r="M684" s="63" t="str">
        <f t="shared" si="79"/>
        <v/>
      </c>
      <c r="N684" s="64"/>
    </row>
    <row r="685" spans="1:14" x14ac:dyDescent="0.3">
      <c r="A685" s="58" t="str">
        <f>IF([1]weekly_demand!A686="","",[1]weekly_demand!A686)</f>
        <v/>
      </c>
      <c r="B685" s="59" t="str">
        <f>IF($A685="","",[1]weekly_demand!F686)</f>
        <v/>
      </c>
      <c r="C685" s="60" t="str">
        <f>IF($A685="","",[1]weekly_demand!H686)</f>
        <v/>
      </c>
      <c r="D685" s="61" t="str">
        <f>IF($A685="","",IF(SUMIFS([1]Fixture_Capacity_Input!$C:$C,[1]Fixture_Capacity_Input!$A:$A,$B685,[1]Fixture_Capacity_Input!$B:$B,$C685)&gt;0,SUMIFS([1]Fixture_Capacity_Input!$C:$C,[1]Fixture_Capacity_Input!$A:$A,$B685,[1]Fixture_Capacity_Input!$B:$B,$C685),[1]weekly_demand!G686))</f>
        <v/>
      </c>
      <c r="E685" s="62" t="str">
        <f>IF($A685="","",[1]weekly_demand!I686)</f>
        <v/>
      </c>
      <c r="F685" s="61" t="str">
        <f>IF($A685="","",IF($A685&lt;&gt;$A684,IFERROR(INDEX([1]FG_Begin_Inventory!$B:$B,MATCH($A685,[1]FG_Begin_Inventory!$A:$A,0)),0),J684))</f>
        <v/>
      </c>
      <c r="G685" s="61" t="str">
        <f t="shared" si="73"/>
        <v/>
      </c>
      <c r="H685" s="62" t="str">
        <f t="shared" si="74"/>
        <v/>
      </c>
      <c r="I685" s="62" t="str">
        <f t="shared" si="75"/>
        <v/>
      </c>
      <c r="J685" s="62" t="str">
        <f t="shared" si="76"/>
        <v/>
      </c>
      <c r="K685" s="62" t="str">
        <f t="shared" si="77"/>
        <v/>
      </c>
      <c r="L685" s="62" t="str">
        <f t="shared" si="78"/>
        <v/>
      </c>
      <c r="M685" s="63" t="str">
        <f t="shared" si="79"/>
        <v/>
      </c>
      <c r="N685" s="64"/>
    </row>
    <row r="686" spans="1:14" x14ac:dyDescent="0.3">
      <c r="A686" s="58" t="str">
        <f>IF([1]weekly_demand!A687="","",[1]weekly_demand!A687)</f>
        <v/>
      </c>
      <c r="B686" s="59" t="str">
        <f>IF($A686="","",[1]weekly_demand!F687)</f>
        <v/>
      </c>
      <c r="C686" s="60" t="str">
        <f>IF($A686="","",[1]weekly_demand!H687)</f>
        <v/>
      </c>
      <c r="D686" s="61" t="str">
        <f>IF($A686="","",IF(SUMIFS([1]Fixture_Capacity_Input!$C:$C,[1]Fixture_Capacity_Input!$A:$A,$B686,[1]Fixture_Capacity_Input!$B:$B,$C686)&gt;0,SUMIFS([1]Fixture_Capacity_Input!$C:$C,[1]Fixture_Capacity_Input!$A:$A,$B686,[1]Fixture_Capacity_Input!$B:$B,$C686),[1]weekly_demand!G687))</f>
        <v/>
      </c>
      <c r="E686" s="62" t="str">
        <f>IF($A686="","",[1]weekly_demand!I687)</f>
        <v/>
      </c>
      <c r="F686" s="61" t="str">
        <f>IF($A686="","",IF($A686&lt;&gt;$A685,IFERROR(INDEX([1]FG_Begin_Inventory!$B:$B,MATCH($A686,[1]FG_Begin_Inventory!$A:$A,0)),0),J685))</f>
        <v/>
      </c>
      <c r="G686" s="61" t="str">
        <f t="shared" si="73"/>
        <v/>
      </c>
      <c r="H686" s="62" t="str">
        <f t="shared" si="74"/>
        <v/>
      </c>
      <c r="I686" s="62" t="str">
        <f t="shared" si="75"/>
        <v/>
      </c>
      <c r="J686" s="62" t="str">
        <f t="shared" si="76"/>
        <v/>
      </c>
      <c r="K686" s="62" t="str">
        <f t="shared" si="77"/>
        <v/>
      </c>
      <c r="L686" s="62" t="str">
        <f t="shared" si="78"/>
        <v/>
      </c>
      <c r="M686" s="63" t="str">
        <f t="shared" si="79"/>
        <v/>
      </c>
      <c r="N686" s="64"/>
    </row>
    <row r="687" spans="1:14" x14ac:dyDescent="0.3">
      <c r="A687" s="58" t="str">
        <f>IF([1]weekly_demand!A688="","",[1]weekly_demand!A688)</f>
        <v/>
      </c>
      <c r="B687" s="59" t="str">
        <f>IF($A687="","",[1]weekly_demand!F688)</f>
        <v/>
      </c>
      <c r="C687" s="60" t="str">
        <f>IF($A687="","",[1]weekly_demand!H688)</f>
        <v/>
      </c>
      <c r="D687" s="61" t="str">
        <f>IF($A687="","",IF(SUMIFS([1]Fixture_Capacity_Input!$C:$C,[1]Fixture_Capacity_Input!$A:$A,$B687,[1]Fixture_Capacity_Input!$B:$B,$C687)&gt;0,SUMIFS([1]Fixture_Capacity_Input!$C:$C,[1]Fixture_Capacity_Input!$A:$A,$B687,[1]Fixture_Capacity_Input!$B:$B,$C687),[1]weekly_demand!G688))</f>
        <v/>
      </c>
      <c r="E687" s="62" t="str">
        <f>IF($A687="","",[1]weekly_demand!I688)</f>
        <v/>
      </c>
      <c r="F687" s="61" t="str">
        <f>IF($A687="","",IF($A687&lt;&gt;$A686,IFERROR(INDEX([1]FG_Begin_Inventory!$B:$B,MATCH($A687,[1]FG_Begin_Inventory!$A:$A,0)),0),J686))</f>
        <v/>
      </c>
      <c r="G687" s="61" t="str">
        <f t="shared" si="73"/>
        <v/>
      </c>
      <c r="H687" s="62" t="str">
        <f t="shared" si="74"/>
        <v/>
      </c>
      <c r="I687" s="62" t="str">
        <f t="shared" si="75"/>
        <v/>
      </c>
      <c r="J687" s="62" t="str">
        <f t="shared" si="76"/>
        <v/>
      </c>
      <c r="K687" s="62" t="str">
        <f t="shared" si="77"/>
        <v/>
      </c>
      <c r="L687" s="62" t="str">
        <f t="shared" si="78"/>
        <v/>
      </c>
      <c r="M687" s="63" t="str">
        <f t="shared" si="79"/>
        <v/>
      </c>
      <c r="N687" s="64"/>
    </row>
    <row r="688" spans="1:14" x14ac:dyDescent="0.3">
      <c r="A688" s="58" t="str">
        <f>IF([1]weekly_demand!A689="","",[1]weekly_demand!A689)</f>
        <v/>
      </c>
      <c r="B688" s="59" t="str">
        <f>IF($A688="","",[1]weekly_demand!F689)</f>
        <v/>
      </c>
      <c r="C688" s="60" t="str">
        <f>IF($A688="","",[1]weekly_demand!H689)</f>
        <v/>
      </c>
      <c r="D688" s="61" t="str">
        <f>IF($A688="","",IF(SUMIFS([1]Fixture_Capacity_Input!$C:$C,[1]Fixture_Capacity_Input!$A:$A,$B688,[1]Fixture_Capacity_Input!$B:$B,$C688)&gt;0,SUMIFS([1]Fixture_Capacity_Input!$C:$C,[1]Fixture_Capacity_Input!$A:$A,$B688,[1]Fixture_Capacity_Input!$B:$B,$C688),[1]weekly_demand!G689))</f>
        <v/>
      </c>
      <c r="E688" s="62" t="str">
        <f>IF($A688="","",[1]weekly_demand!I689)</f>
        <v/>
      </c>
      <c r="F688" s="61" t="str">
        <f>IF($A688="","",IF($A688&lt;&gt;$A687,IFERROR(INDEX([1]FG_Begin_Inventory!$B:$B,MATCH($A688,[1]FG_Begin_Inventory!$A:$A,0)),0),J687))</f>
        <v/>
      </c>
      <c r="G688" s="61" t="str">
        <f t="shared" si="73"/>
        <v/>
      </c>
      <c r="H688" s="62" t="str">
        <f t="shared" si="74"/>
        <v/>
      </c>
      <c r="I688" s="62" t="str">
        <f t="shared" si="75"/>
        <v/>
      </c>
      <c r="J688" s="62" t="str">
        <f t="shared" si="76"/>
        <v/>
      </c>
      <c r="K688" s="62" t="str">
        <f t="shared" si="77"/>
        <v/>
      </c>
      <c r="L688" s="62" t="str">
        <f t="shared" si="78"/>
        <v/>
      </c>
      <c r="M688" s="63" t="str">
        <f t="shared" si="79"/>
        <v/>
      </c>
      <c r="N688" s="64"/>
    </row>
    <row r="689" spans="1:14" x14ac:dyDescent="0.3">
      <c r="A689" s="58" t="str">
        <f>IF([1]weekly_demand!A690="","",[1]weekly_demand!A690)</f>
        <v/>
      </c>
      <c r="B689" s="59" t="str">
        <f>IF($A689="","",[1]weekly_demand!F690)</f>
        <v/>
      </c>
      <c r="C689" s="60" t="str">
        <f>IF($A689="","",[1]weekly_demand!H690)</f>
        <v/>
      </c>
      <c r="D689" s="61" t="str">
        <f>IF($A689="","",IF(SUMIFS([1]Fixture_Capacity_Input!$C:$C,[1]Fixture_Capacity_Input!$A:$A,$B689,[1]Fixture_Capacity_Input!$B:$B,$C689)&gt;0,SUMIFS([1]Fixture_Capacity_Input!$C:$C,[1]Fixture_Capacity_Input!$A:$A,$B689,[1]Fixture_Capacity_Input!$B:$B,$C689),[1]weekly_demand!G690))</f>
        <v/>
      </c>
      <c r="E689" s="62" t="str">
        <f>IF($A689="","",[1]weekly_demand!I690)</f>
        <v/>
      </c>
      <c r="F689" s="61" t="str">
        <f>IF($A689="","",IF($A689&lt;&gt;$A688,IFERROR(INDEX([1]FG_Begin_Inventory!$B:$B,MATCH($A689,[1]FG_Begin_Inventory!$A:$A,0)),0),J688))</f>
        <v/>
      </c>
      <c r="G689" s="61" t="str">
        <f t="shared" si="73"/>
        <v/>
      </c>
      <c r="H689" s="62" t="str">
        <f t="shared" si="74"/>
        <v/>
      </c>
      <c r="I689" s="62" t="str">
        <f t="shared" si="75"/>
        <v/>
      </c>
      <c r="J689" s="62" t="str">
        <f t="shared" si="76"/>
        <v/>
      </c>
      <c r="K689" s="62" t="str">
        <f t="shared" si="77"/>
        <v/>
      </c>
      <c r="L689" s="62" t="str">
        <f t="shared" si="78"/>
        <v/>
      </c>
      <c r="M689" s="63" t="str">
        <f t="shared" si="79"/>
        <v/>
      </c>
      <c r="N689" s="64"/>
    </row>
    <row r="690" spans="1:14" x14ac:dyDescent="0.3">
      <c r="A690" s="58" t="str">
        <f>IF([1]weekly_demand!A691="","",[1]weekly_demand!A691)</f>
        <v/>
      </c>
      <c r="B690" s="59" t="str">
        <f>IF($A690="","",[1]weekly_demand!F691)</f>
        <v/>
      </c>
      <c r="C690" s="60" t="str">
        <f>IF($A690="","",[1]weekly_demand!H691)</f>
        <v/>
      </c>
      <c r="D690" s="61" t="str">
        <f>IF($A690="","",IF(SUMIFS([1]Fixture_Capacity_Input!$C:$C,[1]Fixture_Capacity_Input!$A:$A,$B690,[1]Fixture_Capacity_Input!$B:$B,$C690)&gt;0,SUMIFS([1]Fixture_Capacity_Input!$C:$C,[1]Fixture_Capacity_Input!$A:$A,$B690,[1]Fixture_Capacity_Input!$B:$B,$C690),[1]weekly_demand!G691))</f>
        <v/>
      </c>
      <c r="E690" s="62" t="str">
        <f>IF($A690="","",[1]weekly_demand!I691)</f>
        <v/>
      </c>
      <c r="F690" s="61" t="str">
        <f>IF($A690="","",IF($A690&lt;&gt;$A689,IFERROR(INDEX([1]FG_Begin_Inventory!$B:$B,MATCH($A690,[1]FG_Begin_Inventory!$A:$A,0)),0),J689))</f>
        <v/>
      </c>
      <c r="G690" s="61" t="str">
        <f t="shared" si="73"/>
        <v/>
      </c>
      <c r="H690" s="62" t="str">
        <f t="shared" si="74"/>
        <v/>
      </c>
      <c r="I690" s="62" t="str">
        <f t="shared" si="75"/>
        <v/>
      </c>
      <c r="J690" s="62" t="str">
        <f t="shared" si="76"/>
        <v/>
      </c>
      <c r="K690" s="62" t="str">
        <f t="shared" si="77"/>
        <v/>
      </c>
      <c r="L690" s="62" t="str">
        <f t="shared" si="78"/>
        <v/>
      </c>
      <c r="M690" s="63" t="str">
        <f t="shared" si="79"/>
        <v/>
      </c>
      <c r="N690" s="64"/>
    </row>
    <row r="691" spans="1:14" x14ac:dyDescent="0.3">
      <c r="A691" s="58" t="str">
        <f>IF([1]weekly_demand!A692="","",[1]weekly_demand!A692)</f>
        <v/>
      </c>
      <c r="B691" s="59" t="str">
        <f>IF($A691="","",[1]weekly_demand!F692)</f>
        <v/>
      </c>
      <c r="C691" s="60" t="str">
        <f>IF($A691="","",[1]weekly_demand!H692)</f>
        <v/>
      </c>
      <c r="D691" s="61" t="str">
        <f>IF($A691="","",IF(SUMIFS([1]Fixture_Capacity_Input!$C:$C,[1]Fixture_Capacity_Input!$A:$A,$B691,[1]Fixture_Capacity_Input!$B:$B,$C691)&gt;0,SUMIFS([1]Fixture_Capacity_Input!$C:$C,[1]Fixture_Capacity_Input!$A:$A,$B691,[1]Fixture_Capacity_Input!$B:$B,$C691),[1]weekly_demand!G692))</f>
        <v/>
      </c>
      <c r="E691" s="62" t="str">
        <f>IF($A691="","",[1]weekly_demand!I692)</f>
        <v/>
      </c>
      <c r="F691" s="61" t="str">
        <f>IF($A691="","",IF($A691&lt;&gt;$A690,IFERROR(INDEX([1]FG_Begin_Inventory!$B:$B,MATCH($A691,[1]FG_Begin_Inventory!$A:$A,0)),0),J690))</f>
        <v/>
      </c>
      <c r="G691" s="61" t="str">
        <f t="shared" ref="G691:G754" si="80">IF($A691="","",IF($A691&lt;&gt;$A692,0,MAX(0,G692+E692-D692)))</f>
        <v/>
      </c>
      <c r="H691" s="62" t="str">
        <f t="shared" si="74"/>
        <v/>
      </c>
      <c r="I691" s="62" t="str">
        <f t="shared" si="75"/>
        <v/>
      </c>
      <c r="J691" s="62" t="str">
        <f t="shared" si="76"/>
        <v/>
      </c>
      <c r="K691" s="62" t="str">
        <f t="shared" si="77"/>
        <v/>
      </c>
      <c r="L691" s="62" t="str">
        <f t="shared" si="78"/>
        <v/>
      </c>
      <c r="M691" s="63" t="str">
        <f t="shared" si="79"/>
        <v/>
      </c>
      <c r="N691" s="64"/>
    </row>
    <row r="692" spans="1:14" x14ac:dyDescent="0.3">
      <c r="A692" s="58" t="str">
        <f>IF([1]weekly_demand!A693="","",[1]weekly_demand!A693)</f>
        <v/>
      </c>
      <c r="B692" s="59" t="str">
        <f>IF($A692="","",[1]weekly_demand!F693)</f>
        <v/>
      </c>
      <c r="C692" s="60" t="str">
        <f>IF($A692="","",[1]weekly_demand!H693)</f>
        <v/>
      </c>
      <c r="D692" s="61" t="str">
        <f>IF($A692="","",IF(SUMIFS([1]Fixture_Capacity_Input!$C:$C,[1]Fixture_Capacity_Input!$A:$A,$B692,[1]Fixture_Capacity_Input!$B:$B,$C692)&gt;0,SUMIFS([1]Fixture_Capacity_Input!$C:$C,[1]Fixture_Capacity_Input!$A:$A,$B692,[1]Fixture_Capacity_Input!$B:$B,$C692),[1]weekly_demand!G693))</f>
        <v/>
      </c>
      <c r="E692" s="62" t="str">
        <f>IF($A692="","",[1]weekly_demand!I693)</f>
        <v/>
      </c>
      <c r="F692" s="61" t="str">
        <f>IF($A692="","",IF($A692&lt;&gt;$A691,IFERROR(INDEX([1]FG_Begin_Inventory!$B:$B,MATCH($A692,[1]FG_Begin_Inventory!$A:$A,0)),0),J691))</f>
        <v/>
      </c>
      <c r="G692" s="61" t="str">
        <f t="shared" si="80"/>
        <v/>
      </c>
      <c r="H692" s="62" t="str">
        <f t="shared" si="74"/>
        <v/>
      </c>
      <c r="I692" s="62" t="str">
        <f t="shared" si="75"/>
        <v/>
      </c>
      <c r="J692" s="62" t="str">
        <f t="shared" si="76"/>
        <v/>
      </c>
      <c r="K692" s="62" t="str">
        <f t="shared" si="77"/>
        <v/>
      </c>
      <c r="L692" s="62" t="str">
        <f t="shared" si="78"/>
        <v/>
      </c>
      <c r="M692" s="63" t="str">
        <f t="shared" si="79"/>
        <v/>
      </c>
      <c r="N692" s="64"/>
    </row>
    <row r="693" spans="1:14" x14ac:dyDescent="0.3">
      <c r="A693" s="58" t="str">
        <f>IF([1]weekly_demand!A694="","",[1]weekly_demand!A694)</f>
        <v/>
      </c>
      <c r="B693" s="59" t="str">
        <f>IF($A693="","",[1]weekly_demand!F694)</f>
        <v/>
      </c>
      <c r="C693" s="60" t="str">
        <f>IF($A693="","",[1]weekly_demand!H694)</f>
        <v/>
      </c>
      <c r="D693" s="61" t="str">
        <f>IF($A693="","",IF(SUMIFS([1]Fixture_Capacity_Input!$C:$C,[1]Fixture_Capacity_Input!$A:$A,$B693,[1]Fixture_Capacity_Input!$B:$B,$C693)&gt;0,SUMIFS([1]Fixture_Capacity_Input!$C:$C,[1]Fixture_Capacity_Input!$A:$A,$B693,[1]Fixture_Capacity_Input!$B:$B,$C693),[1]weekly_demand!G694))</f>
        <v/>
      </c>
      <c r="E693" s="62" t="str">
        <f>IF($A693="","",[1]weekly_demand!I694)</f>
        <v/>
      </c>
      <c r="F693" s="61" t="str">
        <f>IF($A693="","",IF($A693&lt;&gt;$A692,IFERROR(INDEX([1]FG_Begin_Inventory!$B:$B,MATCH($A693,[1]FG_Begin_Inventory!$A:$A,0)),0),J692))</f>
        <v/>
      </c>
      <c r="G693" s="61" t="str">
        <f t="shared" si="80"/>
        <v/>
      </c>
      <c r="H693" s="62" t="str">
        <f t="shared" si="74"/>
        <v/>
      </c>
      <c r="I693" s="62" t="str">
        <f t="shared" si="75"/>
        <v/>
      </c>
      <c r="J693" s="62" t="str">
        <f t="shared" si="76"/>
        <v/>
      </c>
      <c r="K693" s="62" t="str">
        <f t="shared" si="77"/>
        <v/>
      </c>
      <c r="L693" s="62" t="str">
        <f t="shared" si="78"/>
        <v/>
      </c>
      <c r="M693" s="63" t="str">
        <f t="shared" si="79"/>
        <v/>
      </c>
      <c r="N693" s="64"/>
    </row>
    <row r="694" spans="1:14" x14ac:dyDescent="0.3">
      <c r="A694" s="58" t="str">
        <f>IF([1]weekly_demand!A695="","",[1]weekly_demand!A695)</f>
        <v/>
      </c>
      <c r="B694" s="59" t="str">
        <f>IF($A694="","",[1]weekly_demand!F695)</f>
        <v/>
      </c>
      <c r="C694" s="60" t="str">
        <f>IF($A694="","",[1]weekly_demand!H695)</f>
        <v/>
      </c>
      <c r="D694" s="61" t="str">
        <f>IF($A694="","",IF(SUMIFS([1]Fixture_Capacity_Input!$C:$C,[1]Fixture_Capacity_Input!$A:$A,$B694,[1]Fixture_Capacity_Input!$B:$B,$C694)&gt;0,SUMIFS([1]Fixture_Capacity_Input!$C:$C,[1]Fixture_Capacity_Input!$A:$A,$B694,[1]Fixture_Capacity_Input!$B:$B,$C694),[1]weekly_demand!G695))</f>
        <v/>
      </c>
      <c r="E694" s="62" t="str">
        <f>IF($A694="","",[1]weekly_demand!I695)</f>
        <v/>
      </c>
      <c r="F694" s="61" t="str">
        <f>IF($A694="","",IF($A694&lt;&gt;$A693,IFERROR(INDEX([1]FG_Begin_Inventory!$B:$B,MATCH($A694,[1]FG_Begin_Inventory!$A:$A,0)),0),J693))</f>
        <v/>
      </c>
      <c r="G694" s="61" t="str">
        <f t="shared" si="80"/>
        <v/>
      </c>
      <c r="H694" s="62" t="str">
        <f t="shared" si="74"/>
        <v/>
      </c>
      <c r="I694" s="62" t="str">
        <f t="shared" si="75"/>
        <v/>
      </c>
      <c r="J694" s="62" t="str">
        <f t="shared" si="76"/>
        <v/>
      </c>
      <c r="K694" s="62" t="str">
        <f t="shared" si="77"/>
        <v/>
      </c>
      <c r="L694" s="62" t="str">
        <f t="shared" si="78"/>
        <v/>
      </c>
      <c r="M694" s="63" t="str">
        <f t="shared" si="79"/>
        <v/>
      </c>
      <c r="N694" s="64"/>
    </row>
    <row r="695" spans="1:14" x14ac:dyDescent="0.3">
      <c r="A695" s="58" t="str">
        <f>IF([1]weekly_demand!A696="","",[1]weekly_demand!A696)</f>
        <v/>
      </c>
      <c r="B695" s="59" t="str">
        <f>IF($A695="","",[1]weekly_demand!F696)</f>
        <v/>
      </c>
      <c r="C695" s="60" t="str">
        <f>IF($A695="","",[1]weekly_demand!H696)</f>
        <v/>
      </c>
      <c r="D695" s="61" t="str">
        <f>IF($A695="","",IF(SUMIFS([1]Fixture_Capacity_Input!$C:$C,[1]Fixture_Capacity_Input!$A:$A,$B695,[1]Fixture_Capacity_Input!$B:$B,$C695)&gt;0,SUMIFS([1]Fixture_Capacity_Input!$C:$C,[1]Fixture_Capacity_Input!$A:$A,$B695,[1]Fixture_Capacity_Input!$B:$B,$C695),[1]weekly_demand!G696))</f>
        <v/>
      </c>
      <c r="E695" s="62" t="str">
        <f>IF($A695="","",[1]weekly_demand!I696)</f>
        <v/>
      </c>
      <c r="F695" s="61" t="str">
        <f>IF($A695="","",IF($A695&lt;&gt;$A694,IFERROR(INDEX([1]FG_Begin_Inventory!$B:$B,MATCH($A695,[1]FG_Begin_Inventory!$A:$A,0)),0),J694))</f>
        <v/>
      </c>
      <c r="G695" s="61" t="str">
        <f t="shared" si="80"/>
        <v/>
      </c>
      <c r="H695" s="62" t="str">
        <f t="shared" si="74"/>
        <v/>
      </c>
      <c r="I695" s="62" t="str">
        <f t="shared" si="75"/>
        <v/>
      </c>
      <c r="J695" s="62" t="str">
        <f t="shared" si="76"/>
        <v/>
      </c>
      <c r="K695" s="62" t="str">
        <f t="shared" si="77"/>
        <v/>
      </c>
      <c r="L695" s="62" t="str">
        <f t="shared" si="78"/>
        <v/>
      </c>
      <c r="M695" s="63" t="str">
        <f t="shared" si="79"/>
        <v/>
      </c>
      <c r="N695" s="64"/>
    </row>
    <row r="696" spans="1:14" x14ac:dyDescent="0.3">
      <c r="A696" s="58" t="str">
        <f>IF([1]weekly_demand!A697="","",[1]weekly_demand!A697)</f>
        <v/>
      </c>
      <c r="B696" s="59" t="str">
        <f>IF($A696="","",[1]weekly_demand!F697)</f>
        <v/>
      </c>
      <c r="C696" s="60" t="str">
        <f>IF($A696="","",[1]weekly_demand!H697)</f>
        <v/>
      </c>
      <c r="D696" s="61" t="str">
        <f>IF($A696="","",IF(SUMIFS([1]Fixture_Capacity_Input!$C:$C,[1]Fixture_Capacity_Input!$A:$A,$B696,[1]Fixture_Capacity_Input!$B:$B,$C696)&gt;0,SUMIFS([1]Fixture_Capacity_Input!$C:$C,[1]Fixture_Capacity_Input!$A:$A,$B696,[1]Fixture_Capacity_Input!$B:$B,$C696),[1]weekly_demand!G697))</f>
        <v/>
      </c>
      <c r="E696" s="62" t="str">
        <f>IF($A696="","",[1]weekly_demand!I697)</f>
        <v/>
      </c>
      <c r="F696" s="61" t="str">
        <f>IF($A696="","",IF($A696&lt;&gt;$A695,IFERROR(INDEX([1]FG_Begin_Inventory!$B:$B,MATCH($A696,[1]FG_Begin_Inventory!$A:$A,0)),0),J695))</f>
        <v/>
      </c>
      <c r="G696" s="61" t="str">
        <f t="shared" si="80"/>
        <v/>
      </c>
      <c r="H696" s="62" t="str">
        <f t="shared" si="74"/>
        <v/>
      </c>
      <c r="I696" s="62" t="str">
        <f t="shared" si="75"/>
        <v/>
      </c>
      <c r="J696" s="62" t="str">
        <f t="shared" si="76"/>
        <v/>
      </c>
      <c r="K696" s="62" t="str">
        <f t="shared" si="77"/>
        <v/>
      </c>
      <c r="L696" s="62" t="str">
        <f t="shared" si="78"/>
        <v/>
      </c>
      <c r="M696" s="63" t="str">
        <f t="shared" si="79"/>
        <v/>
      </c>
      <c r="N696" s="64"/>
    </row>
    <row r="697" spans="1:14" x14ac:dyDescent="0.3">
      <c r="A697" s="58" t="str">
        <f>IF([1]weekly_demand!A698="","",[1]weekly_demand!A698)</f>
        <v/>
      </c>
      <c r="B697" s="59" t="str">
        <f>IF($A697="","",[1]weekly_demand!F698)</f>
        <v/>
      </c>
      <c r="C697" s="60" t="str">
        <f>IF($A697="","",[1]weekly_demand!H698)</f>
        <v/>
      </c>
      <c r="D697" s="61" t="str">
        <f>IF($A697="","",IF(SUMIFS([1]Fixture_Capacity_Input!$C:$C,[1]Fixture_Capacity_Input!$A:$A,$B697,[1]Fixture_Capacity_Input!$B:$B,$C697)&gt;0,SUMIFS([1]Fixture_Capacity_Input!$C:$C,[1]Fixture_Capacity_Input!$A:$A,$B697,[1]Fixture_Capacity_Input!$B:$B,$C697),[1]weekly_demand!G698))</f>
        <v/>
      </c>
      <c r="E697" s="62" t="str">
        <f>IF($A697="","",[1]weekly_demand!I698)</f>
        <v/>
      </c>
      <c r="F697" s="61" t="str">
        <f>IF($A697="","",IF($A697&lt;&gt;$A696,IFERROR(INDEX([1]FG_Begin_Inventory!$B:$B,MATCH($A697,[1]FG_Begin_Inventory!$A:$A,0)),0),J696))</f>
        <v/>
      </c>
      <c r="G697" s="61" t="str">
        <f t="shared" si="80"/>
        <v/>
      </c>
      <c r="H697" s="62" t="str">
        <f t="shared" si="74"/>
        <v/>
      </c>
      <c r="I697" s="62" t="str">
        <f t="shared" si="75"/>
        <v/>
      </c>
      <c r="J697" s="62" t="str">
        <f t="shared" si="76"/>
        <v/>
      </c>
      <c r="K697" s="62" t="str">
        <f t="shared" si="77"/>
        <v/>
      </c>
      <c r="L697" s="62" t="str">
        <f t="shared" si="78"/>
        <v/>
      </c>
      <c r="M697" s="63" t="str">
        <f t="shared" si="79"/>
        <v/>
      </c>
      <c r="N697" s="64"/>
    </row>
    <row r="698" spans="1:14" x14ac:dyDescent="0.3">
      <c r="A698" s="58" t="str">
        <f>IF([1]weekly_demand!A699="","",[1]weekly_demand!A699)</f>
        <v/>
      </c>
      <c r="B698" s="59" t="str">
        <f>IF($A698="","",[1]weekly_demand!F699)</f>
        <v/>
      </c>
      <c r="C698" s="60" t="str">
        <f>IF($A698="","",[1]weekly_demand!H699)</f>
        <v/>
      </c>
      <c r="D698" s="61" t="str">
        <f>IF($A698="","",IF(SUMIFS([1]Fixture_Capacity_Input!$C:$C,[1]Fixture_Capacity_Input!$A:$A,$B698,[1]Fixture_Capacity_Input!$B:$B,$C698)&gt;0,SUMIFS([1]Fixture_Capacity_Input!$C:$C,[1]Fixture_Capacity_Input!$A:$A,$B698,[1]Fixture_Capacity_Input!$B:$B,$C698),[1]weekly_demand!G699))</f>
        <v/>
      </c>
      <c r="E698" s="62" t="str">
        <f>IF($A698="","",[1]weekly_demand!I699)</f>
        <v/>
      </c>
      <c r="F698" s="61" t="str">
        <f>IF($A698="","",IF($A698&lt;&gt;$A697,IFERROR(INDEX([1]FG_Begin_Inventory!$B:$B,MATCH($A698,[1]FG_Begin_Inventory!$A:$A,0)),0),J697))</f>
        <v/>
      </c>
      <c r="G698" s="61" t="str">
        <f t="shared" si="80"/>
        <v/>
      </c>
      <c r="H698" s="62" t="str">
        <f t="shared" si="74"/>
        <v/>
      </c>
      <c r="I698" s="62" t="str">
        <f t="shared" si="75"/>
        <v/>
      </c>
      <c r="J698" s="62" t="str">
        <f t="shared" si="76"/>
        <v/>
      </c>
      <c r="K698" s="62" t="str">
        <f t="shared" si="77"/>
        <v/>
      </c>
      <c r="L698" s="62" t="str">
        <f t="shared" si="78"/>
        <v/>
      </c>
      <c r="M698" s="63" t="str">
        <f t="shared" si="79"/>
        <v/>
      </c>
      <c r="N698" s="64"/>
    </row>
    <row r="699" spans="1:14" x14ac:dyDescent="0.3">
      <c r="A699" s="58" t="str">
        <f>IF([1]weekly_demand!A700="","",[1]weekly_demand!A700)</f>
        <v/>
      </c>
      <c r="B699" s="59" t="str">
        <f>IF($A699="","",[1]weekly_demand!F700)</f>
        <v/>
      </c>
      <c r="C699" s="60" t="str">
        <f>IF($A699="","",[1]weekly_demand!H700)</f>
        <v/>
      </c>
      <c r="D699" s="61" t="str">
        <f>IF($A699="","",IF(SUMIFS([1]Fixture_Capacity_Input!$C:$C,[1]Fixture_Capacity_Input!$A:$A,$B699,[1]Fixture_Capacity_Input!$B:$B,$C699)&gt;0,SUMIFS([1]Fixture_Capacity_Input!$C:$C,[1]Fixture_Capacity_Input!$A:$A,$B699,[1]Fixture_Capacity_Input!$B:$B,$C699),[1]weekly_demand!G700))</f>
        <v/>
      </c>
      <c r="E699" s="62" t="str">
        <f>IF($A699="","",[1]weekly_demand!I700)</f>
        <v/>
      </c>
      <c r="F699" s="61" t="str">
        <f>IF($A699="","",IF($A699&lt;&gt;$A698,IFERROR(INDEX([1]FG_Begin_Inventory!$B:$B,MATCH($A699,[1]FG_Begin_Inventory!$A:$A,0)),0),J698))</f>
        <v/>
      </c>
      <c r="G699" s="61" t="str">
        <f t="shared" si="80"/>
        <v/>
      </c>
      <c r="H699" s="62" t="str">
        <f t="shared" si="74"/>
        <v/>
      </c>
      <c r="I699" s="62" t="str">
        <f t="shared" si="75"/>
        <v/>
      </c>
      <c r="J699" s="62" t="str">
        <f t="shared" si="76"/>
        <v/>
      </c>
      <c r="K699" s="62" t="str">
        <f t="shared" si="77"/>
        <v/>
      </c>
      <c r="L699" s="62" t="str">
        <f t="shared" si="78"/>
        <v/>
      </c>
      <c r="M699" s="63" t="str">
        <f t="shared" si="79"/>
        <v/>
      </c>
      <c r="N699" s="64"/>
    </row>
    <row r="700" spans="1:14" x14ac:dyDescent="0.3">
      <c r="A700" s="58" t="str">
        <f>IF([1]weekly_demand!A701="","",[1]weekly_demand!A701)</f>
        <v/>
      </c>
      <c r="B700" s="59" t="str">
        <f>IF($A700="","",[1]weekly_demand!F701)</f>
        <v/>
      </c>
      <c r="C700" s="60" t="str">
        <f>IF($A700="","",[1]weekly_demand!H701)</f>
        <v/>
      </c>
      <c r="D700" s="61" t="str">
        <f>IF($A700="","",IF(SUMIFS([1]Fixture_Capacity_Input!$C:$C,[1]Fixture_Capacity_Input!$A:$A,$B700,[1]Fixture_Capacity_Input!$B:$B,$C700)&gt;0,SUMIFS([1]Fixture_Capacity_Input!$C:$C,[1]Fixture_Capacity_Input!$A:$A,$B700,[1]Fixture_Capacity_Input!$B:$B,$C700),[1]weekly_demand!G701))</f>
        <v/>
      </c>
      <c r="E700" s="62" t="str">
        <f>IF($A700="","",[1]weekly_demand!I701)</f>
        <v/>
      </c>
      <c r="F700" s="61" t="str">
        <f>IF($A700="","",IF($A700&lt;&gt;$A699,IFERROR(INDEX([1]FG_Begin_Inventory!$B:$B,MATCH($A700,[1]FG_Begin_Inventory!$A:$A,0)),0),J699))</f>
        <v/>
      </c>
      <c r="G700" s="61" t="str">
        <f t="shared" si="80"/>
        <v/>
      </c>
      <c r="H700" s="62" t="str">
        <f t="shared" si="74"/>
        <v/>
      </c>
      <c r="I700" s="62" t="str">
        <f t="shared" si="75"/>
        <v/>
      </c>
      <c r="J700" s="62" t="str">
        <f t="shared" si="76"/>
        <v/>
      </c>
      <c r="K700" s="62" t="str">
        <f t="shared" si="77"/>
        <v/>
      </c>
      <c r="L700" s="62" t="str">
        <f t="shared" si="78"/>
        <v/>
      </c>
      <c r="M700" s="63" t="str">
        <f t="shared" si="79"/>
        <v/>
      </c>
      <c r="N700" s="64"/>
    </row>
    <row r="701" spans="1:14" x14ac:dyDescent="0.3">
      <c r="A701" s="58" t="str">
        <f>IF([1]weekly_demand!A702="","",[1]weekly_demand!A702)</f>
        <v/>
      </c>
      <c r="B701" s="59" t="str">
        <f>IF($A701="","",[1]weekly_demand!F702)</f>
        <v/>
      </c>
      <c r="C701" s="60" t="str">
        <f>IF($A701="","",[1]weekly_demand!H702)</f>
        <v/>
      </c>
      <c r="D701" s="61" t="str">
        <f>IF($A701="","",IF(SUMIFS([1]Fixture_Capacity_Input!$C:$C,[1]Fixture_Capacity_Input!$A:$A,$B701,[1]Fixture_Capacity_Input!$B:$B,$C701)&gt;0,SUMIFS([1]Fixture_Capacity_Input!$C:$C,[1]Fixture_Capacity_Input!$A:$A,$B701,[1]Fixture_Capacity_Input!$B:$B,$C701),[1]weekly_demand!G702))</f>
        <v/>
      </c>
      <c r="E701" s="62" t="str">
        <f>IF($A701="","",[1]weekly_demand!I702)</f>
        <v/>
      </c>
      <c r="F701" s="61" t="str">
        <f>IF($A701="","",IF($A701&lt;&gt;$A700,IFERROR(INDEX([1]FG_Begin_Inventory!$B:$B,MATCH($A701,[1]FG_Begin_Inventory!$A:$A,0)),0),J700))</f>
        <v/>
      </c>
      <c r="G701" s="61" t="str">
        <f t="shared" si="80"/>
        <v/>
      </c>
      <c r="H701" s="62" t="str">
        <f t="shared" si="74"/>
        <v/>
      </c>
      <c r="I701" s="62" t="str">
        <f t="shared" si="75"/>
        <v/>
      </c>
      <c r="J701" s="62" t="str">
        <f t="shared" si="76"/>
        <v/>
      </c>
      <c r="K701" s="62" t="str">
        <f t="shared" si="77"/>
        <v/>
      </c>
      <c r="L701" s="62" t="str">
        <f t="shared" si="78"/>
        <v/>
      </c>
      <c r="M701" s="63" t="str">
        <f t="shared" si="79"/>
        <v/>
      </c>
      <c r="N701" s="64"/>
    </row>
    <row r="702" spans="1:14" x14ac:dyDescent="0.3">
      <c r="A702" s="58" t="str">
        <f>IF([1]weekly_demand!A703="","",[1]weekly_demand!A703)</f>
        <v/>
      </c>
      <c r="B702" s="59" t="str">
        <f>IF($A702="","",[1]weekly_demand!F703)</f>
        <v/>
      </c>
      <c r="C702" s="60" t="str">
        <f>IF($A702="","",[1]weekly_demand!H703)</f>
        <v/>
      </c>
      <c r="D702" s="61" t="str">
        <f>IF($A702="","",IF(SUMIFS([1]Fixture_Capacity_Input!$C:$C,[1]Fixture_Capacity_Input!$A:$A,$B702,[1]Fixture_Capacity_Input!$B:$B,$C702)&gt;0,SUMIFS([1]Fixture_Capacity_Input!$C:$C,[1]Fixture_Capacity_Input!$A:$A,$B702,[1]Fixture_Capacity_Input!$B:$B,$C702),[1]weekly_demand!G703))</f>
        <v/>
      </c>
      <c r="E702" s="62" t="str">
        <f>IF($A702="","",[1]weekly_demand!I703)</f>
        <v/>
      </c>
      <c r="F702" s="61" t="str">
        <f>IF($A702="","",IF($A702&lt;&gt;$A701,IFERROR(INDEX([1]FG_Begin_Inventory!$B:$B,MATCH($A702,[1]FG_Begin_Inventory!$A:$A,0)),0),J701))</f>
        <v/>
      </c>
      <c r="G702" s="61" t="str">
        <f t="shared" si="80"/>
        <v/>
      </c>
      <c r="H702" s="62" t="str">
        <f t="shared" si="74"/>
        <v/>
      </c>
      <c r="I702" s="62" t="str">
        <f t="shared" si="75"/>
        <v/>
      </c>
      <c r="J702" s="62" t="str">
        <f t="shared" si="76"/>
        <v/>
      </c>
      <c r="K702" s="62" t="str">
        <f t="shared" si="77"/>
        <v/>
      </c>
      <c r="L702" s="62" t="str">
        <f t="shared" si="78"/>
        <v/>
      </c>
      <c r="M702" s="63" t="str">
        <f t="shared" si="79"/>
        <v/>
      </c>
      <c r="N702" s="64"/>
    </row>
    <row r="703" spans="1:14" x14ac:dyDescent="0.3">
      <c r="A703" s="58" t="str">
        <f>IF([1]weekly_demand!A704="","",[1]weekly_demand!A704)</f>
        <v/>
      </c>
      <c r="B703" s="59" t="str">
        <f>IF($A703="","",[1]weekly_demand!F704)</f>
        <v/>
      </c>
      <c r="C703" s="60" t="str">
        <f>IF($A703="","",[1]weekly_demand!H704)</f>
        <v/>
      </c>
      <c r="D703" s="61" t="str">
        <f>IF($A703="","",IF(SUMIFS([1]Fixture_Capacity_Input!$C:$C,[1]Fixture_Capacity_Input!$A:$A,$B703,[1]Fixture_Capacity_Input!$B:$B,$C703)&gt;0,SUMIFS([1]Fixture_Capacity_Input!$C:$C,[1]Fixture_Capacity_Input!$A:$A,$B703,[1]Fixture_Capacity_Input!$B:$B,$C703),[1]weekly_demand!G704))</f>
        <v/>
      </c>
      <c r="E703" s="62" t="str">
        <f>IF($A703="","",[1]weekly_demand!I704)</f>
        <v/>
      </c>
      <c r="F703" s="61" t="str">
        <f>IF($A703="","",IF($A703&lt;&gt;$A702,IFERROR(INDEX([1]FG_Begin_Inventory!$B:$B,MATCH($A703,[1]FG_Begin_Inventory!$A:$A,0)),0),J702))</f>
        <v/>
      </c>
      <c r="G703" s="61" t="str">
        <f t="shared" si="80"/>
        <v/>
      </c>
      <c r="H703" s="62" t="str">
        <f t="shared" si="74"/>
        <v/>
      </c>
      <c r="I703" s="62" t="str">
        <f t="shared" si="75"/>
        <v/>
      </c>
      <c r="J703" s="62" t="str">
        <f t="shared" si="76"/>
        <v/>
      </c>
      <c r="K703" s="62" t="str">
        <f t="shared" si="77"/>
        <v/>
      </c>
      <c r="L703" s="62" t="str">
        <f t="shared" si="78"/>
        <v/>
      </c>
      <c r="M703" s="63" t="str">
        <f t="shared" si="79"/>
        <v/>
      </c>
      <c r="N703" s="64"/>
    </row>
    <row r="704" spans="1:14" x14ac:dyDescent="0.3">
      <c r="A704" s="58" t="str">
        <f>IF([1]weekly_demand!A705="","",[1]weekly_demand!A705)</f>
        <v/>
      </c>
      <c r="B704" s="59" t="str">
        <f>IF($A704="","",[1]weekly_demand!F705)</f>
        <v/>
      </c>
      <c r="C704" s="60" t="str">
        <f>IF($A704="","",[1]weekly_demand!H705)</f>
        <v/>
      </c>
      <c r="D704" s="61" t="str">
        <f>IF($A704="","",IF(SUMIFS([1]Fixture_Capacity_Input!$C:$C,[1]Fixture_Capacity_Input!$A:$A,$B704,[1]Fixture_Capacity_Input!$B:$B,$C704)&gt;0,SUMIFS([1]Fixture_Capacity_Input!$C:$C,[1]Fixture_Capacity_Input!$A:$A,$B704,[1]Fixture_Capacity_Input!$B:$B,$C704),[1]weekly_demand!G705))</f>
        <v/>
      </c>
      <c r="E704" s="62" t="str">
        <f>IF($A704="","",[1]weekly_demand!I705)</f>
        <v/>
      </c>
      <c r="F704" s="61" t="str">
        <f>IF($A704="","",IF($A704&lt;&gt;$A703,IFERROR(INDEX([1]FG_Begin_Inventory!$B:$B,MATCH($A704,[1]FG_Begin_Inventory!$A:$A,0)),0),J703))</f>
        <v/>
      </c>
      <c r="G704" s="61" t="str">
        <f t="shared" si="80"/>
        <v/>
      </c>
      <c r="H704" s="62" t="str">
        <f t="shared" si="74"/>
        <v/>
      </c>
      <c r="I704" s="62" t="str">
        <f t="shared" si="75"/>
        <v/>
      </c>
      <c r="J704" s="62" t="str">
        <f t="shared" si="76"/>
        <v/>
      </c>
      <c r="K704" s="62" t="str">
        <f t="shared" si="77"/>
        <v/>
      </c>
      <c r="L704" s="62" t="str">
        <f t="shared" si="78"/>
        <v/>
      </c>
      <c r="M704" s="63" t="str">
        <f t="shared" si="79"/>
        <v/>
      </c>
      <c r="N704" s="64"/>
    </row>
    <row r="705" spans="1:14" x14ac:dyDescent="0.3">
      <c r="A705" s="58" t="str">
        <f>IF([1]weekly_demand!A706="","",[1]weekly_demand!A706)</f>
        <v/>
      </c>
      <c r="B705" s="59" t="str">
        <f>IF($A705="","",[1]weekly_demand!F706)</f>
        <v/>
      </c>
      <c r="C705" s="60" t="str">
        <f>IF($A705="","",[1]weekly_demand!H706)</f>
        <v/>
      </c>
      <c r="D705" s="61" t="str">
        <f>IF($A705="","",IF(SUMIFS([1]Fixture_Capacity_Input!$C:$C,[1]Fixture_Capacity_Input!$A:$A,$B705,[1]Fixture_Capacity_Input!$B:$B,$C705)&gt;0,SUMIFS([1]Fixture_Capacity_Input!$C:$C,[1]Fixture_Capacity_Input!$A:$A,$B705,[1]Fixture_Capacity_Input!$B:$B,$C705),[1]weekly_demand!G706))</f>
        <v/>
      </c>
      <c r="E705" s="62" t="str">
        <f>IF($A705="","",[1]weekly_demand!I706)</f>
        <v/>
      </c>
      <c r="F705" s="61" t="str">
        <f>IF($A705="","",IF($A705&lt;&gt;$A704,IFERROR(INDEX([1]FG_Begin_Inventory!$B:$B,MATCH($A705,[1]FG_Begin_Inventory!$A:$A,0)),0),J704))</f>
        <v/>
      </c>
      <c r="G705" s="61" t="str">
        <f t="shared" si="80"/>
        <v/>
      </c>
      <c r="H705" s="62" t="str">
        <f t="shared" si="74"/>
        <v/>
      </c>
      <c r="I705" s="62" t="str">
        <f t="shared" si="75"/>
        <v/>
      </c>
      <c r="J705" s="62" t="str">
        <f t="shared" si="76"/>
        <v/>
      </c>
      <c r="K705" s="62" t="str">
        <f t="shared" si="77"/>
        <v/>
      </c>
      <c r="L705" s="62" t="str">
        <f t="shared" si="78"/>
        <v/>
      </c>
      <c r="M705" s="63" t="str">
        <f t="shared" si="79"/>
        <v/>
      </c>
      <c r="N705" s="64"/>
    </row>
    <row r="706" spans="1:14" x14ac:dyDescent="0.3">
      <c r="A706" s="58" t="str">
        <f>IF([1]weekly_demand!A707="","",[1]weekly_demand!A707)</f>
        <v/>
      </c>
      <c r="B706" s="59" t="str">
        <f>IF($A706="","",[1]weekly_demand!F707)</f>
        <v/>
      </c>
      <c r="C706" s="60" t="str">
        <f>IF($A706="","",[1]weekly_demand!H707)</f>
        <v/>
      </c>
      <c r="D706" s="61" t="str">
        <f>IF($A706="","",IF(SUMIFS([1]Fixture_Capacity_Input!$C:$C,[1]Fixture_Capacity_Input!$A:$A,$B706,[1]Fixture_Capacity_Input!$B:$B,$C706)&gt;0,SUMIFS([1]Fixture_Capacity_Input!$C:$C,[1]Fixture_Capacity_Input!$A:$A,$B706,[1]Fixture_Capacity_Input!$B:$B,$C706),[1]weekly_demand!G707))</f>
        <v/>
      </c>
      <c r="E706" s="62" t="str">
        <f>IF($A706="","",[1]weekly_demand!I707)</f>
        <v/>
      </c>
      <c r="F706" s="61" t="str">
        <f>IF($A706="","",IF($A706&lt;&gt;$A705,IFERROR(INDEX([1]FG_Begin_Inventory!$B:$B,MATCH($A706,[1]FG_Begin_Inventory!$A:$A,0)),0),J705))</f>
        <v/>
      </c>
      <c r="G706" s="61" t="str">
        <f t="shared" si="80"/>
        <v/>
      </c>
      <c r="H706" s="62" t="str">
        <f t="shared" ref="H706:H769" si="81">IF($A706="","",MAX(0,E706+G706-F706))</f>
        <v/>
      </c>
      <c r="I706" s="62" t="str">
        <f t="shared" ref="I706:I769" si="82">IF($A706="","",MIN(D706,H706))</f>
        <v/>
      </c>
      <c r="J706" s="62" t="str">
        <f t="shared" ref="J706:J769" si="83">IF($A706="","",MAX(0,F706+I706-E706))</f>
        <v/>
      </c>
      <c r="K706" s="62" t="str">
        <f t="shared" ref="K706:K769" si="84">IF($A706="","",MAX(0,E706-F706-I706))</f>
        <v/>
      </c>
      <c r="L706" s="62" t="str">
        <f t="shared" ref="L706:L769" si="85">IF($A706="","",MAX(0,F706+I706-E706))</f>
        <v/>
      </c>
      <c r="M706" s="63" t="str">
        <f t="shared" ref="M706:M769" si="86">IF($A706="","",IFERROR(I706/D706,0))</f>
        <v/>
      </c>
      <c r="N706" s="64"/>
    </row>
    <row r="707" spans="1:14" x14ac:dyDescent="0.3">
      <c r="A707" s="58" t="str">
        <f>IF([1]weekly_demand!A708="","",[1]weekly_demand!A708)</f>
        <v/>
      </c>
      <c r="B707" s="59" t="str">
        <f>IF($A707="","",[1]weekly_demand!F708)</f>
        <v/>
      </c>
      <c r="C707" s="60" t="str">
        <f>IF($A707="","",[1]weekly_demand!H708)</f>
        <v/>
      </c>
      <c r="D707" s="61" t="str">
        <f>IF($A707="","",IF(SUMIFS([1]Fixture_Capacity_Input!$C:$C,[1]Fixture_Capacity_Input!$A:$A,$B707,[1]Fixture_Capacity_Input!$B:$B,$C707)&gt;0,SUMIFS([1]Fixture_Capacity_Input!$C:$C,[1]Fixture_Capacity_Input!$A:$A,$B707,[1]Fixture_Capacity_Input!$B:$B,$C707),[1]weekly_demand!G708))</f>
        <v/>
      </c>
      <c r="E707" s="62" t="str">
        <f>IF($A707="","",[1]weekly_demand!I708)</f>
        <v/>
      </c>
      <c r="F707" s="61" t="str">
        <f>IF($A707="","",IF($A707&lt;&gt;$A706,IFERROR(INDEX([1]FG_Begin_Inventory!$B:$B,MATCH($A707,[1]FG_Begin_Inventory!$A:$A,0)),0),J706))</f>
        <v/>
      </c>
      <c r="G707" s="61" t="str">
        <f t="shared" si="80"/>
        <v/>
      </c>
      <c r="H707" s="62" t="str">
        <f t="shared" si="81"/>
        <v/>
      </c>
      <c r="I707" s="62" t="str">
        <f t="shared" si="82"/>
        <v/>
      </c>
      <c r="J707" s="62" t="str">
        <f t="shared" si="83"/>
        <v/>
      </c>
      <c r="K707" s="62" t="str">
        <f t="shared" si="84"/>
        <v/>
      </c>
      <c r="L707" s="62" t="str">
        <f t="shared" si="85"/>
        <v/>
      </c>
      <c r="M707" s="63" t="str">
        <f t="shared" si="86"/>
        <v/>
      </c>
      <c r="N707" s="64"/>
    </row>
    <row r="708" spans="1:14" x14ac:dyDescent="0.3">
      <c r="A708" s="58" t="str">
        <f>IF([1]weekly_demand!A709="","",[1]weekly_demand!A709)</f>
        <v/>
      </c>
      <c r="B708" s="59" t="str">
        <f>IF($A708="","",[1]weekly_demand!F709)</f>
        <v/>
      </c>
      <c r="C708" s="60" t="str">
        <f>IF($A708="","",[1]weekly_demand!H709)</f>
        <v/>
      </c>
      <c r="D708" s="61" t="str">
        <f>IF($A708="","",IF(SUMIFS([1]Fixture_Capacity_Input!$C:$C,[1]Fixture_Capacity_Input!$A:$A,$B708,[1]Fixture_Capacity_Input!$B:$B,$C708)&gt;0,SUMIFS([1]Fixture_Capacity_Input!$C:$C,[1]Fixture_Capacity_Input!$A:$A,$B708,[1]Fixture_Capacity_Input!$B:$B,$C708),[1]weekly_demand!G709))</f>
        <v/>
      </c>
      <c r="E708" s="62" t="str">
        <f>IF($A708="","",[1]weekly_demand!I709)</f>
        <v/>
      </c>
      <c r="F708" s="61" t="str">
        <f>IF($A708="","",IF($A708&lt;&gt;$A707,IFERROR(INDEX([1]FG_Begin_Inventory!$B:$B,MATCH($A708,[1]FG_Begin_Inventory!$A:$A,0)),0),J707))</f>
        <v/>
      </c>
      <c r="G708" s="61" t="str">
        <f t="shared" si="80"/>
        <v/>
      </c>
      <c r="H708" s="62" t="str">
        <f t="shared" si="81"/>
        <v/>
      </c>
      <c r="I708" s="62" t="str">
        <f t="shared" si="82"/>
        <v/>
      </c>
      <c r="J708" s="62" t="str">
        <f t="shared" si="83"/>
        <v/>
      </c>
      <c r="K708" s="62" t="str">
        <f t="shared" si="84"/>
        <v/>
      </c>
      <c r="L708" s="62" t="str">
        <f t="shared" si="85"/>
        <v/>
      </c>
      <c r="M708" s="63" t="str">
        <f t="shared" si="86"/>
        <v/>
      </c>
      <c r="N708" s="64"/>
    </row>
    <row r="709" spans="1:14" x14ac:dyDescent="0.3">
      <c r="A709" s="58" t="str">
        <f>IF([1]weekly_demand!A710="","",[1]weekly_demand!A710)</f>
        <v/>
      </c>
      <c r="B709" s="59" t="str">
        <f>IF($A709="","",[1]weekly_demand!F710)</f>
        <v/>
      </c>
      <c r="C709" s="60" t="str">
        <f>IF($A709="","",[1]weekly_demand!H710)</f>
        <v/>
      </c>
      <c r="D709" s="61" t="str">
        <f>IF($A709="","",IF(SUMIFS([1]Fixture_Capacity_Input!$C:$C,[1]Fixture_Capacity_Input!$A:$A,$B709,[1]Fixture_Capacity_Input!$B:$B,$C709)&gt;0,SUMIFS([1]Fixture_Capacity_Input!$C:$C,[1]Fixture_Capacity_Input!$A:$A,$B709,[1]Fixture_Capacity_Input!$B:$B,$C709),[1]weekly_demand!G710))</f>
        <v/>
      </c>
      <c r="E709" s="62" t="str">
        <f>IF($A709="","",[1]weekly_demand!I710)</f>
        <v/>
      </c>
      <c r="F709" s="61" t="str">
        <f>IF($A709="","",IF($A709&lt;&gt;$A708,IFERROR(INDEX([1]FG_Begin_Inventory!$B:$B,MATCH($A709,[1]FG_Begin_Inventory!$A:$A,0)),0),J708))</f>
        <v/>
      </c>
      <c r="G709" s="61" t="str">
        <f t="shared" si="80"/>
        <v/>
      </c>
      <c r="H709" s="62" t="str">
        <f t="shared" si="81"/>
        <v/>
      </c>
      <c r="I709" s="62" t="str">
        <f t="shared" si="82"/>
        <v/>
      </c>
      <c r="J709" s="62" t="str">
        <f t="shared" si="83"/>
        <v/>
      </c>
      <c r="K709" s="62" t="str">
        <f t="shared" si="84"/>
        <v/>
      </c>
      <c r="L709" s="62" t="str">
        <f t="shared" si="85"/>
        <v/>
      </c>
      <c r="M709" s="63" t="str">
        <f t="shared" si="86"/>
        <v/>
      </c>
      <c r="N709" s="64"/>
    </row>
    <row r="710" spans="1:14" x14ac:dyDescent="0.3">
      <c r="A710" s="58" t="str">
        <f>IF([1]weekly_demand!A711="","",[1]weekly_demand!A711)</f>
        <v/>
      </c>
      <c r="B710" s="59" t="str">
        <f>IF($A710="","",[1]weekly_demand!F711)</f>
        <v/>
      </c>
      <c r="C710" s="60" t="str">
        <f>IF($A710="","",[1]weekly_demand!H711)</f>
        <v/>
      </c>
      <c r="D710" s="61" t="str">
        <f>IF($A710="","",IF(SUMIFS([1]Fixture_Capacity_Input!$C:$C,[1]Fixture_Capacity_Input!$A:$A,$B710,[1]Fixture_Capacity_Input!$B:$B,$C710)&gt;0,SUMIFS([1]Fixture_Capacity_Input!$C:$C,[1]Fixture_Capacity_Input!$A:$A,$B710,[1]Fixture_Capacity_Input!$B:$B,$C710),[1]weekly_demand!G711))</f>
        <v/>
      </c>
      <c r="E710" s="62" t="str">
        <f>IF($A710="","",[1]weekly_demand!I711)</f>
        <v/>
      </c>
      <c r="F710" s="61" t="str">
        <f>IF($A710="","",IF($A710&lt;&gt;$A709,IFERROR(INDEX([1]FG_Begin_Inventory!$B:$B,MATCH($A710,[1]FG_Begin_Inventory!$A:$A,0)),0),J709))</f>
        <v/>
      </c>
      <c r="G710" s="61" t="str">
        <f t="shared" si="80"/>
        <v/>
      </c>
      <c r="H710" s="62" t="str">
        <f t="shared" si="81"/>
        <v/>
      </c>
      <c r="I710" s="62" t="str">
        <f t="shared" si="82"/>
        <v/>
      </c>
      <c r="J710" s="62" t="str">
        <f t="shared" si="83"/>
        <v/>
      </c>
      <c r="K710" s="62" t="str">
        <f t="shared" si="84"/>
        <v/>
      </c>
      <c r="L710" s="62" t="str">
        <f t="shared" si="85"/>
        <v/>
      </c>
      <c r="M710" s="63" t="str">
        <f t="shared" si="86"/>
        <v/>
      </c>
      <c r="N710" s="64"/>
    </row>
    <row r="711" spans="1:14" x14ac:dyDescent="0.3">
      <c r="A711" s="58" t="str">
        <f>IF([1]weekly_demand!A712="","",[1]weekly_demand!A712)</f>
        <v/>
      </c>
      <c r="B711" s="59" t="str">
        <f>IF($A711="","",[1]weekly_demand!F712)</f>
        <v/>
      </c>
      <c r="C711" s="60" t="str">
        <f>IF($A711="","",[1]weekly_demand!H712)</f>
        <v/>
      </c>
      <c r="D711" s="61" t="str">
        <f>IF($A711="","",IF(SUMIFS([1]Fixture_Capacity_Input!$C:$C,[1]Fixture_Capacity_Input!$A:$A,$B711,[1]Fixture_Capacity_Input!$B:$B,$C711)&gt;0,SUMIFS([1]Fixture_Capacity_Input!$C:$C,[1]Fixture_Capacity_Input!$A:$A,$B711,[1]Fixture_Capacity_Input!$B:$B,$C711),[1]weekly_demand!G712))</f>
        <v/>
      </c>
      <c r="E711" s="62" t="str">
        <f>IF($A711="","",[1]weekly_demand!I712)</f>
        <v/>
      </c>
      <c r="F711" s="61" t="str">
        <f>IF($A711="","",IF($A711&lt;&gt;$A710,IFERROR(INDEX([1]FG_Begin_Inventory!$B:$B,MATCH($A711,[1]FG_Begin_Inventory!$A:$A,0)),0),J710))</f>
        <v/>
      </c>
      <c r="G711" s="61" t="str">
        <f t="shared" si="80"/>
        <v/>
      </c>
      <c r="H711" s="62" t="str">
        <f t="shared" si="81"/>
        <v/>
      </c>
      <c r="I711" s="62" t="str">
        <f t="shared" si="82"/>
        <v/>
      </c>
      <c r="J711" s="62" t="str">
        <f t="shared" si="83"/>
        <v/>
      </c>
      <c r="K711" s="62" t="str">
        <f t="shared" si="84"/>
        <v/>
      </c>
      <c r="L711" s="62" t="str">
        <f t="shared" si="85"/>
        <v/>
      </c>
      <c r="M711" s="63" t="str">
        <f t="shared" si="86"/>
        <v/>
      </c>
      <c r="N711" s="64"/>
    </row>
    <row r="712" spans="1:14" x14ac:dyDescent="0.3">
      <c r="A712" s="58" t="str">
        <f>IF([1]weekly_demand!A713="","",[1]weekly_demand!A713)</f>
        <v/>
      </c>
      <c r="B712" s="59" t="str">
        <f>IF($A712="","",[1]weekly_demand!F713)</f>
        <v/>
      </c>
      <c r="C712" s="60" t="str">
        <f>IF($A712="","",[1]weekly_demand!H713)</f>
        <v/>
      </c>
      <c r="D712" s="61" t="str">
        <f>IF($A712="","",IF(SUMIFS([1]Fixture_Capacity_Input!$C:$C,[1]Fixture_Capacity_Input!$A:$A,$B712,[1]Fixture_Capacity_Input!$B:$B,$C712)&gt;0,SUMIFS([1]Fixture_Capacity_Input!$C:$C,[1]Fixture_Capacity_Input!$A:$A,$B712,[1]Fixture_Capacity_Input!$B:$B,$C712),[1]weekly_demand!G713))</f>
        <v/>
      </c>
      <c r="E712" s="62" t="str">
        <f>IF($A712="","",[1]weekly_demand!I713)</f>
        <v/>
      </c>
      <c r="F712" s="61" t="str">
        <f>IF($A712="","",IF($A712&lt;&gt;$A711,IFERROR(INDEX([1]FG_Begin_Inventory!$B:$B,MATCH($A712,[1]FG_Begin_Inventory!$A:$A,0)),0),J711))</f>
        <v/>
      </c>
      <c r="G712" s="61" t="str">
        <f t="shared" si="80"/>
        <v/>
      </c>
      <c r="H712" s="62" t="str">
        <f t="shared" si="81"/>
        <v/>
      </c>
      <c r="I712" s="62" t="str">
        <f t="shared" si="82"/>
        <v/>
      </c>
      <c r="J712" s="62" t="str">
        <f t="shared" si="83"/>
        <v/>
      </c>
      <c r="K712" s="62" t="str">
        <f t="shared" si="84"/>
        <v/>
      </c>
      <c r="L712" s="62" t="str">
        <f t="shared" si="85"/>
        <v/>
      </c>
      <c r="M712" s="63" t="str">
        <f t="shared" si="86"/>
        <v/>
      </c>
      <c r="N712" s="64"/>
    </row>
    <row r="713" spans="1:14" x14ac:dyDescent="0.3">
      <c r="A713" s="58" t="str">
        <f>IF([1]weekly_demand!A714="","",[1]weekly_demand!A714)</f>
        <v/>
      </c>
      <c r="B713" s="59" t="str">
        <f>IF($A713="","",[1]weekly_demand!F714)</f>
        <v/>
      </c>
      <c r="C713" s="60" t="str">
        <f>IF($A713="","",[1]weekly_demand!H714)</f>
        <v/>
      </c>
      <c r="D713" s="61" t="str">
        <f>IF($A713="","",IF(SUMIFS([1]Fixture_Capacity_Input!$C:$C,[1]Fixture_Capacity_Input!$A:$A,$B713,[1]Fixture_Capacity_Input!$B:$B,$C713)&gt;0,SUMIFS([1]Fixture_Capacity_Input!$C:$C,[1]Fixture_Capacity_Input!$A:$A,$B713,[1]Fixture_Capacity_Input!$B:$B,$C713),[1]weekly_demand!G714))</f>
        <v/>
      </c>
      <c r="E713" s="62" t="str">
        <f>IF($A713="","",[1]weekly_demand!I714)</f>
        <v/>
      </c>
      <c r="F713" s="61" t="str">
        <f>IF($A713="","",IF($A713&lt;&gt;$A712,IFERROR(INDEX([1]FG_Begin_Inventory!$B:$B,MATCH($A713,[1]FG_Begin_Inventory!$A:$A,0)),0),J712))</f>
        <v/>
      </c>
      <c r="G713" s="61" t="str">
        <f t="shared" si="80"/>
        <v/>
      </c>
      <c r="H713" s="62" t="str">
        <f t="shared" si="81"/>
        <v/>
      </c>
      <c r="I713" s="62" t="str">
        <f t="shared" si="82"/>
        <v/>
      </c>
      <c r="J713" s="62" t="str">
        <f t="shared" si="83"/>
        <v/>
      </c>
      <c r="K713" s="62" t="str">
        <f t="shared" si="84"/>
        <v/>
      </c>
      <c r="L713" s="62" t="str">
        <f t="shared" si="85"/>
        <v/>
      </c>
      <c r="M713" s="63" t="str">
        <f t="shared" si="86"/>
        <v/>
      </c>
      <c r="N713" s="64"/>
    </row>
    <row r="714" spans="1:14" x14ac:dyDescent="0.3">
      <c r="A714" s="58" t="str">
        <f>IF([1]weekly_demand!A715="","",[1]weekly_demand!A715)</f>
        <v/>
      </c>
      <c r="B714" s="59" t="str">
        <f>IF($A714="","",[1]weekly_demand!F715)</f>
        <v/>
      </c>
      <c r="C714" s="60" t="str">
        <f>IF($A714="","",[1]weekly_demand!H715)</f>
        <v/>
      </c>
      <c r="D714" s="61" t="str">
        <f>IF($A714="","",IF(SUMIFS([1]Fixture_Capacity_Input!$C:$C,[1]Fixture_Capacity_Input!$A:$A,$B714,[1]Fixture_Capacity_Input!$B:$B,$C714)&gt;0,SUMIFS([1]Fixture_Capacity_Input!$C:$C,[1]Fixture_Capacity_Input!$A:$A,$B714,[1]Fixture_Capacity_Input!$B:$B,$C714),[1]weekly_demand!G715))</f>
        <v/>
      </c>
      <c r="E714" s="62" t="str">
        <f>IF($A714="","",[1]weekly_demand!I715)</f>
        <v/>
      </c>
      <c r="F714" s="61" t="str">
        <f>IF($A714="","",IF($A714&lt;&gt;$A713,IFERROR(INDEX([1]FG_Begin_Inventory!$B:$B,MATCH($A714,[1]FG_Begin_Inventory!$A:$A,0)),0),J713))</f>
        <v/>
      </c>
      <c r="G714" s="61" t="str">
        <f t="shared" si="80"/>
        <v/>
      </c>
      <c r="H714" s="62" t="str">
        <f t="shared" si="81"/>
        <v/>
      </c>
      <c r="I714" s="62" t="str">
        <f t="shared" si="82"/>
        <v/>
      </c>
      <c r="J714" s="62" t="str">
        <f t="shared" si="83"/>
        <v/>
      </c>
      <c r="K714" s="62" t="str">
        <f t="shared" si="84"/>
        <v/>
      </c>
      <c r="L714" s="62" t="str">
        <f t="shared" si="85"/>
        <v/>
      </c>
      <c r="M714" s="63" t="str">
        <f t="shared" si="86"/>
        <v/>
      </c>
      <c r="N714" s="64"/>
    </row>
    <row r="715" spans="1:14" x14ac:dyDescent="0.3">
      <c r="A715" s="58" t="str">
        <f>IF([1]weekly_demand!A716="","",[1]weekly_demand!A716)</f>
        <v/>
      </c>
      <c r="B715" s="59" t="str">
        <f>IF($A715="","",[1]weekly_demand!F716)</f>
        <v/>
      </c>
      <c r="C715" s="60" t="str">
        <f>IF($A715="","",[1]weekly_demand!H716)</f>
        <v/>
      </c>
      <c r="D715" s="61" t="str">
        <f>IF($A715="","",IF(SUMIFS([1]Fixture_Capacity_Input!$C:$C,[1]Fixture_Capacity_Input!$A:$A,$B715,[1]Fixture_Capacity_Input!$B:$B,$C715)&gt;0,SUMIFS([1]Fixture_Capacity_Input!$C:$C,[1]Fixture_Capacity_Input!$A:$A,$B715,[1]Fixture_Capacity_Input!$B:$B,$C715),[1]weekly_demand!G716))</f>
        <v/>
      </c>
      <c r="E715" s="62" t="str">
        <f>IF($A715="","",[1]weekly_demand!I716)</f>
        <v/>
      </c>
      <c r="F715" s="61" t="str">
        <f>IF($A715="","",IF($A715&lt;&gt;$A714,IFERROR(INDEX([1]FG_Begin_Inventory!$B:$B,MATCH($A715,[1]FG_Begin_Inventory!$A:$A,0)),0),J714))</f>
        <v/>
      </c>
      <c r="G715" s="61" t="str">
        <f t="shared" si="80"/>
        <v/>
      </c>
      <c r="H715" s="62" t="str">
        <f t="shared" si="81"/>
        <v/>
      </c>
      <c r="I715" s="62" t="str">
        <f t="shared" si="82"/>
        <v/>
      </c>
      <c r="J715" s="62" t="str">
        <f t="shared" si="83"/>
        <v/>
      </c>
      <c r="K715" s="62" t="str">
        <f t="shared" si="84"/>
        <v/>
      </c>
      <c r="L715" s="62" t="str">
        <f t="shared" si="85"/>
        <v/>
      </c>
      <c r="M715" s="63" t="str">
        <f t="shared" si="86"/>
        <v/>
      </c>
      <c r="N715" s="64"/>
    </row>
    <row r="716" spans="1:14" x14ac:dyDescent="0.3">
      <c r="A716" s="58" t="str">
        <f>IF([1]weekly_demand!A717="","",[1]weekly_demand!A717)</f>
        <v/>
      </c>
      <c r="B716" s="59" t="str">
        <f>IF($A716="","",[1]weekly_demand!F717)</f>
        <v/>
      </c>
      <c r="C716" s="60" t="str">
        <f>IF($A716="","",[1]weekly_demand!H717)</f>
        <v/>
      </c>
      <c r="D716" s="61" t="str">
        <f>IF($A716="","",IF(SUMIFS([1]Fixture_Capacity_Input!$C:$C,[1]Fixture_Capacity_Input!$A:$A,$B716,[1]Fixture_Capacity_Input!$B:$B,$C716)&gt;0,SUMIFS([1]Fixture_Capacity_Input!$C:$C,[1]Fixture_Capacity_Input!$A:$A,$B716,[1]Fixture_Capacity_Input!$B:$B,$C716),[1]weekly_demand!G717))</f>
        <v/>
      </c>
      <c r="E716" s="62" t="str">
        <f>IF($A716="","",[1]weekly_demand!I717)</f>
        <v/>
      </c>
      <c r="F716" s="61" t="str">
        <f>IF($A716="","",IF($A716&lt;&gt;$A715,IFERROR(INDEX([1]FG_Begin_Inventory!$B:$B,MATCH($A716,[1]FG_Begin_Inventory!$A:$A,0)),0),J715))</f>
        <v/>
      </c>
      <c r="G716" s="61" t="str">
        <f t="shared" si="80"/>
        <v/>
      </c>
      <c r="H716" s="62" t="str">
        <f t="shared" si="81"/>
        <v/>
      </c>
      <c r="I716" s="62" t="str">
        <f t="shared" si="82"/>
        <v/>
      </c>
      <c r="J716" s="62" t="str">
        <f t="shared" si="83"/>
        <v/>
      </c>
      <c r="K716" s="62" t="str">
        <f t="shared" si="84"/>
        <v/>
      </c>
      <c r="L716" s="62" t="str">
        <f t="shared" si="85"/>
        <v/>
      </c>
      <c r="M716" s="63" t="str">
        <f t="shared" si="86"/>
        <v/>
      </c>
      <c r="N716" s="64"/>
    </row>
    <row r="717" spans="1:14" x14ac:dyDescent="0.3">
      <c r="A717" s="58" t="str">
        <f>IF([1]weekly_demand!A718="","",[1]weekly_demand!A718)</f>
        <v/>
      </c>
      <c r="B717" s="59" t="str">
        <f>IF($A717="","",[1]weekly_demand!F718)</f>
        <v/>
      </c>
      <c r="C717" s="60" t="str">
        <f>IF($A717="","",[1]weekly_demand!H718)</f>
        <v/>
      </c>
      <c r="D717" s="61" t="str">
        <f>IF($A717="","",IF(SUMIFS([1]Fixture_Capacity_Input!$C:$C,[1]Fixture_Capacity_Input!$A:$A,$B717,[1]Fixture_Capacity_Input!$B:$B,$C717)&gt;0,SUMIFS([1]Fixture_Capacity_Input!$C:$C,[1]Fixture_Capacity_Input!$A:$A,$B717,[1]Fixture_Capacity_Input!$B:$B,$C717),[1]weekly_demand!G718))</f>
        <v/>
      </c>
      <c r="E717" s="62" t="str">
        <f>IF($A717="","",[1]weekly_demand!I718)</f>
        <v/>
      </c>
      <c r="F717" s="61" t="str">
        <f>IF($A717="","",IF($A717&lt;&gt;$A716,IFERROR(INDEX([1]FG_Begin_Inventory!$B:$B,MATCH($A717,[1]FG_Begin_Inventory!$A:$A,0)),0),J716))</f>
        <v/>
      </c>
      <c r="G717" s="61" t="str">
        <f t="shared" si="80"/>
        <v/>
      </c>
      <c r="H717" s="62" t="str">
        <f t="shared" si="81"/>
        <v/>
      </c>
      <c r="I717" s="62" t="str">
        <f t="shared" si="82"/>
        <v/>
      </c>
      <c r="J717" s="62" t="str">
        <f t="shared" si="83"/>
        <v/>
      </c>
      <c r="K717" s="62" t="str">
        <f t="shared" si="84"/>
        <v/>
      </c>
      <c r="L717" s="62" t="str">
        <f t="shared" si="85"/>
        <v/>
      </c>
      <c r="M717" s="63" t="str">
        <f t="shared" si="86"/>
        <v/>
      </c>
      <c r="N717" s="64"/>
    </row>
    <row r="718" spans="1:14" x14ac:dyDescent="0.3">
      <c r="A718" s="58" t="str">
        <f>IF([1]weekly_demand!A719="","",[1]weekly_demand!A719)</f>
        <v/>
      </c>
      <c r="B718" s="59" t="str">
        <f>IF($A718="","",[1]weekly_demand!F719)</f>
        <v/>
      </c>
      <c r="C718" s="60" t="str">
        <f>IF($A718="","",[1]weekly_demand!H719)</f>
        <v/>
      </c>
      <c r="D718" s="61" t="str">
        <f>IF($A718="","",IF(SUMIFS([1]Fixture_Capacity_Input!$C:$C,[1]Fixture_Capacity_Input!$A:$A,$B718,[1]Fixture_Capacity_Input!$B:$B,$C718)&gt;0,SUMIFS([1]Fixture_Capacity_Input!$C:$C,[1]Fixture_Capacity_Input!$A:$A,$B718,[1]Fixture_Capacity_Input!$B:$B,$C718),[1]weekly_demand!G719))</f>
        <v/>
      </c>
      <c r="E718" s="62" t="str">
        <f>IF($A718="","",[1]weekly_demand!I719)</f>
        <v/>
      </c>
      <c r="F718" s="61" t="str">
        <f>IF($A718="","",IF($A718&lt;&gt;$A717,IFERROR(INDEX([1]FG_Begin_Inventory!$B:$B,MATCH($A718,[1]FG_Begin_Inventory!$A:$A,0)),0),J717))</f>
        <v/>
      </c>
      <c r="G718" s="61" t="str">
        <f t="shared" si="80"/>
        <v/>
      </c>
      <c r="H718" s="62" t="str">
        <f t="shared" si="81"/>
        <v/>
      </c>
      <c r="I718" s="62" t="str">
        <f t="shared" si="82"/>
        <v/>
      </c>
      <c r="J718" s="62" t="str">
        <f t="shared" si="83"/>
        <v/>
      </c>
      <c r="K718" s="62" t="str">
        <f t="shared" si="84"/>
        <v/>
      </c>
      <c r="L718" s="62" t="str">
        <f t="shared" si="85"/>
        <v/>
      </c>
      <c r="M718" s="63" t="str">
        <f t="shared" si="86"/>
        <v/>
      </c>
      <c r="N718" s="64"/>
    </row>
    <row r="719" spans="1:14" x14ac:dyDescent="0.3">
      <c r="A719" s="58" t="str">
        <f>IF([1]weekly_demand!A720="","",[1]weekly_demand!A720)</f>
        <v/>
      </c>
      <c r="B719" s="59" t="str">
        <f>IF($A719="","",[1]weekly_demand!F720)</f>
        <v/>
      </c>
      <c r="C719" s="60" t="str">
        <f>IF($A719="","",[1]weekly_demand!H720)</f>
        <v/>
      </c>
      <c r="D719" s="61" t="str">
        <f>IF($A719="","",IF(SUMIFS([1]Fixture_Capacity_Input!$C:$C,[1]Fixture_Capacity_Input!$A:$A,$B719,[1]Fixture_Capacity_Input!$B:$B,$C719)&gt;0,SUMIFS([1]Fixture_Capacity_Input!$C:$C,[1]Fixture_Capacity_Input!$A:$A,$B719,[1]Fixture_Capacity_Input!$B:$B,$C719),[1]weekly_demand!G720))</f>
        <v/>
      </c>
      <c r="E719" s="62" t="str">
        <f>IF($A719="","",[1]weekly_demand!I720)</f>
        <v/>
      </c>
      <c r="F719" s="61" t="str">
        <f>IF($A719="","",IF($A719&lt;&gt;$A718,IFERROR(INDEX([1]FG_Begin_Inventory!$B:$B,MATCH($A719,[1]FG_Begin_Inventory!$A:$A,0)),0),J718))</f>
        <v/>
      </c>
      <c r="G719" s="61" t="str">
        <f t="shared" si="80"/>
        <v/>
      </c>
      <c r="H719" s="62" t="str">
        <f t="shared" si="81"/>
        <v/>
      </c>
      <c r="I719" s="62" t="str">
        <f t="shared" si="82"/>
        <v/>
      </c>
      <c r="J719" s="62" t="str">
        <f t="shared" si="83"/>
        <v/>
      </c>
      <c r="K719" s="62" t="str">
        <f t="shared" si="84"/>
        <v/>
      </c>
      <c r="L719" s="62" t="str">
        <f t="shared" si="85"/>
        <v/>
      </c>
      <c r="M719" s="63" t="str">
        <f t="shared" si="86"/>
        <v/>
      </c>
      <c r="N719" s="64"/>
    </row>
    <row r="720" spans="1:14" x14ac:dyDescent="0.3">
      <c r="A720" s="58" t="str">
        <f>IF([1]weekly_demand!A721="","",[1]weekly_demand!A721)</f>
        <v/>
      </c>
      <c r="B720" s="59" t="str">
        <f>IF($A720="","",[1]weekly_demand!F721)</f>
        <v/>
      </c>
      <c r="C720" s="60" t="str">
        <f>IF($A720="","",[1]weekly_demand!H721)</f>
        <v/>
      </c>
      <c r="D720" s="61" t="str">
        <f>IF($A720="","",IF(SUMIFS([1]Fixture_Capacity_Input!$C:$C,[1]Fixture_Capacity_Input!$A:$A,$B720,[1]Fixture_Capacity_Input!$B:$B,$C720)&gt;0,SUMIFS([1]Fixture_Capacity_Input!$C:$C,[1]Fixture_Capacity_Input!$A:$A,$B720,[1]Fixture_Capacity_Input!$B:$B,$C720),[1]weekly_demand!G721))</f>
        <v/>
      </c>
      <c r="E720" s="62" t="str">
        <f>IF($A720="","",[1]weekly_demand!I721)</f>
        <v/>
      </c>
      <c r="F720" s="61" t="str">
        <f>IF($A720="","",IF($A720&lt;&gt;$A719,IFERROR(INDEX([1]FG_Begin_Inventory!$B:$B,MATCH($A720,[1]FG_Begin_Inventory!$A:$A,0)),0),J719))</f>
        <v/>
      </c>
      <c r="G720" s="61" t="str">
        <f t="shared" si="80"/>
        <v/>
      </c>
      <c r="H720" s="62" t="str">
        <f t="shared" si="81"/>
        <v/>
      </c>
      <c r="I720" s="62" t="str">
        <f t="shared" si="82"/>
        <v/>
      </c>
      <c r="J720" s="62" t="str">
        <f t="shared" si="83"/>
        <v/>
      </c>
      <c r="K720" s="62" t="str">
        <f t="shared" si="84"/>
        <v/>
      </c>
      <c r="L720" s="62" t="str">
        <f t="shared" si="85"/>
        <v/>
      </c>
      <c r="M720" s="63" t="str">
        <f t="shared" si="86"/>
        <v/>
      </c>
      <c r="N720" s="64"/>
    </row>
    <row r="721" spans="1:14" x14ac:dyDescent="0.3">
      <c r="A721" s="58" t="str">
        <f>IF([1]weekly_demand!A722="","",[1]weekly_demand!A722)</f>
        <v/>
      </c>
      <c r="B721" s="59" t="str">
        <f>IF($A721="","",[1]weekly_demand!F722)</f>
        <v/>
      </c>
      <c r="C721" s="60" t="str">
        <f>IF($A721="","",[1]weekly_demand!H722)</f>
        <v/>
      </c>
      <c r="D721" s="61" t="str">
        <f>IF($A721="","",IF(SUMIFS([1]Fixture_Capacity_Input!$C:$C,[1]Fixture_Capacity_Input!$A:$A,$B721,[1]Fixture_Capacity_Input!$B:$B,$C721)&gt;0,SUMIFS([1]Fixture_Capacity_Input!$C:$C,[1]Fixture_Capacity_Input!$A:$A,$B721,[1]Fixture_Capacity_Input!$B:$B,$C721),[1]weekly_demand!G722))</f>
        <v/>
      </c>
      <c r="E721" s="62" t="str">
        <f>IF($A721="","",[1]weekly_demand!I722)</f>
        <v/>
      </c>
      <c r="F721" s="61" t="str">
        <f>IF($A721="","",IF($A721&lt;&gt;$A720,IFERROR(INDEX([1]FG_Begin_Inventory!$B:$B,MATCH($A721,[1]FG_Begin_Inventory!$A:$A,0)),0),J720))</f>
        <v/>
      </c>
      <c r="G721" s="61" t="str">
        <f t="shared" si="80"/>
        <v/>
      </c>
      <c r="H721" s="62" t="str">
        <f t="shared" si="81"/>
        <v/>
      </c>
      <c r="I721" s="62" t="str">
        <f t="shared" si="82"/>
        <v/>
      </c>
      <c r="J721" s="62" t="str">
        <f t="shared" si="83"/>
        <v/>
      </c>
      <c r="K721" s="62" t="str">
        <f t="shared" si="84"/>
        <v/>
      </c>
      <c r="L721" s="62" t="str">
        <f t="shared" si="85"/>
        <v/>
      </c>
      <c r="M721" s="63" t="str">
        <f t="shared" si="86"/>
        <v/>
      </c>
      <c r="N721" s="64"/>
    </row>
    <row r="722" spans="1:14" x14ac:dyDescent="0.3">
      <c r="A722" s="58" t="str">
        <f>IF([1]weekly_demand!A723="","",[1]weekly_demand!A723)</f>
        <v/>
      </c>
      <c r="B722" s="59" t="str">
        <f>IF($A722="","",[1]weekly_demand!F723)</f>
        <v/>
      </c>
      <c r="C722" s="60" t="str">
        <f>IF($A722="","",[1]weekly_demand!H723)</f>
        <v/>
      </c>
      <c r="D722" s="61" t="str">
        <f>IF($A722="","",IF(SUMIFS([1]Fixture_Capacity_Input!$C:$C,[1]Fixture_Capacity_Input!$A:$A,$B722,[1]Fixture_Capacity_Input!$B:$B,$C722)&gt;0,SUMIFS([1]Fixture_Capacity_Input!$C:$C,[1]Fixture_Capacity_Input!$A:$A,$B722,[1]Fixture_Capacity_Input!$B:$B,$C722),[1]weekly_demand!G723))</f>
        <v/>
      </c>
      <c r="E722" s="62" t="str">
        <f>IF($A722="","",[1]weekly_demand!I723)</f>
        <v/>
      </c>
      <c r="F722" s="61" t="str">
        <f>IF($A722="","",IF($A722&lt;&gt;$A721,IFERROR(INDEX([1]FG_Begin_Inventory!$B:$B,MATCH($A722,[1]FG_Begin_Inventory!$A:$A,0)),0),J721))</f>
        <v/>
      </c>
      <c r="G722" s="61" t="str">
        <f t="shared" si="80"/>
        <v/>
      </c>
      <c r="H722" s="62" t="str">
        <f t="shared" si="81"/>
        <v/>
      </c>
      <c r="I722" s="62" t="str">
        <f t="shared" si="82"/>
        <v/>
      </c>
      <c r="J722" s="62" t="str">
        <f t="shared" si="83"/>
        <v/>
      </c>
      <c r="K722" s="62" t="str">
        <f t="shared" si="84"/>
        <v/>
      </c>
      <c r="L722" s="62" t="str">
        <f t="shared" si="85"/>
        <v/>
      </c>
      <c r="M722" s="63" t="str">
        <f t="shared" si="86"/>
        <v/>
      </c>
      <c r="N722" s="64"/>
    </row>
    <row r="723" spans="1:14" x14ac:dyDescent="0.3">
      <c r="A723" s="58" t="str">
        <f>IF([1]weekly_demand!A724="","",[1]weekly_demand!A724)</f>
        <v/>
      </c>
      <c r="B723" s="59" t="str">
        <f>IF($A723="","",[1]weekly_demand!F724)</f>
        <v/>
      </c>
      <c r="C723" s="60" t="str">
        <f>IF($A723="","",[1]weekly_demand!H724)</f>
        <v/>
      </c>
      <c r="D723" s="61" t="str">
        <f>IF($A723="","",IF(SUMIFS([1]Fixture_Capacity_Input!$C:$C,[1]Fixture_Capacity_Input!$A:$A,$B723,[1]Fixture_Capacity_Input!$B:$B,$C723)&gt;0,SUMIFS([1]Fixture_Capacity_Input!$C:$C,[1]Fixture_Capacity_Input!$A:$A,$B723,[1]Fixture_Capacity_Input!$B:$B,$C723),[1]weekly_demand!G724))</f>
        <v/>
      </c>
      <c r="E723" s="62" t="str">
        <f>IF($A723="","",[1]weekly_demand!I724)</f>
        <v/>
      </c>
      <c r="F723" s="61" t="str">
        <f>IF($A723="","",IF($A723&lt;&gt;$A722,IFERROR(INDEX([1]FG_Begin_Inventory!$B:$B,MATCH($A723,[1]FG_Begin_Inventory!$A:$A,0)),0),J722))</f>
        <v/>
      </c>
      <c r="G723" s="61" t="str">
        <f t="shared" si="80"/>
        <v/>
      </c>
      <c r="H723" s="62" t="str">
        <f t="shared" si="81"/>
        <v/>
      </c>
      <c r="I723" s="62" t="str">
        <f t="shared" si="82"/>
        <v/>
      </c>
      <c r="J723" s="62" t="str">
        <f t="shared" si="83"/>
        <v/>
      </c>
      <c r="K723" s="62" t="str">
        <f t="shared" si="84"/>
        <v/>
      </c>
      <c r="L723" s="62" t="str">
        <f t="shared" si="85"/>
        <v/>
      </c>
      <c r="M723" s="63" t="str">
        <f t="shared" si="86"/>
        <v/>
      </c>
      <c r="N723" s="64"/>
    </row>
    <row r="724" spans="1:14" x14ac:dyDescent="0.3">
      <c r="A724" s="58" t="str">
        <f>IF([1]weekly_demand!A725="","",[1]weekly_demand!A725)</f>
        <v/>
      </c>
      <c r="B724" s="59" t="str">
        <f>IF($A724="","",[1]weekly_demand!F725)</f>
        <v/>
      </c>
      <c r="C724" s="60" t="str">
        <f>IF($A724="","",[1]weekly_demand!H725)</f>
        <v/>
      </c>
      <c r="D724" s="61" t="str">
        <f>IF($A724="","",IF(SUMIFS([1]Fixture_Capacity_Input!$C:$C,[1]Fixture_Capacity_Input!$A:$A,$B724,[1]Fixture_Capacity_Input!$B:$B,$C724)&gt;0,SUMIFS([1]Fixture_Capacity_Input!$C:$C,[1]Fixture_Capacity_Input!$A:$A,$B724,[1]Fixture_Capacity_Input!$B:$B,$C724),[1]weekly_demand!G725))</f>
        <v/>
      </c>
      <c r="E724" s="62" t="str">
        <f>IF($A724="","",[1]weekly_demand!I725)</f>
        <v/>
      </c>
      <c r="F724" s="61" t="str">
        <f>IF($A724="","",IF($A724&lt;&gt;$A723,IFERROR(INDEX([1]FG_Begin_Inventory!$B:$B,MATCH($A724,[1]FG_Begin_Inventory!$A:$A,0)),0),J723))</f>
        <v/>
      </c>
      <c r="G724" s="61" t="str">
        <f t="shared" si="80"/>
        <v/>
      </c>
      <c r="H724" s="62" t="str">
        <f t="shared" si="81"/>
        <v/>
      </c>
      <c r="I724" s="62" t="str">
        <f t="shared" si="82"/>
        <v/>
      </c>
      <c r="J724" s="62" t="str">
        <f t="shared" si="83"/>
        <v/>
      </c>
      <c r="K724" s="62" t="str">
        <f t="shared" si="84"/>
        <v/>
      </c>
      <c r="L724" s="62" t="str">
        <f t="shared" si="85"/>
        <v/>
      </c>
      <c r="M724" s="63" t="str">
        <f t="shared" si="86"/>
        <v/>
      </c>
      <c r="N724" s="64"/>
    </row>
    <row r="725" spans="1:14" x14ac:dyDescent="0.3">
      <c r="A725" s="58" t="str">
        <f>IF([1]weekly_demand!A726="","",[1]weekly_demand!A726)</f>
        <v/>
      </c>
      <c r="B725" s="59" t="str">
        <f>IF($A725="","",[1]weekly_demand!F726)</f>
        <v/>
      </c>
      <c r="C725" s="60" t="str">
        <f>IF($A725="","",[1]weekly_demand!H726)</f>
        <v/>
      </c>
      <c r="D725" s="61" t="str">
        <f>IF($A725="","",IF(SUMIFS([1]Fixture_Capacity_Input!$C:$C,[1]Fixture_Capacity_Input!$A:$A,$B725,[1]Fixture_Capacity_Input!$B:$B,$C725)&gt;0,SUMIFS([1]Fixture_Capacity_Input!$C:$C,[1]Fixture_Capacity_Input!$A:$A,$B725,[1]Fixture_Capacity_Input!$B:$B,$C725),[1]weekly_demand!G726))</f>
        <v/>
      </c>
      <c r="E725" s="62" t="str">
        <f>IF($A725="","",[1]weekly_demand!I726)</f>
        <v/>
      </c>
      <c r="F725" s="61" t="str">
        <f>IF($A725="","",IF($A725&lt;&gt;$A724,IFERROR(INDEX([1]FG_Begin_Inventory!$B:$B,MATCH($A725,[1]FG_Begin_Inventory!$A:$A,0)),0),J724))</f>
        <v/>
      </c>
      <c r="G725" s="61" t="str">
        <f t="shared" si="80"/>
        <v/>
      </c>
      <c r="H725" s="62" t="str">
        <f t="shared" si="81"/>
        <v/>
      </c>
      <c r="I725" s="62" t="str">
        <f t="shared" si="82"/>
        <v/>
      </c>
      <c r="J725" s="62" t="str">
        <f t="shared" si="83"/>
        <v/>
      </c>
      <c r="K725" s="62" t="str">
        <f t="shared" si="84"/>
        <v/>
      </c>
      <c r="L725" s="62" t="str">
        <f t="shared" si="85"/>
        <v/>
      </c>
      <c r="M725" s="63" t="str">
        <f t="shared" si="86"/>
        <v/>
      </c>
      <c r="N725" s="64"/>
    </row>
    <row r="726" spans="1:14" x14ac:dyDescent="0.3">
      <c r="A726" s="58" t="str">
        <f>IF([1]weekly_demand!A727="","",[1]weekly_demand!A727)</f>
        <v/>
      </c>
      <c r="B726" s="59" t="str">
        <f>IF($A726="","",[1]weekly_demand!F727)</f>
        <v/>
      </c>
      <c r="C726" s="60" t="str">
        <f>IF($A726="","",[1]weekly_demand!H727)</f>
        <v/>
      </c>
      <c r="D726" s="61" t="str">
        <f>IF($A726="","",IF(SUMIFS([1]Fixture_Capacity_Input!$C:$C,[1]Fixture_Capacity_Input!$A:$A,$B726,[1]Fixture_Capacity_Input!$B:$B,$C726)&gt;0,SUMIFS([1]Fixture_Capacity_Input!$C:$C,[1]Fixture_Capacity_Input!$A:$A,$B726,[1]Fixture_Capacity_Input!$B:$B,$C726),[1]weekly_demand!G727))</f>
        <v/>
      </c>
      <c r="E726" s="62" t="str">
        <f>IF($A726="","",[1]weekly_demand!I727)</f>
        <v/>
      </c>
      <c r="F726" s="61" t="str">
        <f>IF($A726="","",IF($A726&lt;&gt;$A725,IFERROR(INDEX([1]FG_Begin_Inventory!$B:$B,MATCH($A726,[1]FG_Begin_Inventory!$A:$A,0)),0),J725))</f>
        <v/>
      </c>
      <c r="G726" s="61" t="str">
        <f t="shared" si="80"/>
        <v/>
      </c>
      <c r="H726" s="62" t="str">
        <f t="shared" si="81"/>
        <v/>
      </c>
      <c r="I726" s="62" t="str">
        <f t="shared" si="82"/>
        <v/>
      </c>
      <c r="J726" s="62" t="str">
        <f t="shared" si="83"/>
        <v/>
      </c>
      <c r="K726" s="62" t="str">
        <f t="shared" si="84"/>
        <v/>
      </c>
      <c r="L726" s="62" t="str">
        <f t="shared" si="85"/>
        <v/>
      </c>
      <c r="M726" s="63" t="str">
        <f t="shared" si="86"/>
        <v/>
      </c>
      <c r="N726" s="64"/>
    </row>
    <row r="727" spans="1:14" x14ac:dyDescent="0.3">
      <c r="A727" s="58" t="str">
        <f>IF([1]weekly_demand!A728="","",[1]weekly_demand!A728)</f>
        <v/>
      </c>
      <c r="B727" s="59" t="str">
        <f>IF($A727="","",[1]weekly_demand!F728)</f>
        <v/>
      </c>
      <c r="C727" s="60" t="str">
        <f>IF($A727="","",[1]weekly_demand!H728)</f>
        <v/>
      </c>
      <c r="D727" s="61" t="str">
        <f>IF($A727="","",IF(SUMIFS([1]Fixture_Capacity_Input!$C:$C,[1]Fixture_Capacity_Input!$A:$A,$B727,[1]Fixture_Capacity_Input!$B:$B,$C727)&gt;0,SUMIFS([1]Fixture_Capacity_Input!$C:$C,[1]Fixture_Capacity_Input!$A:$A,$B727,[1]Fixture_Capacity_Input!$B:$B,$C727),[1]weekly_demand!G728))</f>
        <v/>
      </c>
      <c r="E727" s="62" t="str">
        <f>IF($A727="","",[1]weekly_demand!I728)</f>
        <v/>
      </c>
      <c r="F727" s="61" t="str">
        <f>IF($A727="","",IF($A727&lt;&gt;$A726,IFERROR(INDEX([1]FG_Begin_Inventory!$B:$B,MATCH($A727,[1]FG_Begin_Inventory!$A:$A,0)),0),J726))</f>
        <v/>
      </c>
      <c r="G727" s="61" t="str">
        <f t="shared" si="80"/>
        <v/>
      </c>
      <c r="H727" s="62" t="str">
        <f t="shared" si="81"/>
        <v/>
      </c>
      <c r="I727" s="62" t="str">
        <f t="shared" si="82"/>
        <v/>
      </c>
      <c r="J727" s="62" t="str">
        <f t="shared" si="83"/>
        <v/>
      </c>
      <c r="K727" s="62" t="str">
        <f t="shared" si="84"/>
        <v/>
      </c>
      <c r="L727" s="62" t="str">
        <f t="shared" si="85"/>
        <v/>
      </c>
      <c r="M727" s="63" t="str">
        <f t="shared" si="86"/>
        <v/>
      </c>
      <c r="N727" s="64"/>
    </row>
    <row r="728" spans="1:14" x14ac:dyDescent="0.3">
      <c r="A728" s="58" t="str">
        <f>IF([1]weekly_demand!A729="","",[1]weekly_demand!A729)</f>
        <v/>
      </c>
      <c r="B728" s="59" t="str">
        <f>IF($A728="","",[1]weekly_demand!F729)</f>
        <v/>
      </c>
      <c r="C728" s="60" t="str">
        <f>IF($A728="","",[1]weekly_demand!H729)</f>
        <v/>
      </c>
      <c r="D728" s="61" t="str">
        <f>IF($A728="","",IF(SUMIFS([1]Fixture_Capacity_Input!$C:$C,[1]Fixture_Capacity_Input!$A:$A,$B728,[1]Fixture_Capacity_Input!$B:$B,$C728)&gt;0,SUMIFS([1]Fixture_Capacity_Input!$C:$C,[1]Fixture_Capacity_Input!$A:$A,$B728,[1]Fixture_Capacity_Input!$B:$B,$C728),[1]weekly_demand!G729))</f>
        <v/>
      </c>
      <c r="E728" s="62" t="str">
        <f>IF($A728="","",[1]weekly_demand!I729)</f>
        <v/>
      </c>
      <c r="F728" s="61" t="str">
        <f>IF($A728="","",IF($A728&lt;&gt;$A727,IFERROR(INDEX([1]FG_Begin_Inventory!$B:$B,MATCH($A728,[1]FG_Begin_Inventory!$A:$A,0)),0),J727))</f>
        <v/>
      </c>
      <c r="G728" s="61" t="str">
        <f t="shared" si="80"/>
        <v/>
      </c>
      <c r="H728" s="62" t="str">
        <f t="shared" si="81"/>
        <v/>
      </c>
      <c r="I728" s="62" t="str">
        <f t="shared" si="82"/>
        <v/>
      </c>
      <c r="J728" s="62" t="str">
        <f t="shared" si="83"/>
        <v/>
      </c>
      <c r="K728" s="62" t="str">
        <f t="shared" si="84"/>
        <v/>
      </c>
      <c r="L728" s="62" t="str">
        <f t="shared" si="85"/>
        <v/>
      </c>
      <c r="M728" s="63" t="str">
        <f t="shared" si="86"/>
        <v/>
      </c>
      <c r="N728" s="64"/>
    </row>
    <row r="729" spans="1:14" x14ac:dyDescent="0.3">
      <c r="A729" s="58" t="str">
        <f>IF([1]weekly_demand!A730="","",[1]weekly_demand!A730)</f>
        <v/>
      </c>
      <c r="B729" s="59" t="str">
        <f>IF($A729="","",[1]weekly_demand!F730)</f>
        <v/>
      </c>
      <c r="C729" s="60" t="str">
        <f>IF($A729="","",[1]weekly_demand!H730)</f>
        <v/>
      </c>
      <c r="D729" s="61" t="str">
        <f>IF($A729="","",IF(SUMIFS([1]Fixture_Capacity_Input!$C:$C,[1]Fixture_Capacity_Input!$A:$A,$B729,[1]Fixture_Capacity_Input!$B:$B,$C729)&gt;0,SUMIFS([1]Fixture_Capacity_Input!$C:$C,[1]Fixture_Capacity_Input!$A:$A,$B729,[1]Fixture_Capacity_Input!$B:$B,$C729),[1]weekly_demand!G730))</f>
        <v/>
      </c>
      <c r="E729" s="62" t="str">
        <f>IF($A729="","",[1]weekly_demand!I730)</f>
        <v/>
      </c>
      <c r="F729" s="61" t="str">
        <f>IF($A729="","",IF($A729&lt;&gt;$A728,IFERROR(INDEX([1]FG_Begin_Inventory!$B:$B,MATCH($A729,[1]FG_Begin_Inventory!$A:$A,0)),0),J728))</f>
        <v/>
      </c>
      <c r="G729" s="61" t="str">
        <f t="shared" si="80"/>
        <v/>
      </c>
      <c r="H729" s="62" t="str">
        <f t="shared" si="81"/>
        <v/>
      </c>
      <c r="I729" s="62" t="str">
        <f t="shared" si="82"/>
        <v/>
      </c>
      <c r="J729" s="62" t="str">
        <f t="shared" si="83"/>
        <v/>
      </c>
      <c r="K729" s="62" t="str">
        <f t="shared" si="84"/>
        <v/>
      </c>
      <c r="L729" s="62" t="str">
        <f t="shared" si="85"/>
        <v/>
      </c>
      <c r="M729" s="63" t="str">
        <f t="shared" si="86"/>
        <v/>
      </c>
      <c r="N729" s="64"/>
    </row>
    <row r="730" spans="1:14" x14ac:dyDescent="0.3">
      <c r="A730" s="58" t="str">
        <f>IF([1]weekly_demand!A731="","",[1]weekly_demand!A731)</f>
        <v/>
      </c>
      <c r="B730" s="59" t="str">
        <f>IF($A730="","",[1]weekly_demand!F731)</f>
        <v/>
      </c>
      <c r="C730" s="60" t="str">
        <f>IF($A730="","",[1]weekly_demand!H731)</f>
        <v/>
      </c>
      <c r="D730" s="61" t="str">
        <f>IF($A730="","",IF(SUMIFS([1]Fixture_Capacity_Input!$C:$C,[1]Fixture_Capacity_Input!$A:$A,$B730,[1]Fixture_Capacity_Input!$B:$B,$C730)&gt;0,SUMIFS([1]Fixture_Capacity_Input!$C:$C,[1]Fixture_Capacity_Input!$A:$A,$B730,[1]Fixture_Capacity_Input!$B:$B,$C730),[1]weekly_demand!G731))</f>
        <v/>
      </c>
      <c r="E730" s="62" t="str">
        <f>IF($A730="","",[1]weekly_demand!I731)</f>
        <v/>
      </c>
      <c r="F730" s="61" t="str">
        <f>IF($A730="","",IF($A730&lt;&gt;$A729,IFERROR(INDEX([1]FG_Begin_Inventory!$B:$B,MATCH($A730,[1]FG_Begin_Inventory!$A:$A,0)),0),J729))</f>
        <v/>
      </c>
      <c r="G730" s="61" t="str">
        <f t="shared" si="80"/>
        <v/>
      </c>
      <c r="H730" s="62" t="str">
        <f t="shared" si="81"/>
        <v/>
      </c>
      <c r="I730" s="62" t="str">
        <f t="shared" si="82"/>
        <v/>
      </c>
      <c r="J730" s="62" t="str">
        <f t="shared" si="83"/>
        <v/>
      </c>
      <c r="K730" s="62" t="str">
        <f t="shared" si="84"/>
        <v/>
      </c>
      <c r="L730" s="62" t="str">
        <f t="shared" si="85"/>
        <v/>
      </c>
      <c r="M730" s="63" t="str">
        <f t="shared" si="86"/>
        <v/>
      </c>
      <c r="N730" s="64"/>
    </row>
    <row r="731" spans="1:14" x14ac:dyDescent="0.3">
      <c r="A731" s="58" t="str">
        <f>IF([1]weekly_demand!A732="","",[1]weekly_demand!A732)</f>
        <v/>
      </c>
      <c r="B731" s="59" t="str">
        <f>IF($A731="","",[1]weekly_demand!F732)</f>
        <v/>
      </c>
      <c r="C731" s="60" t="str">
        <f>IF($A731="","",[1]weekly_demand!H732)</f>
        <v/>
      </c>
      <c r="D731" s="61" t="str">
        <f>IF($A731="","",IF(SUMIFS([1]Fixture_Capacity_Input!$C:$C,[1]Fixture_Capacity_Input!$A:$A,$B731,[1]Fixture_Capacity_Input!$B:$B,$C731)&gt;0,SUMIFS([1]Fixture_Capacity_Input!$C:$C,[1]Fixture_Capacity_Input!$A:$A,$B731,[1]Fixture_Capacity_Input!$B:$B,$C731),[1]weekly_demand!G732))</f>
        <v/>
      </c>
      <c r="E731" s="62" t="str">
        <f>IF($A731="","",[1]weekly_demand!I732)</f>
        <v/>
      </c>
      <c r="F731" s="61" t="str">
        <f>IF($A731="","",IF($A731&lt;&gt;$A730,IFERROR(INDEX([1]FG_Begin_Inventory!$B:$B,MATCH($A731,[1]FG_Begin_Inventory!$A:$A,0)),0),J730))</f>
        <v/>
      </c>
      <c r="G731" s="61" t="str">
        <f t="shared" si="80"/>
        <v/>
      </c>
      <c r="H731" s="62" t="str">
        <f t="shared" si="81"/>
        <v/>
      </c>
      <c r="I731" s="62" t="str">
        <f t="shared" si="82"/>
        <v/>
      </c>
      <c r="J731" s="62" t="str">
        <f t="shared" si="83"/>
        <v/>
      </c>
      <c r="K731" s="62" t="str">
        <f t="shared" si="84"/>
        <v/>
      </c>
      <c r="L731" s="62" t="str">
        <f t="shared" si="85"/>
        <v/>
      </c>
      <c r="M731" s="63" t="str">
        <f t="shared" si="86"/>
        <v/>
      </c>
      <c r="N731" s="64"/>
    </row>
    <row r="732" spans="1:14" x14ac:dyDescent="0.3">
      <c r="A732" s="58" t="str">
        <f>IF([1]weekly_demand!A733="","",[1]weekly_demand!A733)</f>
        <v/>
      </c>
      <c r="B732" s="59" t="str">
        <f>IF($A732="","",[1]weekly_demand!F733)</f>
        <v/>
      </c>
      <c r="C732" s="60" t="str">
        <f>IF($A732="","",[1]weekly_demand!H733)</f>
        <v/>
      </c>
      <c r="D732" s="61" t="str">
        <f>IF($A732="","",IF(SUMIFS([1]Fixture_Capacity_Input!$C:$C,[1]Fixture_Capacity_Input!$A:$A,$B732,[1]Fixture_Capacity_Input!$B:$B,$C732)&gt;0,SUMIFS([1]Fixture_Capacity_Input!$C:$C,[1]Fixture_Capacity_Input!$A:$A,$B732,[1]Fixture_Capacity_Input!$B:$B,$C732),[1]weekly_demand!G733))</f>
        <v/>
      </c>
      <c r="E732" s="62" t="str">
        <f>IF($A732="","",[1]weekly_demand!I733)</f>
        <v/>
      </c>
      <c r="F732" s="61" t="str">
        <f>IF($A732="","",IF($A732&lt;&gt;$A731,IFERROR(INDEX([1]FG_Begin_Inventory!$B:$B,MATCH($A732,[1]FG_Begin_Inventory!$A:$A,0)),0),J731))</f>
        <v/>
      </c>
      <c r="G732" s="61" t="str">
        <f t="shared" si="80"/>
        <v/>
      </c>
      <c r="H732" s="62" t="str">
        <f t="shared" si="81"/>
        <v/>
      </c>
      <c r="I732" s="62" t="str">
        <f t="shared" si="82"/>
        <v/>
      </c>
      <c r="J732" s="62" t="str">
        <f t="shared" si="83"/>
        <v/>
      </c>
      <c r="K732" s="62" t="str">
        <f t="shared" si="84"/>
        <v/>
      </c>
      <c r="L732" s="62" t="str">
        <f t="shared" si="85"/>
        <v/>
      </c>
      <c r="M732" s="63" t="str">
        <f t="shared" si="86"/>
        <v/>
      </c>
      <c r="N732" s="64"/>
    </row>
    <row r="733" spans="1:14" x14ac:dyDescent="0.3">
      <c r="A733" s="58" t="str">
        <f>IF([1]weekly_demand!A734="","",[1]weekly_demand!A734)</f>
        <v/>
      </c>
      <c r="B733" s="59" t="str">
        <f>IF($A733="","",[1]weekly_demand!F734)</f>
        <v/>
      </c>
      <c r="C733" s="60" t="str">
        <f>IF($A733="","",[1]weekly_demand!H734)</f>
        <v/>
      </c>
      <c r="D733" s="61" t="str">
        <f>IF($A733="","",IF(SUMIFS([1]Fixture_Capacity_Input!$C:$C,[1]Fixture_Capacity_Input!$A:$A,$B733,[1]Fixture_Capacity_Input!$B:$B,$C733)&gt;0,SUMIFS([1]Fixture_Capacity_Input!$C:$C,[1]Fixture_Capacity_Input!$A:$A,$B733,[1]Fixture_Capacity_Input!$B:$B,$C733),[1]weekly_demand!G734))</f>
        <v/>
      </c>
      <c r="E733" s="62" t="str">
        <f>IF($A733="","",[1]weekly_demand!I734)</f>
        <v/>
      </c>
      <c r="F733" s="61" t="str">
        <f>IF($A733="","",IF($A733&lt;&gt;$A732,IFERROR(INDEX([1]FG_Begin_Inventory!$B:$B,MATCH($A733,[1]FG_Begin_Inventory!$A:$A,0)),0),J732))</f>
        <v/>
      </c>
      <c r="G733" s="61" t="str">
        <f t="shared" si="80"/>
        <v/>
      </c>
      <c r="H733" s="62" t="str">
        <f t="shared" si="81"/>
        <v/>
      </c>
      <c r="I733" s="62" t="str">
        <f t="shared" si="82"/>
        <v/>
      </c>
      <c r="J733" s="62" t="str">
        <f t="shared" si="83"/>
        <v/>
      </c>
      <c r="K733" s="62" t="str">
        <f t="shared" si="84"/>
        <v/>
      </c>
      <c r="L733" s="62" t="str">
        <f t="shared" si="85"/>
        <v/>
      </c>
      <c r="M733" s="63" t="str">
        <f t="shared" si="86"/>
        <v/>
      </c>
      <c r="N733" s="64"/>
    </row>
    <row r="734" spans="1:14" x14ac:dyDescent="0.3">
      <c r="A734" s="58" t="str">
        <f>IF([1]weekly_demand!A735="","",[1]weekly_demand!A735)</f>
        <v/>
      </c>
      <c r="B734" s="59" t="str">
        <f>IF($A734="","",[1]weekly_demand!F735)</f>
        <v/>
      </c>
      <c r="C734" s="60" t="str">
        <f>IF($A734="","",[1]weekly_demand!H735)</f>
        <v/>
      </c>
      <c r="D734" s="61" t="str">
        <f>IF($A734="","",IF(SUMIFS([1]Fixture_Capacity_Input!$C:$C,[1]Fixture_Capacity_Input!$A:$A,$B734,[1]Fixture_Capacity_Input!$B:$B,$C734)&gt;0,SUMIFS([1]Fixture_Capacity_Input!$C:$C,[1]Fixture_Capacity_Input!$A:$A,$B734,[1]Fixture_Capacity_Input!$B:$B,$C734),[1]weekly_demand!G735))</f>
        <v/>
      </c>
      <c r="E734" s="62" t="str">
        <f>IF($A734="","",[1]weekly_demand!I735)</f>
        <v/>
      </c>
      <c r="F734" s="61" t="str">
        <f>IF($A734="","",IF($A734&lt;&gt;$A733,IFERROR(INDEX([1]FG_Begin_Inventory!$B:$B,MATCH($A734,[1]FG_Begin_Inventory!$A:$A,0)),0),J733))</f>
        <v/>
      </c>
      <c r="G734" s="61" t="str">
        <f t="shared" si="80"/>
        <v/>
      </c>
      <c r="H734" s="62" t="str">
        <f t="shared" si="81"/>
        <v/>
      </c>
      <c r="I734" s="62" t="str">
        <f t="shared" si="82"/>
        <v/>
      </c>
      <c r="J734" s="62" t="str">
        <f t="shared" si="83"/>
        <v/>
      </c>
      <c r="K734" s="62" t="str">
        <f t="shared" si="84"/>
        <v/>
      </c>
      <c r="L734" s="62" t="str">
        <f t="shared" si="85"/>
        <v/>
      </c>
      <c r="M734" s="63" t="str">
        <f t="shared" si="86"/>
        <v/>
      </c>
      <c r="N734" s="64"/>
    </row>
    <row r="735" spans="1:14" x14ac:dyDescent="0.3">
      <c r="A735" s="58" t="str">
        <f>IF([1]weekly_demand!A736="","",[1]weekly_demand!A736)</f>
        <v/>
      </c>
      <c r="B735" s="59" t="str">
        <f>IF($A735="","",[1]weekly_demand!F736)</f>
        <v/>
      </c>
      <c r="C735" s="60" t="str">
        <f>IF($A735="","",[1]weekly_demand!H736)</f>
        <v/>
      </c>
      <c r="D735" s="61" t="str">
        <f>IF($A735="","",IF(SUMIFS([1]Fixture_Capacity_Input!$C:$C,[1]Fixture_Capacity_Input!$A:$A,$B735,[1]Fixture_Capacity_Input!$B:$B,$C735)&gt;0,SUMIFS([1]Fixture_Capacity_Input!$C:$C,[1]Fixture_Capacity_Input!$A:$A,$B735,[1]Fixture_Capacity_Input!$B:$B,$C735),[1]weekly_demand!G736))</f>
        <v/>
      </c>
      <c r="E735" s="62" t="str">
        <f>IF($A735="","",[1]weekly_demand!I736)</f>
        <v/>
      </c>
      <c r="F735" s="61" t="str">
        <f>IF($A735="","",IF($A735&lt;&gt;$A734,IFERROR(INDEX([1]FG_Begin_Inventory!$B:$B,MATCH($A735,[1]FG_Begin_Inventory!$A:$A,0)),0),J734))</f>
        <v/>
      </c>
      <c r="G735" s="61" t="str">
        <f t="shared" si="80"/>
        <v/>
      </c>
      <c r="H735" s="62" t="str">
        <f t="shared" si="81"/>
        <v/>
      </c>
      <c r="I735" s="62" t="str">
        <f t="shared" si="82"/>
        <v/>
      </c>
      <c r="J735" s="62" t="str">
        <f t="shared" si="83"/>
        <v/>
      </c>
      <c r="K735" s="62" t="str">
        <f t="shared" si="84"/>
        <v/>
      </c>
      <c r="L735" s="62" t="str">
        <f t="shared" si="85"/>
        <v/>
      </c>
      <c r="M735" s="63" t="str">
        <f t="shared" si="86"/>
        <v/>
      </c>
      <c r="N735" s="64"/>
    </row>
    <row r="736" spans="1:14" x14ac:dyDescent="0.3">
      <c r="A736" s="58" t="str">
        <f>IF([1]weekly_demand!A737="","",[1]weekly_demand!A737)</f>
        <v/>
      </c>
      <c r="B736" s="59" t="str">
        <f>IF($A736="","",[1]weekly_demand!F737)</f>
        <v/>
      </c>
      <c r="C736" s="60" t="str">
        <f>IF($A736="","",[1]weekly_demand!H737)</f>
        <v/>
      </c>
      <c r="D736" s="61" t="str">
        <f>IF($A736="","",IF(SUMIFS([1]Fixture_Capacity_Input!$C:$C,[1]Fixture_Capacity_Input!$A:$A,$B736,[1]Fixture_Capacity_Input!$B:$B,$C736)&gt;0,SUMIFS([1]Fixture_Capacity_Input!$C:$C,[1]Fixture_Capacity_Input!$A:$A,$B736,[1]Fixture_Capacity_Input!$B:$B,$C736),[1]weekly_demand!G737))</f>
        <v/>
      </c>
      <c r="E736" s="62" t="str">
        <f>IF($A736="","",[1]weekly_demand!I737)</f>
        <v/>
      </c>
      <c r="F736" s="61" t="str">
        <f>IF($A736="","",IF($A736&lt;&gt;$A735,IFERROR(INDEX([1]FG_Begin_Inventory!$B:$B,MATCH($A736,[1]FG_Begin_Inventory!$A:$A,0)),0),J735))</f>
        <v/>
      </c>
      <c r="G736" s="61" t="str">
        <f t="shared" si="80"/>
        <v/>
      </c>
      <c r="H736" s="62" t="str">
        <f t="shared" si="81"/>
        <v/>
      </c>
      <c r="I736" s="62" t="str">
        <f t="shared" si="82"/>
        <v/>
      </c>
      <c r="J736" s="62" t="str">
        <f t="shared" si="83"/>
        <v/>
      </c>
      <c r="K736" s="62" t="str">
        <f t="shared" si="84"/>
        <v/>
      </c>
      <c r="L736" s="62" t="str">
        <f t="shared" si="85"/>
        <v/>
      </c>
      <c r="M736" s="63" t="str">
        <f t="shared" si="86"/>
        <v/>
      </c>
      <c r="N736" s="64"/>
    </row>
    <row r="737" spans="1:14" x14ac:dyDescent="0.3">
      <c r="A737" s="58" t="str">
        <f>IF([1]weekly_demand!A738="","",[1]weekly_demand!A738)</f>
        <v/>
      </c>
      <c r="B737" s="59" t="str">
        <f>IF($A737="","",[1]weekly_demand!F738)</f>
        <v/>
      </c>
      <c r="C737" s="60" t="str">
        <f>IF($A737="","",[1]weekly_demand!H738)</f>
        <v/>
      </c>
      <c r="D737" s="61" t="str">
        <f>IF($A737="","",IF(SUMIFS([1]Fixture_Capacity_Input!$C:$C,[1]Fixture_Capacity_Input!$A:$A,$B737,[1]Fixture_Capacity_Input!$B:$B,$C737)&gt;0,SUMIFS([1]Fixture_Capacity_Input!$C:$C,[1]Fixture_Capacity_Input!$A:$A,$B737,[1]Fixture_Capacity_Input!$B:$B,$C737),[1]weekly_demand!G738))</f>
        <v/>
      </c>
      <c r="E737" s="62" t="str">
        <f>IF($A737="","",[1]weekly_demand!I738)</f>
        <v/>
      </c>
      <c r="F737" s="61" t="str">
        <f>IF($A737="","",IF($A737&lt;&gt;$A736,IFERROR(INDEX([1]FG_Begin_Inventory!$B:$B,MATCH($A737,[1]FG_Begin_Inventory!$A:$A,0)),0),J736))</f>
        <v/>
      </c>
      <c r="G737" s="61" t="str">
        <f t="shared" si="80"/>
        <v/>
      </c>
      <c r="H737" s="62" t="str">
        <f t="shared" si="81"/>
        <v/>
      </c>
      <c r="I737" s="62" t="str">
        <f t="shared" si="82"/>
        <v/>
      </c>
      <c r="J737" s="62" t="str">
        <f t="shared" si="83"/>
        <v/>
      </c>
      <c r="K737" s="62" t="str">
        <f t="shared" si="84"/>
        <v/>
      </c>
      <c r="L737" s="62" t="str">
        <f t="shared" si="85"/>
        <v/>
      </c>
      <c r="M737" s="63" t="str">
        <f t="shared" si="86"/>
        <v/>
      </c>
      <c r="N737" s="64"/>
    </row>
    <row r="738" spans="1:14" x14ac:dyDescent="0.3">
      <c r="A738" s="58" t="str">
        <f>IF([1]weekly_demand!A739="","",[1]weekly_demand!A739)</f>
        <v/>
      </c>
      <c r="B738" s="59" t="str">
        <f>IF($A738="","",[1]weekly_demand!F739)</f>
        <v/>
      </c>
      <c r="C738" s="60" t="str">
        <f>IF($A738="","",[1]weekly_demand!H739)</f>
        <v/>
      </c>
      <c r="D738" s="61" t="str">
        <f>IF($A738="","",IF(SUMIFS([1]Fixture_Capacity_Input!$C:$C,[1]Fixture_Capacity_Input!$A:$A,$B738,[1]Fixture_Capacity_Input!$B:$B,$C738)&gt;0,SUMIFS([1]Fixture_Capacity_Input!$C:$C,[1]Fixture_Capacity_Input!$A:$A,$B738,[1]Fixture_Capacity_Input!$B:$B,$C738),[1]weekly_demand!G739))</f>
        <v/>
      </c>
      <c r="E738" s="62" t="str">
        <f>IF($A738="","",[1]weekly_demand!I739)</f>
        <v/>
      </c>
      <c r="F738" s="61" t="str">
        <f>IF($A738="","",IF($A738&lt;&gt;$A737,IFERROR(INDEX([1]FG_Begin_Inventory!$B:$B,MATCH($A738,[1]FG_Begin_Inventory!$A:$A,0)),0),J737))</f>
        <v/>
      </c>
      <c r="G738" s="61" t="str">
        <f t="shared" si="80"/>
        <v/>
      </c>
      <c r="H738" s="62" t="str">
        <f t="shared" si="81"/>
        <v/>
      </c>
      <c r="I738" s="62" t="str">
        <f t="shared" si="82"/>
        <v/>
      </c>
      <c r="J738" s="62" t="str">
        <f t="shared" si="83"/>
        <v/>
      </c>
      <c r="K738" s="62" t="str">
        <f t="shared" si="84"/>
        <v/>
      </c>
      <c r="L738" s="62" t="str">
        <f t="shared" si="85"/>
        <v/>
      </c>
      <c r="M738" s="63" t="str">
        <f t="shared" si="86"/>
        <v/>
      </c>
      <c r="N738" s="64"/>
    </row>
    <row r="739" spans="1:14" x14ac:dyDescent="0.3">
      <c r="A739" s="58" t="str">
        <f>IF([1]weekly_demand!A740="","",[1]weekly_demand!A740)</f>
        <v/>
      </c>
      <c r="B739" s="59" t="str">
        <f>IF($A739="","",[1]weekly_demand!F740)</f>
        <v/>
      </c>
      <c r="C739" s="60" t="str">
        <f>IF($A739="","",[1]weekly_demand!H740)</f>
        <v/>
      </c>
      <c r="D739" s="61" t="str">
        <f>IF($A739="","",IF(SUMIFS([1]Fixture_Capacity_Input!$C:$C,[1]Fixture_Capacity_Input!$A:$A,$B739,[1]Fixture_Capacity_Input!$B:$B,$C739)&gt;0,SUMIFS([1]Fixture_Capacity_Input!$C:$C,[1]Fixture_Capacity_Input!$A:$A,$B739,[1]Fixture_Capacity_Input!$B:$B,$C739),[1]weekly_demand!G740))</f>
        <v/>
      </c>
      <c r="E739" s="62" t="str">
        <f>IF($A739="","",[1]weekly_demand!I740)</f>
        <v/>
      </c>
      <c r="F739" s="61" t="str">
        <f>IF($A739="","",IF($A739&lt;&gt;$A738,IFERROR(INDEX([1]FG_Begin_Inventory!$B:$B,MATCH($A739,[1]FG_Begin_Inventory!$A:$A,0)),0),J738))</f>
        <v/>
      </c>
      <c r="G739" s="61" t="str">
        <f t="shared" si="80"/>
        <v/>
      </c>
      <c r="H739" s="62" t="str">
        <f t="shared" si="81"/>
        <v/>
      </c>
      <c r="I739" s="62" t="str">
        <f t="shared" si="82"/>
        <v/>
      </c>
      <c r="J739" s="62" t="str">
        <f t="shared" si="83"/>
        <v/>
      </c>
      <c r="K739" s="62" t="str">
        <f t="shared" si="84"/>
        <v/>
      </c>
      <c r="L739" s="62" t="str">
        <f t="shared" si="85"/>
        <v/>
      </c>
      <c r="M739" s="63" t="str">
        <f t="shared" si="86"/>
        <v/>
      </c>
      <c r="N739" s="64"/>
    </row>
    <row r="740" spans="1:14" x14ac:dyDescent="0.3">
      <c r="A740" s="58" t="str">
        <f>IF([1]weekly_demand!A741="","",[1]weekly_demand!A741)</f>
        <v/>
      </c>
      <c r="B740" s="59" t="str">
        <f>IF($A740="","",[1]weekly_demand!F741)</f>
        <v/>
      </c>
      <c r="C740" s="60" t="str">
        <f>IF($A740="","",[1]weekly_demand!H741)</f>
        <v/>
      </c>
      <c r="D740" s="61" t="str">
        <f>IF($A740="","",IF(SUMIFS([1]Fixture_Capacity_Input!$C:$C,[1]Fixture_Capacity_Input!$A:$A,$B740,[1]Fixture_Capacity_Input!$B:$B,$C740)&gt;0,SUMIFS([1]Fixture_Capacity_Input!$C:$C,[1]Fixture_Capacity_Input!$A:$A,$B740,[1]Fixture_Capacity_Input!$B:$B,$C740),[1]weekly_demand!G741))</f>
        <v/>
      </c>
      <c r="E740" s="62" t="str">
        <f>IF($A740="","",[1]weekly_demand!I741)</f>
        <v/>
      </c>
      <c r="F740" s="61" t="str">
        <f>IF($A740="","",IF($A740&lt;&gt;$A739,IFERROR(INDEX([1]FG_Begin_Inventory!$B:$B,MATCH($A740,[1]FG_Begin_Inventory!$A:$A,0)),0),J739))</f>
        <v/>
      </c>
      <c r="G740" s="61" t="str">
        <f t="shared" si="80"/>
        <v/>
      </c>
      <c r="H740" s="62" t="str">
        <f t="shared" si="81"/>
        <v/>
      </c>
      <c r="I740" s="62" t="str">
        <f t="shared" si="82"/>
        <v/>
      </c>
      <c r="J740" s="62" t="str">
        <f t="shared" si="83"/>
        <v/>
      </c>
      <c r="K740" s="62" t="str">
        <f t="shared" si="84"/>
        <v/>
      </c>
      <c r="L740" s="62" t="str">
        <f t="shared" si="85"/>
        <v/>
      </c>
      <c r="M740" s="63" t="str">
        <f t="shared" si="86"/>
        <v/>
      </c>
      <c r="N740" s="64"/>
    </row>
    <row r="741" spans="1:14" x14ac:dyDescent="0.3">
      <c r="A741" s="58" t="str">
        <f>IF([1]weekly_demand!A742="","",[1]weekly_demand!A742)</f>
        <v/>
      </c>
      <c r="B741" s="59" t="str">
        <f>IF($A741="","",[1]weekly_demand!F742)</f>
        <v/>
      </c>
      <c r="C741" s="60" t="str">
        <f>IF($A741="","",[1]weekly_demand!H742)</f>
        <v/>
      </c>
      <c r="D741" s="61" t="str">
        <f>IF($A741="","",IF(SUMIFS([1]Fixture_Capacity_Input!$C:$C,[1]Fixture_Capacity_Input!$A:$A,$B741,[1]Fixture_Capacity_Input!$B:$B,$C741)&gt;0,SUMIFS([1]Fixture_Capacity_Input!$C:$C,[1]Fixture_Capacity_Input!$A:$A,$B741,[1]Fixture_Capacity_Input!$B:$B,$C741),[1]weekly_demand!G742))</f>
        <v/>
      </c>
      <c r="E741" s="62" t="str">
        <f>IF($A741="","",[1]weekly_demand!I742)</f>
        <v/>
      </c>
      <c r="F741" s="61" t="str">
        <f>IF($A741="","",IF($A741&lt;&gt;$A740,IFERROR(INDEX([1]FG_Begin_Inventory!$B:$B,MATCH($A741,[1]FG_Begin_Inventory!$A:$A,0)),0),J740))</f>
        <v/>
      </c>
      <c r="G741" s="61" t="str">
        <f t="shared" si="80"/>
        <v/>
      </c>
      <c r="H741" s="62" t="str">
        <f t="shared" si="81"/>
        <v/>
      </c>
      <c r="I741" s="62" t="str">
        <f t="shared" si="82"/>
        <v/>
      </c>
      <c r="J741" s="62" t="str">
        <f t="shared" si="83"/>
        <v/>
      </c>
      <c r="K741" s="62" t="str">
        <f t="shared" si="84"/>
        <v/>
      </c>
      <c r="L741" s="62" t="str">
        <f t="shared" si="85"/>
        <v/>
      </c>
      <c r="M741" s="63" t="str">
        <f t="shared" si="86"/>
        <v/>
      </c>
      <c r="N741" s="64"/>
    </row>
    <row r="742" spans="1:14" x14ac:dyDescent="0.3">
      <c r="A742" s="58" t="str">
        <f>IF([1]weekly_demand!A743="","",[1]weekly_demand!A743)</f>
        <v/>
      </c>
      <c r="B742" s="59" t="str">
        <f>IF($A742="","",[1]weekly_demand!F743)</f>
        <v/>
      </c>
      <c r="C742" s="60" t="str">
        <f>IF($A742="","",[1]weekly_demand!H743)</f>
        <v/>
      </c>
      <c r="D742" s="61" t="str">
        <f>IF($A742="","",IF(SUMIFS([1]Fixture_Capacity_Input!$C:$C,[1]Fixture_Capacity_Input!$A:$A,$B742,[1]Fixture_Capacity_Input!$B:$B,$C742)&gt;0,SUMIFS([1]Fixture_Capacity_Input!$C:$C,[1]Fixture_Capacity_Input!$A:$A,$B742,[1]Fixture_Capacity_Input!$B:$B,$C742),[1]weekly_demand!G743))</f>
        <v/>
      </c>
      <c r="E742" s="62" t="str">
        <f>IF($A742="","",[1]weekly_demand!I743)</f>
        <v/>
      </c>
      <c r="F742" s="61" t="str">
        <f>IF($A742="","",IF($A742&lt;&gt;$A741,IFERROR(INDEX([1]FG_Begin_Inventory!$B:$B,MATCH($A742,[1]FG_Begin_Inventory!$A:$A,0)),0),J741))</f>
        <v/>
      </c>
      <c r="G742" s="61" t="str">
        <f t="shared" si="80"/>
        <v/>
      </c>
      <c r="H742" s="62" t="str">
        <f t="shared" si="81"/>
        <v/>
      </c>
      <c r="I742" s="62" t="str">
        <f t="shared" si="82"/>
        <v/>
      </c>
      <c r="J742" s="62" t="str">
        <f t="shared" si="83"/>
        <v/>
      </c>
      <c r="K742" s="62" t="str">
        <f t="shared" si="84"/>
        <v/>
      </c>
      <c r="L742" s="62" t="str">
        <f t="shared" si="85"/>
        <v/>
      </c>
      <c r="M742" s="63" t="str">
        <f t="shared" si="86"/>
        <v/>
      </c>
      <c r="N742" s="64"/>
    </row>
    <row r="743" spans="1:14" x14ac:dyDescent="0.3">
      <c r="A743" s="58" t="str">
        <f>IF([1]weekly_demand!A744="","",[1]weekly_demand!A744)</f>
        <v/>
      </c>
      <c r="B743" s="59" t="str">
        <f>IF($A743="","",[1]weekly_demand!F744)</f>
        <v/>
      </c>
      <c r="C743" s="60" t="str">
        <f>IF($A743="","",[1]weekly_demand!H744)</f>
        <v/>
      </c>
      <c r="D743" s="61" t="str">
        <f>IF($A743="","",IF(SUMIFS([1]Fixture_Capacity_Input!$C:$C,[1]Fixture_Capacity_Input!$A:$A,$B743,[1]Fixture_Capacity_Input!$B:$B,$C743)&gt;0,SUMIFS([1]Fixture_Capacity_Input!$C:$C,[1]Fixture_Capacity_Input!$A:$A,$B743,[1]Fixture_Capacity_Input!$B:$B,$C743),[1]weekly_demand!G744))</f>
        <v/>
      </c>
      <c r="E743" s="62" t="str">
        <f>IF($A743="","",[1]weekly_demand!I744)</f>
        <v/>
      </c>
      <c r="F743" s="61" t="str">
        <f>IF($A743="","",IF($A743&lt;&gt;$A742,IFERROR(INDEX([1]FG_Begin_Inventory!$B:$B,MATCH($A743,[1]FG_Begin_Inventory!$A:$A,0)),0),J742))</f>
        <v/>
      </c>
      <c r="G743" s="61" t="str">
        <f t="shared" si="80"/>
        <v/>
      </c>
      <c r="H743" s="62" t="str">
        <f t="shared" si="81"/>
        <v/>
      </c>
      <c r="I743" s="62" t="str">
        <f t="shared" si="82"/>
        <v/>
      </c>
      <c r="J743" s="62" t="str">
        <f t="shared" si="83"/>
        <v/>
      </c>
      <c r="K743" s="62" t="str">
        <f t="shared" si="84"/>
        <v/>
      </c>
      <c r="L743" s="62" t="str">
        <f t="shared" si="85"/>
        <v/>
      </c>
      <c r="M743" s="63" t="str">
        <f t="shared" si="86"/>
        <v/>
      </c>
      <c r="N743" s="64"/>
    </row>
    <row r="744" spans="1:14" x14ac:dyDescent="0.3">
      <c r="A744" s="58" t="str">
        <f>IF([1]weekly_demand!A745="","",[1]weekly_demand!A745)</f>
        <v/>
      </c>
      <c r="B744" s="59" t="str">
        <f>IF($A744="","",[1]weekly_demand!F745)</f>
        <v/>
      </c>
      <c r="C744" s="60" t="str">
        <f>IF($A744="","",[1]weekly_demand!H745)</f>
        <v/>
      </c>
      <c r="D744" s="61" t="str">
        <f>IF($A744="","",IF(SUMIFS([1]Fixture_Capacity_Input!$C:$C,[1]Fixture_Capacity_Input!$A:$A,$B744,[1]Fixture_Capacity_Input!$B:$B,$C744)&gt;0,SUMIFS([1]Fixture_Capacity_Input!$C:$C,[1]Fixture_Capacity_Input!$A:$A,$B744,[1]Fixture_Capacity_Input!$B:$B,$C744),[1]weekly_demand!G745))</f>
        <v/>
      </c>
      <c r="E744" s="62" t="str">
        <f>IF($A744="","",[1]weekly_demand!I745)</f>
        <v/>
      </c>
      <c r="F744" s="61" t="str">
        <f>IF($A744="","",IF($A744&lt;&gt;$A743,IFERROR(INDEX([1]FG_Begin_Inventory!$B:$B,MATCH($A744,[1]FG_Begin_Inventory!$A:$A,0)),0),J743))</f>
        <v/>
      </c>
      <c r="G744" s="61" t="str">
        <f t="shared" si="80"/>
        <v/>
      </c>
      <c r="H744" s="62" t="str">
        <f t="shared" si="81"/>
        <v/>
      </c>
      <c r="I744" s="62" t="str">
        <f t="shared" si="82"/>
        <v/>
      </c>
      <c r="J744" s="62" t="str">
        <f t="shared" si="83"/>
        <v/>
      </c>
      <c r="K744" s="62" t="str">
        <f t="shared" si="84"/>
        <v/>
      </c>
      <c r="L744" s="62" t="str">
        <f t="shared" si="85"/>
        <v/>
      </c>
      <c r="M744" s="63" t="str">
        <f t="shared" si="86"/>
        <v/>
      </c>
      <c r="N744" s="64"/>
    </row>
    <row r="745" spans="1:14" x14ac:dyDescent="0.3">
      <c r="A745" s="58" t="str">
        <f>IF([1]weekly_demand!A746="","",[1]weekly_demand!A746)</f>
        <v/>
      </c>
      <c r="B745" s="59" t="str">
        <f>IF($A745="","",[1]weekly_demand!F746)</f>
        <v/>
      </c>
      <c r="C745" s="60" t="str">
        <f>IF($A745="","",[1]weekly_demand!H746)</f>
        <v/>
      </c>
      <c r="D745" s="61" t="str">
        <f>IF($A745="","",IF(SUMIFS([1]Fixture_Capacity_Input!$C:$C,[1]Fixture_Capacity_Input!$A:$A,$B745,[1]Fixture_Capacity_Input!$B:$B,$C745)&gt;0,SUMIFS([1]Fixture_Capacity_Input!$C:$C,[1]Fixture_Capacity_Input!$A:$A,$B745,[1]Fixture_Capacity_Input!$B:$B,$C745),[1]weekly_demand!G746))</f>
        <v/>
      </c>
      <c r="E745" s="62" t="str">
        <f>IF($A745="","",[1]weekly_demand!I746)</f>
        <v/>
      </c>
      <c r="F745" s="61" t="str">
        <f>IF($A745="","",IF($A745&lt;&gt;$A744,IFERROR(INDEX([1]FG_Begin_Inventory!$B:$B,MATCH($A745,[1]FG_Begin_Inventory!$A:$A,0)),0),J744))</f>
        <v/>
      </c>
      <c r="G745" s="61" t="str">
        <f t="shared" si="80"/>
        <v/>
      </c>
      <c r="H745" s="62" t="str">
        <f t="shared" si="81"/>
        <v/>
      </c>
      <c r="I745" s="62" t="str">
        <f t="shared" si="82"/>
        <v/>
      </c>
      <c r="J745" s="62" t="str">
        <f t="shared" si="83"/>
        <v/>
      </c>
      <c r="K745" s="62" t="str">
        <f t="shared" si="84"/>
        <v/>
      </c>
      <c r="L745" s="62" t="str">
        <f t="shared" si="85"/>
        <v/>
      </c>
      <c r="M745" s="63" t="str">
        <f t="shared" si="86"/>
        <v/>
      </c>
      <c r="N745" s="64"/>
    </row>
    <row r="746" spans="1:14" x14ac:dyDescent="0.3">
      <c r="A746" s="58" t="str">
        <f>IF([1]weekly_demand!A747="","",[1]weekly_demand!A747)</f>
        <v/>
      </c>
      <c r="B746" s="59" t="str">
        <f>IF($A746="","",[1]weekly_demand!F747)</f>
        <v/>
      </c>
      <c r="C746" s="60" t="str">
        <f>IF($A746="","",[1]weekly_demand!H747)</f>
        <v/>
      </c>
      <c r="D746" s="61" t="str">
        <f>IF($A746="","",IF(SUMIFS([1]Fixture_Capacity_Input!$C:$C,[1]Fixture_Capacity_Input!$A:$A,$B746,[1]Fixture_Capacity_Input!$B:$B,$C746)&gt;0,SUMIFS([1]Fixture_Capacity_Input!$C:$C,[1]Fixture_Capacity_Input!$A:$A,$B746,[1]Fixture_Capacity_Input!$B:$B,$C746),[1]weekly_demand!G747))</f>
        <v/>
      </c>
      <c r="E746" s="62" t="str">
        <f>IF($A746="","",[1]weekly_demand!I747)</f>
        <v/>
      </c>
      <c r="F746" s="61" t="str">
        <f>IF($A746="","",IF($A746&lt;&gt;$A745,IFERROR(INDEX([1]FG_Begin_Inventory!$B:$B,MATCH($A746,[1]FG_Begin_Inventory!$A:$A,0)),0),J745))</f>
        <v/>
      </c>
      <c r="G746" s="61" t="str">
        <f t="shared" si="80"/>
        <v/>
      </c>
      <c r="H746" s="62" t="str">
        <f t="shared" si="81"/>
        <v/>
      </c>
      <c r="I746" s="62" t="str">
        <f t="shared" si="82"/>
        <v/>
      </c>
      <c r="J746" s="62" t="str">
        <f t="shared" si="83"/>
        <v/>
      </c>
      <c r="K746" s="62" t="str">
        <f t="shared" si="84"/>
        <v/>
      </c>
      <c r="L746" s="62" t="str">
        <f t="shared" si="85"/>
        <v/>
      </c>
      <c r="M746" s="63" t="str">
        <f t="shared" si="86"/>
        <v/>
      </c>
      <c r="N746" s="64"/>
    </row>
    <row r="747" spans="1:14" x14ac:dyDescent="0.3">
      <c r="A747" s="58" t="str">
        <f>IF([1]weekly_demand!A748="","",[1]weekly_demand!A748)</f>
        <v/>
      </c>
      <c r="B747" s="59" t="str">
        <f>IF($A747="","",[1]weekly_demand!F748)</f>
        <v/>
      </c>
      <c r="C747" s="60" t="str">
        <f>IF($A747="","",[1]weekly_demand!H748)</f>
        <v/>
      </c>
      <c r="D747" s="61" t="str">
        <f>IF($A747="","",IF(SUMIFS([1]Fixture_Capacity_Input!$C:$C,[1]Fixture_Capacity_Input!$A:$A,$B747,[1]Fixture_Capacity_Input!$B:$B,$C747)&gt;0,SUMIFS([1]Fixture_Capacity_Input!$C:$C,[1]Fixture_Capacity_Input!$A:$A,$B747,[1]Fixture_Capacity_Input!$B:$B,$C747),[1]weekly_demand!G748))</f>
        <v/>
      </c>
      <c r="E747" s="62" t="str">
        <f>IF($A747="","",[1]weekly_demand!I748)</f>
        <v/>
      </c>
      <c r="F747" s="61" t="str">
        <f>IF($A747="","",IF($A747&lt;&gt;$A746,IFERROR(INDEX([1]FG_Begin_Inventory!$B:$B,MATCH($A747,[1]FG_Begin_Inventory!$A:$A,0)),0),J746))</f>
        <v/>
      </c>
      <c r="G747" s="61" t="str">
        <f t="shared" si="80"/>
        <v/>
      </c>
      <c r="H747" s="62" t="str">
        <f t="shared" si="81"/>
        <v/>
      </c>
      <c r="I747" s="62" t="str">
        <f t="shared" si="82"/>
        <v/>
      </c>
      <c r="J747" s="62" t="str">
        <f t="shared" si="83"/>
        <v/>
      </c>
      <c r="K747" s="62" t="str">
        <f t="shared" si="84"/>
        <v/>
      </c>
      <c r="L747" s="62" t="str">
        <f t="shared" si="85"/>
        <v/>
      </c>
      <c r="M747" s="63" t="str">
        <f t="shared" si="86"/>
        <v/>
      </c>
      <c r="N747" s="64"/>
    </row>
    <row r="748" spans="1:14" x14ac:dyDescent="0.3">
      <c r="A748" s="58" t="str">
        <f>IF([1]weekly_demand!A749="","",[1]weekly_demand!A749)</f>
        <v/>
      </c>
      <c r="B748" s="59" t="str">
        <f>IF($A748="","",[1]weekly_demand!F749)</f>
        <v/>
      </c>
      <c r="C748" s="60" t="str">
        <f>IF($A748="","",[1]weekly_demand!H749)</f>
        <v/>
      </c>
      <c r="D748" s="61" t="str">
        <f>IF($A748="","",IF(SUMIFS([1]Fixture_Capacity_Input!$C:$C,[1]Fixture_Capacity_Input!$A:$A,$B748,[1]Fixture_Capacity_Input!$B:$B,$C748)&gt;0,SUMIFS([1]Fixture_Capacity_Input!$C:$C,[1]Fixture_Capacity_Input!$A:$A,$B748,[1]Fixture_Capacity_Input!$B:$B,$C748),[1]weekly_demand!G749))</f>
        <v/>
      </c>
      <c r="E748" s="62" t="str">
        <f>IF($A748="","",[1]weekly_demand!I749)</f>
        <v/>
      </c>
      <c r="F748" s="61" t="str">
        <f>IF($A748="","",IF($A748&lt;&gt;$A747,IFERROR(INDEX([1]FG_Begin_Inventory!$B:$B,MATCH($A748,[1]FG_Begin_Inventory!$A:$A,0)),0),J747))</f>
        <v/>
      </c>
      <c r="G748" s="61" t="str">
        <f t="shared" si="80"/>
        <v/>
      </c>
      <c r="H748" s="62" t="str">
        <f t="shared" si="81"/>
        <v/>
      </c>
      <c r="I748" s="62" t="str">
        <f t="shared" si="82"/>
        <v/>
      </c>
      <c r="J748" s="62" t="str">
        <f t="shared" si="83"/>
        <v/>
      </c>
      <c r="K748" s="62" t="str">
        <f t="shared" si="84"/>
        <v/>
      </c>
      <c r="L748" s="62" t="str">
        <f t="shared" si="85"/>
        <v/>
      </c>
      <c r="M748" s="63" t="str">
        <f t="shared" si="86"/>
        <v/>
      </c>
      <c r="N748" s="64"/>
    </row>
    <row r="749" spans="1:14" x14ac:dyDescent="0.3">
      <c r="A749" s="58" t="str">
        <f>IF([1]weekly_demand!A750="","",[1]weekly_demand!A750)</f>
        <v/>
      </c>
      <c r="B749" s="59" t="str">
        <f>IF($A749="","",[1]weekly_demand!F750)</f>
        <v/>
      </c>
      <c r="C749" s="60" t="str">
        <f>IF($A749="","",[1]weekly_demand!H750)</f>
        <v/>
      </c>
      <c r="D749" s="61" t="str">
        <f>IF($A749="","",IF(SUMIFS([1]Fixture_Capacity_Input!$C:$C,[1]Fixture_Capacity_Input!$A:$A,$B749,[1]Fixture_Capacity_Input!$B:$B,$C749)&gt;0,SUMIFS([1]Fixture_Capacity_Input!$C:$C,[1]Fixture_Capacity_Input!$A:$A,$B749,[1]Fixture_Capacity_Input!$B:$B,$C749),[1]weekly_demand!G750))</f>
        <v/>
      </c>
      <c r="E749" s="62" t="str">
        <f>IF($A749="","",[1]weekly_demand!I750)</f>
        <v/>
      </c>
      <c r="F749" s="61" t="str">
        <f>IF($A749="","",IF($A749&lt;&gt;$A748,IFERROR(INDEX([1]FG_Begin_Inventory!$B:$B,MATCH($A749,[1]FG_Begin_Inventory!$A:$A,0)),0),J748))</f>
        <v/>
      </c>
      <c r="G749" s="61" t="str">
        <f t="shared" si="80"/>
        <v/>
      </c>
      <c r="H749" s="62" t="str">
        <f t="shared" si="81"/>
        <v/>
      </c>
      <c r="I749" s="62" t="str">
        <f t="shared" si="82"/>
        <v/>
      </c>
      <c r="J749" s="62" t="str">
        <f t="shared" si="83"/>
        <v/>
      </c>
      <c r="K749" s="62" t="str">
        <f t="shared" si="84"/>
        <v/>
      </c>
      <c r="L749" s="62" t="str">
        <f t="shared" si="85"/>
        <v/>
      </c>
      <c r="M749" s="63" t="str">
        <f t="shared" si="86"/>
        <v/>
      </c>
      <c r="N749" s="64"/>
    </row>
    <row r="750" spans="1:14" x14ac:dyDescent="0.3">
      <c r="A750" s="58" t="str">
        <f>IF([1]weekly_demand!A751="","",[1]weekly_demand!A751)</f>
        <v/>
      </c>
      <c r="B750" s="59" t="str">
        <f>IF($A750="","",[1]weekly_demand!F751)</f>
        <v/>
      </c>
      <c r="C750" s="60" t="str">
        <f>IF($A750="","",[1]weekly_demand!H751)</f>
        <v/>
      </c>
      <c r="D750" s="61" t="str">
        <f>IF($A750="","",IF(SUMIFS([1]Fixture_Capacity_Input!$C:$C,[1]Fixture_Capacity_Input!$A:$A,$B750,[1]Fixture_Capacity_Input!$B:$B,$C750)&gt;0,SUMIFS([1]Fixture_Capacity_Input!$C:$C,[1]Fixture_Capacity_Input!$A:$A,$B750,[1]Fixture_Capacity_Input!$B:$B,$C750),[1]weekly_demand!G751))</f>
        <v/>
      </c>
      <c r="E750" s="62" t="str">
        <f>IF($A750="","",[1]weekly_demand!I751)</f>
        <v/>
      </c>
      <c r="F750" s="61" t="str">
        <f>IF($A750="","",IF($A750&lt;&gt;$A749,IFERROR(INDEX([1]FG_Begin_Inventory!$B:$B,MATCH($A750,[1]FG_Begin_Inventory!$A:$A,0)),0),J749))</f>
        <v/>
      </c>
      <c r="G750" s="61" t="str">
        <f t="shared" si="80"/>
        <v/>
      </c>
      <c r="H750" s="62" t="str">
        <f t="shared" si="81"/>
        <v/>
      </c>
      <c r="I750" s="62" t="str">
        <f t="shared" si="82"/>
        <v/>
      </c>
      <c r="J750" s="62" t="str">
        <f t="shared" si="83"/>
        <v/>
      </c>
      <c r="K750" s="62" t="str">
        <f t="shared" si="84"/>
        <v/>
      </c>
      <c r="L750" s="62" t="str">
        <f t="shared" si="85"/>
        <v/>
      </c>
      <c r="M750" s="63" t="str">
        <f t="shared" si="86"/>
        <v/>
      </c>
      <c r="N750" s="64"/>
    </row>
    <row r="751" spans="1:14" x14ac:dyDescent="0.3">
      <c r="A751" s="58" t="str">
        <f>IF([1]weekly_demand!A752="","",[1]weekly_demand!A752)</f>
        <v/>
      </c>
      <c r="B751" s="59" t="str">
        <f>IF($A751="","",[1]weekly_demand!F752)</f>
        <v/>
      </c>
      <c r="C751" s="60" t="str">
        <f>IF($A751="","",[1]weekly_demand!H752)</f>
        <v/>
      </c>
      <c r="D751" s="61" t="str">
        <f>IF($A751="","",IF(SUMIFS([1]Fixture_Capacity_Input!$C:$C,[1]Fixture_Capacity_Input!$A:$A,$B751,[1]Fixture_Capacity_Input!$B:$B,$C751)&gt;0,SUMIFS([1]Fixture_Capacity_Input!$C:$C,[1]Fixture_Capacity_Input!$A:$A,$B751,[1]Fixture_Capacity_Input!$B:$B,$C751),[1]weekly_demand!G752))</f>
        <v/>
      </c>
      <c r="E751" s="62" t="str">
        <f>IF($A751="","",[1]weekly_demand!I752)</f>
        <v/>
      </c>
      <c r="F751" s="61" t="str">
        <f>IF($A751="","",IF($A751&lt;&gt;$A750,IFERROR(INDEX([1]FG_Begin_Inventory!$B:$B,MATCH($A751,[1]FG_Begin_Inventory!$A:$A,0)),0),J750))</f>
        <v/>
      </c>
      <c r="G751" s="61" t="str">
        <f t="shared" si="80"/>
        <v/>
      </c>
      <c r="H751" s="62" t="str">
        <f t="shared" si="81"/>
        <v/>
      </c>
      <c r="I751" s="62" t="str">
        <f t="shared" si="82"/>
        <v/>
      </c>
      <c r="J751" s="62" t="str">
        <f t="shared" si="83"/>
        <v/>
      </c>
      <c r="K751" s="62" t="str">
        <f t="shared" si="84"/>
        <v/>
      </c>
      <c r="L751" s="62" t="str">
        <f t="shared" si="85"/>
        <v/>
      </c>
      <c r="M751" s="63" t="str">
        <f t="shared" si="86"/>
        <v/>
      </c>
      <c r="N751" s="64"/>
    </row>
    <row r="752" spans="1:14" x14ac:dyDescent="0.3">
      <c r="A752" s="58" t="str">
        <f>IF([1]weekly_demand!A753="","",[1]weekly_demand!A753)</f>
        <v/>
      </c>
      <c r="B752" s="59" t="str">
        <f>IF($A752="","",[1]weekly_demand!F753)</f>
        <v/>
      </c>
      <c r="C752" s="60" t="str">
        <f>IF($A752="","",[1]weekly_demand!H753)</f>
        <v/>
      </c>
      <c r="D752" s="61" t="str">
        <f>IF($A752="","",IF(SUMIFS([1]Fixture_Capacity_Input!$C:$C,[1]Fixture_Capacity_Input!$A:$A,$B752,[1]Fixture_Capacity_Input!$B:$B,$C752)&gt;0,SUMIFS([1]Fixture_Capacity_Input!$C:$C,[1]Fixture_Capacity_Input!$A:$A,$B752,[1]Fixture_Capacity_Input!$B:$B,$C752),[1]weekly_demand!G753))</f>
        <v/>
      </c>
      <c r="E752" s="62" t="str">
        <f>IF($A752="","",[1]weekly_demand!I753)</f>
        <v/>
      </c>
      <c r="F752" s="61" t="str">
        <f>IF($A752="","",IF($A752&lt;&gt;$A751,IFERROR(INDEX([1]FG_Begin_Inventory!$B:$B,MATCH($A752,[1]FG_Begin_Inventory!$A:$A,0)),0),J751))</f>
        <v/>
      </c>
      <c r="G752" s="61" t="str">
        <f t="shared" si="80"/>
        <v/>
      </c>
      <c r="H752" s="62" t="str">
        <f t="shared" si="81"/>
        <v/>
      </c>
      <c r="I752" s="62" t="str">
        <f t="shared" si="82"/>
        <v/>
      </c>
      <c r="J752" s="62" t="str">
        <f t="shared" si="83"/>
        <v/>
      </c>
      <c r="K752" s="62" t="str">
        <f t="shared" si="84"/>
        <v/>
      </c>
      <c r="L752" s="62" t="str">
        <f t="shared" si="85"/>
        <v/>
      </c>
      <c r="M752" s="63" t="str">
        <f t="shared" si="86"/>
        <v/>
      </c>
      <c r="N752" s="64"/>
    </row>
    <row r="753" spans="1:14" x14ac:dyDescent="0.3">
      <c r="A753" s="58" t="str">
        <f>IF([1]weekly_demand!A754="","",[1]weekly_demand!A754)</f>
        <v/>
      </c>
      <c r="B753" s="59" t="str">
        <f>IF($A753="","",[1]weekly_demand!F754)</f>
        <v/>
      </c>
      <c r="C753" s="60" t="str">
        <f>IF($A753="","",[1]weekly_demand!H754)</f>
        <v/>
      </c>
      <c r="D753" s="61" t="str">
        <f>IF($A753="","",IF(SUMIFS([1]Fixture_Capacity_Input!$C:$C,[1]Fixture_Capacity_Input!$A:$A,$B753,[1]Fixture_Capacity_Input!$B:$B,$C753)&gt;0,SUMIFS([1]Fixture_Capacity_Input!$C:$C,[1]Fixture_Capacity_Input!$A:$A,$B753,[1]Fixture_Capacity_Input!$B:$B,$C753),[1]weekly_demand!G754))</f>
        <v/>
      </c>
      <c r="E753" s="62" t="str">
        <f>IF($A753="","",[1]weekly_demand!I754)</f>
        <v/>
      </c>
      <c r="F753" s="61" t="str">
        <f>IF($A753="","",IF($A753&lt;&gt;$A752,IFERROR(INDEX([1]FG_Begin_Inventory!$B:$B,MATCH($A753,[1]FG_Begin_Inventory!$A:$A,0)),0),J752))</f>
        <v/>
      </c>
      <c r="G753" s="61" t="str">
        <f t="shared" si="80"/>
        <v/>
      </c>
      <c r="H753" s="62" t="str">
        <f t="shared" si="81"/>
        <v/>
      </c>
      <c r="I753" s="62" t="str">
        <f t="shared" si="82"/>
        <v/>
      </c>
      <c r="J753" s="62" t="str">
        <f t="shared" si="83"/>
        <v/>
      </c>
      <c r="K753" s="62" t="str">
        <f t="shared" si="84"/>
        <v/>
      </c>
      <c r="L753" s="62" t="str">
        <f t="shared" si="85"/>
        <v/>
      </c>
      <c r="M753" s="63" t="str">
        <f t="shared" si="86"/>
        <v/>
      </c>
      <c r="N753" s="64"/>
    </row>
    <row r="754" spans="1:14" x14ac:dyDescent="0.3">
      <c r="A754" s="58" t="str">
        <f>IF([1]weekly_demand!A755="","",[1]weekly_demand!A755)</f>
        <v/>
      </c>
      <c r="B754" s="59" t="str">
        <f>IF($A754="","",[1]weekly_demand!F755)</f>
        <v/>
      </c>
      <c r="C754" s="60" t="str">
        <f>IF($A754="","",[1]weekly_demand!H755)</f>
        <v/>
      </c>
      <c r="D754" s="61" t="str">
        <f>IF($A754="","",IF(SUMIFS([1]Fixture_Capacity_Input!$C:$C,[1]Fixture_Capacity_Input!$A:$A,$B754,[1]Fixture_Capacity_Input!$B:$B,$C754)&gt;0,SUMIFS([1]Fixture_Capacity_Input!$C:$C,[1]Fixture_Capacity_Input!$A:$A,$B754,[1]Fixture_Capacity_Input!$B:$B,$C754),[1]weekly_demand!G755))</f>
        <v/>
      </c>
      <c r="E754" s="62" t="str">
        <f>IF($A754="","",[1]weekly_demand!I755)</f>
        <v/>
      </c>
      <c r="F754" s="61" t="str">
        <f>IF($A754="","",IF($A754&lt;&gt;$A753,IFERROR(INDEX([1]FG_Begin_Inventory!$B:$B,MATCH($A754,[1]FG_Begin_Inventory!$A:$A,0)),0),J753))</f>
        <v/>
      </c>
      <c r="G754" s="61" t="str">
        <f t="shared" si="80"/>
        <v/>
      </c>
      <c r="H754" s="62" t="str">
        <f t="shared" si="81"/>
        <v/>
      </c>
      <c r="I754" s="62" t="str">
        <f t="shared" si="82"/>
        <v/>
      </c>
      <c r="J754" s="62" t="str">
        <f t="shared" si="83"/>
        <v/>
      </c>
      <c r="K754" s="62" t="str">
        <f t="shared" si="84"/>
        <v/>
      </c>
      <c r="L754" s="62" t="str">
        <f t="shared" si="85"/>
        <v/>
      </c>
      <c r="M754" s="63" t="str">
        <f t="shared" si="86"/>
        <v/>
      </c>
      <c r="N754" s="64"/>
    </row>
    <row r="755" spans="1:14" x14ac:dyDescent="0.3">
      <c r="A755" s="58" t="str">
        <f>IF([1]weekly_demand!A756="","",[1]weekly_demand!A756)</f>
        <v/>
      </c>
      <c r="B755" s="59" t="str">
        <f>IF($A755="","",[1]weekly_demand!F756)</f>
        <v/>
      </c>
      <c r="C755" s="60" t="str">
        <f>IF($A755="","",[1]weekly_demand!H756)</f>
        <v/>
      </c>
      <c r="D755" s="61" t="str">
        <f>IF($A755="","",IF(SUMIFS([1]Fixture_Capacity_Input!$C:$C,[1]Fixture_Capacity_Input!$A:$A,$B755,[1]Fixture_Capacity_Input!$B:$B,$C755)&gt;0,SUMIFS([1]Fixture_Capacity_Input!$C:$C,[1]Fixture_Capacity_Input!$A:$A,$B755,[1]Fixture_Capacity_Input!$B:$B,$C755),[1]weekly_demand!G756))</f>
        <v/>
      </c>
      <c r="E755" s="62" t="str">
        <f>IF($A755="","",[1]weekly_demand!I756)</f>
        <v/>
      </c>
      <c r="F755" s="61" t="str">
        <f>IF($A755="","",IF($A755&lt;&gt;$A754,IFERROR(INDEX([1]FG_Begin_Inventory!$B:$B,MATCH($A755,[1]FG_Begin_Inventory!$A:$A,0)),0),J754))</f>
        <v/>
      </c>
      <c r="G755" s="61" t="str">
        <f t="shared" ref="G755:G818" si="87">IF($A755="","",IF($A755&lt;&gt;$A756,0,MAX(0,G756+E756-D756)))</f>
        <v/>
      </c>
      <c r="H755" s="62" t="str">
        <f t="shared" si="81"/>
        <v/>
      </c>
      <c r="I755" s="62" t="str">
        <f t="shared" si="82"/>
        <v/>
      </c>
      <c r="J755" s="62" t="str">
        <f t="shared" si="83"/>
        <v/>
      </c>
      <c r="K755" s="62" t="str">
        <f t="shared" si="84"/>
        <v/>
      </c>
      <c r="L755" s="62" t="str">
        <f t="shared" si="85"/>
        <v/>
      </c>
      <c r="M755" s="63" t="str">
        <f t="shared" si="86"/>
        <v/>
      </c>
      <c r="N755" s="64"/>
    </row>
    <row r="756" spans="1:14" x14ac:dyDescent="0.3">
      <c r="A756" s="58" t="str">
        <f>IF([1]weekly_demand!A757="","",[1]weekly_demand!A757)</f>
        <v/>
      </c>
      <c r="B756" s="59" t="str">
        <f>IF($A756="","",[1]weekly_demand!F757)</f>
        <v/>
      </c>
      <c r="C756" s="60" t="str">
        <f>IF($A756="","",[1]weekly_demand!H757)</f>
        <v/>
      </c>
      <c r="D756" s="61" t="str">
        <f>IF($A756="","",IF(SUMIFS([1]Fixture_Capacity_Input!$C:$C,[1]Fixture_Capacity_Input!$A:$A,$B756,[1]Fixture_Capacity_Input!$B:$B,$C756)&gt;0,SUMIFS([1]Fixture_Capacity_Input!$C:$C,[1]Fixture_Capacity_Input!$A:$A,$B756,[1]Fixture_Capacity_Input!$B:$B,$C756),[1]weekly_demand!G757))</f>
        <v/>
      </c>
      <c r="E756" s="62" t="str">
        <f>IF($A756="","",[1]weekly_demand!I757)</f>
        <v/>
      </c>
      <c r="F756" s="61" t="str">
        <f>IF($A756="","",IF($A756&lt;&gt;$A755,IFERROR(INDEX([1]FG_Begin_Inventory!$B:$B,MATCH($A756,[1]FG_Begin_Inventory!$A:$A,0)),0),J755))</f>
        <v/>
      </c>
      <c r="G756" s="61" t="str">
        <f t="shared" si="87"/>
        <v/>
      </c>
      <c r="H756" s="62" t="str">
        <f t="shared" si="81"/>
        <v/>
      </c>
      <c r="I756" s="62" t="str">
        <f t="shared" si="82"/>
        <v/>
      </c>
      <c r="J756" s="62" t="str">
        <f t="shared" si="83"/>
        <v/>
      </c>
      <c r="K756" s="62" t="str">
        <f t="shared" si="84"/>
        <v/>
      </c>
      <c r="L756" s="62" t="str">
        <f t="shared" si="85"/>
        <v/>
      </c>
      <c r="M756" s="63" t="str">
        <f t="shared" si="86"/>
        <v/>
      </c>
      <c r="N756" s="64"/>
    </row>
    <row r="757" spans="1:14" x14ac:dyDescent="0.3">
      <c r="A757" s="58" t="str">
        <f>IF([1]weekly_demand!A758="","",[1]weekly_demand!A758)</f>
        <v/>
      </c>
      <c r="B757" s="59" t="str">
        <f>IF($A757="","",[1]weekly_demand!F758)</f>
        <v/>
      </c>
      <c r="C757" s="60" t="str">
        <f>IF($A757="","",[1]weekly_demand!H758)</f>
        <v/>
      </c>
      <c r="D757" s="61" t="str">
        <f>IF($A757="","",IF(SUMIFS([1]Fixture_Capacity_Input!$C:$C,[1]Fixture_Capacity_Input!$A:$A,$B757,[1]Fixture_Capacity_Input!$B:$B,$C757)&gt;0,SUMIFS([1]Fixture_Capacity_Input!$C:$C,[1]Fixture_Capacity_Input!$A:$A,$B757,[1]Fixture_Capacity_Input!$B:$B,$C757),[1]weekly_demand!G758))</f>
        <v/>
      </c>
      <c r="E757" s="62" t="str">
        <f>IF($A757="","",[1]weekly_demand!I758)</f>
        <v/>
      </c>
      <c r="F757" s="61" t="str">
        <f>IF($A757="","",IF($A757&lt;&gt;$A756,IFERROR(INDEX([1]FG_Begin_Inventory!$B:$B,MATCH($A757,[1]FG_Begin_Inventory!$A:$A,0)),0),J756))</f>
        <v/>
      </c>
      <c r="G757" s="61" t="str">
        <f t="shared" si="87"/>
        <v/>
      </c>
      <c r="H757" s="62" t="str">
        <f t="shared" si="81"/>
        <v/>
      </c>
      <c r="I757" s="62" t="str">
        <f t="shared" si="82"/>
        <v/>
      </c>
      <c r="J757" s="62" t="str">
        <f t="shared" si="83"/>
        <v/>
      </c>
      <c r="K757" s="62" t="str">
        <f t="shared" si="84"/>
        <v/>
      </c>
      <c r="L757" s="62" t="str">
        <f t="shared" si="85"/>
        <v/>
      </c>
      <c r="M757" s="63" t="str">
        <f t="shared" si="86"/>
        <v/>
      </c>
      <c r="N757" s="64"/>
    </row>
    <row r="758" spans="1:14" x14ac:dyDescent="0.3">
      <c r="A758" s="58" t="str">
        <f>IF([1]weekly_demand!A759="","",[1]weekly_demand!A759)</f>
        <v/>
      </c>
      <c r="B758" s="59" t="str">
        <f>IF($A758="","",[1]weekly_demand!F759)</f>
        <v/>
      </c>
      <c r="C758" s="60" t="str">
        <f>IF($A758="","",[1]weekly_demand!H759)</f>
        <v/>
      </c>
      <c r="D758" s="61" t="str">
        <f>IF($A758="","",IF(SUMIFS([1]Fixture_Capacity_Input!$C:$C,[1]Fixture_Capacity_Input!$A:$A,$B758,[1]Fixture_Capacity_Input!$B:$B,$C758)&gt;0,SUMIFS([1]Fixture_Capacity_Input!$C:$C,[1]Fixture_Capacity_Input!$A:$A,$B758,[1]Fixture_Capacity_Input!$B:$B,$C758),[1]weekly_demand!G759))</f>
        <v/>
      </c>
      <c r="E758" s="62" t="str">
        <f>IF($A758="","",[1]weekly_demand!I759)</f>
        <v/>
      </c>
      <c r="F758" s="61" t="str">
        <f>IF($A758="","",IF($A758&lt;&gt;$A757,IFERROR(INDEX([1]FG_Begin_Inventory!$B:$B,MATCH($A758,[1]FG_Begin_Inventory!$A:$A,0)),0),J757))</f>
        <v/>
      </c>
      <c r="G758" s="61" t="str">
        <f t="shared" si="87"/>
        <v/>
      </c>
      <c r="H758" s="62" t="str">
        <f t="shared" si="81"/>
        <v/>
      </c>
      <c r="I758" s="62" t="str">
        <f t="shared" si="82"/>
        <v/>
      </c>
      <c r="J758" s="62" t="str">
        <f t="shared" si="83"/>
        <v/>
      </c>
      <c r="K758" s="62" t="str">
        <f t="shared" si="84"/>
        <v/>
      </c>
      <c r="L758" s="62" t="str">
        <f t="shared" si="85"/>
        <v/>
      </c>
      <c r="M758" s="63" t="str">
        <f t="shared" si="86"/>
        <v/>
      </c>
      <c r="N758" s="64"/>
    </row>
    <row r="759" spans="1:14" x14ac:dyDescent="0.3">
      <c r="A759" s="58" t="str">
        <f>IF([1]weekly_demand!A760="","",[1]weekly_demand!A760)</f>
        <v/>
      </c>
      <c r="B759" s="59" t="str">
        <f>IF($A759="","",[1]weekly_demand!F760)</f>
        <v/>
      </c>
      <c r="C759" s="60" t="str">
        <f>IF($A759="","",[1]weekly_demand!H760)</f>
        <v/>
      </c>
      <c r="D759" s="61" t="str">
        <f>IF($A759="","",IF(SUMIFS([1]Fixture_Capacity_Input!$C:$C,[1]Fixture_Capacity_Input!$A:$A,$B759,[1]Fixture_Capacity_Input!$B:$B,$C759)&gt;0,SUMIFS([1]Fixture_Capacity_Input!$C:$C,[1]Fixture_Capacity_Input!$A:$A,$B759,[1]Fixture_Capacity_Input!$B:$B,$C759),[1]weekly_demand!G760))</f>
        <v/>
      </c>
      <c r="E759" s="62" t="str">
        <f>IF($A759="","",[1]weekly_demand!I760)</f>
        <v/>
      </c>
      <c r="F759" s="61" t="str">
        <f>IF($A759="","",IF($A759&lt;&gt;$A758,IFERROR(INDEX([1]FG_Begin_Inventory!$B:$B,MATCH($A759,[1]FG_Begin_Inventory!$A:$A,0)),0),J758))</f>
        <v/>
      </c>
      <c r="G759" s="61" t="str">
        <f t="shared" si="87"/>
        <v/>
      </c>
      <c r="H759" s="62" t="str">
        <f t="shared" si="81"/>
        <v/>
      </c>
      <c r="I759" s="62" t="str">
        <f t="shared" si="82"/>
        <v/>
      </c>
      <c r="J759" s="62" t="str">
        <f t="shared" si="83"/>
        <v/>
      </c>
      <c r="K759" s="62" t="str">
        <f t="shared" si="84"/>
        <v/>
      </c>
      <c r="L759" s="62" t="str">
        <f t="shared" si="85"/>
        <v/>
      </c>
      <c r="M759" s="63" t="str">
        <f t="shared" si="86"/>
        <v/>
      </c>
      <c r="N759" s="64"/>
    </row>
    <row r="760" spans="1:14" x14ac:dyDescent="0.3">
      <c r="A760" s="58" t="str">
        <f>IF([1]weekly_demand!A761="","",[1]weekly_demand!A761)</f>
        <v/>
      </c>
      <c r="B760" s="59" t="str">
        <f>IF($A760="","",[1]weekly_demand!F761)</f>
        <v/>
      </c>
      <c r="C760" s="60" t="str">
        <f>IF($A760="","",[1]weekly_demand!H761)</f>
        <v/>
      </c>
      <c r="D760" s="61" t="str">
        <f>IF($A760="","",IF(SUMIFS([1]Fixture_Capacity_Input!$C:$C,[1]Fixture_Capacity_Input!$A:$A,$B760,[1]Fixture_Capacity_Input!$B:$B,$C760)&gt;0,SUMIFS([1]Fixture_Capacity_Input!$C:$C,[1]Fixture_Capacity_Input!$A:$A,$B760,[1]Fixture_Capacity_Input!$B:$B,$C760),[1]weekly_demand!G761))</f>
        <v/>
      </c>
      <c r="E760" s="62" t="str">
        <f>IF($A760="","",[1]weekly_demand!I761)</f>
        <v/>
      </c>
      <c r="F760" s="61" t="str">
        <f>IF($A760="","",IF($A760&lt;&gt;$A759,IFERROR(INDEX([1]FG_Begin_Inventory!$B:$B,MATCH($A760,[1]FG_Begin_Inventory!$A:$A,0)),0),J759))</f>
        <v/>
      </c>
      <c r="G760" s="61" t="str">
        <f t="shared" si="87"/>
        <v/>
      </c>
      <c r="H760" s="62" t="str">
        <f t="shared" si="81"/>
        <v/>
      </c>
      <c r="I760" s="62" t="str">
        <f t="shared" si="82"/>
        <v/>
      </c>
      <c r="J760" s="62" t="str">
        <f t="shared" si="83"/>
        <v/>
      </c>
      <c r="K760" s="62" t="str">
        <f t="shared" si="84"/>
        <v/>
      </c>
      <c r="L760" s="62" t="str">
        <f t="shared" si="85"/>
        <v/>
      </c>
      <c r="M760" s="63" t="str">
        <f t="shared" si="86"/>
        <v/>
      </c>
      <c r="N760" s="64"/>
    </row>
    <row r="761" spans="1:14" x14ac:dyDescent="0.3">
      <c r="A761" s="58" t="str">
        <f>IF([1]weekly_demand!A762="","",[1]weekly_demand!A762)</f>
        <v/>
      </c>
      <c r="B761" s="59" t="str">
        <f>IF($A761="","",[1]weekly_demand!F762)</f>
        <v/>
      </c>
      <c r="C761" s="60" t="str">
        <f>IF($A761="","",[1]weekly_demand!H762)</f>
        <v/>
      </c>
      <c r="D761" s="61" t="str">
        <f>IF($A761="","",IF(SUMIFS([1]Fixture_Capacity_Input!$C:$C,[1]Fixture_Capacity_Input!$A:$A,$B761,[1]Fixture_Capacity_Input!$B:$B,$C761)&gt;0,SUMIFS([1]Fixture_Capacity_Input!$C:$C,[1]Fixture_Capacity_Input!$A:$A,$B761,[1]Fixture_Capacity_Input!$B:$B,$C761),[1]weekly_demand!G762))</f>
        <v/>
      </c>
      <c r="E761" s="62" t="str">
        <f>IF($A761="","",[1]weekly_demand!I762)</f>
        <v/>
      </c>
      <c r="F761" s="61" t="str">
        <f>IF($A761="","",IF($A761&lt;&gt;$A760,IFERROR(INDEX([1]FG_Begin_Inventory!$B:$B,MATCH($A761,[1]FG_Begin_Inventory!$A:$A,0)),0),J760))</f>
        <v/>
      </c>
      <c r="G761" s="61" t="str">
        <f t="shared" si="87"/>
        <v/>
      </c>
      <c r="H761" s="62" t="str">
        <f t="shared" si="81"/>
        <v/>
      </c>
      <c r="I761" s="62" t="str">
        <f t="shared" si="82"/>
        <v/>
      </c>
      <c r="J761" s="62" t="str">
        <f t="shared" si="83"/>
        <v/>
      </c>
      <c r="K761" s="62" t="str">
        <f t="shared" si="84"/>
        <v/>
      </c>
      <c r="L761" s="62" t="str">
        <f t="shared" si="85"/>
        <v/>
      </c>
      <c r="M761" s="63" t="str">
        <f t="shared" si="86"/>
        <v/>
      </c>
      <c r="N761" s="64"/>
    </row>
    <row r="762" spans="1:14" x14ac:dyDescent="0.3">
      <c r="A762" s="58" t="str">
        <f>IF([1]weekly_demand!A763="","",[1]weekly_demand!A763)</f>
        <v/>
      </c>
      <c r="B762" s="59" t="str">
        <f>IF($A762="","",[1]weekly_demand!F763)</f>
        <v/>
      </c>
      <c r="C762" s="60" t="str">
        <f>IF($A762="","",[1]weekly_demand!H763)</f>
        <v/>
      </c>
      <c r="D762" s="61" t="str">
        <f>IF($A762="","",IF(SUMIFS([1]Fixture_Capacity_Input!$C:$C,[1]Fixture_Capacity_Input!$A:$A,$B762,[1]Fixture_Capacity_Input!$B:$B,$C762)&gt;0,SUMIFS([1]Fixture_Capacity_Input!$C:$C,[1]Fixture_Capacity_Input!$A:$A,$B762,[1]Fixture_Capacity_Input!$B:$B,$C762),[1]weekly_demand!G763))</f>
        <v/>
      </c>
      <c r="E762" s="62" t="str">
        <f>IF($A762="","",[1]weekly_demand!I763)</f>
        <v/>
      </c>
      <c r="F762" s="61" t="str">
        <f>IF($A762="","",IF($A762&lt;&gt;$A761,IFERROR(INDEX([1]FG_Begin_Inventory!$B:$B,MATCH($A762,[1]FG_Begin_Inventory!$A:$A,0)),0),J761))</f>
        <v/>
      </c>
      <c r="G762" s="61" t="str">
        <f t="shared" si="87"/>
        <v/>
      </c>
      <c r="H762" s="62" t="str">
        <f t="shared" si="81"/>
        <v/>
      </c>
      <c r="I762" s="62" t="str">
        <f t="shared" si="82"/>
        <v/>
      </c>
      <c r="J762" s="62" t="str">
        <f t="shared" si="83"/>
        <v/>
      </c>
      <c r="K762" s="62" t="str">
        <f t="shared" si="84"/>
        <v/>
      </c>
      <c r="L762" s="62" t="str">
        <f t="shared" si="85"/>
        <v/>
      </c>
      <c r="M762" s="63" t="str">
        <f t="shared" si="86"/>
        <v/>
      </c>
      <c r="N762" s="64"/>
    </row>
    <row r="763" spans="1:14" x14ac:dyDescent="0.3">
      <c r="A763" s="58" t="str">
        <f>IF([1]weekly_demand!A764="","",[1]weekly_demand!A764)</f>
        <v/>
      </c>
      <c r="B763" s="59" t="str">
        <f>IF($A763="","",[1]weekly_demand!F764)</f>
        <v/>
      </c>
      <c r="C763" s="60" t="str">
        <f>IF($A763="","",[1]weekly_demand!H764)</f>
        <v/>
      </c>
      <c r="D763" s="61" t="str">
        <f>IF($A763="","",IF(SUMIFS([1]Fixture_Capacity_Input!$C:$C,[1]Fixture_Capacity_Input!$A:$A,$B763,[1]Fixture_Capacity_Input!$B:$B,$C763)&gt;0,SUMIFS([1]Fixture_Capacity_Input!$C:$C,[1]Fixture_Capacity_Input!$A:$A,$B763,[1]Fixture_Capacity_Input!$B:$B,$C763),[1]weekly_demand!G764))</f>
        <v/>
      </c>
      <c r="E763" s="62" t="str">
        <f>IF($A763="","",[1]weekly_demand!I764)</f>
        <v/>
      </c>
      <c r="F763" s="61" t="str">
        <f>IF($A763="","",IF($A763&lt;&gt;$A762,IFERROR(INDEX([1]FG_Begin_Inventory!$B:$B,MATCH($A763,[1]FG_Begin_Inventory!$A:$A,0)),0),J762))</f>
        <v/>
      </c>
      <c r="G763" s="61" t="str">
        <f t="shared" si="87"/>
        <v/>
      </c>
      <c r="H763" s="62" t="str">
        <f t="shared" si="81"/>
        <v/>
      </c>
      <c r="I763" s="62" t="str">
        <f t="shared" si="82"/>
        <v/>
      </c>
      <c r="J763" s="62" t="str">
        <f t="shared" si="83"/>
        <v/>
      </c>
      <c r="K763" s="62" t="str">
        <f t="shared" si="84"/>
        <v/>
      </c>
      <c r="L763" s="62" t="str">
        <f t="shared" si="85"/>
        <v/>
      </c>
      <c r="M763" s="63" t="str">
        <f t="shared" si="86"/>
        <v/>
      </c>
      <c r="N763" s="64"/>
    </row>
    <row r="764" spans="1:14" x14ac:dyDescent="0.3">
      <c r="A764" s="58" t="str">
        <f>IF([1]weekly_demand!A765="","",[1]weekly_demand!A765)</f>
        <v/>
      </c>
      <c r="B764" s="59" t="str">
        <f>IF($A764="","",[1]weekly_demand!F765)</f>
        <v/>
      </c>
      <c r="C764" s="60" t="str">
        <f>IF($A764="","",[1]weekly_demand!H765)</f>
        <v/>
      </c>
      <c r="D764" s="61" t="str">
        <f>IF($A764="","",IF(SUMIFS([1]Fixture_Capacity_Input!$C:$C,[1]Fixture_Capacity_Input!$A:$A,$B764,[1]Fixture_Capacity_Input!$B:$B,$C764)&gt;0,SUMIFS([1]Fixture_Capacity_Input!$C:$C,[1]Fixture_Capacity_Input!$A:$A,$B764,[1]Fixture_Capacity_Input!$B:$B,$C764),[1]weekly_demand!G765))</f>
        <v/>
      </c>
      <c r="E764" s="62" t="str">
        <f>IF($A764="","",[1]weekly_demand!I765)</f>
        <v/>
      </c>
      <c r="F764" s="61" t="str">
        <f>IF($A764="","",IF($A764&lt;&gt;$A763,IFERROR(INDEX([1]FG_Begin_Inventory!$B:$B,MATCH($A764,[1]FG_Begin_Inventory!$A:$A,0)),0),J763))</f>
        <v/>
      </c>
      <c r="G764" s="61" t="str">
        <f t="shared" si="87"/>
        <v/>
      </c>
      <c r="H764" s="62" t="str">
        <f t="shared" si="81"/>
        <v/>
      </c>
      <c r="I764" s="62" t="str">
        <f t="shared" si="82"/>
        <v/>
      </c>
      <c r="J764" s="62" t="str">
        <f t="shared" si="83"/>
        <v/>
      </c>
      <c r="K764" s="62" t="str">
        <f t="shared" si="84"/>
        <v/>
      </c>
      <c r="L764" s="62" t="str">
        <f t="shared" si="85"/>
        <v/>
      </c>
      <c r="M764" s="63" t="str">
        <f t="shared" si="86"/>
        <v/>
      </c>
      <c r="N764" s="64"/>
    </row>
    <row r="765" spans="1:14" x14ac:dyDescent="0.3">
      <c r="A765" s="58" t="str">
        <f>IF([1]weekly_demand!A766="","",[1]weekly_demand!A766)</f>
        <v/>
      </c>
      <c r="B765" s="59" t="str">
        <f>IF($A765="","",[1]weekly_demand!F766)</f>
        <v/>
      </c>
      <c r="C765" s="60" t="str">
        <f>IF($A765="","",[1]weekly_demand!H766)</f>
        <v/>
      </c>
      <c r="D765" s="61" t="str">
        <f>IF($A765="","",IF(SUMIFS([1]Fixture_Capacity_Input!$C:$C,[1]Fixture_Capacity_Input!$A:$A,$B765,[1]Fixture_Capacity_Input!$B:$B,$C765)&gt;0,SUMIFS([1]Fixture_Capacity_Input!$C:$C,[1]Fixture_Capacity_Input!$A:$A,$B765,[1]Fixture_Capacity_Input!$B:$B,$C765),[1]weekly_demand!G766))</f>
        <v/>
      </c>
      <c r="E765" s="62" t="str">
        <f>IF($A765="","",[1]weekly_demand!I766)</f>
        <v/>
      </c>
      <c r="F765" s="61" t="str">
        <f>IF($A765="","",IF($A765&lt;&gt;$A764,IFERROR(INDEX([1]FG_Begin_Inventory!$B:$B,MATCH($A765,[1]FG_Begin_Inventory!$A:$A,0)),0),J764))</f>
        <v/>
      </c>
      <c r="G765" s="61" t="str">
        <f t="shared" si="87"/>
        <v/>
      </c>
      <c r="H765" s="62" t="str">
        <f t="shared" si="81"/>
        <v/>
      </c>
      <c r="I765" s="62" t="str">
        <f t="shared" si="82"/>
        <v/>
      </c>
      <c r="J765" s="62" t="str">
        <f t="shared" si="83"/>
        <v/>
      </c>
      <c r="K765" s="62" t="str">
        <f t="shared" si="84"/>
        <v/>
      </c>
      <c r="L765" s="62" t="str">
        <f t="shared" si="85"/>
        <v/>
      </c>
      <c r="M765" s="63" t="str">
        <f t="shared" si="86"/>
        <v/>
      </c>
      <c r="N765" s="64"/>
    </row>
    <row r="766" spans="1:14" x14ac:dyDescent="0.3">
      <c r="A766" s="58" t="str">
        <f>IF([1]weekly_demand!A767="","",[1]weekly_demand!A767)</f>
        <v/>
      </c>
      <c r="B766" s="59" t="str">
        <f>IF($A766="","",[1]weekly_demand!F767)</f>
        <v/>
      </c>
      <c r="C766" s="60" t="str">
        <f>IF($A766="","",[1]weekly_demand!H767)</f>
        <v/>
      </c>
      <c r="D766" s="61" t="str">
        <f>IF($A766="","",IF(SUMIFS([1]Fixture_Capacity_Input!$C:$C,[1]Fixture_Capacity_Input!$A:$A,$B766,[1]Fixture_Capacity_Input!$B:$B,$C766)&gt;0,SUMIFS([1]Fixture_Capacity_Input!$C:$C,[1]Fixture_Capacity_Input!$A:$A,$B766,[1]Fixture_Capacity_Input!$B:$B,$C766),[1]weekly_demand!G767))</f>
        <v/>
      </c>
      <c r="E766" s="62" t="str">
        <f>IF($A766="","",[1]weekly_demand!I767)</f>
        <v/>
      </c>
      <c r="F766" s="61" t="str">
        <f>IF($A766="","",IF($A766&lt;&gt;$A765,IFERROR(INDEX([1]FG_Begin_Inventory!$B:$B,MATCH($A766,[1]FG_Begin_Inventory!$A:$A,0)),0),J765))</f>
        <v/>
      </c>
      <c r="G766" s="61" t="str">
        <f t="shared" si="87"/>
        <v/>
      </c>
      <c r="H766" s="62" t="str">
        <f t="shared" si="81"/>
        <v/>
      </c>
      <c r="I766" s="62" t="str">
        <f t="shared" si="82"/>
        <v/>
      </c>
      <c r="J766" s="62" t="str">
        <f t="shared" si="83"/>
        <v/>
      </c>
      <c r="K766" s="62" t="str">
        <f t="shared" si="84"/>
        <v/>
      </c>
      <c r="L766" s="62" t="str">
        <f t="shared" si="85"/>
        <v/>
      </c>
      <c r="M766" s="63" t="str">
        <f t="shared" si="86"/>
        <v/>
      </c>
      <c r="N766" s="64"/>
    </row>
    <row r="767" spans="1:14" x14ac:dyDescent="0.3">
      <c r="A767" s="58" t="str">
        <f>IF([1]weekly_demand!A768="","",[1]weekly_demand!A768)</f>
        <v/>
      </c>
      <c r="B767" s="59" t="str">
        <f>IF($A767="","",[1]weekly_demand!F768)</f>
        <v/>
      </c>
      <c r="C767" s="60" t="str">
        <f>IF($A767="","",[1]weekly_demand!H768)</f>
        <v/>
      </c>
      <c r="D767" s="61" t="str">
        <f>IF($A767="","",IF(SUMIFS([1]Fixture_Capacity_Input!$C:$C,[1]Fixture_Capacity_Input!$A:$A,$B767,[1]Fixture_Capacity_Input!$B:$B,$C767)&gt;0,SUMIFS([1]Fixture_Capacity_Input!$C:$C,[1]Fixture_Capacity_Input!$A:$A,$B767,[1]Fixture_Capacity_Input!$B:$B,$C767),[1]weekly_demand!G768))</f>
        <v/>
      </c>
      <c r="E767" s="62" t="str">
        <f>IF($A767="","",[1]weekly_demand!I768)</f>
        <v/>
      </c>
      <c r="F767" s="61" t="str">
        <f>IF($A767="","",IF($A767&lt;&gt;$A766,IFERROR(INDEX([1]FG_Begin_Inventory!$B:$B,MATCH($A767,[1]FG_Begin_Inventory!$A:$A,0)),0),J766))</f>
        <v/>
      </c>
      <c r="G767" s="61" t="str">
        <f t="shared" si="87"/>
        <v/>
      </c>
      <c r="H767" s="62" t="str">
        <f t="shared" si="81"/>
        <v/>
      </c>
      <c r="I767" s="62" t="str">
        <f t="shared" si="82"/>
        <v/>
      </c>
      <c r="J767" s="62" t="str">
        <f t="shared" si="83"/>
        <v/>
      </c>
      <c r="K767" s="62" t="str">
        <f t="shared" si="84"/>
        <v/>
      </c>
      <c r="L767" s="62" t="str">
        <f t="shared" si="85"/>
        <v/>
      </c>
      <c r="M767" s="63" t="str">
        <f t="shared" si="86"/>
        <v/>
      </c>
      <c r="N767" s="64"/>
    </row>
    <row r="768" spans="1:14" x14ac:dyDescent="0.3">
      <c r="A768" s="58" t="str">
        <f>IF([1]weekly_demand!A769="","",[1]weekly_demand!A769)</f>
        <v/>
      </c>
      <c r="B768" s="59" t="str">
        <f>IF($A768="","",[1]weekly_demand!F769)</f>
        <v/>
      </c>
      <c r="C768" s="60" t="str">
        <f>IF($A768="","",[1]weekly_demand!H769)</f>
        <v/>
      </c>
      <c r="D768" s="61" t="str">
        <f>IF($A768="","",IF(SUMIFS([1]Fixture_Capacity_Input!$C:$C,[1]Fixture_Capacity_Input!$A:$A,$B768,[1]Fixture_Capacity_Input!$B:$B,$C768)&gt;0,SUMIFS([1]Fixture_Capacity_Input!$C:$C,[1]Fixture_Capacity_Input!$A:$A,$B768,[1]Fixture_Capacity_Input!$B:$B,$C768),[1]weekly_demand!G769))</f>
        <v/>
      </c>
      <c r="E768" s="62" t="str">
        <f>IF($A768="","",[1]weekly_demand!I769)</f>
        <v/>
      </c>
      <c r="F768" s="61" t="str">
        <f>IF($A768="","",IF($A768&lt;&gt;$A767,IFERROR(INDEX([1]FG_Begin_Inventory!$B:$B,MATCH($A768,[1]FG_Begin_Inventory!$A:$A,0)),0),J767))</f>
        <v/>
      </c>
      <c r="G768" s="61" t="str">
        <f t="shared" si="87"/>
        <v/>
      </c>
      <c r="H768" s="62" t="str">
        <f t="shared" si="81"/>
        <v/>
      </c>
      <c r="I768" s="62" t="str">
        <f t="shared" si="82"/>
        <v/>
      </c>
      <c r="J768" s="62" t="str">
        <f t="shared" si="83"/>
        <v/>
      </c>
      <c r="K768" s="62" t="str">
        <f t="shared" si="84"/>
        <v/>
      </c>
      <c r="L768" s="62" t="str">
        <f t="shared" si="85"/>
        <v/>
      </c>
      <c r="M768" s="63" t="str">
        <f t="shared" si="86"/>
        <v/>
      </c>
      <c r="N768" s="64"/>
    </row>
    <row r="769" spans="1:14" x14ac:dyDescent="0.3">
      <c r="A769" s="58" t="str">
        <f>IF([1]weekly_demand!A770="","",[1]weekly_demand!A770)</f>
        <v/>
      </c>
      <c r="B769" s="59" t="str">
        <f>IF($A769="","",[1]weekly_demand!F770)</f>
        <v/>
      </c>
      <c r="C769" s="60" t="str">
        <f>IF($A769="","",[1]weekly_demand!H770)</f>
        <v/>
      </c>
      <c r="D769" s="61" t="str">
        <f>IF($A769="","",IF(SUMIFS([1]Fixture_Capacity_Input!$C:$C,[1]Fixture_Capacity_Input!$A:$A,$B769,[1]Fixture_Capacity_Input!$B:$B,$C769)&gt;0,SUMIFS([1]Fixture_Capacity_Input!$C:$C,[1]Fixture_Capacity_Input!$A:$A,$B769,[1]Fixture_Capacity_Input!$B:$B,$C769),[1]weekly_demand!G770))</f>
        <v/>
      </c>
      <c r="E769" s="62" t="str">
        <f>IF($A769="","",[1]weekly_demand!I770)</f>
        <v/>
      </c>
      <c r="F769" s="61" t="str">
        <f>IF($A769="","",IF($A769&lt;&gt;$A768,IFERROR(INDEX([1]FG_Begin_Inventory!$B:$B,MATCH($A769,[1]FG_Begin_Inventory!$A:$A,0)),0),J768))</f>
        <v/>
      </c>
      <c r="G769" s="61" t="str">
        <f t="shared" si="87"/>
        <v/>
      </c>
      <c r="H769" s="62" t="str">
        <f t="shared" si="81"/>
        <v/>
      </c>
      <c r="I769" s="62" t="str">
        <f t="shared" si="82"/>
        <v/>
      </c>
      <c r="J769" s="62" t="str">
        <f t="shared" si="83"/>
        <v/>
      </c>
      <c r="K769" s="62" t="str">
        <f t="shared" si="84"/>
        <v/>
      </c>
      <c r="L769" s="62" t="str">
        <f t="shared" si="85"/>
        <v/>
      </c>
      <c r="M769" s="63" t="str">
        <f t="shared" si="86"/>
        <v/>
      </c>
      <c r="N769" s="64"/>
    </row>
    <row r="770" spans="1:14" x14ac:dyDescent="0.3">
      <c r="A770" s="58" t="str">
        <f>IF([1]weekly_demand!A771="","",[1]weekly_demand!A771)</f>
        <v/>
      </c>
      <c r="B770" s="59" t="str">
        <f>IF($A770="","",[1]weekly_demand!F771)</f>
        <v/>
      </c>
      <c r="C770" s="60" t="str">
        <f>IF($A770="","",[1]weekly_demand!H771)</f>
        <v/>
      </c>
      <c r="D770" s="61" t="str">
        <f>IF($A770="","",IF(SUMIFS([1]Fixture_Capacity_Input!$C:$C,[1]Fixture_Capacity_Input!$A:$A,$B770,[1]Fixture_Capacity_Input!$B:$B,$C770)&gt;0,SUMIFS([1]Fixture_Capacity_Input!$C:$C,[1]Fixture_Capacity_Input!$A:$A,$B770,[1]Fixture_Capacity_Input!$B:$B,$C770),[1]weekly_demand!G771))</f>
        <v/>
      </c>
      <c r="E770" s="62" t="str">
        <f>IF($A770="","",[1]weekly_demand!I771)</f>
        <v/>
      </c>
      <c r="F770" s="61" t="str">
        <f>IF($A770="","",IF($A770&lt;&gt;$A769,IFERROR(INDEX([1]FG_Begin_Inventory!$B:$B,MATCH($A770,[1]FG_Begin_Inventory!$A:$A,0)),0),J769))</f>
        <v/>
      </c>
      <c r="G770" s="61" t="str">
        <f t="shared" si="87"/>
        <v/>
      </c>
      <c r="H770" s="62" t="str">
        <f t="shared" ref="H770:H833" si="88">IF($A770="","",MAX(0,E770+G770-F770))</f>
        <v/>
      </c>
      <c r="I770" s="62" t="str">
        <f t="shared" ref="I770:I833" si="89">IF($A770="","",MIN(D770,H770))</f>
        <v/>
      </c>
      <c r="J770" s="62" t="str">
        <f t="shared" ref="J770:J833" si="90">IF($A770="","",MAX(0,F770+I770-E770))</f>
        <v/>
      </c>
      <c r="K770" s="62" t="str">
        <f t="shared" ref="K770:K833" si="91">IF($A770="","",MAX(0,E770-F770-I770))</f>
        <v/>
      </c>
      <c r="L770" s="62" t="str">
        <f t="shared" ref="L770:L833" si="92">IF($A770="","",MAX(0,F770+I770-E770))</f>
        <v/>
      </c>
      <c r="M770" s="63" t="str">
        <f t="shared" ref="M770:M833" si="93">IF($A770="","",IFERROR(I770/D770,0))</f>
        <v/>
      </c>
      <c r="N770" s="64"/>
    </row>
    <row r="771" spans="1:14" x14ac:dyDescent="0.3">
      <c r="A771" s="58" t="str">
        <f>IF([1]weekly_demand!A772="","",[1]weekly_demand!A772)</f>
        <v/>
      </c>
      <c r="B771" s="59" t="str">
        <f>IF($A771="","",[1]weekly_demand!F772)</f>
        <v/>
      </c>
      <c r="C771" s="60" t="str">
        <f>IF($A771="","",[1]weekly_demand!H772)</f>
        <v/>
      </c>
      <c r="D771" s="61" t="str">
        <f>IF($A771="","",IF(SUMIFS([1]Fixture_Capacity_Input!$C:$C,[1]Fixture_Capacity_Input!$A:$A,$B771,[1]Fixture_Capacity_Input!$B:$B,$C771)&gt;0,SUMIFS([1]Fixture_Capacity_Input!$C:$C,[1]Fixture_Capacity_Input!$A:$A,$B771,[1]Fixture_Capacity_Input!$B:$B,$C771),[1]weekly_demand!G772))</f>
        <v/>
      </c>
      <c r="E771" s="62" t="str">
        <f>IF($A771="","",[1]weekly_demand!I772)</f>
        <v/>
      </c>
      <c r="F771" s="61" t="str">
        <f>IF($A771="","",IF($A771&lt;&gt;$A770,IFERROR(INDEX([1]FG_Begin_Inventory!$B:$B,MATCH($A771,[1]FG_Begin_Inventory!$A:$A,0)),0),J770))</f>
        <v/>
      </c>
      <c r="G771" s="61" t="str">
        <f t="shared" si="87"/>
        <v/>
      </c>
      <c r="H771" s="62" t="str">
        <f t="shared" si="88"/>
        <v/>
      </c>
      <c r="I771" s="62" t="str">
        <f t="shared" si="89"/>
        <v/>
      </c>
      <c r="J771" s="62" t="str">
        <f t="shared" si="90"/>
        <v/>
      </c>
      <c r="K771" s="62" t="str">
        <f t="shared" si="91"/>
        <v/>
      </c>
      <c r="L771" s="62" t="str">
        <f t="shared" si="92"/>
        <v/>
      </c>
      <c r="M771" s="63" t="str">
        <f t="shared" si="93"/>
        <v/>
      </c>
      <c r="N771" s="64"/>
    </row>
    <row r="772" spans="1:14" x14ac:dyDescent="0.3">
      <c r="A772" s="58" t="str">
        <f>IF([1]weekly_demand!A773="","",[1]weekly_demand!A773)</f>
        <v/>
      </c>
      <c r="B772" s="59" t="str">
        <f>IF($A772="","",[1]weekly_demand!F773)</f>
        <v/>
      </c>
      <c r="C772" s="60" t="str">
        <f>IF($A772="","",[1]weekly_demand!H773)</f>
        <v/>
      </c>
      <c r="D772" s="61" t="str">
        <f>IF($A772="","",IF(SUMIFS([1]Fixture_Capacity_Input!$C:$C,[1]Fixture_Capacity_Input!$A:$A,$B772,[1]Fixture_Capacity_Input!$B:$B,$C772)&gt;0,SUMIFS([1]Fixture_Capacity_Input!$C:$C,[1]Fixture_Capacity_Input!$A:$A,$B772,[1]Fixture_Capacity_Input!$B:$B,$C772),[1]weekly_demand!G773))</f>
        <v/>
      </c>
      <c r="E772" s="62" t="str">
        <f>IF($A772="","",[1]weekly_demand!I773)</f>
        <v/>
      </c>
      <c r="F772" s="61" t="str">
        <f>IF($A772="","",IF($A772&lt;&gt;$A771,IFERROR(INDEX([1]FG_Begin_Inventory!$B:$B,MATCH($A772,[1]FG_Begin_Inventory!$A:$A,0)),0),J771))</f>
        <v/>
      </c>
      <c r="G772" s="61" t="str">
        <f t="shared" si="87"/>
        <v/>
      </c>
      <c r="H772" s="62" t="str">
        <f t="shared" si="88"/>
        <v/>
      </c>
      <c r="I772" s="62" t="str">
        <f t="shared" si="89"/>
        <v/>
      </c>
      <c r="J772" s="62" t="str">
        <f t="shared" si="90"/>
        <v/>
      </c>
      <c r="K772" s="62" t="str">
        <f t="shared" si="91"/>
        <v/>
      </c>
      <c r="L772" s="62" t="str">
        <f t="shared" si="92"/>
        <v/>
      </c>
      <c r="M772" s="63" t="str">
        <f t="shared" si="93"/>
        <v/>
      </c>
      <c r="N772" s="64"/>
    </row>
    <row r="773" spans="1:14" x14ac:dyDescent="0.3">
      <c r="A773" s="58" t="str">
        <f>IF([1]weekly_demand!A774="","",[1]weekly_demand!A774)</f>
        <v/>
      </c>
      <c r="B773" s="59" t="str">
        <f>IF($A773="","",[1]weekly_demand!F774)</f>
        <v/>
      </c>
      <c r="C773" s="60" t="str">
        <f>IF($A773="","",[1]weekly_demand!H774)</f>
        <v/>
      </c>
      <c r="D773" s="61" t="str">
        <f>IF($A773="","",IF(SUMIFS([1]Fixture_Capacity_Input!$C:$C,[1]Fixture_Capacity_Input!$A:$A,$B773,[1]Fixture_Capacity_Input!$B:$B,$C773)&gt;0,SUMIFS([1]Fixture_Capacity_Input!$C:$C,[1]Fixture_Capacity_Input!$A:$A,$B773,[1]Fixture_Capacity_Input!$B:$B,$C773),[1]weekly_demand!G774))</f>
        <v/>
      </c>
      <c r="E773" s="62" t="str">
        <f>IF($A773="","",[1]weekly_demand!I774)</f>
        <v/>
      </c>
      <c r="F773" s="61" t="str">
        <f>IF($A773="","",IF($A773&lt;&gt;$A772,IFERROR(INDEX([1]FG_Begin_Inventory!$B:$B,MATCH($A773,[1]FG_Begin_Inventory!$A:$A,0)),0),J772))</f>
        <v/>
      </c>
      <c r="G773" s="61" t="str">
        <f t="shared" si="87"/>
        <v/>
      </c>
      <c r="H773" s="62" t="str">
        <f t="shared" si="88"/>
        <v/>
      </c>
      <c r="I773" s="62" t="str">
        <f t="shared" si="89"/>
        <v/>
      </c>
      <c r="J773" s="62" t="str">
        <f t="shared" si="90"/>
        <v/>
      </c>
      <c r="K773" s="62" t="str">
        <f t="shared" si="91"/>
        <v/>
      </c>
      <c r="L773" s="62" t="str">
        <f t="shared" si="92"/>
        <v/>
      </c>
      <c r="M773" s="63" t="str">
        <f t="shared" si="93"/>
        <v/>
      </c>
      <c r="N773" s="64"/>
    </row>
    <row r="774" spans="1:14" x14ac:dyDescent="0.3">
      <c r="A774" s="58" t="str">
        <f>IF([1]weekly_demand!A775="","",[1]weekly_demand!A775)</f>
        <v/>
      </c>
      <c r="B774" s="59" t="str">
        <f>IF($A774="","",[1]weekly_demand!F775)</f>
        <v/>
      </c>
      <c r="C774" s="60" t="str">
        <f>IF($A774="","",[1]weekly_demand!H775)</f>
        <v/>
      </c>
      <c r="D774" s="61" t="str">
        <f>IF($A774="","",IF(SUMIFS([1]Fixture_Capacity_Input!$C:$C,[1]Fixture_Capacity_Input!$A:$A,$B774,[1]Fixture_Capacity_Input!$B:$B,$C774)&gt;0,SUMIFS([1]Fixture_Capacity_Input!$C:$C,[1]Fixture_Capacity_Input!$A:$A,$B774,[1]Fixture_Capacity_Input!$B:$B,$C774),[1]weekly_demand!G775))</f>
        <v/>
      </c>
      <c r="E774" s="62" t="str">
        <f>IF($A774="","",[1]weekly_demand!I775)</f>
        <v/>
      </c>
      <c r="F774" s="61" t="str">
        <f>IF($A774="","",IF($A774&lt;&gt;$A773,IFERROR(INDEX([1]FG_Begin_Inventory!$B:$B,MATCH($A774,[1]FG_Begin_Inventory!$A:$A,0)),0),J773))</f>
        <v/>
      </c>
      <c r="G774" s="61" t="str">
        <f t="shared" si="87"/>
        <v/>
      </c>
      <c r="H774" s="62" t="str">
        <f t="shared" si="88"/>
        <v/>
      </c>
      <c r="I774" s="62" t="str">
        <f t="shared" si="89"/>
        <v/>
      </c>
      <c r="J774" s="62" t="str">
        <f t="shared" si="90"/>
        <v/>
      </c>
      <c r="K774" s="62" t="str">
        <f t="shared" si="91"/>
        <v/>
      </c>
      <c r="L774" s="62" t="str">
        <f t="shared" si="92"/>
        <v/>
      </c>
      <c r="M774" s="63" t="str">
        <f t="shared" si="93"/>
        <v/>
      </c>
      <c r="N774" s="64"/>
    </row>
    <row r="775" spans="1:14" x14ac:dyDescent="0.3">
      <c r="A775" s="58" t="str">
        <f>IF([1]weekly_demand!A776="","",[1]weekly_demand!A776)</f>
        <v/>
      </c>
      <c r="B775" s="59" t="str">
        <f>IF($A775="","",[1]weekly_demand!F776)</f>
        <v/>
      </c>
      <c r="C775" s="60" t="str">
        <f>IF($A775="","",[1]weekly_demand!H776)</f>
        <v/>
      </c>
      <c r="D775" s="61" t="str">
        <f>IF($A775="","",IF(SUMIFS([1]Fixture_Capacity_Input!$C:$C,[1]Fixture_Capacity_Input!$A:$A,$B775,[1]Fixture_Capacity_Input!$B:$B,$C775)&gt;0,SUMIFS([1]Fixture_Capacity_Input!$C:$C,[1]Fixture_Capacity_Input!$A:$A,$B775,[1]Fixture_Capacity_Input!$B:$B,$C775),[1]weekly_demand!G776))</f>
        <v/>
      </c>
      <c r="E775" s="62" t="str">
        <f>IF($A775="","",[1]weekly_demand!I776)</f>
        <v/>
      </c>
      <c r="F775" s="61" t="str">
        <f>IF($A775="","",IF($A775&lt;&gt;$A774,IFERROR(INDEX([1]FG_Begin_Inventory!$B:$B,MATCH($A775,[1]FG_Begin_Inventory!$A:$A,0)),0),J774))</f>
        <v/>
      </c>
      <c r="G775" s="61" t="str">
        <f t="shared" si="87"/>
        <v/>
      </c>
      <c r="H775" s="62" t="str">
        <f t="shared" si="88"/>
        <v/>
      </c>
      <c r="I775" s="62" t="str">
        <f t="shared" si="89"/>
        <v/>
      </c>
      <c r="J775" s="62" t="str">
        <f t="shared" si="90"/>
        <v/>
      </c>
      <c r="K775" s="62" t="str">
        <f t="shared" si="91"/>
        <v/>
      </c>
      <c r="L775" s="62" t="str">
        <f t="shared" si="92"/>
        <v/>
      </c>
      <c r="M775" s="63" t="str">
        <f t="shared" si="93"/>
        <v/>
      </c>
      <c r="N775" s="64"/>
    </row>
    <row r="776" spans="1:14" x14ac:dyDescent="0.3">
      <c r="A776" s="58" t="str">
        <f>IF([1]weekly_demand!A777="","",[1]weekly_demand!A777)</f>
        <v/>
      </c>
      <c r="B776" s="59" t="str">
        <f>IF($A776="","",[1]weekly_demand!F777)</f>
        <v/>
      </c>
      <c r="C776" s="60" t="str">
        <f>IF($A776="","",[1]weekly_demand!H777)</f>
        <v/>
      </c>
      <c r="D776" s="61" t="str">
        <f>IF($A776="","",IF(SUMIFS([1]Fixture_Capacity_Input!$C:$C,[1]Fixture_Capacity_Input!$A:$A,$B776,[1]Fixture_Capacity_Input!$B:$B,$C776)&gt;0,SUMIFS([1]Fixture_Capacity_Input!$C:$C,[1]Fixture_Capacity_Input!$A:$A,$B776,[1]Fixture_Capacity_Input!$B:$B,$C776),[1]weekly_demand!G777))</f>
        <v/>
      </c>
      <c r="E776" s="62" t="str">
        <f>IF($A776="","",[1]weekly_demand!I777)</f>
        <v/>
      </c>
      <c r="F776" s="61" t="str">
        <f>IF($A776="","",IF($A776&lt;&gt;$A775,IFERROR(INDEX([1]FG_Begin_Inventory!$B:$B,MATCH($A776,[1]FG_Begin_Inventory!$A:$A,0)),0),J775))</f>
        <v/>
      </c>
      <c r="G776" s="61" t="str">
        <f t="shared" si="87"/>
        <v/>
      </c>
      <c r="H776" s="62" t="str">
        <f t="shared" si="88"/>
        <v/>
      </c>
      <c r="I776" s="62" t="str">
        <f t="shared" si="89"/>
        <v/>
      </c>
      <c r="J776" s="62" t="str">
        <f t="shared" si="90"/>
        <v/>
      </c>
      <c r="K776" s="62" t="str">
        <f t="shared" si="91"/>
        <v/>
      </c>
      <c r="L776" s="62" t="str">
        <f t="shared" si="92"/>
        <v/>
      </c>
      <c r="M776" s="63" t="str">
        <f t="shared" si="93"/>
        <v/>
      </c>
      <c r="N776" s="64"/>
    </row>
    <row r="777" spans="1:14" x14ac:dyDescent="0.3">
      <c r="A777" s="58" t="str">
        <f>IF([1]weekly_demand!A778="","",[1]weekly_demand!A778)</f>
        <v/>
      </c>
      <c r="B777" s="59" t="str">
        <f>IF($A777="","",[1]weekly_demand!F778)</f>
        <v/>
      </c>
      <c r="C777" s="60" t="str">
        <f>IF($A777="","",[1]weekly_demand!H778)</f>
        <v/>
      </c>
      <c r="D777" s="61" t="str">
        <f>IF($A777="","",IF(SUMIFS([1]Fixture_Capacity_Input!$C:$C,[1]Fixture_Capacity_Input!$A:$A,$B777,[1]Fixture_Capacity_Input!$B:$B,$C777)&gt;0,SUMIFS([1]Fixture_Capacity_Input!$C:$C,[1]Fixture_Capacity_Input!$A:$A,$B777,[1]Fixture_Capacity_Input!$B:$B,$C777),[1]weekly_demand!G778))</f>
        <v/>
      </c>
      <c r="E777" s="62" t="str">
        <f>IF($A777="","",[1]weekly_demand!I778)</f>
        <v/>
      </c>
      <c r="F777" s="61" t="str">
        <f>IF($A777="","",IF($A777&lt;&gt;$A776,IFERROR(INDEX([1]FG_Begin_Inventory!$B:$B,MATCH($A777,[1]FG_Begin_Inventory!$A:$A,0)),0),J776))</f>
        <v/>
      </c>
      <c r="G777" s="61" t="str">
        <f t="shared" si="87"/>
        <v/>
      </c>
      <c r="H777" s="62" t="str">
        <f t="shared" si="88"/>
        <v/>
      </c>
      <c r="I777" s="62" t="str">
        <f t="shared" si="89"/>
        <v/>
      </c>
      <c r="J777" s="62" t="str">
        <f t="shared" si="90"/>
        <v/>
      </c>
      <c r="K777" s="62" t="str">
        <f t="shared" si="91"/>
        <v/>
      </c>
      <c r="L777" s="62" t="str">
        <f t="shared" si="92"/>
        <v/>
      </c>
      <c r="M777" s="63" t="str">
        <f t="shared" si="93"/>
        <v/>
      </c>
      <c r="N777" s="64"/>
    </row>
    <row r="778" spans="1:14" x14ac:dyDescent="0.3">
      <c r="A778" s="58" t="str">
        <f>IF([1]weekly_demand!A779="","",[1]weekly_demand!A779)</f>
        <v/>
      </c>
      <c r="B778" s="59" t="str">
        <f>IF($A778="","",[1]weekly_demand!F779)</f>
        <v/>
      </c>
      <c r="C778" s="60" t="str">
        <f>IF($A778="","",[1]weekly_demand!H779)</f>
        <v/>
      </c>
      <c r="D778" s="61" t="str">
        <f>IF($A778="","",IF(SUMIFS([1]Fixture_Capacity_Input!$C:$C,[1]Fixture_Capacity_Input!$A:$A,$B778,[1]Fixture_Capacity_Input!$B:$B,$C778)&gt;0,SUMIFS([1]Fixture_Capacity_Input!$C:$C,[1]Fixture_Capacity_Input!$A:$A,$B778,[1]Fixture_Capacity_Input!$B:$B,$C778),[1]weekly_demand!G779))</f>
        <v/>
      </c>
      <c r="E778" s="62" t="str">
        <f>IF($A778="","",[1]weekly_demand!I779)</f>
        <v/>
      </c>
      <c r="F778" s="61" t="str">
        <f>IF($A778="","",IF($A778&lt;&gt;$A777,IFERROR(INDEX([1]FG_Begin_Inventory!$B:$B,MATCH($A778,[1]FG_Begin_Inventory!$A:$A,0)),0),J777))</f>
        <v/>
      </c>
      <c r="G778" s="61" t="str">
        <f t="shared" si="87"/>
        <v/>
      </c>
      <c r="H778" s="62" t="str">
        <f t="shared" si="88"/>
        <v/>
      </c>
      <c r="I778" s="62" t="str">
        <f t="shared" si="89"/>
        <v/>
      </c>
      <c r="J778" s="62" t="str">
        <f t="shared" si="90"/>
        <v/>
      </c>
      <c r="K778" s="62" t="str">
        <f t="shared" si="91"/>
        <v/>
      </c>
      <c r="L778" s="62" t="str">
        <f t="shared" si="92"/>
        <v/>
      </c>
      <c r="M778" s="63" t="str">
        <f t="shared" si="93"/>
        <v/>
      </c>
      <c r="N778" s="64"/>
    </row>
    <row r="779" spans="1:14" x14ac:dyDescent="0.3">
      <c r="A779" s="58" t="str">
        <f>IF([1]weekly_demand!A780="","",[1]weekly_demand!A780)</f>
        <v/>
      </c>
      <c r="B779" s="59" t="str">
        <f>IF($A779="","",[1]weekly_demand!F780)</f>
        <v/>
      </c>
      <c r="C779" s="60" t="str">
        <f>IF($A779="","",[1]weekly_demand!H780)</f>
        <v/>
      </c>
      <c r="D779" s="61" t="str">
        <f>IF($A779="","",IF(SUMIFS([1]Fixture_Capacity_Input!$C:$C,[1]Fixture_Capacity_Input!$A:$A,$B779,[1]Fixture_Capacity_Input!$B:$B,$C779)&gt;0,SUMIFS([1]Fixture_Capacity_Input!$C:$C,[1]Fixture_Capacity_Input!$A:$A,$B779,[1]Fixture_Capacity_Input!$B:$B,$C779),[1]weekly_demand!G780))</f>
        <v/>
      </c>
      <c r="E779" s="62" t="str">
        <f>IF($A779="","",[1]weekly_demand!I780)</f>
        <v/>
      </c>
      <c r="F779" s="61" t="str">
        <f>IF($A779="","",IF($A779&lt;&gt;$A778,IFERROR(INDEX([1]FG_Begin_Inventory!$B:$B,MATCH($A779,[1]FG_Begin_Inventory!$A:$A,0)),0),J778))</f>
        <v/>
      </c>
      <c r="G779" s="61" t="str">
        <f t="shared" si="87"/>
        <v/>
      </c>
      <c r="H779" s="62" t="str">
        <f t="shared" si="88"/>
        <v/>
      </c>
      <c r="I779" s="62" t="str">
        <f t="shared" si="89"/>
        <v/>
      </c>
      <c r="J779" s="62" t="str">
        <f t="shared" si="90"/>
        <v/>
      </c>
      <c r="K779" s="62" t="str">
        <f t="shared" si="91"/>
        <v/>
      </c>
      <c r="L779" s="62" t="str">
        <f t="shared" si="92"/>
        <v/>
      </c>
      <c r="M779" s="63" t="str">
        <f t="shared" si="93"/>
        <v/>
      </c>
      <c r="N779" s="64"/>
    </row>
    <row r="780" spans="1:14" x14ac:dyDescent="0.3">
      <c r="A780" s="58" t="str">
        <f>IF([1]weekly_demand!A781="","",[1]weekly_demand!A781)</f>
        <v/>
      </c>
      <c r="B780" s="59" t="str">
        <f>IF($A780="","",[1]weekly_demand!F781)</f>
        <v/>
      </c>
      <c r="C780" s="60" t="str">
        <f>IF($A780="","",[1]weekly_demand!H781)</f>
        <v/>
      </c>
      <c r="D780" s="61" t="str">
        <f>IF($A780="","",IF(SUMIFS([1]Fixture_Capacity_Input!$C:$C,[1]Fixture_Capacity_Input!$A:$A,$B780,[1]Fixture_Capacity_Input!$B:$B,$C780)&gt;0,SUMIFS([1]Fixture_Capacity_Input!$C:$C,[1]Fixture_Capacity_Input!$A:$A,$B780,[1]Fixture_Capacity_Input!$B:$B,$C780),[1]weekly_demand!G781))</f>
        <v/>
      </c>
      <c r="E780" s="62" t="str">
        <f>IF($A780="","",[1]weekly_demand!I781)</f>
        <v/>
      </c>
      <c r="F780" s="61" t="str">
        <f>IF($A780="","",IF($A780&lt;&gt;$A779,IFERROR(INDEX([1]FG_Begin_Inventory!$B:$B,MATCH($A780,[1]FG_Begin_Inventory!$A:$A,0)),0),J779))</f>
        <v/>
      </c>
      <c r="G780" s="61" t="str">
        <f t="shared" si="87"/>
        <v/>
      </c>
      <c r="H780" s="62" t="str">
        <f t="shared" si="88"/>
        <v/>
      </c>
      <c r="I780" s="62" t="str">
        <f t="shared" si="89"/>
        <v/>
      </c>
      <c r="J780" s="62" t="str">
        <f t="shared" si="90"/>
        <v/>
      </c>
      <c r="K780" s="62" t="str">
        <f t="shared" si="91"/>
        <v/>
      </c>
      <c r="L780" s="62" t="str">
        <f t="shared" si="92"/>
        <v/>
      </c>
      <c r="M780" s="63" t="str">
        <f t="shared" si="93"/>
        <v/>
      </c>
      <c r="N780" s="64"/>
    </row>
    <row r="781" spans="1:14" x14ac:dyDescent="0.3">
      <c r="A781" s="58" t="str">
        <f>IF([1]weekly_demand!A782="","",[1]weekly_demand!A782)</f>
        <v/>
      </c>
      <c r="B781" s="59" t="str">
        <f>IF($A781="","",[1]weekly_demand!F782)</f>
        <v/>
      </c>
      <c r="C781" s="60" t="str">
        <f>IF($A781="","",[1]weekly_demand!H782)</f>
        <v/>
      </c>
      <c r="D781" s="61" t="str">
        <f>IF($A781="","",IF(SUMIFS([1]Fixture_Capacity_Input!$C:$C,[1]Fixture_Capacity_Input!$A:$A,$B781,[1]Fixture_Capacity_Input!$B:$B,$C781)&gt;0,SUMIFS([1]Fixture_Capacity_Input!$C:$C,[1]Fixture_Capacity_Input!$A:$A,$B781,[1]Fixture_Capacity_Input!$B:$B,$C781),[1]weekly_demand!G782))</f>
        <v/>
      </c>
      <c r="E781" s="62" t="str">
        <f>IF($A781="","",[1]weekly_demand!I782)</f>
        <v/>
      </c>
      <c r="F781" s="61" t="str">
        <f>IF($A781="","",IF($A781&lt;&gt;$A780,IFERROR(INDEX([1]FG_Begin_Inventory!$B:$B,MATCH($A781,[1]FG_Begin_Inventory!$A:$A,0)),0),J780))</f>
        <v/>
      </c>
      <c r="G781" s="61" t="str">
        <f t="shared" si="87"/>
        <v/>
      </c>
      <c r="H781" s="62" t="str">
        <f t="shared" si="88"/>
        <v/>
      </c>
      <c r="I781" s="62" t="str">
        <f t="shared" si="89"/>
        <v/>
      </c>
      <c r="J781" s="62" t="str">
        <f t="shared" si="90"/>
        <v/>
      </c>
      <c r="K781" s="62" t="str">
        <f t="shared" si="91"/>
        <v/>
      </c>
      <c r="L781" s="62" t="str">
        <f t="shared" si="92"/>
        <v/>
      </c>
      <c r="M781" s="63" t="str">
        <f t="shared" si="93"/>
        <v/>
      </c>
      <c r="N781" s="64"/>
    </row>
    <row r="782" spans="1:14" x14ac:dyDescent="0.3">
      <c r="A782" s="58" t="str">
        <f>IF([1]weekly_demand!A783="","",[1]weekly_demand!A783)</f>
        <v/>
      </c>
      <c r="B782" s="59" t="str">
        <f>IF($A782="","",[1]weekly_demand!F783)</f>
        <v/>
      </c>
      <c r="C782" s="60" t="str">
        <f>IF($A782="","",[1]weekly_demand!H783)</f>
        <v/>
      </c>
      <c r="D782" s="61" t="str">
        <f>IF($A782="","",IF(SUMIFS([1]Fixture_Capacity_Input!$C:$C,[1]Fixture_Capacity_Input!$A:$A,$B782,[1]Fixture_Capacity_Input!$B:$B,$C782)&gt;0,SUMIFS([1]Fixture_Capacity_Input!$C:$C,[1]Fixture_Capacity_Input!$A:$A,$B782,[1]Fixture_Capacity_Input!$B:$B,$C782),[1]weekly_demand!G783))</f>
        <v/>
      </c>
      <c r="E782" s="62" t="str">
        <f>IF($A782="","",[1]weekly_demand!I783)</f>
        <v/>
      </c>
      <c r="F782" s="61" t="str">
        <f>IF($A782="","",IF($A782&lt;&gt;$A781,IFERROR(INDEX([1]FG_Begin_Inventory!$B:$B,MATCH($A782,[1]FG_Begin_Inventory!$A:$A,0)),0),J781))</f>
        <v/>
      </c>
      <c r="G782" s="61" t="str">
        <f t="shared" si="87"/>
        <v/>
      </c>
      <c r="H782" s="62" t="str">
        <f t="shared" si="88"/>
        <v/>
      </c>
      <c r="I782" s="62" t="str">
        <f t="shared" si="89"/>
        <v/>
      </c>
      <c r="J782" s="62" t="str">
        <f t="shared" si="90"/>
        <v/>
      </c>
      <c r="K782" s="62" t="str">
        <f t="shared" si="91"/>
        <v/>
      </c>
      <c r="L782" s="62" t="str">
        <f t="shared" si="92"/>
        <v/>
      </c>
      <c r="M782" s="63" t="str">
        <f t="shared" si="93"/>
        <v/>
      </c>
      <c r="N782" s="64"/>
    </row>
    <row r="783" spans="1:14" x14ac:dyDescent="0.3">
      <c r="A783" s="58" t="str">
        <f>IF([1]weekly_demand!A784="","",[1]weekly_demand!A784)</f>
        <v/>
      </c>
      <c r="B783" s="59" t="str">
        <f>IF($A783="","",[1]weekly_demand!F784)</f>
        <v/>
      </c>
      <c r="C783" s="60" t="str">
        <f>IF($A783="","",[1]weekly_demand!H784)</f>
        <v/>
      </c>
      <c r="D783" s="61" t="str">
        <f>IF($A783="","",IF(SUMIFS([1]Fixture_Capacity_Input!$C:$C,[1]Fixture_Capacity_Input!$A:$A,$B783,[1]Fixture_Capacity_Input!$B:$B,$C783)&gt;0,SUMIFS([1]Fixture_Capacity_Input!$C:$C,[1]Fixture_Capacity_Input!$A:$A,$B783,[1]Fixture_Capacity_Input!$B:$B,$C783),[1]weekly_demand!G784))</f>
        <v/>
      </c>
      <c r="E783" s="62" t="str">
        <f>IF($A783="","",[1]weekly_demand!I784)</f>
        <v/>
      </c>
      <c r="F783" s="61" t="str">
        <f>IF($A783="","",IF($A783&lt;&gt;$A782,IFERROR(INDEX([1]FG_Begin_Inventory!$B:$B,MATCH($A783,[1]FG_Begin_Inventory!$A:$A,0)),0),J782))</f>
        <v/>
      </c>
      <c r="G783" s="61" t="str">
        <f t="shared" si="87"/>
        <v/>
      </c>
      <c r="H783" s="62" t="str">
        <f t="shared" si="88"/>
        <v/>
      </c>
      <c r="I783" s="62" t="str">
        <f t="shared" si="89"/>
        <v/>
      </c>
      <c r="J783" s="62" t="str">
        <f t="shared" si="90"/>
        <v/>
      </c>
      <c r="K783" s="62" t="str">
        <f t="shared" si="91"/>
        <v/>
      </c>
      <c r="L783" s="62" t="str">
        <f t="shared" si="92"/>
        <v/>
      </c>
      <c r="M783" s="63" t="str">
        <f t="shared" si="93"/>
        <v/>
      </c>
      <c r="N783" s="64"/>
    </row>
    <row r="784" spans="1:14" x14ac:dyDescent="0.3">
      <c r="A784" s="58" t="str">
        <f>IF([1]weekly_demand!A785="","",[1]weekly_demand!A785)</f>
        <v/>
      </c>
      <c r="B784" s="59" t="str">
        <f>IF($A784="","",[1]weekly_demand!F785)</f>
        <v/>
      </c>
      <c r="C784" s="60" t="str">
        <f>IF($A784="","",[1]weekly_demand!H785)</f>
        <v/>
      </c>
      <c r="D784" s="61" t="str">
        <f>IF($A784="","",IF(SUMIFS([1]Fixture_Capacity_Input!$C:$C,[1]Fixture_Capacity_Input!$A:$A,$B784,[1]Fixture_Capacity_Input!$B:$B,$C784)&gt;0,SUMIFS([1]Fixture_Capacity_Input!$C:$C,[1]Fixture_Capacity_Input!$A:$A,$B784,[1]Fixture_Capacity_Input!$B:$B,$C784),[1]weekly_demand!G785))</f>
        <v/>
      </c>
      <c r="E784" s="62" t="str">
        <f>IF($A784="","",[1]weekly_demand!I785)</f>
        <v/>
      </c>
      <c r="F784" s="61" t="str">
        <f>IF($A784="","",IF($A784&lt;&gt;$A783,IFERROR(INDEX([1]FG_Begin_Inventory!$B:$B,MATCH($A784,[1]FG_Begin_Inventory!$A:$A,0)),0),J783))</f>
        <v/>
      </c>
      <c r="G784" s="61" t="str">
        <f t="shared" si="87"/>
        <v/>
      </c>
      <c r="H784" s="62" t="str">
        <f t="shared" si="88"/>
        <v/>
      </c>
      <c r="I784" s="62" t="str">
        <f t="shared" si="89"/>
        <v/>
      </c>
      <c r="J784" s="62" t="str">
        <f t="shared" si="90"/>
        <v/>
      </c>
      <c r="K784" s="62" t="str">
        <f t="shared" si="91"/>
        <v/>
      </c>
      <c r="L784" s="62" t="str">
        <f t="shared" si="92"/>
        <v/>
      </c>
      <c r="M784" s="63" t="str">
        <f t="shared" si="93"/>
        <v/>
      </c>
      <c r="N784" s="64"/>
    </row>
    <row r="785" spans="1:14" x14ac:dyDescent="0.3">
      <c r="A785" s="58" t="str">
        <f>IF([1]weekly_demand!A786="","",[1]weekly_demand!A786)</f>
        <v/>
      </c>
      <c r="B785" s="59" t="str">
        <f>IF($A785="","",[1]weekly_demand!F786)</f>
        <v/>
      </c>
      <c r="C785" s="60" t="str">
        <f>IF($A785="","",[1]weekly_demand!H786)</f>
        <v/>
      </c>
      <c r="D785" s="61" t="str">
        <f>IF($A785="","",IF(SUMIFS([1]Fixture_Capacity_Input!$C:$C,[1]Fixture_Capacity_Input!$A:$A,$B785,[1]Fixture_Capacity_Input!$B:$B,$C785)&gt;0,SUMIFS([1]Fixture_Capacity_Input!$C:$C,[1]Fixture_Capacity_Input!$A:$A,$B785,[1]Fixture_Capacity_Input!$B:$B,$C785),[1]weekly_demand!G786))</f>
        <v/>
      </c>
      <c r="E785" s="62" t="str">
        <f>IF($A785="","",[1]weekly_demand!I786)</f>
        <v/>
      </c>
      <c r="F785" s="61" t="str">
        <f>IF($A785="","",IF($A785&lt;&gt;$A784,IFERROR(INDEX([1]FG_Begin_Inventory!$B:$B,MATCH($A785,[1]FG_Begin_Inventory!$A:$A,0)),0),J784))</f>
        <v/>
      </c>
      <c r="G785" s="61" t="str">
        <f t="shared" si="87"/>
        <v/>
      </c>
      <c r="H785" s="62" t="str">
        <f t="shared" si="88"/>
        <v/>
      </c>
      <c r="I785" s="62" t="str">
        <f t="shared" si="89"/>
        <v/>
      </c>
      <c r="J785" s="62" t="str">
        <f t="shared" si="90"/>
        <v/>
      </c>
      <c r="K785" s="62" t="str">
        <f t="shared" si="91"/>
        <v/>
      </c>
      <c r="L785" s="62" t="str">
        <f t="shared" si="92"/>
        <v/>
      </c>
      <c r="M785" s="63" t="str">
        <f t="shared" si="93"/>
        <v/>
      </c>
      <c r="N785" s="64"/>
    </row>
    <row r="786" spans="1:14" x14ac:dyDescent="0.3">
      <c r="A786" s="58" t="str">
        <f>IF([1]weekly_demand!A787="","",[1]weekly_demand!A787)</f>
        <v/>
      </c>
      <c r="B786" s="59" t="str">
        <f>IF($A786="","",[1]weekly_demand!F787)</f>
        <v/>
      </c>
      <c r="C786" s="60" t="str">
        <f>IF($A786="","",[1]weekly_demand!H787)</f>
        <v/>
      </c>
      <c r="D786" s="61" t="str">
        <f>IF($A786="","",IF(SUMIFS([1]Fixture_Capacity_Input!$C:$C,[1]Fixture_Capacity_Input!$A:$A,$B786,[1]Fixture_Capacity_Input!$B:$B,$C786)&gt;0,SUMIFS([1]Fixture_Capacity_Input!$C:$C,[1]Fixture_Capacity_Input!$A:$A,$B786,[1]Fixture_Capacity_Input!$B:$B,$C786),[1]weekly_demand!G787))</f>
        <v/>
      </c>
      <c r="E786" s="62" t="str">
        <f>IF($A786="","",[1]weekly_demand!I787)</f>
        <v/>
      </c>
      <c r="F786" s="61" t="str">
        <f>IF($A786="","",IF($A786&lt;&gt;$A785,IFERROR(INDEX([1]FG_Begin_Inventory!$B:$B,MATCH($A786,[1]FG_Begin_Inventory!$A:$A,0)),0),J785))</f>
        <v/>
      </c>
      <c r="G786" s="61" t="str">
        <f t="shared" si="87"/>
        <v/>
      </c>
      <c r="H786" s="62" t="str">
        <f t="shared" si="88"/>
        <v/>
      </c>
      <c r="I786" s="62" t="str">
        <f t="shared" si="89"/>
        <v/>
      </c>
      <c r="J786" s="62" t="str">
        <f t="shared" si="90"/>
        <v/>
      </c>
      <c r="K786" s="62" t="str">
        <f t="shared" si="91"/>
        <v/>
      </c>
      <c r="L786" s="62" t="str">
        <f t="shared" si="92"/>
        <v/>
      </c>
      <c r="M786" s="63" t="str">
        <f t="shared" si="93"/>
        <v/>
      </c>
      <c r="N786" s="64"/>
    </row>
    <row r="787" spans="1:14" x14ac:dyDescent="0.3">
      <c r="A787" s="58" t="str">
        <f>IF([1]weekly_demand!A788="","",[1]weekly_demand!A788)</f>
        <v/>
      </c>
      <c r="B787" s="59" t="str">
        <f>IF($A787="","",[1]weekly_demand!F788)</f>
        <v/>
      </c>
      <c r="C787" s="60" t="str">
        <f>IF($A787="","",[1]weekly_demand!H788)</f>
        <v/>
      </c>
      <c r="D787" s="61" t="str">
        <f>IF($A787="","",IF(SUMIFS([1]Fixture_Capacity_Input!$C:$C,[1]Fixture_Capacity_Input!$A:$A,$B787,[1]Fixture_Capacity_Input!$B:$B,$C787)&gt;0,SUMIFS([1]Fixture_Capacity_Input!$C:$C,[1]Fixture_Capacity_Input!$A:$A,$B787,[1]Fixture_Capacity_Input!$B:$B,$C787),[1]weekly_demand!G788))</f>
        <v/>
      </c>
      <c r="E787" s="62" t="str">
        <f>IF($A787="","",[1]weekly_demand!I788)</f>
        <v/>
      </c>
      <c r="F787" s="61" t="str">
        <f>IF($A787="","",IF($A787&lt;&gt;$A786,IFERROR(INDEX([1]FG_Begin_Inventory!$B:$B,MATCH($A787,[1]FG_Begin_Inventory!$A:$A,0)),0),J786))</f>
        <v/>
      </c>
      <c r="G787" s="61" t="str">
        <f t="shared" si="87"/>
        <v/>
      </c>
      <c r="H787" s="62" t="str">
        <f t="shared" si="88"/>
        <v/>
      </c>
      <c r="I787" s="62" t="str">
        <f t="shared" si="89"/>
        <v/>
      </c>
      <c r="J787" s="62" t="str">
        <f t="shared" si="90"/>
        <v/>
      </c>
      <c r="K787" s="62" t="str">
        <f t="shared" si="91"/>
        <v/>
      </c>
      <c r="L787" s="62" t="str">
        <f t="shared" si="92"/>
        <v/>
      </c>
      <c r="M787" s="63" t="str">
        <f t="shared" si="93"/>
        <v/>
      </c>
      <c r="N787" s="64"/>
    </row>
    <row r="788" spans="1:14" x14ac:dyDescent="0.3">
      <c r="A788" s="58" t="str">
        <f>IF([1]weekly_demand!A789="","",[1]weekly_demand!A789)</f>
        <v/>
      </c>
      <c r="B788" s="59" t="str">
        <f>IF($A788="","",[1]weekly_demand!F789)</f>
        <v/>
      </c>
      <c r="C788" s="60" t="str">
        <f>IF($A788="","",[1]weekly_demand!H789)</f>
        <v/>
      </c>
      <c r="D788" s="61" t="str">
        <f>IF($A788="","",IF(SUMIFS([1]Fixture_Capacity_Input!$C:$C,[1]Fixture_Capacity_Input!$A:$A,$B788,[1]Fixture_Capacity_Input!$B:$B,$C788)&gt;0,SUMIFS([1]Fixture_Capacity_Input!$C:$C,[1]Fixture_Capacity_Input!$A:$A,$B788,[1]Fixture_Capacity_Input!$B:$B,$C788),[1]weekly_demand!G789))</f>
        <v/>
      </c>
      <c r="E788" s="62" t="str">
        <f>IF($A788="","",[1]weekly_demand!I789)</f>
        <v/>
      </c>
      <c r="F788" s="61" t="str">
        <f>IF($A788="","",IF($A788&lt;&gt;$A787,IFERROR(INDEX([1]FG_Begin_Inventory!$B:$B,MATCH($A788,[1]FG_Begin_Inventory!$A:$A,0)),0),J787))</f>
        <v/>
      </c>
      <c r="G788" s="61" t="str">
        <f t="shared" si="87"/>
        <v/>
      </c>
      <c r="H788" s="62" t="str">
        <f t="shared" si="88"/>
        <v/>
      </c>
      <c r="I788" s="62" t="str">
        <f t="shared" si="89"/>
        <v/>
      </c>
      <c r="J788" s="62" t="str">
        <f t="shared" si="90"/>
        <v/>
      </c>
      <c r="K788" s="62" t="str">
        <f t="shared" si="91"/>
        <v/>
      </c>
      <c r="L788" s="62" t="str">
        <f t="shared" si="92"/>
        <v/>
      </c>
      <c r="M788" s="63" t="str">
        <f t="shared" si="93"/>
        <v/>
      </c>
      <c r="N788" s="64"/>
    </row>
    <row r="789" spans="1:14" x14ac:dyDescent="0.3">
      <c r="A789" s="58" t="str">
        <f>IF([1]weekly_demand!A790="","",[1]weekly_demand!A790)</f>
        <v/>
      </c>
      <c r="B789" s="59" t="str">
        <f>IF($A789="","",[1]weekly_demand!F790)</f>
        <v/>
      </c>
      <c r="C789" s="60" t="str">
        <f>IF($A789="","",[1]weekly_demand!H790)</f>
        <v/>
      </c>
      <c r="D789" s="61" t="str">
        <f>IF($A789="","",IF(SUMIFS([1]Fixture_Capacity_Input!$C:$C,[1]Fixture_Capacity_Input!$A:$A,$B789,[1]Fixture_Capacity_Input!$B:$B,$C789)&gt;0,SUMIFS([1]Fixture_Capacity_Input!$C:$C,[1]Fixture_Capacity_Input!$A:$A,$B789,[1]Fixture_Capacity_Input!$B:$B,$C789),[1]weekly_demand!G790))</f>
        <v/>
      </c>
      <c r="E789" s="62" t="str">
        <f>IF($A789="","",[1]weekly_demand!I790)</f>
        <v/>
      </c>
      <c r="F789" s="61" t="str">
        <f>IF($A789="","",IF($A789&lt;&gt;$A788,IFERROR(INDEX([1]FG_Begin_Inventory!$B:$B,MATCH($A789,[1]FG_Begin_Inventory!$A:$A,0)),0),J788))</f>
        <v/>
      </c>
      <c r="G789" s="61" t="str">
        <f t="shared" si="87"/>
        <v/>
      </c>
      <c r="H789" s="62" t="str">
        <f t="shared" si="88"/>
        <v/>
      </c>
      <c r="I789" s="62" t="str">
        <f t="shared" si="89"/>
        <v/>
      </c>
      <c r="J789" s="62" t="str">
        <f t="shared" si="90"/>
        <v/>
      </c>
      <c r="K789" s="62" t="str">
        <f t="shared" si="91"/>
        <v/>
      </c>
      <c r="L789" s="62" t="str">
        <f t="shared" si="92"/>
        <v/>
      </c>
      <c r="M789" s="63" t="str">
        <f t="shared" si="93"/>
        <v/>
      </c>
      <c r="N789" s="64"/>
    </row>
    <row r="790" spans="1:14" x14ac:dyDescent="0.3">
      <c r="A790" s="58" t="str">
        <f>IF([1]weekly_demand!A791="","",[1]weekly_demand!A791)</f>
        <v/>
      </c>
      <c r="B790" s="59" t="str">
        <f>IF($A790="","",[1]weekly_demand!F791)</f>
        <v/>
      </c>
      <c r="C790" s="60" t="str">
        <f>IF($A790="","",[1]weekly_demand!H791)</f>
        <v/>
      </c>
      <c r="D790" s="61" t="str">
        <f>IF($A790="","",IF(SUMIFS([1]Fixture_Capacity_Input!$C:$C,[1]Fixture_Capacity_Input!$A:$A,$B790,[1]Fixture_Capacity_Input!$B:$B,$C790)&gt;0,SUMIFS([1]Fixture_Capacity_Input!$C:$C,[1]Fixture_Capacity_Input!$A:$A,$B790,[1]Fixture_Capacity_Input!$B:$B,$C790),[1]weekly_demand!G791))</f>
        <v/>
      </c>
      <c r="E790" s="62" t="str">
        <f>IF($A790="","",[1]weekly_demand!I791)</f>
        <v/>
      </c>
      <c r="F790" s="61" t="str">
        <f>IF($A790="","",IF($A790&lt;&gt;$A789,IFERROR(INDEX([1]FG_Begin_Inventory!$B:$B,MATCH($A790,[1]FG_Begin_Inventory!$A:$A,0)),0),J789))</f>
        <v/>
      </c>
      <c r="G790" s="61" t="str">
        <f t="shared" si="87"/>
        <v/>
      </c>
      <c r="H790" s="62" t="str">
        <f t="shared" si="88"/>
        <v/>
      </c>
      <c r="I790" s="62" t="str">
        <f t="shared" si="89"/>
        <v/>
      </c>
      <c r="J790" s="62" t="str">
        <f t="shared" si="90"/>
        <v/>
      </c>
      <c r="K790" s="62" t="str">
        <f t="shared" si="91"/>
        <v/>
      </c>
      <c r="L790" s="62" t="str">
        <f t="shared" si="92"/>
        <v/>
      </c>
      <c r="M790" s="63" t="str">
        <f t="shared" si="93"/>
        <v/>
      </c>
      <c r="N790" s="64"/>
    </row>
    <row r="791" spans="1:14" x14ac:dyDescent="0.3">
      <c r="A791" s="58" t="str">
        <f>IF([1]weekly_demand!A792="","",[1]weekly_demand!A792)</f>
        <v/>
      </c>
      <c r="B791" s="59" t="str">
        <f>IF($A791="","",[1]weekly_demand!F792)</f>
        <v/>
      </c>
      <c r="C791" s="60" t="str">
        <f>IF($A791="","",[1]weekly_demand!H792)</f>
        <v/>
      </c>
      <c r="D791" s="61" t="str">
        <f>IF($A791="","",IF(SUMIFS([1]Fixture_Capacity_Input!$C:$C,[1]Fixture_Capacity_Input!$A:$A,$B791,[1]Fixture_Capacity_Input!$B:$B,$C791)&gt;0,SUMIFS([1]Fixture_Capacity_Input!$C:$C,[1]Fixture_Capacity_Input!$A:$A,$B791,[1]Fixture_Capacity_Input!$B:$B,$C791),[1]weekly_demand!G792))</f>
        <v/>
      </c>
      <c r="E791" s="62" t="str">
        <f>IF($A791="","",[1]weekly_demand!I792)</f>
        <v/>
      </c>
      <c r="F791" s="61" t="str">
        <f>IF($A791="","",IF($A791&lt;&gt;$A790,IFERROR(INDEX([1]FG_Begin_Inventory!$B:$B,MATCH($A791,[1]FG_Begin_Inventory!$A:$A,0)),0),J790))</f>
        <v/>
      </c>
      <c r="G791" s="61" t="str">
        <f t="shared" si="87"/>
        <v/>
      </c>
      <c r="H791" s="62" t="str">
        <f t="shared" si="88"/>
        <v/>
      </c>
      <c r="I791" s="62" t="str">
        <f t="shared" si="89"/>
        <v/>
      </c>
      <c r="J791" s="62" t="str">
        <f t="shared" si="90"/>
        <v/>
      </c>
      <c r="K791" s="62" t="str">
        <f t="shared" si="91"/>
        <v/>
      </c>
      <c r="L791" s="62" t="str">
        <f t="shared" si="92"/>
        <v/>
      </c>
      <c r="M791" s="63" t="str">
        <f t="shared" si="93"/>
        <v/>
      </c>
      <c r="N791" s="64"/>
    </row>
    <row r="792" spans="1:14" x14ac:dyDescent="0.3">
      <c r="A792" s="58" t="str">
        <f>IF([1]weekly_demand!A793="","",[1]weekly_demand!A793)</f>
        <v/>
      </c>
      <c r="B792" s="59" t="str">
        <f>IF($A792="","",[1]weekly_demand!F793)</f>
        <v/>
      </c>
      <c r="C792" s="60" t="str">
        <f>IF($A792="","",[1]weekly_demand!H793)</f>
        <v/>
      </c>
      <c r="D792" s="61" t="str">
        <f>IF($A792="","",IF(SUMIFS([1]Fixture_Capacity_Input!$C:$C,[1]Fixture_Capacity_Input!$A:$A,$B792,[1]Fixture_Capacity_Input!$B:$B,$C792)&gt;0,SUMIFS([1]Fixture_Capacity_Input!$C:$C,[1]Fixture_Capacity_Input!$A:$A,$B792,[1]Fixture_Capacity_Input!$B:$B,$C792),[1]weekly_demand!G793))</f>
        <v/>
      </c>
      <c r="E792" s="62" t="str">
        <f>IF($A792="","",[1]weekly_demand!I793)</f>
        <v/>
      </c>
      <c r="F792" s="61" t="str">
        <f>IF($A792="","",IF($A792&lt;&gt;$A791,IFERROR(INDEX([1]FG_Begin_Inventory!$B:$B,MATCH($A792,[1]FG_Begin_Inventory!$A:$A,0)),0),J791))</f>
        <v/>
      </c>
      <c r="G792" s="61" t="str">
        <f t="shared" si="87"/>
        <v/>
      </c>
      <c r="H792" s="62" t="str">
        <f t="shared" si="88"/>
        <v/>
      </c>
      <c r="I792" s="62" t="str">
        <f t="shared" si="89"/>
        <v/>
      </c>
      <c r="J792" s="62" t="str">
        <f t="shared" si="90"/>
        <v/>
      </c>
      <c r="K792" s="62" t="str">
        <f t="shared" si="91"/>
        <v/>
      </c>
      <c r="L792" s="62" t="str">
        <f t="shared" si="92"/>
        <v/>
      </c>
      <c r="M792" s="63" t="str">
        <f t="shared" si="93"/>
        <v/>
      </c>
      <c r="N792" s="64"/>
    </row>
    <row r="793" spans="1:14" x14ac:dyDescent="0.3">
      <c r="A793" s="58" t="str">
        <f>IF([1]weekly_demand!A794="","",[1]weekly_demand!A794)</f>
        <v/>
      </c>
      <c r="B793" s="59" t="str">
        <f>IF($A793="","",[1]weekly_demand!F794)</f>
        <v/>
      </c>
      <c r="C793" s="60" t="str">
        <f>IF($A793="","",[1]weekly_demand!H794)</f>
        <v/>
      </c>
      <c r="D793" s="61" t="str">
        <f>IF($A793="","",IF(SUMIFS([1]Fixture_Capacity_Input!$C:$C,[1]Fixture_Capacity_Input!$A:$A,$B793,[1]Fixture_Capacity_Input!$B:$B,$C793)&gt;0,SUMIFS([1]Fixture_Capacity_Input!$C:$C,[1]Fixture_Capacity_Input!$A:$A,$B793,[1]Fixture_Capacity_Input!$B:$B,$C793),[1]weekly_demand!G794))</f>
        <v/>
      </c>
      <c r="E793" s="62" t="str">
        <f>IF($A793="","",[1]weekly_demand!I794)</f>
        <v/>
      </c>
      <c r="F793" s="61" t="str">
        <f>IF($A793="","",IF($A793&lt;&gt;$A792,IFERROR(INDEX([1]FG_Begin_Inventory!$B:$B,MATCH($A793,[1]FG_Begin_Inventory!$A:$A,0)),0),J792))</f>
        <v/>
      </c>
      <c r="G793" s="61" t="str">
        <f t="shared" si="87"/>
        <v/>
      </c>
      <c r="H793" s="62" t="str">
        <f t="shared" si="88"/>
        <v/>
      </c>
      <c r="I793" s="62" t="str">
        <f t="shared" si="89"/>
        <v/>
      </c>
      <c r="J793" s="62" t="str">
        <f t="shared" si="90"/>
        <v/>
      </c>
      <c r="K793" s="62" t="str">
        <f t="shared" si="91"/>
        <v/>
      </c>
      <c r="L793" s="62" t="str">
        <f t="shared" si="92"/>
        <v/>
      </c>
      <c r="M793" s="63" t="str">
        <f t="shared" si="93"/>
        <v/>
      </c>
      <c r="N793" s="64"/>
    </row>
    <row r="794" spans="1:14" x14ac:dyDescent="0.3">
      <c r="A794" s="58" t="str">
        <f>IF([1]weekly_demand!A795="","",[1]weekly_demand!A795)</f>
        <v/>
      </c>
      <c r="B794" s="59" t="str">
        <f>IF($A794="","",[1]weekly_demand!F795)</f>
        <v/>
      </c>
      <c r="C794" s="60" t="str">
        <f>IF($A794="","",[1]weekly_demand!H795)</f>
        <v/>
      </c>
      <c r="D794" s="61" t="str">
        <f>IF($A794="","",IF(SUMIFS([1]Fixture_Capacity_Input!$C:$C,[1]Fixture_Capacity_Input!$A:$A,$B794,[1]Fixture_Capacity_Input!$B:$B,$C794)&gt;0,SUMIFS([1]Fixture_Capacity_Input!$C:$C,[1]Fixture_Capacity_Input!$A:$A,$B794,[1]Fixture_Capacity_Input!$B:$B,$C794),[1]weekly_demand!G795))</f>
        <v/>
      </c>
      <c r="E794" s="62" t="str">
        <f>IF($A794="","",[1]weekly_demand!I795)</f>
        <v/>
      </c>
      <c r="F794" s="61" t="str">
        <f>IF($A794="","",IF($A794&lt;&gt;$A793,IFERROR(INDEX([1]FG_Begin_Inventory!$B:$B,MATCH($A794,[1]FG_Begin_Inventory!$A:$A,0)),0),J793))</f>
        <v/>
      </c>
      <c r="G794" s="61" t="str">
        <f t="shared" si="87"/>
        <v/>
      </c>
      <c r="H794" s="62" t="str">
        <f t="shared" si="88"/>
        <v/>
      </c>
      <c r="I794" s="62" t="str">
        <f t="shared" si="89"/>
        <v/>
      </c>
      <c r="J794" s="62" t="str">
        <f t="shared" si="90"/>
        <v/>
      </c>
      <c r="K794" s="62" t="str">
        <f t="shared" si="91"/>
        <v/>
      </c>
      <c r="L794" s="62" t="str">
        <f t="shared" si="92"/>
        <v/>
      </c>
      <c r="M794" s="63" t="str">
        <f t="shared" si="93"/>
        <v/>
      </c>
      <c r="N794" s="64"/>
    </row>
    <row r="795" spans="1:14" x14ac:dyDescent="0.3">
      <c r="A795" s="58" t="str">
        <f>IF([1]weekly_demand!A796="","",[1]weekly_demand!A796)</f>
        <v/>
      </c>
      <c r="B795" s="59" t="str">
        <f>IF($A795="","",[1]weekly_demand!F796)</f>
        <v/>
      </c>
      <c r="C795" s="60" t="str">
        <f>IF($A795="","",[1]weekly_demand!H796)</f>
        <v/>
      </c>
      <c r="D795" s="61" t="str">
        <f>IF($A795="","",IF(SUMIFS([1]Fixture_Capacity_Input!$C:$C,[1]Fixture_Capacity_Input!$A:$A,$B795,[1]Fixture_Capacity_Input!$B:$B,$C795)&gt;0,SUMIFS([1]Fixture_Capacity_Input!$C:$C,[1]Fixture_Capacity_Input!$A:$A,$B795,[1]Fixture_Capacity_Input!$B:$B,$C795),[1]weekly_demand!G796))</f>
        <v/>
      </c>
      <c r="E795" s="62" t="str">
        <f>IF($A795="","",[1]weekly_demand!I796)</f>
        <v/>
      </c>
      <c r="F795" s="61" t="str">
        <f>IF($A795="","",IF($A795&lt;&gt;$A794,IFERROR(INDEX([1]FG_Begin_Inventory!$B:$B,MATCH($A795,[1]FG_Begin_Inventory!$A:$A,0)),0),J794))</f>
        <v/>
      </c>
      <c r="G795" s="61" t="str">
        <f t="shared" si="87"/>
        <v/>
      </c>
      <c r="H795" s="62" t="str">
        <f t="shared" si="88"/>
        <v/>
      </c>
      <c r="I795" s="62" t="str">
        <f t="shared" si="89"/>
        <v/>
      </c>
      <c r="J795" s="62" t="str">
        <f t="shared" si="90"/>
        <v/>
      </c>
      <c r="K795" s="62" t="str">
        <f t="shared" si="91"/>
        <v/>
      </c>
      <c r="L795" s="62" t="str">
        <f t="shared" si="92"/>
        <v/>
      </c>
      <c r="M795" s="63" t="str">
        <f t="shared" si="93"/>
        <v/>
      </c>
      <c r="N795" s="64"/>
    </row>
    <row r="796" spans="1:14" x14ac:dyDescent="0.3">
      <c r="A796" s="58" t="str">
        <f>IF([1]weekly_demand!A797="","",[1]weekly_demand!A797)</f>
        <v/>
      </c>
      <c r="B796" s="59" t="str">
        <f>IF($A796="","",[1]weekly_demand!F797)</f>
        <v/>
      </c>
      <c r="C796" s="60" t="str">
        <f>IF($A796="","",[1]weekly_demand!H797)</f>
        <v/>
      </c>
      <c r="D796" s="61" t="str">
        <f>IF($A796="","",IF(SUMIFS([1]Fixture_Capacity_Input!$C:$C,[1]Fixture_Capacity_Input!$A:$A,$B796,[1]Fixture_Capacity_Input!$B:$B,$C796)&gt;0,SUMIFS([1]Fixture_Capacity_Input!$C:$C,[1]Fixture_Capacity_Input!$A:$A,$B796,[1]Fixture_Capacity_Input!$B:$B,$C796),[1]weekly_demand!G797))</f>
        <v/>
      </c>
      <c r="E796" s="62" t="str">
        <f>IF($A796="","",[1]weekly_demand!I797)</f>
        <v/>
      </c>
      <c r="F796" s="61" t="str">
        <f>IF($A796="","",IF($A796&lt;&gt;$A795,IFERROR(INDEX([1]FG_Begin_Inventory!$B:$B,MATCH($A796,[1]FG_Begin_Inventory!$A:$A,0)),0),J795))</f>
        <v/>
      </c>
      <c r="G796" s="61" t="str">
        <f t="shared" si="87"/>
        <v/>
      </c>
      <c r="H796" s="62" t="str">
        <f t="shared" si="88"/>
        <v/>
      </c>
      <c r="I796" s="62" t="str">
        <f t="shared" si="89"/>
        <v/>
      </c>
      <c r="J796" s="62" t="str">
        <f t="shared" si="90"/>
        <v/>
      </c>
      <c r="K796" s="62" t="str">
        <f t="shared" si="91"/>
        <v/>
      </c>
      <c r="L796" s="62" t="str">
        <f t="shared" si="92"/>
        <v/>
      </c>
      <c r="M796" s="63" t="str">
        <f t="shared" si="93"/>
        <v/>
      </c>
      <c r="N796" s="64"/>
    </row>
    <row r="797" spans="1:14" x14ac:dyDescent="0.3">
      <c r="A797" s="58" t="str">
        <f>IF([1]weekly_demand!A798="","",[1]weekly_demand!A798)</f>
        <v/>
      </c>
      <c r="B797" s="59" t="str">
        <f>IF($A797="","",[1]weekly_demand!F798)</f>
        <v/>
      </c>
      <c r="C797" s="60" t="str">
        <f>IF($A797="","",[1]weekly_demand!H798)</f>
        <v/>
      </c>
      <c r="D797" s="61" t="str">
        <f>IF($A797="","",IF(SUMIFS([1]Fixture_Capacity_Input!$C:$C,[1]Fixture_Capacity_Input!$A:$A,$B797,[1]Fixture_Capacity_Input!$B:$B,$C797)&gt;0,SUMIFS([1]Fixture_Capacity_Input!$C:$C,[1]Fixture_Capacity_Input!$A:$A,$B797,[1]Fixture_Capacity_Input!$B:$B,$C797),[1]weekly_demand!G798))</f>
        <v/>
      </c>
      <c r="E797" s="62" t="str">
        <f>IF($A797="","",[1]weekly_demand!I798)</f>
        <v/>
      </c>
      <c r="F797" s="61" t="str">
        <f>IF($A797="","",IF($A797&lt;&gt;$A796,IFERROR(INDEX([1]FG_Begin_Inventory!$B:$B,MATCH($A797,[1]FG_Begin_Inventory!$A:$A,0)),0),J796))</f>
        <v/>
      </c>
      <c r="G797" s="61" t="str">
        <f t="shared" si="87"/>
        <v/>
      </c>
      <c r="H797" s="62" t="str">
        <f t="shared" si="88"/>
        <v/>
      </c>
      <c r="I797" s="62" t="str">
        <f t="shared" si="89"/>
        <v/>
      </c>
      <c r="J797" s="62" t="str">
        <f t="shared" si="90"/>
        <v/>
      </c>
      <c r="K797" s="62" t="str">
        <f t="shared" si="91"/>
        <v/>
      </c>
      <c r="L797" s="62" t="str">
        <f t="shared" si="92"/>
        <v/>
      </c>
      <c r="M797" s="63" t="str">
        <f t="shared" si="93"/>
        <v/>
      </c>
      <c r="N797" s="64"/>
    </row>
    <row r="798" spans="1:14" x14ac:dyDescent="0.3">
      <c r="A798" s="58" t="str">
        <f>IF([1]weekly_demand!A799="","",[1]weekly_demand!A799)</f>
        <v/>
      </c>
      <c r="B798" s="59" t="str">
        <f>IF($A798="","",[1]weekly_demand!F799)</f>
        <v/>
      </c>
      <c r="C798" s="60" t="str">
        <f>IF($A798="","",[1]weekly_demand!H799)</f>
        <v/>
      </c>
      <c r="D798" s="61" t="str">
        <f>IF($A798="","",IF(SUMIFS([1]Fixture_Capacity_Input!$C:$C,[1]Fixture_Capacity_Input!$A:$A,$B798,[1]Fixture_Capacity_Input!$B:$B,$C798)&gt;0,SUMIFS([1]Fixture_Capacity_Input!$C:$C,[1]Fixture_Capacity_Input!$A:$A,$B798,[1]Fixture_Capacity_Input!$B:$B,$C798),[1]weekly_demand!G799))</f>
        <v/>
      </c>
      <c r="E798" s="62" t="str">
        <f>IF($A798="","",[1]weekly_demand!I799)</f>
        <v/>
      </c>
      <c r="F798" s="61" t="str">
        <f>IF($A798="","",IF($A798&lt;&gt;$A797,IFERROR(INDEX([1]FG_Begin_Inventory!$B:$B,MATCH($A798,[1]FG_Begin_Inventory!$A:$A,0)),0),J797))</f>
        <v/>
      </c>
      <c r="G798" s="61" t="str">
        <f t="shared" si="87"/>
        <v/>
      </c>
      <c r="H798" s="62" t="str">
        <f t="shared" si="88"/>
        <v/>
      </c>
      <c r="I798" s="62" t="str">
        <f t="shared" si="89"/>
        <v/>
      </c>
      <c r="J798" s="62" t="str">
        <f t="shared" si="90"/>
        <v/>
      </c>
      <c r="K798" s="62" t="str">
        <f t="shared" si="91"/>
        <v/>
      </c>
      <c r="L798" s="62" t="str">
        <f t="shared" si="92"/>
        <v/>
      </c>
      <c r="M798" s="63" t="str">
        <f t="shared" si="93"/>
        <v/>
      </c>
      <c r="N798" s="64"/>
    </row>
    <row r="799" spans="1:14" x14ac:dyDescent="0.3">
      <c r="A799" s="58" t="str">
        <f>IF([1]weekly_demand!A800="","",[1]weekly_demand!A800)</f>
        <v/>
      </c>
      <c r="B799" s="59" t="str">
        <f>IF($A799="","",[1]weekly_demand!F800)</f>
        <v/>
      </c>
      <c r="C799" s="60" t="str">
        <f>IF($A799="","",[1]weekly_demand!H800)</f>
        <v/>
      </c>
      <c r="D799" s="61" t="str">
        <f>IF($A799="","",IF(SUMIFS([1]Fixture_Capacity_Input!$C:$C,[1]Fixture_Capacity_Input!$A:$A,$B799,[1]Fixture_Capacity_Input!$B:$B,$C799)&gt;0,SUMIFS([1]Fixture_Capacity_Input!$C:$C,[1]Fixture_Capacity_Input!$A:$A,$B799,[1]Fixture_Capacity_Input!$B:$B,$C799),[1]weekly_demand!G800))</f>
        <v/>
      </c>
      <c r="E799" s="62" t="str">
        <f>IF($A799="","",[1]weekly_demand!I800)</f>
        <v/>
      </c>
      <c r="F799" s="61" t="str">
        <f>IF($A799="","",IF($A799&lt;&gt;$A798,IFERROR(INDEX([1]FG_Begin_Inventory!$B:$B,MATCH($A799,[1]FG_Begin_Inventory!$A:$A,0)),0),J798))</f>
        <v/>
      </c>
      <c r="G799" s="61" t="str">
        <f t="shared" si="87"/>
        <v/>
      </c>
      <c r="H799" s="62" t="str">
        <f t="shared" si="88"/>
        <v/>
      </c>
      <c r="I799" s="62" t="str">
        <f t="shared" si="89"/>
        <v/>
      </c>
      <c r="J799" s="62" t="str">
        <f t="shared" si="90"/>
        <v/>
      </c>
      <c r="K799" s="62" t="str">
        <f t="shared" si="91"/>
        <v/>
      </c>
      <c r="L799" s="62" t="str">
        <f t="shared" si="92"/>
        <v/>
      </c>
      <c r="M799" s="63" t="str">
        <f t="shared" si="93"/>
        <v/>
      </c>
      <c r="N799" s="64"/>
    </row>
    <row r="800" spans="1:14" x14ac:dyDescent="0.3">
      <c r="A800" s="58" t="str">
        <f>IF([1]weekly_demand!A801="","",[1]weekly_demand!A801)</f>
        <v/>
      </c>
      <c r="B800" s="59" t="str">
        <f>IF($A800="","",[1]weekly_demand!F801)</f>
        <v/>
      </c>
      <c r="C800" s="60" t="str">
        <f>IF($A800="","",[1]weekly_demand!H801)</f>
        <v/>
      </c>
      <c r="D800" s="61" t="str">
        <f>IF($A800="","",IF(SUMIFS([1]Fixture_Capacity_Input!$C:$C,[1]Fixture_Capacity_Input!$A:$A,$B800,[1]Fixture_Capacity_Input!$B:$B,$C800)&gt;0,SUMIFS([1]Fixture_Capacity_Input!$C:$C,[1]Fixture_Capacity_Input!$A:$A,$B800,[1]Fixture_Capacity_Input!$B:$B,$C800),[1]weekly_demand!G801))</f>
        <v/>
      </c>
      <c r="E800" s="62" t="str">
        <f>IF($A800="","",[1]weekly_demand!I801)</f>
        <v/>
      </c>
      <c r="F800" s="61" t="str">
        <f>IF($A800="","",IF($A800&lt;&gt;$A799,IFERROR(INDEX([1]FG_Begin_Inventory!$B:$B,MATCH($A800,[1]FG_Begin_Inventory!$A:$A,0)),0),J799))</f>
        <v/>
      </c>
      <c r="G800" s="61" t="str">
        <f t="shared" si="87"/>
        <v/>
      </c>
      <c r="H800" s="62" t="str">
        <f t="shared" si="88"/>
        <v/>
      </c>
      <c r="I800" s="62" t="str">
        <f t="shared" si="89"/>
        <v/>
      </c>
      <c r="J800" s="62" t="str">
        <f t="shared" si="90"/>
        <v/>
      </c>
      <c r="K800" s="62" t="str">
        <f t="shared" si="91"/>
        <v/>
      </c>
      <c r="L800" s="62" t="str">
        <f t="shared" si="92"/>
        <v/>
      </c>
      <c r="M800" s="63" t="str">
        <f t="shared" si="93"/>
        <v/>
      </c>
      <c r="N800" s="64"/>
    </row>
    <row r="801" spans="1:14" x14ac:dyDescent="0.3">
      <c r="A801" s="58" t="str">
        <f>IF([1]weekly_demand!A802="","",[1]weekly_demand!A802)</f>
        <v/>
      </c>
      <c r="B801" s="59" t="str">
        <f>IF($A801="","",[1]weekly_demand!F802)</f>
        <v/>
      </c>
      <c r="C801" s="60" t="str">
        <f>IF($A801="","",[1]weekly_demand!H802)</f>
        <v/>
      </c>
      <c r="D801" s="61" t="str">
        <f>IF($A801="","",IF(SUMIFS([1]Fixture_Capacity_Input!$C:$C,[1]Fixture_Capacity_Input!$A:$A,$B801,[1]Fixture_Capacity_Input!$B:$B,$C801)&gt;0,SUMIFS([1]Fixture_Capacity_Input!$C:$C,[1]Fixture_Capacity_Input!$A:$A,$B801,[1]Fixture_Capacity_Input!$B:$B,$C801),[1]weekly_demand!G802))</f>
        <v/>
      </c>
      <c r="E801" s="62" t="str">
        <f>IF($A801="","",[1]weekly_demand!I802)</f>
        <v/>
      </c>
      <c r="F801" s="61" t="str">
        <f>IF($A801="","",IF($A801&lt;&gt;$A800,IFERROR(INDEX([1]FG_Begin_Inventory!$B:$B,MATCH($A801,[1]FG_Begin_Inventory!$A:$A,0)),0),J800))</f>
        <v/>
      </c>
      <c r="G801" s="61" t="str">
        <f t="shared" si="87"/>
        <v/>
      </c>
      <c r="H801" s="62" t="str">
        <f t="shared" si="88"/>
        <v/>
      </c>
      <c r="I801" s="62" t="str">
        <f t="shared" si="89"/>
        <v/>
      </c>
      <c r="J801" s="62" t="str">
        <f t="shared" si="90"/>
        <v/>
      </c>
      <c r="K801" s="62" t="str">
        <f t="shared" si="91"/>
        <v/>
      </c>
      <c r="L801" s="62" t="str">
        <f t="shared" si="92"/>
        <v/>
      </c>
      <c r="M801" s="63" t="str">
        <f t="shared" si="93"/>
        <v/>
      </c>
      <c r="N801" s="64"/>
    </row>
    <row r="802" spans="1:14" x14ac:dyDescent="0.3">
      <c r="A802" s="58" t="str">
        <f>IF([1]weekly_demand!A803="","",[1]weekly_demand!A803)</f>
        <v/>
      </c>
      <c r="B802" s="59" t="str">
        <f>IF($A802="","",[1]weekly_demand!F803)</f>
        <v/>
      </c>
      <c r="C802" s="60" t="str">
        <f>IF($A802="","",[1]weekly_demand!H803)</f>
        <v/>
      </c>
      <c r="D802" s="61" t="str">
        <f>IF($A802="","",IF(SUMIFS([1]Fixture_Capacity_Input!$C:$C,[1]Fixture_Capacity_Input!$A:$A,$B802,[1]Fixture_Capacity_Input!$B:$B,$C802)&gt;0,SUMIFS([1]Fixture_Capacity_Input!$C:$C,[1]Fixture_Capacity_Input!$A:$A,$B802,[1]Fixture_Capacity_Input!$B:$B,$C802),[1]weekly_demand!G803))</f>
        <v/>
      </c>
      <c r="E802" s="62" t="str">
        <f>IF($A802="","",[1]weekly_demand!I803)</f>
        <v/>
      </c>
      <c r="F802" s="61" t="str">
        <f>IF($A802="","",IF($A802&lt;&gt;$A801,IFERROR(INDEX([1]FG_Begin_Inventory!$B:$B,MATCH($A802,[1]FG_Begin_Inventory!$A:$A,0)),0),J801))</f>
        <v/>
      </c>
      <c r="G802" s="61" t="str">
        <f t="shared" si="87"/>
        <v/>
      </c>
      <c r="H802" s="62" t="str">
        <f t="shared" si="88"/>
        <v/>
      </c>
      <c r="I802" s="62" t="str">
        <f t="shared" si="89"/>
        <v/>
      </c>
      <c r="J802" s="62" t="str">
        <f t="shared" si="90"/>
        <v/>
      </c>
      <c r="K802" s="62" t="str">
        <f t="shared" si="91"/>
        <v/>
      </c>
      <c r="L802" s="62" t="str">
        <f t="shared" si="92"/>
        <v/>
      </c>
      <c r="M802" s="63" t="str">
        <f t="shared" si="93"/>
        <v/>
      </c>
      <c r="N802" s="64"/>
    </row>
    <row r="803" spans="1:14" x14ac:dyDescent="0.3">
      <c r="A803" s="58" t="str">
        <f>IF([1]weekly_demand!A804="","",[1]weekly_demand!A804)</f>
        <v/>
      </c>
      <c r="B803" s="59" t="str">
        <f>IF($A803="","",[1]weekly_demand!F804)</f>
        <v/>
      </c>
      <c r="C803" s="60" t="str">
        <f>IF($A803="","",[1]weekly_demand!H804)</f>
        <v/>
      </c>
      <c r="D803" s="61" t="str">
        <f>IF($A803="","",IF(SUMIFS([1]Fixture_Capacity_Input!$C:$C,[1]Fixture_Capacity_Input!$A:$A,$B803,[1]Fixture_Capacity_Input!$B:$B,$C803)&gt;0,SUMIFS([1]Fixture_Capacity_Input!$C:$C,[1]Fixture_Capacity_Input!$A:$A,$B803,[1]Fixture_Capacity_Input!$B:$B,$C803),[1]weekly_demand!G804))</f>
        <v/>
      </c>
      <c r="E803" s="62" t="str">
        <f>IF($A803="","",[1]weekly_demand!I804)</f>
        <v/>
      </c>
      <c r="F803" s="61" t="str">
        <f>IF($A803="","",IF($A803&lt;&gt;$A802,IFERROR(INDEX([1]FG_Begin_Inventory!$B:$B,MATCH($A803,[1]FG_Begin_Inventory!$A:$A,0)),0),J802))</f>
        <v/>
      </c>
      <c r="G803" s="61" t="str">
        <f t="shared" si="87"/>
        <v/>
      </c>
      <c r="H803" s="62" t="str">
        <f t="shared" si="88"/>
        <v/>
      </c>
      <c r="I803" s="62" t="str">
        <f t="shared" si="89"/>
        <v/>
      </c>
      <c r="J803" s="62" t="str">
        <f t="shared" si="90"/>
        <v/>
      </c>
      <c r="K803" s="62" t="str">
        <f t="shared" si="91"/>
        <v/>
      </c>
      <c r="L803" s="62" t="str">
        <f t="shared" si="92"/>
        <v/>
      </c>
      <c r="M803" s="63" t="str">
        <f t="shared" si="93"/>
        <v/>
      </c>
      <c r="N803" s="64"/>
    </row>
    <row r="804" spans="1:14" x14ac:dyDescent="0.3">
      <c r="A804" s="58" t="str">
        <f>IF([1]weekly_demand!A805="","",[1]weekly_demand!A805)</f>
        <v/>
      </c>
      <c r="B804" s="59" t="str">
        <f>IF($A804="","",[1]weekly_demand!F805)</f>
        <v/>
      </c>
      <c r="C804" s="60" t="str">
        <f>IF($A804="","",[1]weekly_demand!H805)</f>
        <v/>
      </c>
      <c r="D804" s="61" t="str">
        <f>IF($A804="","",IF(SUMIFS([1]Fixture_Capacity_Input!$C:$C,[1]Fixture_Capacity_Input!$A:$A,$B804,[1]Fixture_Capacity_Input!$B:$B,$C804)&gt;0,SUMIFS([1]Fixture_Capacity_Input!$C:$C,[1]Fixture_Capacity_Input!$A:$A,$B804,[1]Fixture_Capacity_Input!$B:$B,$C804),[1]weekly_demand!G805))</f>
        <v/>
      </c>
      <c r="E804" s="62" t="str">
        <f>IF($A804="","",[1]weekly_demand!I805)</f>
        <v/>
      </c>
      <c r="F804" s="61" t="str">
        <f>IF($A804="","",IF($A804&lt;&gt;$A803,IFERROR(INDEX([1]FG_Begin_Inventory!$B:$B,MATCH($A804,[1]FG_Begin_Inventory!$A:$A,0)),0),J803))</f>
        <v/>
      </c>
      <c r="G804" s="61" t="str">
        <f t="shared" si="87"/>
        <v/>
      </c>
      <c r="H804" s="62" t="str">
        <f t="shared" si="88"/>
        <v/>
      </c>
      <c r="I804" s="62" t="str">
        <f t="shared" si="89"/>
        <v/>
      </c>
      <c r="J804" s="62" t="str">
        <f t="shared" si="90"/>
        <v/>
      </c>
      <c r="K804" s="62" t="str">
        <f t="shared" si="91"/>
        <v/>
      </c>
      <c r="L804" s="62" t="str">
        <f t="shared" si="92"/>
        <v/>
      </c>
      <c r="M804" s="63" t="str">
        <f t="shared" si="93"/>
        <v/>
      </c>
      <c r="N804" s="64"/>
    </row>
    <row r="805" spans="1:14" x14ac:dyDescent="0.3">
      <c r="A805" s="58" t="str">
        <f>IF([1]weekly_demand!A806="","",[1]weekly_demand!A806)</f>
        <v/>
      </c>
      <c r="B805" s="59" t="str">
        <f>IF($A805="","",[1]weekly_demand!F806)</f>
        <v/>
      </c>
      <c r="C805" s="60" t="str">
        <f>IF($A805="","",[1]weekly_demand!H806)</f>
        <v/>
      </c>
      <c r="D805" s="61" t="str">
        <f>IF($A805="","",IF(SUMIFS([1]Fixture_Capacity_Input!$C:$C,[1]Fixture_Capacity_Input!$A:$A,$B805,[1]Fixture_Capacity_Input!$B:$B,$C805)&gt;0,SUMIFS([1]Fixture_Capacity_Input!$C:$C,[1]Fixture_Capacity_Input!$A:$A,$B805,[1]Fixture_Capacity_Input!$B:$B,$C805),[1]weekly_demand!G806))</f>
        <v/>
      </c>
      <c r="E805" s="62" t="str">
        <f>IF($A805="","",[1]weekly_demand!I806)</f>
        <v/>
      </c>
      <c r="F805" s="61" t="str">
        <f>IF($A805="","",IF($A805&lt;&gt;$A804,IFERROR(INDEX([1]FG_Begin_Inventory!$B:$B,MATCH($A805,[1]FG_Begin_Inventory!$A:$A,0)),0),J804))</f>
        <v/>
      </c>
      <c r="G805" s="61" t="str">
        <f t="shared" si="87"/>
        <v/>
      </c>
      <c r="H805" s="62" t="str">
        <f t="shared" si="88"/>
        <v/>
      </c>
      <c r="I805" s="62" t="str">
        <f t="shared" si="89"/>
        <v/>
      </c>
      <c r="J805" s="62" t="str">
        <f t="shared" si="90"/>
        <v/>
      </c>
      <c r="K805" s="62" t="str">
        <f t="shared" si="91"/>
        <v/>
      </c>
      <c r="L805" s="62" t="str">
        <f t="shared" si="92"/>
        <v/>
      </c>
      <c r="M805" s="63" t="str">
        <f t="shared" si="93"/>
        <v/>
      </c>
      <c r="N805" s="64"/>
    </row>
    <row r="806" spans="1:14" x14ac:dyDescent="0.3">
      <c r="A806" s="58" t="str">
        <f>IF([1]weekly_demand!A807="","",[1]weekly_demand!A807)</f>
        <v/>
      </c>
      <c r="B806" s="59" t="str">
        <f>IF($A806="","",[1]weekly_demand!F807)</f>
        <v/>
      </c>
      <c r="C806" s="60" t="str">
        <f>IF($A806="","",[1]weekly_demand!H807)</f>
        <v/>
      </c>
      <c r="D806" s="61" t="str">
        <f>IF($A806="","",IF(SUMIFS([1]Fixture_Capacity_Input!$C:$C,[1]Fixture_Capacity_Input!$A:$A,$B806,[1]Fixture_Capacity_Input!$B:$B,$C806)&gt;0,SUMIFS([1]Fixture_Capacity_Input!$C:$C,[1]Fixture_Capacity_Input!$A:$A,$B806,[1]Fixture_Capacity_Input!$B:$B,$C806),[1]weekly_demand!G807))</f>
        <v/>
      </c>
      <c r="E806" s="62" t="str">
        <f>IF($A806="","",[1]weekly_demand!I807)</f>
        <v/>
      </c>
      <c r="F806" s="61" t="str">
        <f>IF($A806="","",IF($A806&lt;&gt;$A805,IFERROR(INDEX([1]FG_Begin_Inventory!$B:$B,MATCH($A806,[1]FG_Begin_Inventory!$A:$A,0)),0),J805))</f>
        <v/>
      </c>
      <c r="G806" s="61" t="str">
        <f t="shared" si="87"/>
        <v/>
      </c>
      <c r="H806" s="62" t="str">
        <f t="shared" si="88"/>
        <v/>
      </c>
      <c r="I806" s="62" t="str">
        <f t="shared" si="89"/>
        <v/>
      </c>
      <c r="J806" s="62" t="str">
        <f t="shared" si="90"/>
        <v/>
      </c>
      <c r="K806" s="62" t="str">
        <f t="shared" si="91"/>
        <v/>
      </c>
      <c r="L806" s="62" t="str">
        <f t="shared" si="92"/>
        <v/>
      </c>
      <c r="M806" s="63" t="str">
        <f t="shared" si="93"/>
        <v/>
      </c>
      <c r="N806" s="64"/>
    </row>
    <row r="807" spans="1:14" x14ac:dyDescent="0.3">
      <c r="A807" s="58" t="str">
        <f>IF([1]weekly_demand!A808="","",[1]weekly_demand!A808)</f>
        <v/>
      </c>
      <c r="B807" s="59" t="str">
        <f>IF($A807="","",[1]weekly_demand!F808)</f>
        <v/>
      </c>
      <c r="C807" s="60" t="str">
        <f>IF($A807="","",[1]weekly_demand!H808)</f>
        <v/>
      </c>
      <c r="D807" s="61" t="str">
        <f>IF($A807="","",IF(SUMIFS([1]Fixture_Capacity_Input!$C:$C,[1]Fixture_Capacity_Input!$A:$A,$B807,[1]Fixture_Capacity_Input!$B:$B,$C807)&gt;0,SUMIFS([1]Fixture_Capacity_Input!$C:$C,[1]Fixture_Capacity_Input!$A:$A,$B807,[1]Fixture_Capacity_Input!$B:$B,$C807),[1]weekly_demand!G808))</f>
        <v/>
      </c>
      <c r="E807" s="62" t="str">
        <f>IF($A807="","",[1]weekly_demand!I808)</f>
        <v/>
      </c>
      <c r="F807" s="61" t="str">
        <f>IF($A807="","",IF($A807&lt;&gt;$A806,IFERROR(INDEX([1]FG_Begin_Inventory!$B:$B,MATCH($A807,[1]FG_Begin_Inventory!$A:$A,0)),0),J806))</f>
        <v/>
      </c>
      <c r="G807" s="61" t="str">
        <f t="shared" si="87"/>
        <v/>
      </c>
      <c r="H807" s="62" t="str">
        <f t="shared" si="88"/>
        <v/>
      </c>
      <c r="I807" s="62" t="str">
        <f t="shared" si="89"/>
        <v/>
      </c>
      <c r="J807" s="62" t="str">
        <f t="shared" si="90"/>
        <v/>
      </c>
      <c r="K807" s="62" t="str">
        <f t="shared" si="91"/>
        <v/>
      </c>
      <c r="L807" s="62" t="str">
        <f t="shared" si="92"/>
        <v/>
      </c>
      <c r="M807" s="63" t="str">
        <f t="shared" si="93"/>
        <v/>
      </c>
      <c r="N807" s="64"/>
    </row>
    <row r="808" spans="1:14" x14ac:dyDescent="0.3">
      <c r="A808" s="58" t="str">
        <f>IF([1]weekly_demand!A809="","",[1]weekly_demand!A809)</f>
        <v/>
      </c>
      <c r="B808" s="59" t="str">
        <f>IF($A808="","",[1]weekly_demand!F809)</f>
        <v/>
      </c>
      <c r="C808" s="60" t="str">
        <f>IF($A808="","",[1]weekly_demand!H809)</f>
        <v/>
      </c>
      <c r="D808" s="61" t="str">
        <f>IF($A808="","",IF(SUMIFS([1]Fixture_Capacity_Input!$C:$C,[1]Fixture_Capacity_Input!$A:$A,$B808,[1]Fixture_Capacity_Input!$B:$B,$C808)&gt;0,SUMIFS([1]Fixture_Capacity_Input!$C:$C,[1]Fixture_Capacity_Input!$A:$A,$B808,[1]Fixture_Capacity_Input!$B:$B,$C808),[1]weekly_demand!G809))</f>
        <v/>
      </c>
      <c r="E808" s="62" t="str">
        <f>IF($A808="","",[1]weekly_demand!I809)</f>
        <v/>
      </c>
      <c r="F808" s="61" t="str">
        <f>IF($A808="","",IF($A808&lt;&gt;$A807,IFERROR(INDEX([1]FG_Begin_Inventory!$B:$B,MATCH($A808,[1]FG_Begin_Inventory!$A:$A,0)),0),J807))</f>
        <v/>
      </c>
      <c r="G808" s="61" t="str">
        <f t="shared" si="87"/>
        <v/>
      </c>
      <c r="H808" s="62" t="str">
        <f t="shared" si="88"/>
        <v/>
      </c>
      <c r="I808" s="62" t="str">
        <f t="shared" si="89"/>
        <v/>
      </c>
      <c r="J808" s="62" t="str">
        <f t="shared" si="90"/>
        <v/>
      </c>
      <c r="K808" s="62" t="str">
        <f t="shared" si="91"/>
        <v/>
      </c>
      <c r="L808" s="62" t="str">
        <f t="shared" si="92"/>
        <v/>
      </c>
      <c r="M808" s="63" t="str">
        <f t="shared" si="93"/>
        <v/>
      </c>
      <c r="N808" s="64"/>
    </row>
    <row r="809" spans="1:14" x14ac:dyDescent="0.3">
      <c r="A809" s="58" t="str">
        <f>IF([1]weekly_demand!A810="","",[1]weekly_demand!A810)</f>
        <v/>
      </c>
      <c r="B809" s="59" t="str">
        <f>IF($A809="","",[1]weekly_demand!F810)</f>
        <v/>
      </c>
      <c r="C809" s="60" t="str">
        <f>IF($A809="","",[1]weekly_demand!H810)</f>
        <v/>
      </c>
      <c r="D809" s="61" t="str">
        <f>IF($A809="","",IF(SUMIFS([1]Fixture_Capacity_Input!$C:$C,[1]Fixture_Capacity_Input!$A:$A,$B809,[1]Fixture_Capacity_Input!$B:$B,$C809)&gt;0,SUMIFS([1]Fixture_Capacity_Input!$C:$C,[1]Fixture_Capacity_Input!$A:$A,$B809,[1]Fixture_Capacity_Input!$B:$B,$C809),[1]weekly_demand!G810))</f>
        <v/>
      </c>
      <c r="E809" s="62" t="str">
        <f>IF($A809="","",[1]weekly_demand!I810)</f>
        <v/>
      </c>
      <c r="F809" s="61" t="str">
        <f>IF($A809="","",IF($A809&lt;&gt;$A808,IFERROR(INDEX([1]FG_Begin_Inventory!$B:$B,MATCH($A809,[1]FG_Begin_Inventory!$A:$A,0)),0),J808))</f>
        <v/>
      </c>
      <c r="G809" s="61" t="str">
        <f t="shared" si="87"/>
        <v/>
      </c>
      <c r="H809" s="62" t="str">
        <f t="shared" si="88"/>
        <v/>
      </c>
      <c r="I809" s="62" t="str">
        <f t="shared" si="89"/>
        <v/>
      </c>
      <c r="J809" s="62" t="str">
        <f t="shared" si="90"/>
        <v/>
      </c>
      <c r="K809" s="62" t="str">
        <f t="shared" si="91"/>
        <v/>
      </c>
      <c r="L809" s="62" t="str">
        <f t="shared" si="92"/>
        <v/>
      </c>
      <c r="M809" s="63" t="str">
        <f t="shared" si="93"/>
        <v/>
      </c>
      <c r="N809" s="64"/>
    </row>
    <row r="810" spans="1:14" x14ac:dyDescent="0.3">
      <c r="A810" s="58" t="str">
        <f>IF([1]weekly_demand!A811="","",[1]weekly_demand!A811)</f>
        <v/>
      </c>
      <c r="B810" s="59" t="str">
        <f>IF($A810="","",[1]weekly_demand!F811)</f>
        <v/>
      </c>
      <c r="C810" s="60" t="str">
        <f>IF($A810="","",[1]weekly_demand!H811)</f>
        <v/>
      </c>
      <c r="D810" s="61" t="str">
        <f>IF($A810="","",IF(SUMIFS([1]Fixture_Capacity_Input!$C:$C,[1]Fixture_Capacity_Input!$A:$A,$B810,[1]Fixture_Capacity_Input!$B:$B,$C810)&gt;0,SUMIFS([1]Fixture_Capacity_Input!$C:$C,[1]Fixture_Capacity_Input!$A:$A,$B810,[1]Fixture_Capacity_Input!$B:$B,$C810),[1]weekly_demand!G811))</f>
        <v/>
      </c>
      <c r="E810" s="62" t="str">
        <f>IF($A810="","",[1]weekly_demand!I811)</f>
        <v/>
      </c>
      <c r="F810" s="61" t="str">
        <f>IF($A810="","",IF($A810&lt;&gt;$A809,IFERROR(INDEX([1]FG_Begin_Inventory!$B:$B,MATCH($A810,[1]FG_Begin_Inventory!$A:$A,0)),0),J809))</f>
        <v/>
      </c>
      <c r="G810" s="61" t="str">
        <f t="shared" si="87"/>
        <v/>
      </c>
      <c r="H810" s="62" t="str">
        <f t="shared" si="88"/>
        <v/>
      </c>
      <c r="I810" s="62" t="str">
        <f t="shared" si="89"/>
        <v/>
      </c>
      <c r="J810" s="62" t="str">
        <f t="shared" si="90"/>
        <v/>
      </c>
      <c r="K810" s="62" t="str">
        <f t="shared" si="91"/>
        <v/>
      </c>
      <c r="L810" s="62" t="str">
        <f t="shared" si="92"/>
        <v/>
      </c>
      <c r="M810" s="63" t="str">
        <f t="shared" si="93"/>
        <v/>
      </c>
      <c r="N810" s="64"/>
    </row>
    <row r="811" spans="1:14" x14ac:dyDescent="0.3">
      <c r="A811" s="58" t="str">
        <f>IF([1]weekly_demand!A812="","",[1]weekly_demand!A812)</f>
        <v/>
      </c>
      <c r="B811" s="59" t="str">
        <f>IF($A811="","",[1]weekly_demand!F812)</f>
        <v/>
      </c>
      <c r="C811" s="60" t="str">
        <f>IF($A811="","",[1]weekly_demand!H812)</f>
        <v/>
      </c>
      <c r="D811" s="61" t="str">
        <f>IF($A811="","",IF(SUMIFS([1]Fixture_Capacity_Input!$C:$C,[1]Fixture_Capacity_Input!$A:$A,$B811,[1]Fixture_Capacity_Input!$B:$B,$C811)&gt;0,SUMIFS([1]Fixture_Capacity_Input!$C:$C,[1]Fixture_Capacity_Input!$A:$A,$B811,[1]Fixture_Capacity_Input!$B:$B,$C811),[1]weekly_demand!G812))</f>
        <v/>
      </c>
      <c r="E811" s="62" t="str">
        <f>IF($A811="","",[1]weekly_demand!I812)</f>
        <v/>
      </c>
      <c r="F811" s="61" t="str">
        <f>IF($A811="","",IF($A811&lt;&gt;$A810,IFERROR(INDEX([1]FG_Begin_Inventory!$B:$B,MATCH($A811,[1]FG_Begin_Inventory!$A:$A,0)),0),J810))</f>
        <v/>
      </c>
      <c r="G811" s="61" t="str">
        <f t="shared" si="87"/>
        <v/>
      </c>
      <c r="H811" s="62" t="str">
        <f t="shared" si="88"/>
        <v/>
      </c>
      <c r="I811" s="62" t="str">
        <f t="shared" si="89"/>
        <v/>
      </c>
      <c r="J811" s="62" t="str">
        <f t="shared" si="90"/>
        <v/>
      </c>
      <c r="K811" s="62" t="str">
        <f t="shared" si="91"/>
        <v/>
      </c>
      <c r="L811" s="62" t="str">
        <f t="shared" si="92"/>
        <v/>
      </c>
      <c r="M811" s="63" t="str">
        <f t="shared" si="93"/>
        <v/>
      </c>
      <c r="N811" s="64"/>
    </row>
    <row r="812" spans="1:14" x14ac:dyDescent="0.3">
      <c r="A812" s="58" t="str">
        <f>IF([1]weekly_demand!A813="","",[1]weekly_demand!A813)</f>
        <v/>
      </c>
      <c r="B812" s="59" t="str">
        <f>IF($A812="","",[1]weekly_demand!F813)</f>
        <v/>
      </c>
      <c r="C812" s="60" t="str">
        <f>IF($A812="","",[1]weekly_demand!H813)</f>
        <v/>
      </c>
      <c r="D812" s="61" t="str">
        <f>IF($A812="","",IF(SUMIFS([1]Fixture_Capacity_Input!$C:$C,[1]Fixture_Capacity_Input!$A:$A,$B812,[1]Fixture_Capacity_Input!$B:$B,$C812)&gt;0,SUMIFS([1]Fixture_Capacity_Input!$C:$C,[1]Fixture_Capacity_Input!$A:$A,$B812,[1]Fixture_Capacity_Input!$B:$B,$C812),[1]weekly_demand!G813))</f>
        <v/>
      </c>
      <c r="E812" s="62" t="str">
        <f>IF($A812="","",[1]weekly_demand!I813)</f>
        <v/>
      </c>
      <c r="F812" s="61" t="str">
        <f>IF($A812="","",IF($A812&lt;&gt;$A811,IFERROR(INDEX([1]FG_Begin_Inventory!$B:$B,MATCH($A812,[1]FG_Begin_Inventory!$A:$A,0)),0),J811))</f>
        <v/>
      </c>
      <c r="G812" s="61" t="str">
        <f t="shared" si="87"/>
        <v/>
      </c>
      <c r="H812" s="62" t="str">
        <f t="shared" si="88"/>
        <v/>
      </c>
      <c r="I812" s="62" t="str">
        <f t="shared" si="89"/>
        <v/>
      </c>
      <c r="J812" s="62" t="str">
        <f t="shared" si="90"/>
        <v/>
      </c>
      <c r="K812" s="62" t="str">
        <f t="shared" si="91"/>
        <v/>
      </c>
      <c r="L812" s="62" t="str">
        <f t="shared" si="92"/>
        <v/>
      </c>
      <c r="M812" s="63" t="str">
        <f t="shared" si="93"/>
        <v/>
      </c>
      <c r="N812" s="64"/>
    </row>
    <row r="813" spans="1:14" x14ac:dyDescent="0.3">
      <c r="A813" s="58" t="str">
        <f>IF([1]weekly_demand!A814="","",[1]weekly_demand!A814)</f>
        <v/>
      </c>
      <c r="B813" s="59" t="str">
        <f>IF($A813="","",[1]weekly_demand!F814)</f>
        <v/>
      </c>
      <c r="C813" s="60" t="str">
        <f>IF($A813="","",[1]weekly_demand!H814)</f>
        <v/>
      </c>
      <c r="D813" s="61" t="str">
        <f>IF($A813="","",IF(SUMIFS([1]Fixture_Capacity_Input!$C:$C,[1]Fixture_Capacity_Input!$A:$A,$B813,[1]Fixture_Capacity_Input!$B:$B,$C813)&gt;0,SUMIFS([1]Fixture_Capacity_Input!$C:$C,[1]Fixture_Capacity_Input!$A:$A,$B813,[1]Fixture_Capacity_Input!$B:$B,$C813),[1]weekly_demand!G814))</f>
        <v/>
      </c>
      <c r="E813" s="62" t="str">
        <f>IF($A813="","",[1]weekly_demand!I814)</f>
        <v/>
      </c>
      <c r="F813" s="61" t="str">
        <f>IF($A813="","",IF($A813&lt;&gt;$A812,IFERROR(INDEX([1]FG_Begin_Inventory!$B:$B,MATCH($A813,[1]FG_Begin_Inventory!$A:$A,0)),0),J812))</f>
        <v/>
      </c>
      <c r="G813" s="61" t="str">
        <f t="shared" si="87"/>
        <v/>
      </c>
      <c r="H813" s="62" t="str">
        <f t="shared" si="88"/>
        <v/>
      </c>
      <c r="I813" s="62" t="str">
        <f t="shared" si="89"/>
        <v/>
      </c>
      <c r="J813" s="62" t="str">
        <f t="shared" si="90"/>
        <v/>
      </c>
      <c r="K813" s="62" t="str">
        <f t="shared" si="91"/>
        <v/>
      </c>
      <c r="L813" s="62" t="str">
        <f t="shared" si="92"/>
        <v/>
      </c>
      <c r="M813" s="63" t="str">
        <f t="shared" si="93"/>
        <v/>
      </c>
      <c r="N813" s="64"/>
    </row>
    <row r="814" spans="1:14" x14ac:dyDescent="0.3">
      <c r="A814" s="58" t="str">
        <f>IF([1]weekly_demand!A815="","",[1]weekly_demand!A815)</f>
        <v/>
      </c>
      <c r="B814" s="59" t="str">
        <f>IF($A814="","",[1]weekly_demand!F815)</f>
        <v/>
      </c>
      <c r="C814" s="60" t="str">
        <f>IF($A814="","",[1]weekly_demand!H815)</f>
        <v/>
      </c>
      <c r="D814" s="61" t="str">
        <f>IF($A814="","",IF(SUMIFS([1]Fixture_Capacity_Input!$C:$C,[1]Fixture_Capacity_Input!$A:$A,$B814,[1]Fixture_Capacity_Input!$B:$B,$C814)&gt;0,SUMIFS([1]Fixture_Capacity_Input!$C:$C,[1]Fixture_Capacity_Input!$A:$A,$B814,[1]Fixture_Capacity_Input!$B:$B,$C814),[1]weekly_demand!G815))</f>
        <v/>
      </c>
      <c r="E814" s="62" t="str">
        <f>IF($A814="","",[1]weekly_demand!I815)</f>
        <v/>
      </c>
      <c r="F814" s="61" t="str">
        <f>IF($A814="","",IF($A814&lt;&gt;$A813,IFERROR(INDEX([1]FG_Begin_Inventory!$B:$B,MATCH($A814,[1]FG_Begin_Inventory!$A:$A,0)),0),J813))</f>
        <v/>
      </c>
      <c r="G814" s="61" t="str">
        <f t="shared" si="87"/>
        <v/>
      </c>
      <c r="H814" s="62" t="str">
        <f t="shared" si="88"/>
        <v/>
      </c>
      <c r="I814" s="62" t="str">
        <f t="shared" si="89"/>
        <v/>
      </c>
      <c r="J814" s="62" t="str">
        <f t="shared" si="90"/>
        <v/>
      </c>
      <c r="K814" s="62" t="str">
        <f t="shared" si="91"/>
        <v/>
      </c>
      <c r="L814" s="62" t="str">
        <f t="shared" si="92"/>
        <v/>
      </c>
      <c r="M814" s="63" t="str">
        <f t="shared" si="93"/>
        <v/>
      </c>
      <c r="N814" s="64"/>
    </row>
    <row r="815" spans="1:14" x14ac:dyDescent="0.3">
      <c r="A815" s="58" t="str">
        <f>IF([1]weekly_demand!A816="","",[1]weekly_demand!A816)</f>
        <v/>
      </c>
      <c r="B815" s="59" t="str">
        <f>IF($A815="","",[1]weekly_demand!F816)</f>
        <v/>
      </c>
      <c r="C815" s="60" t="str">
        <f>IF($A815="","",[1]weekly_demand!H816)</f>
        <v/>
      </c>
      <c r="D815" s="61" t="str">
        <f>IF($A815="","",IF(SUMIFS([1]Fixture_Capacity_Input!$C:$C,[1]Fixture_Capacity_Input!$A:$A,$B815,[1]Fixture_Capacity_Input!$B:$B,$C815)&gt;0,SUMIFS([1]Fixture_Capacity_Input!$C:$C,[1]Fixture_Capacity_Input!$A:$A,$B815,[1]Fixture_Capacity_Input!$B:$B,$C815),[1]weekly_demand!G816))</f>
        <v/>
      </c>
      <c r="E815" s="62" t="str">
        <f>IF($A815="","",[1]weekly_demand!I816)</f>
        <v/>
      </c>
      <c r="F815" s="61" t="str">
        <f>IF($A815="","",IF($A815&lt;&gt;$A814,IFERROR(INDEX([1]FG_Begin_Inventory!$B:$B,MATCH($A815,[1]FG_Begin_Inventory!$A:$A,0)),0),J814))</f>
        <v/>
      </c>
      <c r="G815" s="61" t="str">
        <f t="shared" si="87"/>
        <v/>
      </c>
      <c r="H815" s="62" t="str">
        <f t="shared" si="88"/>
        <v/>
      </c>
      <c r="I815" s="62" t="str">
        <f t="shared" si="89"/>
        <v/>
      </c>
      <c r="J815" s="62" t="str">
        <f t="shared" si="90"/>
        <v/>
      </c>
      <c r="K815" s="62" t="str">
        <f t="shared" si="91"/>
        <v/>
      </c>
      <c r="L815" s="62" t="str">
        <f t="shared" si="92"/>
        <v/>
      </c>
      <c r="M815" s="63" t="str">
        <f t="shared" si="93"/>
        <v/>
      </c>
      <c r="N815" s="64"/>
    </row>
    <row r="816" spans="1:14" x14ac:dyDescent="0.3">
      <c r="A816" s="58" t="str">
        <f>IF([1]weekly_demand!A817="","",[1]weekly_demand!A817)</f>
        <v/>
      </c>
      <c r="B816" s="59" t="str">
        <f>IF($A816="","",[1]weekly_demand!F817)</f>
        <v/>
      </c>
      <c r="C816" s="60" t="str">
        <f>IF($A816="","",[1]weekly_demand!H817)</f>
        <v/>
      </c>
      <c r="D816" s="61" t="str">
        <f>IF($A816="","",IF(SUMIFS([1]Fixture_Capacity_Input!$C:$C,[1]Fixture_Capacity_Input!$A:$A,$B816,[1]Fixture_Capacity_Input!$B:$B,$C816)&gt;0,SUMIFS([1]Fixture_Capacity_Input!$C:$C,[1]Fixture_Capacity_Input!$A:$A,$B816,[1]Fixture_Capacity_Input!$B:$B,$C816),[1]weekly_demand!G817))</f>
        <v/>
      </c>
      <c r="E816" s="62" t="str">
        <f>IF($A816="","",[1]weekly_demand!I817)</f>
        <v/>
      </c>
      <c r="F816" s="61" t="str">
        <f>IF($A816="","",IF($A816&lt;&gt;$A815,IFERROR(INDEX([1]FG_Begin_Inventory!$B:$B,MATCH($A816,[1]FG_Begin_Inventory!$A:$A,0)),0),J815))</f>
        <v/>
      </c>
      <c r="G816" s="61" t="str">
        <f t="shared" si="87"/>
        <v/>
      </c>
      <c r="H816" s="62" t="str">
        <f t="shared" si="88"/>
        <v/>
      </c>
      <c r="I816" s="62" t="str">
        <f t="shared" si="89"/>
        <v/>
      </c>
      <c r="J816" s="62" t="str">
        <f t="shared" si="90"/>
        <v/>
      </c>
      <c r="K816" s="62" t="str">
        <f t="shared" si="91"/>
        <v/>
      </c>
      <c r="L816" s="62" t="str">
        <f t="shared" si="92"/>
        <v/>
      </c>
      <c r="M816" s="63" t="str">
        <f t="shared" si="93"/>
        <v/>
      </c>
      <c r="N816" s="64"/>
    </row>
    <row r="817" spans="1:14" x14ac:dyDescent="0.3">
      <c r="A817" s="58" t="str">
        <f>IF([1]weekly_demand!A818="","",[1]weekly_demand!A818)</f>
        <v/>
      </c>
      <c r="B817" s="59" t="str">
        <f>IF($A817="","",[1]weekly_demand!F818)</f>
        <v/>
      </c>
      <c r="C817" s="60" t="str">
        <f>IF($A817="","",[1]weekly_demand!H818)</f>
        <v/>
      </c>
      <c r="D817" s="61" t="str">
        <f>IF($A817="","",IF(SUMIFS([1]Fixture_Capacity_Input!$C:$C,[1]Fixture_Capacity_Input!$A:$A,$B817,[1]Fixture_Capacity_Input!$B:$B,$C817)&gt;0,SUMIFS([1]Fixture_Capacity_Input!$C:$C,[1]Fixture_Capacity_Input!$A:$A,$B817,[1]Fixture_Capacity_Input!$B:$B,$C817),[1]weekly_demand!G818))</f>
        <v/>
      </c>
      <c r="E817" s="62" t="str">
        <f>IF($A817="","",[1]weekly_demand!I818)</f>
        <v/>
      </c>
      <c r="F817" s="61" t="str">
        <f>IF($A817="","",IF($A817&lt;&gt;$A816,IFERROR(INDEX([1]FG_Begin_Inventory!$B:$B,MATCH($A817,[1]FG_Begin_Inventory!$A:$A,0)),0),J816))</f>
        <v/>
      </c>
      <c r="G817" s="61" t="str">
        <f t="shared" si="87"/>
        <v/>
      </c>
      <c r="H817" s="62" t="str">
        <f t="shared" si="88"/>
        <v/>
      </c>
      <c r="I817" s="62" t="str">
        <f t="shared" si="89"/>
        <v/>
      </c>
      <c r="J817" s="62" t="str">
        <f t="shared" si="90"/>
        <v/>
      </c>
      <c r="K817" s="62" t="str">
        <f t="shared" si="91"/>
        <v/>
      </c>
      <c r="L817" s="62" t="str">
        <f t="shared" si="92"/>
        <v/>
      </c>
      <c r="M817" s="63" t="str">
        <f t="shared" si="93"/>
        <v/>
      </c>
      <c r="N817" s="64"/>
    </row>
    <row r="818" spans="1:14" x14ac:dyDescent="0.3">
      <c r="A818" s="58" t="str">
        <f>IF([1]weekly_demand!A819="","",[1]weekly_demand!A819)</f>
        <v/>
      </c>
      <c r="B818" s="59" t="str">
        <f>IF($A818="","",[1]weekly_demand!F819)</f>
        <v/>
      </c>
      <c r="C818" s="60" t="str">
        <f>IF($A818="","",[1]weekly_demand!H819)</f>
        <v/>
      </c>
      <c r="D818" s="61" t="str">
        <f>IF($A818="","",IF(SUMIFS([1]Fixture_Capacity_Input!$C:$C,[1]Fixture_Capacity_Input!$A:$A,$B818,[1]Fixture_Capacity_Input!$B:$B,$C818)&gt;0,SUMIFS([1]Fixture_Capacity_Input!$C:$C,[1]Fixture_Capacity_Input!$A:$A,$B818,[1]Fixture_Capacity_Input!$B:$B,$C818),[1]weekly_demand!G819))</f>
        <v/>
      </c>
      <c r="E818" s="62" t="str">
        <f>IF($A818="","",[1]weekly_demand!I819)</f>
        <v/>
      </c>
      <c r="F818" s="61" t="str">
        <f>IF($A818="","",IF($A818&lt;&gt;$A817,IFERROR(INDEX([1]FG_Begin_Inventory!$B:$B,MATCH($A818,[1]FG_Begin_Inventory!$A:$A,0)),0),J817))</f>
        <v/>
      </c>
      <c r="G818" s="61" t="str">
        <f t="shared" si="87"/>
        <v/>
      </c>
      <c r="H818" s="62" t="str">
        <f t="shared" si="88"/>
        <v/>
      </c>
      <c r="I818" s="62" t="str">
        <f t="shared" si="89"/>
        <v/>
      </c>
      <c r="J818" s="62" t="str">
        <f t="shared" si="90"/>
        <v/>
      </c>
      <c r="K818" s="62" t="str">
        <f t="shared" si="91"/>
        <v/>
      </c>
      <c r="L818" s="62" t="str">
        <f t="shared" si="92"/>
        <v/>
      </c>
      <c r="M818" s="63" t="str">
        <f t="shared" si="93"/>
        <v/>
      </c>
      <c r="N818" s="64"/>
    </row>
    <row r="819" spans="1:14" x14ac:dyDescent="0.3">
      <c r="A819" s="58" t="str">
        <f>IF([1]weekly_demand!A820="","",[1]weekly_demand!A820)</f>
        <v/>
      </c>
      <c r="B819" s="59" t="str">
        <f>IF($A819="","",[1]weekly_demand!F820)</f>
        <v/>
      </c>
      <c r="C819" s="60" t="str">
        <f>IF($A819="","",[1]weekly_demand!H820)</f>
        <v/>
      </c>
      <c r="D819" s="61" t="str">
        <f>IF($A819="","",IF(SUMIFS([1]Fixture_Capacity_Input!$C:$C,[1]Fixture_Capacity_Input!$A:$A,$B819,[1]Fixture_Capacity_Input!$B:$B,$C819)&gt;0,SUMIFS([1]Fixture_Capacity_Input!$C:$C,[1]Fixture_Capacity_Input!$A:$A,$B819,[1]Fixture_Capacity_Input!$B:$B,$C819),[1]weekly_demand!G820))</f>
        <v/>
      </c>
      <c r="E819" s="62" t="str">
        <f>IF($A819="","",[1]weekly_demand!I820)</f>
        <v/>
      </c>
      <c r="F819" s="61" t="str">
        <f>IF($A819="","",IF($A819&lt;&gt;$A818,IFERROR(INDEX([1]FG_Begin_Inventory!$B:$B,MATCH($A819,[1]FG_Begin_Inventory!$A:$A,0)),0),J818))</f>
        <v/>
      </c>
      <c r="G819" s="61" t="str">
        <f t="shared" ref="G819:G882" si="94">IF($A819="","",IF($A819&lt;&gt;$A820,0,MAX(0,G820+E820-D820)))</f>
        <v/>
      </c>
      <c r="H819" s="62" t="str">
        <f t="shared" si="88"/>
        <v/>
      </c>
      <c r="I819" s="62" t="str">
        <f t="shared" si="89"/>
        <v/>
      </c>
      <c r="J819" s="62" t="str">
        <f t="shared" si="90"/>
        <v/>
      </c>
      <c r="K819" s="62" t="str">
        <f t="shared" si="91"/>
        <v/>
      </c>
      <c r="L819" s="62" t="str">
        <f t="shared" si="92"/>
        <v/>
      </c>
      <c r="M819" s="63" t="str">
        <f t="shared" si="93"/>
        <v/>
      </c>
      <c r="N819" s="64"/>
    </row>
    <row r="820" spans="1:14" x14ac:dyDescent="0.3">
      <c r="A820" s="58" t="str">
        <f>IF([1]weekly_demand!A821="","",[1]weekly_demand!A821)</f>
        <v/>
      </c>
      <c r="B820" s="59" t="str">
        <f>IF($A820="","",[1]weekly_demand!F821)</f>
        <v/>
      </c>
      <c r="C820" s="60" t="str">
        <f>IF($A820="","",[1]weekly_demand!H821)</f>
        <v/>
      </c>
      <c r="D820" s="61" t="str">
        <f>IF($A820="","",IF(SUMIFS([1]Fixture_Capacity_Input!$C:$C,[1]Fixture_Capacity_Input!$A:$A,$B820,[1]Fixture_Capacity_Input!$B:$B,$C820)&gt;0,SUMIFS([1]Fixture_Capacity_Input!$C:$C,[1]Fixture_Capacity_Input!$A:$A,$B820,[1]Fixture_Capacity_Input!$B:$B,$C820),[1]weekly_demand!G821))</f>
        <v/>
      </c>
      <c r="E820" s="62" t="str">
        <f>IF($A820="","",[1]weekly_demand!I821)</f>
        <v/>
      </c>
      <c r="F820" s="61" t="str">
        <f>IF($A820="","",IF($A820&lt;&gt;$A819,IFERROR(INDEX([1]FG_Begin_Inventory!$B:$B,MATCH($A820,[1]FG_Begin_Inventory!$A:$A,0)),0),J819))</f>
        <v/>
      </c>
      <c r="G820" s="61" t="str">
        <f t="shared" si="94"/>
        <v/>
      </c>
      <c r="H820" s="62" t="str">
        <f t="shared" si="88"/>
        <v/>
      </c>
      <c r="I820" s="62" t="str">
        <f t="shared" si="89"/>
        <v/>
      </c>
      <c r="J820" s="62" t="str">
        <f t="shared" si="90"/>
        <v/>
      </c>
      <c r="K820" s="62" t="str">
        <f t="shared" si="91"/>
        <v/>
      </c>
      <c r="L820" s="62" t="str">
        <f t="shared" si="92"/>
        <v/>
      </c>
      <c r="M820" s="63" t="str">
        <f t="shared" si="93"/>
        <v/>
      </c>
      <c r="N820" s="64"/>
    </row>
    <row r="821" spans="1:14" x14ac:dyDescent="0.3">
      <c r="A821" s="58" t="str">
        <f>IF([1]weekly_demand!A822="","",[1]weekly_demand!A822)</f>
        <v/>
      </c>
      <c r="B821" s="59" t="str">
        <f>IF($A821="","",[1]weekly_demand!F822)</f>
        <v/>
      </c>
      <c r="C821" s="60" t="str">
        <f>IF($A821="","",[1]weekly_demand!H822)</f>
        <v/>
      </c>
      <c r="D821" s="61" t="str">
        <f>IF($A821="","",IF(SUMIFS([1]Fixture_Capacity_Input!$C:$C,[1]Fixture_Capacity_Input!$A:$A,$B821,[1]Fixture_Capacity_Input!$B:$B,$C821)&gt;0,SUMIFS([1]Fixture_Capacity_Input!$C:$C,[1]Fixture_Capacity_Input!$A:$A,$B821,[1]Fixture_Capacity_Input!$B:$B,$C821),[1]weekly_demand!G822))</f>
        <v/>
      </c>
      <c r="E821" s="62" t="str">
        <f>IF($A821="","",[1]weekly_demand!I822)</f>
        <v/>
      </c>
      <c r="F821" s="61" t="str">
        <f>IF($A821="","",IF($A821&lt;&gt;$A820,IFERROR(INDEX([1]FG_Begin_Inventory!$B:$B,MATCH($A821,[1]FG_Begin_Inventory!$A:$A,0)),0),J820))</f>
        <v/>
      </c>
      <c r="G821" s="61" t="str">
        <f t="shared" si="94"/>
        <v/>
      </c>
      <c r="H821" s="62" t="str">
        <f t="shared" si="88"/>
        <v/>
      </c>
      <c r="I821" s="62" t="str">
        <f t="shared" si="89"/>
        <v/>
      </c>
      <c r="J821" s="62" t="str">
        <f t="shared" si="90"/>
        <v/>
      </c>
      <c r="K821" s="62" t="str">
        <f t="shared" si="91"/>
        <v/>
      </c>
      <c r="L821" s="62" t="str">
        <f t="shared" si="92"/>
        <v/>
      </c>
      <c r="M821" s="63" t="str">
        <f t="shared" si="93"/>
        <v/>
      </c>
      <c r="N821" s="64"/>
    </row>
    <row r="822" spans="1:14" x14ac:dyDescent="0.3">
      <c r="A822" s="58" t="str">
        <f>IF([1]weekly_demand!A823="","",[1]weekly_demand!A823)</f>
        <v/>
      </c>
      <c r="B822" s="59" t="str">
        <f>IF($A822="","",[1]weekly_demand!F823)</f>
        <v/>
      </c>
      <c r="C822" s="60" t="str">
        <f>IF($A822="","",[1]weekly_demand!H823)</f>
        <v/>
      </c>
      <c r="D822" s="61" t="str">
        <f>IF($A822="","",IF(SUMIFS([1]Fixture_Capacity_Input!$C:$C,[1]Fixture_Capacity_Input!$A:$A,$B822,[1]Fixture_Capacity_Input!$B:$B,$C822)&gt;0,SUMIFS([1]Fixture_Capacity_Input!$C:$C,[1]Fixture_Capacity_Input!$A:$A,$B822,[1]Fixture_Capacity_Input!$B:$B,$C822),[1]weekly_demand!G823))</f>
        <v/>
      </c>
      <c r="E822" s="62" t="str">
        <f>IF($A822="","",[1]weekly_demand!I823)</f>
        <v/>
      </c>
      <c r="F822" s="61" t="str">
        <f>IF($A822="","",IF($A822&lt;&gt;$A821,IFERROR(INDEX([1]FG_Begin_Inventory!$B:$B,MATCH($A822,[1]FG_Begin_Inventory!$A:$A,0)),0),J821))</f>
        <v/>
      </c>
      <c r="G822" s="61" t="str">
        <f t="shared" si="94"/>
        <v/>
      </c>
      <c r="H822" s="62" t="str">
        <f t="shared" si="88"/>
        <v/>
      </c>
      <c r="I822" s="62" t="str">
        <f t="shared" si="89"/>
        <v/>
      </c>
      <c r="J822" s="62" t="str">
        <f t="shared" si="90"/>
        <v/>
      </c>
      <c r="K822" s="62" t="str">
        <f t="shared" si="91"/>
        <v/>
      </c>
      <c r="L822" s="62" t="str">
        <f t="shared" si="92"/>
        <v/>
      </c>
      <c r="M822" s="63" t="str">
        <f t="shared" si="93"/>
        <v/>
      </c>
      <c r="N822" s="64"/>
    </row>
    <row r="823" spans="1:14" x14ac:dyDescent="0.3">
      <c r="A823" s="58" t="str">
        <f>IF([1]weekly_demand!A824="","",[1]weekly_demand!A824)</f>
        <v/>
      </c>
      <c r="B823" s="59" t="str">
        <f>IF($A823="","",[1]weekly_demand!F824)</f>
        <v/>
      </c>
      <c r="C823" s="60" t="str">
        <f>IF($A823="","",[1]weekly_demand!H824)</f>
        <v/>
      </c>
      <c r="D823" s="61" t="str">
        <f>IF($A823="","",IF(SUMIFS([1]Fixture_Capacity_Input!$C:$C,[1]Fixture_Capacity_Input!$A:$A,$B823,[1]Fixture_Capacity_Input!$B:$B,$C823)&gt;0,SUMIFS([1]Fixture_Capacity_Input!$C:$C,[1]Fixture_Capacity_Input!$A:$A,$B823,[1]Fixture_Capacity_Input!$B:$B,$C823),[1]weekly_demand!G824))</f>
        <v/>
      </c>
      <c r="E823" s="62" t="str">
        <f>IF($A823="","",[1]weekly_demand!I824)</f>
        <v/>
      </c>
      <c r="F823" s="61" t="str">
        <f>IF($A823="","",IF($A823&lt;&gt;$A822,IFERROR(INDEX([1]FG_Begin_Inventory!$B:$B,MATCH($A823,[1]FG_Begin_Inventory!$A:$A,0)),0),J822))</f>
        <v/>
      </c>
      <c r="G823" s="61" t="str">
        <f t="shared" si="94"/>
        <v/>
      </c>
      <c r="H823" s="62" t="str">
        <f t="shared" si="88"/>
        <v/>
      </c>
      <c r="I823" s="62" t="str">
        <f t="shared" si="89"/>
        <v/>
      </c>
      <c r="J823" s="62" t="str">
        <f t="shared" si="90"/>
        <v/>
      </c>
      <c r="K823" s="62" t="str">
        <f t="shared" si="91"/>
        <v/>
      </c>
      <c r="L823" s="62" t="str">
        <f t="shared" si="92"/>
        <v/>
      </c>
      <c r="M823" s="63" t="str">
        <f t="shared" si="93"/>
        <v/>
      </c>
      <c r="N823" s="64"/>
    </row>
    <row r="824" spans="1:14" x14ac:dyDescent="0.3">
      <c r="A824" s="58" t="str">
        <f>IF([1]weekly_demand!A825="","",[1]weekly_demand!A825)</f>
        <v/>
      </c>
      <c r="B824" s="59" t="str">
        <f>IF($A824="","",[1]weekly_demand!F825)</f>
        <v/>
      </c>
      <c r="C824" s="60" t="str">
        <f>IF($A824="","",[1]weekly_demand!H825)</f>
        <v/>
      </c>
      <c r="D824" s="61" t="str">
        <f>IF($A824="","",IF(SUMIFS([1]Fixture_Capacity_Input!$C:$C,[1]Fixture_Capacity_Input!$A:$A,$B824,[1]Fixture_Capacity_Input!$B:$B,$C824)&gt;0,SUMIFS([1]Fixture_Capacity_Input!$C:$C,[1]Fixture_Capacity_Input!$A:$A,$B824,[1]Fixture_Capacity_Input!$B:$B,$C824),[1]weekly_demand!G825))</f>
        <v/>
      </c>
      <c r="E824" s="62" t="str">
        <f>IF($A824="","",[1]weekly_demand!I825)</f>
        <v/>
      </c>
      <c r="F824" s="61" t="str">
        <f>IF($A824="","",IF($A824&lt;&gt;$A823,IFERROR(INDEX([1]FG_Begin_Inventory!$B:$B,MATCH($A824,[1]FG_Begin_Inventory!$A:$A,0)),0),J823))</f>
        <v/>
      </c>
      <c r="G824" s="61" t="str">
        <f t="shared" si="94"/>
        <v/>
      </c>
      <c r="H824" s="62" t="str">
        <f t="shared" si="88"/>
        <v/>
      </c>
      <c r="I824" s="62" t="str">
        <f t="shared" si="89"/>
        <v/>
      </c>
      <c r="J824" s="62" t="str">
        <f t="shared" si="90"/>
        <v/>
      </c>
      <c r="K824" s="62" t="str">
        <f t="shared" si="91"/>
        <v/>
      </c>
      <c r="L824" s="62" t="str">
        <f t="shared" si="92"/>
        <v/>
      </c>
      <c r="M824" s="63" t="str">
        <f t="shared" si="93"/>
        <v/>
      </c>
      <c r="N824" s="64"/>
    </row>
    <row r="825" spans="1:14" x14ac:dyDescent="0.3">
      <c r="A825" s="58" t="str">
        <f>IF([1]weekly_demand!A826="","",[1]weekly_demand!A826)</f>
        <v/>
      </c>
      <c r="B825" s="59" t="str">
        <f>IF($A825="","",[1]weekly_demand!F826)</f>
        <v/>
      </c>
      <c r="C825" s="60" t="str">
        <f>IF($A825="","",[1]weekly_demand!H826)</f>
        <v/>
      </c>
      <c r="D825" s="61" t="str">
        <f>IF($A825="","",IF(SUMIFS([1]Fixture_Capacity_Input!$C:$C,[1]Fixture_Capacity_Input!$A:$A,$B825,[1]Fixture_Capacity_Input!$B:$B,$C825)&gt;0,SUMIFS([1]Fixture_Capacity_Input!$C:$C,[1]Fixture_Capacity_Input!$A:$A,$B825,[1]Fixture_Capacity_Input!$B:$B,$C825),[1]weekly_demand!G826))</f>
        <v/>
      </c>
      <c r="E825" s="62" t="str">
        <f>IF($A825="","",[1]weekly_demand!I826)</f>
        <v/>
      </c>
      <c r="F825" s="61" t="str">
        <f>IF($A825="","",IF($A825&lt;&gt;$A824,IFERROR(INDEX([1]FG_Begin_Inventory!$B:$B,MATCH($A825,[1]FG_Begin_Inventory!$A:$A,0)),0),J824))</f>
        <v/>
      </c>
      <c r="G825" s="61" t="str">
        <f t="shared" si="94"/>
        <v/>
      </c>
      <c r="H825" s="62" t="str">
        <f t="shared" si="88"/>
        <v/>
      </c>
      <c r="I825" s="62" t="str">
        <f t="shared" si="89"/>
        <v/>
      </c>
      <c r="J825" s="62" t="str">
        <f t="shared" si="90"/>
        <v/>
      </c>
      <c r="K825" s="62" t="str">
        <f t="shared" si="91"/>
        <v/>
      </c>
      <c r="L825" s="62" t="str">
        <f t="shared" si="92"/>
        <v/>
      </c>
      <c r="M825" s="63" t="str">
        <f t="shared" si="93"/>
        <v/>
      </c>
      <c r="N825" s="64"/>
    </row>
    <row r="826" spans="1:14" x14ac:dyDescent="0.3">
      <c r="A826" s="58" t="str">
        <f>IF([1]weekly_demand!A827="","",[1]weekly_demand!A827)</f>
        <v/>
      </c>
      <c r="B826" s="59" t="str">
        <f>IF($A826="","",[1]weekly_demand!F827)</f>
        <v/>
      </c>
      <c r="C826" s="60" t="str">
        <f>IF($A826="","",[1]weekly_demand!H827)</f>
        <v/>
      </c>
      <c r="D826" s="61" t="str">
        <f>IF($A826="","",IF(SUMIFS([1]Fixture_Capacity_Input!$C:$C,[1]Fixture_Capacity_Input!$A:$A,$B826,[1]Fixture_Capacity_Input!$B:$B,$C826)&gt;0,SUMIFS([1]Fixture_Capacity_Input!$C:$C,[1]Fixture_Capacity_Input!$A:$A,$B826,[1]Fixture_Capacity_Input!$B:$B,$C826),[1]weekly_demand!G827))</f>
        <v/>
      </c>
      <c r="E826" s="62" t="str">
        <f>IF($A826="","",[1]weekly_demand!I827)</f>
        <v/>
      </c>
      <c r="F826" s="61" t="str">
        <f>IF($A826="","",IF($A826&lt;&gt;$A825,IFERROR(INDEX([1]FG_Begin_Inventory!$B:$B,MATCH($A826,[1]FG_Begin_Inventory!$A:$A,0)),0),J825))</f>
        <v/>
      </c>
      <c r="G826" s="61" t="str">
        <f t="shared" si="94"/>
        <v/>
      </c>
      <c r="H826" s="62" t="str">
        <f t="shared" si="88"/>
        <v/>
      </c>
      <c r="I826" s="62" t="str">
        <f t="shared" si="89"/>
        <v/>
      </c>
      <c r="J826" s="62" t="str">
        <f t="shared" si="90"/>
        <v/>
      </c>
      <c r="K826" s="62" t="str">
        <f t="shared" si="91"/>
        <v/>
      </c>
      <c r="L826" s="62" t="str">
        <f t="shared" si="92"/>
        <v/>
      </c>
      <c r="M826" s="63" t="str">
        <f t="shared" si="93"/>
        <v/>
      </c>
      <c r="N826" s="64"/>
    </row>
    <row r="827" spans="1:14" x14ac:dyDescent="0.3">
      <c r="A827" s="58" t="str">
        <f>IF([1]weekly_demand!A828="","",[1]weekly_demand!A828)</f>
        <v/>
      </c>
      <c r="B827" s="59" t="str">
        <f>IF($A827="","",[1]weekly_demand!F828)</f>
        <v/>
      </c>
      <c r="C827" s="60" t="str">
        <f>IF($A827="","",[1]weekly_demand!H828)</f>
        <v/>
      </c>
      <c r="D827" s="61" t="str">
        <f>IF($A827="","",IF(SUMIFS([1]Fixture_Capacity_Input!$C:$C,[1]Fixture_Capacity_Input!$A:$A,$B827,[1]Fixture_Capacity_Input!$B:$B,$C827)&gt;0,SUMIFS([1]Fixture_Capacity_Input!$C:$C,[1]Fixture_Capacity_Input!$A:$A,$B827,[1]Fixture_Capacity_Input!$B:$B,$C827),[1]weekly_demand!G828))</f>
        <v/>
      </c>
      <c r="E827" s="62" t="str">
        <f>IF($A827="","",[1]weekly_demand!I828)</f>
        <v/>
      </c>
      <c r="F827" s="61" t="str">
        <f>IF($A827="","",IF($A827&lt;&gt;$A826,IFERROR(INDEX([1]FG_Begin_Inventory!$B:$B,MATCH($A827,[1]FG_Begin_Inventory!$A:$A,0)),0),J826))</f>
        <v/>
      </c>
      <c r="G827" s="61" t="str">
        <f t="shared" si="94"/>
        <v/>
      </c>
      <c r="H827" s="62" t="str">
        <f t="shared" si="88"/>
        <v/>
      </c>
      <c r="I827" s="62" t="str">
        <f t="shared" si="89"/>
        <v/>
      </c>
      <c r="J827" s="62" t="str">
        <f t="shared" si="90"/>
        <v/>
      </c>
      <c r="K827" s="62" t="str">
        <f t="shared" si="91"/>
        <v/>
      </c>
      <c r="L827" s="62" t="str">
        <f t="shared" si="92"/>
        <v/>
      </c>
      <c r="M827" s="63" t="str">
        <f t="shared" si="93"/>
        <v/>
      </c>
      <c r="N827" s="64"/>
    </row>
    <row r="828" spans="1:14" x14ac:dyDescent="0.3">
      <c r="A828" s="58" t="str">
        <f>IF([1]weekly_demand!A829="","",[1]weekly_demand!A829)</f>
        <v/>
      </c>
      <c r="B828" s="59" t="str">
        <f>IF($A828="","",[1]weekly_demand!F829)</f>
        <v/>
      </c>
      <c r="C828" s="60" t="str">
        <f>IF($A828="","",[1]weekly_demand!H829)</f>
        <v/>
      </c>
      <c r="D828" s="61" t="str">
        <f>IF($A828="","",IF(SUMIFS([1]Fixture_Capacity_Input!$C:$C,[1]Fixture_Capacity_Input!$A:$A,$B828,[1]Fixture_Capacity_Input!$B:$B,$C828)&gt;0,SUMIFS([1]Fixture_Capacity_Input!$C:$C,[1]Fixture_Capacity_Input!$A:$A,$B828,[1]Fixture_Capacity_Input!$B:$B,$C828),[1]weekly_demand!G829))</f>
        <v/>
      </c>
      <c r="E828" s="62" t="str">
        <f>IF($A828="","",[1]weekly_demand!I829)</f>
        <v/>
      </c>
      <c r="F828" s="61" t="str">
        <f>IF($A828="","",IF($A828&lt;&gt;$A827,IFERROR(INDEX([1]FG_Begin_Inventory!$B:$B,MATCH($A828,[1]FG_Begin_Inventory!$A:$A,0)),0),J827))</f>
        <v/>
      </c>
      <c r="G828" s="61" t="str">
        <f t="shared" si="94"/>
        <v/>
      </c>
      <c r="H828" s="62" t="str">
        <f t="shared" si="88"/>
        <v/>
      </c>
      <c r="I828" s="62" t="str">
        <f t="shared" si="89"/>
        <v/>
      </c>
      <c r="J828" s="62" t="str">
        <f t="shared" si="90"/>
        <v/>
      </c>
      <c r="K828" s="62" t="str">
        <f t="shared" si="91"/>
        <v/>
      </c>
      <c r="L828" s="62" t="str">
        <f t="shared" si="92"/>
        <v/>
      </c>
      <c r="M828" s="63" t="str">
        <f t="shared" si="93"/>
        <v/>
      </c>
      <c r="N828" s="64"/>
    </row>
    <row r="829" spans="1:14" x14ac:dyDescent="0.3">
      <c r="A829" s="58" t="str">
        <f>IF([1]weekly_demand!A830="","",[1]weekly_demand!A830)</f>
        <v/>
      </c>
      <c r="B829" s="59" t="str">
        <f>IF($A829="","",[1]weekly_demand!F830)</f>
        <v/>
      </c>
      <c r="C829" s="60" t="str">
        <f>IF($A829="","",[1]weekly_demand!H830)</f>
        <v/>
      </c>
      <c r="D829" s="61" t="str">
        <f>IF($A829="","",IF(SUMIFS([1]Fixture_Capacity_Input!$C:$C,[1]Fixture_Capacity_Input!$A:$A,$B829,[1]Fixture_Capacity_Input!$B:$B,$C829)&gt;0,SUMIFS([1]Fixture_Capacity_Input!$C:$C,[1]Fixture_Capacity_Input!$A:$A,$B829,[1]Fixture_Capacity_Input!$B:$B,$C829),[1]weekly_demand!G830))</f>
        <v/>
      </c>
      <c r="E829" s="62" t="str">
        <f>IF($A829="","",[1]weekly_demand!I830)</f>
        <v/>
      </c>
      <c r="F829" s="61" t="str">
        <f>IF($A829="","",IF($A829&lt;&gt;$A828,IFERROR(INDEX([1]FG_Begin_Inventory!$B:$B,MATCH($A829,[1]FG_Begin_Inventory!$A:$A,0)),0),J828))</f>
        <v/>
      </c>
      <c r="G829" s="61" t="str">
        <f t="shared" si="94"/>
        <v/>
      </c>
      <c r="H829" s="62" t="str">
        <f t="shared" si="88"/>
        <v/>
      </c>
      <c r="I829" s="62" t="str">
        <f t="shared" si="89"/>
        <v/>
      </c>
      <c r="J829" s="62" t="str">
        <f t="shared" si="90"/>
        <v/>
      </c>
      <c r="K829" s="62" t="str">
        <f t="shared" si="91"/>
        <v/>
      </c>
      <c r="L829" s="62" t="str">
        <f t="shared" si="92"/>
        <v/>
      </c>
      <c r="M829" s="63" t="str">
        <f t="shared" si="93"/>
        <v/>
      </c>
      <c r="N829" s="64"/>
    </row>
    <row r="830" spans="1:14" x14ac:dyDescent="0.3">
      <c r="A830" s="58" t="str">
        <f>IF([1]weekly_demand!A831="","",[1]weekly_demand!A831)</f>
        <v/>
      </c>
      <c r="B830" s="59" t="str">
        <f>IF($A830="","",[1]weekly_demand!F831)</f>
        <v/>
      </c>
      <c r="C830" s="60" t="str">
        <f>IF($A830="","",[1]weekly_demand!H831)</f>
        <v/>
      </c>
      <c r="D830" s="61" t="str">
        <f>IF($A830="","",IF(SUMIFS([1]Fixture_Capacity_Input!$C:$C,[1]Fixture_Capacity_Input!$A:$A,$B830,[1]Fixture_Capacity_Input!$B:$B,$C830)&gt;0,SUMIFS([1]Fixture_Capacity_Input!$C:$C,[1]Fixture_Capacity_Input!$A:$A,$B830,[1]Fixture_Capacity_Input!$B:$B,$C830),[1]weekly_demand!G831))</f>
        <v/>
      </c>
      <c r="E830" s="62" t="str">
        <f>IF($A830="","",[1]weekly_demand!I831)</f>
        <v/>
      </c>
      <c r="F830" s="61" t="str">
        <f>IF($A830="","",IF($A830&lt;&gt;$A829,IFERROR(INDEX([1]FG_Begin_Inventory!$B:$B,MATCH($A830,[1]FG_Begin_Inventory!$A:$A,0)),0),J829))</f>
        <v/>
      </c>
      <c r="G830" s="61" t="str">
        <f t="shared" si="94"/>
        <v/>
      </c>
      <c r="H830" s="62" t="str">
        <f t="shared" si="88"/>
        <v/>
      </c>
      <c r="I830" s="62" t="str">
        <f t="shared" si="89"/>
        <v/>
      </c>
      <c r="J830" s="62" t="str">
        <f t="shared" si="90"/>
        <v/>
      </c>
      <c r="K830" s="62" t="str">
        <f t="shared" si="91"/>
        <v/>
      </c>
      <c r="L830" s="62" t="str">
        <f t="shared" si="92"/>
        <v/>
      </c>
      <c r="M830" s="63" t="str">
        <f t="shared" si="93"/>
        <v/>
      </c>
      <c r="N830" s="64"/>
    </row>
    <row r="831" spans="1:14" x14ac:dyDescent="0.3">
      <c r="A831" s="58" t="str">
        <f>IF([1]weekly_demand!A832="","",[1]weekly_demand!A832)</f>
        <v/>
      </c>
      <c r="B831" s="59" t="str">
        <f>IF($A831="","",[1]weekly_demand!F832)</f>
        <v/>
      </c>
      <c r="C831" s="60" t="str">
        <f>IF($A831="","",[1]weekly_demand!H832)</f>
        <v/>
      </c>
      <c r="D831" s="61" t="str">
        <f>IF($A831="","",IF(SUMIFS([1]Fixture_Capacity_Input!$C:$C,[1]Fixture_Capacity_Input!$A:$A,$B831,[1]Fixture_Capacity_Input!$B:$B,$C831)&gt;0,SUMIFS([1]Fixture_Capacity_Input!$C:$C,[1]Fixture_Capacity_Input!$A:$A,$B831,[1]Fixture_Capacity_Input!$B:$B,$C831),[1]weekly_demand!G832))</f>
        <v/>
      </c>
      <c r="E831" s="62" t="str">
        <f>IF($A831="","",[1]weekly_demand!I832)</f>
        <v/>
      </c>
      <c r="F831" s="61" t="str">
        <f>IF($A831="","",IF($A831&lt;&gt;$A830,IFERROR(INDEX([1]FG_Begin_Inventory!$B:$B,MATCH($A831,[1]FG_Begin_Inventory!$A:$A,0)),0),J830))</f>
        <v/>
      </c>
      <c r="G831" s="61" t="str">
        <f t="shared" si="94"/>
        <v/>
      </c>
      <c r="H831" s="62" t="str">
        <f t="shared" si="88"/>
        <v/>
      </c>
      <c r="I831" s="62" t="str">
        <f t="shared" si="89"/>
        <v/>
      </c>
      <c r="J831" s="62" t="str">
        <f t="shared" si="90"/>
        <v/>
      </c>
      <c r="K831" s="62" t="str">
        <f t="shared" si="91"/>
        <v/>
      </c>
      <c r="L831" s="62" t="str">
        <f t="shared" si="92"/>
        <v/>
      </c>
      <c r="M831" s="63" t="str">
        <f t="shared" si="93"/>
        <v/>
      </c>
      <c r="N831" s="64"/>
    </row>
    <row r="832" spans="1:14" x14ac:dyDescent="0.3">
      <c r="A832" s="58" t="str">
        <f>IF([1]weekly_demand!A833="","",[1]weekly_demand!A833)</f>
        <v/>
      </c>
      <c r="B832" s="59" t="str">
        <f>IF($A832="","",[1]weekly_demand!F833)</f>
        <v/>
      </c>
      <c r="C832" s="60" t="str">
        <f>IF($A832="","",[1]weekly_demand!H833)</f>
        <v/>
      </c>
      <c r="D832" s="61" t="str">
        <f>IF($A832="","",IF(SUMIFS([1]Fixture_Capacity_Input!$C:$C,[1]Fixture_Capacity_Input!$A:$A,$B832,[1]Fixture_Capacity_Input!$B:$B,$C832)&gt;0,SUMIFS([1]Fixture_Capacity_Input!$C:$C,[1]Fixture_Capacity_Input!$A:$A,$B832,[1]Fixture_Capacity_Input!$B:$B,$C832),[1]weekly_demand!G833))</f>
        <v/>
      </c>
      <c r="E832" s="62" t="str">
        <f>IF($A832="","",[1]weekly_demand!I833)</f>
        <v/>
      </c>
      <c r="F832" s="61" t="str">
        <f>IF($A832="","",IF($A832&lt;&gt;$A831,IFERROR(INDEX([1]FG_Begin_Inventory!$B:$B,MATCH($A832,[1]FG_Begin_Inventory!$A:$A,0)),0),J831))</f>
        <v/>
      </c>
      <c r="G832" s="61" t="str">
        <f t="shared" si="94"/>
        <v/>
      </c>
      <c r="H832" s="62" t="str">
        <f t="shared" si="88"/>
        <v/>
      </c>
      <c r="I832" s="62" t="str">
        <f t="shared" si="89"/>
        <v/>
      </c>
      <c r="J832" s="62" t="str">
        <f t="shared" si="90"/>
        <v/>
      </c>
      <c r="K832" s="62" t="str">
        <f t="shared" si="91"/>
        <v/>
      </c>
      <c r="L832" s="62" t="str">
        <f t="shared" si="92"/>
        <v/>
      </c>
      <c r="M832" s="63" t="str">
        <f t="shared" si="93"/>
        <v/>
      </c>
      <c r="N832" s="64"/>
    </row>
    <row r="833" spans="1:14" x14ac:dyDescent="0.3">
      <c r="A833" s="58" t="str">
        <f>IF([1]weekly_demand!A834="","",[1]weekly_demand!A834)</f>
        <v/>
      </c>
      <c r="B833" s="59" t="str">
        <f>IF($A833="","",[1]weekly_demand!F834)</f>
        <v/>
      </c>
      <c r="C833" s="60" t="str">
        <f>IF($A833="","",[1]weekly_demand!H834)</f>
        <v/>
      </c>
      <c r="D833" s="61" t="str">
        <f>IF($A833="","",IF(SUMIFS([1]Fixture_Capacity_Input!$C:$C,[1]Fixture_Capacity_Input!$A:$A,$B833,[1]Fixture_Capacity_Input!$B:$B,$C833)&gt;0,SUMIFS([1]Fixture_Capacity_Input!$C:$C,[1]Fixture_Capacity_Input!$A:$A,$B833,[1]Fixture_Capacity_Input!$B:$B,$C833),[1]weekly_demand!G834))</f>
        <v/>
      </c>
      <c r="E833" s="62" t="str">
        <f>IF($A833="","",[1]weekly_demand!I834)</f>
        <v/>
      </c>
      <c r="F833" s="61" t="str">
        <f>IF($A833="","",IF($A833&lt;&gt;$A832,IFERROR(INDEX([1]FG_Begin_Inventory!$B:$B,MATCH($A833,[1]FG_Begin_Inventory!$A:$A,0)),0),J832))</f>
        <v/>
      </c>
      <c r="G833" s="61" t="str">
        <f t="shared" si="94"/>
        <v/>
      </c>
      <c r="H833" s="62" t="str">
        <f t="shared" si="88"/>
        <v/>
      </c>
      <c r="I833" s="62" t="str">
        <f t="shared" si="89"/>
        <v/>
      </c>
      <c r="J833" s="62" t="str">
        <f t="shared" si="90"/>
        <v/>
      </c>
      <c r="K833" s="62" t="str">
        <f t="shared" si="91"/>
        <v/>
      </c>
      <c r="L833" s="62" t="str">
        <f t="shared" si="92"/>
        <v/>
      </c>
      <c r="M833" s="63" t="str">
        <f t="shared" si="93"/>
        <v/>
      </c>
      <c r="N833" s="64"/>
    </row>
    <row r="834" spans="1:14" x14ac:dyDescent="0.3">
      <c r="A834" s="58" t="str">
        <f>IF([1]weekly_demand!A835="","",[1]weekly_demand!A835)</f>
        <v/>
      </c>
      <c r="B834" s="59" t="str">
        <f>IF($A834="","",[1]weekly_demand!F835)</f>
        <v/>
      </c>
      <c r="C834" s="60" t="str">
        <f>IF($A834="","",[1]weekly_demand!H835)</f>
        <v/>
      </c>
      <c r="D834" s="61" t="str">
        <f>IF($A834="","",IF(SUMIFS([1]Fixture_Capacity_Input!$C:$C,[1]Fixture_Capacity_Input!$A:$A,$B834,[1]Fixture_Capacity_Input!$B:$B,$C834)&gt;0,SUMIFS([1]Fixture_Capacity_Input!$C:$C,[1]Fixture_Capacity_Input!$A:$A,$B834,[1]Fixture_Capacity_Input!$B:$B,$C834),[1]weekly_demand!G835))</f>
        <v/>
      </c>
      <c r="E834" s="62" t="str">
        <f>IF($A834="","",[1]weekly_demand!I835)</f>
        <v/>
      </c>
      <c r="F834" s="61" t="str">
        <f>IF($A834="","",IF($A834&lt;&gt;$A833,IFERROR(INDEX([1]FG_Begin_Inventory!$B:$B,MATCH($A834,[1]FG_Begin_Inventory!$A:$A,0)),0),J833))</f>
        <v/>
      </c>
      <c r="G834" s="61" t="str">
        <f t="shared" si="94"/>
        <v/>
      </c>
      <c r="H834" s="62" t="str">
        <f t="shared" ref="H834:H897" si="95">IF($A834="","",MAX(0,E834+G834-F834))</f>
        <v/>
      </c>
      <c r="I834" s="62" t="str">
        <f t="shared" ref="I834:I897" si="96">IF($A834="","",MIN(D834,H834))</f>
        <v/>
      </c>
      <c r="J834" s="62" t="str">
        <f t="shared" ref="J834:J897" si="97">IF($A834="","",MAX(0,F834+I834-E834))</f>
        <v/>
      </c>
      <c r="K834" s="62" t="str">
        <f t="shared" ref="K834:K897" si="98">IF($A834="","",MAX(0,E834-F834-I834))</f>
        <v/>
      </c>
      <c r="L834" s="62" t="str">
        <f t="shared" ref="L834:L897" si="99">IF($A834="","",MAX(0,F834+I834-E834))</f>
        <v/>
      </c>
      <c r="M834" s="63" t="str">
        <f t="shared" ref="M834:M897" si="100">IF($A834="","",IFERROR(I834/D834,0))</f>
        <v/>
      </c>
      <c r="N834" s="64"/>
    </row>
    <row r="835" spans="1:14" x14ac:dyDescent="0.3">
      <c r="A835" s="58" t="str">
        <f>IF([1]weekly_demand!A836="","",[1]weekly_demand!A836)</f>
        <v/>
      </c>
      <c r="B835" s="59" t="str">
        <f>IF($A835="","",[1]weekly_demand!F836)</f>
        <v/>
      </c>
      <c r="C835" s="60" t="str">
        <f>IF($A835="","",[1]weekly_demand!H836)</f>
        <v/>
      </c>
      <c r="D835" s="61" t="str">
        <f>IF($A835="","",IF(SUMIFS([1]Fixture_Capacity_Input!$C:$C,[1]Fixture_Capacity_Input!$A:$A,$B835,[1]Fixture_Capacity_Input!$B:$B,$C835)&gt;0,SUMIFS([1]Fixture_Capacity_Input!$C:$C,[1]Fixture_Capacity_Input!$A:$A,$B835,[1]Fixture_Capacity_Input!$B:$B,$C835),[1]weekly_demand!G836))</f>
        <v/>
      </c>
      <c r="E835" s="62" t="str">
        <f>IF($A835="","",[1]weekly_demand!I836)</f>
        <v/>
      </c>
      <c r="F835" s="61" t="str">
        <f>IF($A835="","",IF($A835&lt;&gt;$A834,IFERROR(INDEX([1]FG_Begin_Inventory!$B:$B,MATCH($A835,[1]FG_Begin_Inventory!$A:$A,0)),0),J834))</f>
        <v/>
      </c>
      <c r="G835" s="61" t="str">
        <f t="shared" si="94"/>
        <v/>
      </c>
      <c r="H835" s="62" t="str">
        <f t="shared" si="95"/>
        <v/>
      </c>
      <c r="I835" s="62" t="str">
        <f t="shared" si="96"/>
        <v/>
      </c>
      <c r="J835" s="62" t="str">
        <f t="shared" si="97"/>
        <v/>
      </c>
      <c r="K835" s="62" t="str">
        <f t="shared" si="98"/>
        <v/>
      </c>
      <c r="L835" s="62" t="str">
        <f t="shared" si="99"/>
        <v/>
      </c>
      <c r="M835" s="63" t="str">
        <f t="shared" si="100"/>
        <v/>
      </c>
      <c r="N835" s="64"/>
    </row>
    <row r="836" spans="1:14" x14ac:dyDescent="0.3">
      <c r="A836" s="58" t="str">
        <f>IF([1]weekly_demand!A837="","",[1]weekly_demand!A837)</f>
        <v/>
      </c>
      <c r="B836" s="59" t="str">
        <f>IF($A836="","",[1]weekly_demand!F837)</f>
        <v/>
      </c>
      <c r="C836" s="60" t="str">
        <f>IF($A836="","",[1]weekly_demand!H837)</f>
        <v/>
      </c>
      <c r="D836" s="61" t="str">
        <f>IF($A836="","",IF(SUMIFS([1]Fixture_Capacity_Input!$C:$C,[1]Fixture_Capacity_Input!$A:$A,$B836,[1]Fixture_Capacity_Input!$B:$B,$C836)&gt;0,SUMIFS([1]Fixture_Capacity_Input!$C:$C,[1]Fixture_Capacity_Input!$A:$A,$B836,[1]Fixture_Capacity_Input!$B:$B,$C836),[1]weekly_demand!G837))</f>
        <v/>
      </c>
      <c r="E836" s="62" t="str">
        <f>IF($A836="","",[1]weekly_demand!I837)</f>
        <v/>
      </c>
      <c r="F836" s="61" t="str">
        <f>IF($A836="","",IF($A836&lt;&gt;$A835,IFERROR(INDEX([1]FG_Begin_Inventory!$B:$B,MATCH($A836,[1]FG_Begin_Inventory!$A:$A,0)),0),J835))</f>
        <v/>
      </c>
      <c r="G836" s="61" t="str">
        <f t="shared" si="94"/>
        <v/>
      </c>
      <c r="H836" s="62" t="str">
        <f t="shared" si="95"/>
        <v/>
      </c>
      <c r="I836" s="62" t="str">
        <f t="shared" si="96"/>
        <v/>
      </c>
      <c r="J836" s="62" t="str">
        <f t="shared" si="97"/>
        <v/>
      </c>
      <c r="K836" s="62" t="str">
        <f t="shared" si="98"/>
        <v/>
      </c>
      <c r="L836" s="62" t="str">
        <f t="shared" si="99"/>
        <v/>
      </c>
      <c r="M836" s="63" t="str">
        <f t="shared" si="100"/>
        <v/>
      </c>
      <c r="N836" s="64"/>
    </row>
    <row r="837" spans="1:14" x14ac:dyDescent="0.3">
      <c r="A837" s="58" t="str">
        <f>IF([1]weekly_demand!A838="","",[1]weekly_demand!A838)</f>
        <v/>
      </c>
      <c r="B837" s="59" t="str">
        <f>IF($A837="","",[1]weekly_demand!F838)</f>
        <v/>
      </c>
      <c r="C837" s="60" t="str">
        <f>IF($A837="","",[1]weekly_demand!H838)</f>
        <v/>
      </c>
      <c r="D837" s="61" t="str">
        <f>IF($A837="","",IF(SUMIFS([1]Fixture_Capacity_Input!$C:$C,[1]Fixture_Capacity_Input!$A:$A,$B837,[1]Fixture_Capacity_Input!$B:$B,$C837)&gt;0,SUMIFS([1]Fixture_Capacity_Input!$C:$C,[1]Fixture_Capacity_Input!$A:$A,$B837,[1]Fixture_Capacity_Input!$B:$B,$C837),[1]weekly_demand!G838))</f>
        <v/>
      </c>
      <c r="E837" s="62" t="str">
        <f>IF($A837="","",[1]weekly_demand!I838)</f>
        <v/>
      </c>
      <c r="F837" s="61" t="str">
        <f>IF($A837="","",IF($A837&lt;&gt;$A836,IFERROR(INDEX([1]FG_Begin_Inventory!$B:$B,MATCH($A837,[1]FG_Begin_Inventory!$A:$A,0)),0),J836))</f>
        <v/>
      </c>
      <c r="G837" s="61" t="str">
        <f t="shared" si="94"/>
        <v/>
      </c>
      <c r="H837" s="62" t="str">
        <f t="shared" si="95"/>
        <v/>
      </c>
      <c r="I837" s="62" t="str">
        <f t="shared" si="96"/>
        <v/>
      </c>
      <c r="J837" s="62" t="str">
        <f t="shared" si="97"/>
        <v/>
      </c>
      <c r="K837" s="62" t="str">
        <f t="shared" si="98"/>
        <v/>
      </c>
      <c r="L837" s="62" t="str">
        <f t="shared" si="99"/>
        <v/>
      </c>
      <c r="M837" s="63" t="str">
        <f t="shared" si="100"/>
        <v/>
      </c>
      <c r="N837" s="64"/>
    </row>
    <row r="838" spans="1:14" x14ac:dyDescent="0.3">
      <c r="A838" s="58" t="str">
        <f>IF([1]weekly_demand!A839="","",[1]weekly_demand!A839)</f>
        <v/>
      </c>
      <c r="B838" s="59" t="str">
        <f>IF($A838="","",[1]weekly_demand!F839)</f>
        <v/>
      </c>
      <c r="C838" s="60" t="str">
        <f>IF($A838="","",[1]weekly_demand!H839)</f>
        <v/>
      </c>
      <c r="D838" s="61" t="str">
        <f>IF($A838="","",IF(SUMIFS([1]Fixture_Capacity_Input!$C:$C,[1]Fixture_Capacity_Input!$A:$A,$B838,[1]Fixture_Capacity_Input!$B:$B,$C838)&gt;0,SUMIFS([1]Fixture_Capacity_Input!$C:$C,[1]Fixture_Capacity_Input!$A:$A,$B838,[1]Fixture_Capacity_Input!$B:$B,$C838),[1]weekly_demand!G839))</f>
        <v/>
      </c>
      <c r="E838" s="62" t="str">
        <f>IF($A838="","",[1]weekly_demand!I839)</f>
        <v/>
      </c>
      <c r="F838" s="61" t="str">
        <f>IF($A838="","",IF($A838&lt;&gt;$A837,IFERROR(INDEX([1]FG_Begin_Inventory!$B:$B,MATCH($A838,[1]FG_Begin_Inventory!$A:$A,0)),0),J837))</f>
        <v/>
      </c>
      <c r="G838" s="61" t="str">
        <f t="shared" si="94"/>
        <v/>
      </c>
      <c r="H838" s="62" t="str">
        <f t="shared" si="95"/>
        <v/>
      </c>
      <c r="I838" s="62" t="str">
        <f t="shared" si="96"/>
        <v/>
      </c>
      <c r="J838" s="62" t="str">
        <f t="shared" si="97"/>
        <v/>
      </c>
      <c r="K838" s="62" t="str">
        <f t="shared" si="98"/>
        <v/>
      </c>
      <c r="L838" s="62" t="str">
        <f t="shared" si="99"/>
        <v/>
      </c>
      <c r="M838" s="63" t="str">
        <f t="shared" si="100"/>
        <v/>
      </c>
      <c r="N838" s="64"/>
    </row>
    <row r="839" spans="1:14" x14ac:dyDescent="0.3">
      <c r="A839" s="58" t="str">
        <f>IF([1]weekly_demand!A840="","",[1]weekly_demand!A840)</f>
        <v/>
      </c>
      <c r="B839" s="59" t="str">
        <f>IF($A839="","",[1]weekly_demand!F840)</f>
        <v/>
      </c>
      <c r="C839" s="60" t="str">
        <f>IF($A839="","",[1]weekly_demand!H840)</f>
        <v/>
      </c>
      <c r="D839" s="61" t="str">
        <f>IF($A839="","",IF(SUMIFS([1]Fixture_Capacity_Input!$C:$C,[1]Fixture_Capacity_Input!$A:$A,$B839,[1]Fixture_Capacity_Input!$B:$B,$C839)&gt;0,SUMIFS([1]Fixture_Capacity_Input!$C:$C,[1]Fixture_Capacity_Input!$A:$A,$B839,[1]Fixture_Capacity_Input!$B:$B,$C839),[1]weekly_demand!G840))</f>
        <v/>
      </c>
      <c r="E839" s="62" t="str">
        <f>IF($A839="","",[1]weekly_demand!I840)</f>
        <v/>
      </c>
      <c r="F839" s="61" t="str">
        <f>IF($A839="","",IF($A839&lt;&gt;$A838,IFERROR(INDEX([1]FG_Begin_Inventory!$B:$B,MATCH($A839,[1]FG_Begin_Inventory!$A:$A,0)),0),J838))</f>
        <v/>
      </c>
      <c r="G839" s="61" t="str">
        <f t="shared" si="94"/>
        <v/>
      </c>
      <c r="H839" s="62" t="str">
        <f t="shared" si="95"/>
        <v/>
      </c>
      <c r="I839" s="62" t="str">
        <f t="shared" si="96"/>
        <v/>
      </c>
      <c r="J839" s="62" t="str">
        <f t="shared" si="97"/>
        <v/>
      </c>
      <c r="K839" s="62" t="str">
        <f t="shared" si="98"/>
        <v/>
      </c>
      <c r="L839" s="62" t="str">
        <f t="shared" si="99"/>
        <v/>
      </c>
      <c r="M839" s="63" t="str">
        <f t="shared" si="100"/>
        <v/>
      </c>
      <c r="N839" s="64"/>
    </row>
    <row r="840" spans="1:14" x14ac:dyDescent="0.3">
      <c r="A840" s="58" t="str">
        <f>IF([1]weekly_demand!A841="","",[1]weekly_demand!A841)</f>
        <v/>
      </c>
      <c r="B840" s="59" t="str">
        <f>IF($A840="","",[1]weekly_demand!F841)</f>
        <v/>
      </c>
      <c r="C840" s="60" t="str">
        <f>IF($A840="","",[1]weekly_demand!H841)</f>
        <v/>
      </c>
      <c r="D840" s="61" t="str">
        <f>IF($A840="","",IF(SUMIFS([1]Fixture_Capacity_Input!$C:$C,[1]Fixture_Capacity_Input!$A:$A,$B840,[1]Fixture_Capacity_Input!$B:$B,$C840)&gt;0,SUMIFS([1]Fixture_Capacity_Input!$C:$C,[1]Fixture_Capacity_Input!$A:$A,$B840,[1]Fixture_Capacity_Input!$B:$B,$C840),[1]weekly_demand!G841))</f>
        <v/>
      </c>
      <c r="E840" s="62" t="str">
        <f>IF($A840="","",[1]weekly_demand!I841)</f>
        <v/>
      </c>
      <c r="F840" s="61" t="str">
        <f>IF($A840="","",IF($A840&lt;&gt;$A839,IFERROR(INDEX([1]FG_Begin_Inventory!$B:$B,MATCH($A840,[1]FG_Begin_Inventory!$A:$A,0)),0),J839))</f>
        <v/>
      </c>
      <c r="G840" s="61" t="str">
        <f t="shared" si="94"/>
        <v/>
      </c>
      <c r="H840" s="62" t="str">
        <f t="shared" si="95"/>
        <v/>
      </c>
      <c r="I840" s="62" t="str">
        <f t="shared" si="96"/>
        <v/>
      </c>
      <c r="J840" s="62" t="str">
        <f t="shared" si="97"/>
        <v/>
      </c>
      <c r="K840" s="62" t="str">
        <f t="shared" si="98"/>
        <v/>
      </c>
      <c r="L840" s="62" t="str">
        <f t="shared" si="99"/>
        <v/>
      </c>
      <c r="M840" s="63" t="str">
        <f t="shared" si="100"/>
        <v/>
      </c>
      <c r="N840" s="64"/>
    </row>
    <row r="841" spans="1:14" x14ac:dyDescent="0.3">
      <c r="A841" s="58" t="str">
        <f>IF([1]weekly_demand!A842="","",[1]weekly_demand!A842)</f>
        <v/>
      </c>
      <c r="B841" s="59" t="str">
        <f>IF($A841="","",[1]weekly_demand!F842)</f>
        <v/>
      </c>
      <c r="C841" s="60" t="str">
        <f>IF($A841="","",[1]weekly_demand!H842)</f>
        <v/>
      </c>
      <c r="D841" s="61" t="str">
        <f>IF($A841="","",IF(SUMIFS([1]Fixture_Capacity_Input!$C:$C,[1]Fixture_Capacity_Input!$A:$A,$B841,[1]Fixture_Capacity_Input!$B:$B,$C841)&gt;0,SUMIFS([1]Fixture_Capacity_Input!$C:$C,[1]Fixture_Capacity_Input!$A:$A,$B841,[1]Fixture_Capacity_Input!$B:$B,$C841),[1]weekly_demand!G842))</f>
        <v/>
      </c>
      <c r="E841" s="62" t="str">
        <f>IF($A841="","",[1]weekly_demand!I842)</f>
        <v/>
      </c>
      <c r="F841" s="61" t="str">
        <f>IF($A841="","",IF($A841&lt;&gt;$A840,IFERROR(INDEX([1]FG_Begin_Inventory!$B:$B,MATCH($A841,[1]FG_Begin_Inventory!$A:$A,0)),0),J840))</f>
        <v/>
      </c>
      <c r="G841" s="61" t="str">
        <f t="shared" si="94"/>
        <v/>
      </c>
      <c r="H841" s="62" t="str">
        <f t="shared" si="95"/>
        <v/>
      </c>
      <c r="I841" s="62" t="str">
        <f t="shared" si="96"/>
        <v/>
      </c>
      <c r="J841" s="62" t="str">
        <f t="shared" si="97"/>
        <v/>
      </c>
      <c r="K841" s="62" t="str">
        <f t="shared" si="98"/>
        <v/>
      </c>
      <c r="L841" s="62" t="str">
        <f t="shared" si="99"/>
        <v/>
      </c>
      <c r="M841" s="63" t="str">
        <f t="shared" si="100"/>
        <v/>
      </c>
      <c r="N841" s="64"/>
    </row>
    <row r="842" spans="1:14" x14ac:dyDescent="0.3">
      <c r="A842" s="58" t="str">
        <f>IF([1]weekly_demand!A843="","",[1]weekly_demand!A843)</f>
        <v/>
      </c>
      <c r="B842" s="59" t="str">
        <f>IF($A842="","",[1]weekly_demand!F843)</f>
        <v/>
      </c>
      <c r="C842" s="60" t="str">
        <f>IF($A842="","",[1]weekly_demand!H843)</f>
        <v/>
      </c>
      <c r="D842" s="61" t="str">
        <f>IF($A842="","",IF(SUMIFS([1]Fixture_Capacity_Input!$C:$C,[1]Fixture_Capacity_Input!$A:$A,$B842,[1]Fixture_Capacity_Input!$B:$B,$C842)&gt;0,SUMIFS([1]Fixture_Capacity_Input!$C:$C,[1]Fixture_Capacity_Input!$A:$A,$B842,[1]Fixture_Capacity_Input!$B:$B,$C842),[1]weekly_demand!G843))</f>
        <v/>
      </c>
      <c r="E842" s="62" t="str">
        <f>IF($A842="","",[1]weekly_demand!I843)</f>
        <v/>
      </c>
      <c r="F842" s="61" t="str">
        <f>IF($A842="","",IF($A842&lt;&gt;$A841,IFERROR(INDEX([1]FG_Begin_Inventory!$B:$B,MATCH($A842,[1]FG_Begin_Inventory!$A:$A,0)),0),J841))</f>
        <v/>
      </c>
      <c r="G842" s="61" t="str">
        <f t="shared" si="94"/>
        <v/>
      </c>
      <c r="H842" s="62" t="str">
        <f t="shared" si="95"/>
        <v/>
      </c>
      <c r="I842" s="62" t="str">
        <f t="shared" si="96"/>
        <v/>
      </c>
      <c r="J842" s="62" t="str">
        <f t="shared" si="97"/>
        <v/>
      </c>
      <c r="K842" s="62" t="str">
        <f t="shared" si="98"/>
        <v/>
      </c>
      <c r="L842" s="62" t="str">
        <f t="shared" si="99"/>
        <v/>
      </c>
      <c r="M842" s="63" t="str">
        <f t="shared" si="100"/>
        <v/>
      </c>
      <c r="N842" s="64"/>
    </row>
    <row r="843" spans="1:14" x14ac:dyDescent="0.3">
      <c r="A843" s="58" t="str">
        <f>IF([1]weekly_demand!A844="","",[1]weekly_demand!A844)</f>
        <v/>
      </c>
      <c r="B843" s="59" t="str">
        <f>IF($A843="","",[1]weekly_demand!F844)</f>
        <v/>
      </c>
      <c r="C843" s="60" t="str">
        <f>IF($A843="","",[1]weekly_demand!H844)</f>
        <v/>
      </c>
      <c r="D843" s="61" t="str">
        <f>IF($A843="","",IF(SUMIFS([1]Fixture_Capacity_Input!$C:$C,[1]Fixture_Capacity_Input!$A:$A,$B843,[1]Fixture_Capacity_Input!$B:$B,$C843)&gt;0,SUMIFS([1]Fixture_Capacity_Input!$C:$C,[1]Fixture_Capacity_Input!$A:$A,$B843,[1]Fixture_Capacity_Input!$B:$B,$C843),[1]weekly_demand!G844))</f>
        <v/>
      </c>
      <c r="E843" s="62" t="str">
        <f>IF($A843="","",[1]weekly_demand!I844)</f>
        <v/>
      </c>
      <c r="F843" s="61" t="str">
        <f>IF($A843="","",IF($A843&lt;&gt;$A842,IFERROR(INDEX([1]FG_Begin_Inventory!$B:$B,MATCH($A843,[1]FG_Begin_Inventory!$A:$A,0)),0),J842))</f>
        <v/>
      </c>
      <c r="G843" s="61" t="str">
        <f t="shared" si="94"/>
        <v/>
      </c>
      <c r="H843" s="62" t="str">
        <f t="shared" si="95"/>
        <v/>
      </c>
      <c r="I843" s="62" t="str">
        <f t="shared" si="96"/>
        <v/>
      </c>
      <c r="J843" s="62" t="str">
        <f t="shared" si="97"/>
        <v/>
      </c>
      <c r="K843" s="62" t="str">
        <f t="shared" si="98"/>
        <v/>
      </c>
      <c r="L843" s="62" t="str">
        <f t="shared" si="99"/>
        <v/>
      </c>
      <c r="M843" s="63" t="str">
        <f t="shared" si="100"/>
        <v/>
      </c>
      <c r="N843" s="64"/>
    </row>
    <row r="844" spans="1:14" x14ac:dyDescent="0.3">
      <c r="A844" s="58" t="str">
        <f>IF([1]weekly_demand!A845="","",[1]weekly_demand!A845)</f>
        <v/>
      </c>
      <c r="B844" s="59" t="str">
        <f>IF($A844="","",[1]weekly_demand!F845)</f>
        <v/>
      </c>
      <c r="C844" s="60" t="str">
        <f>IF($A844="","",[1]weekly_demand!H845)</f>
        <v/>
      </c>
      <c r="D844" s="61" t="str">
        <f>IF($A844="","",IF(SUMIFS([1]Fixture_Capacity_Input!$C:$C,[1]Fixture_Capacity_Input!$A:$A,$B844,[1]Fixture_Capacity_Input!$B:$B,$C844)&gt;0,SUMIFS([1]Fixture_Capacity_Input!$C:$C,[1]Fixture_Capacity_Input!$A:$A,$B844,[1]Fixture_Capacity_Input!$B:$B,$C844),[1]weekly_demand!G845))</f>
        <v/>
      </c>
      <c r="E844" s="62" t="str">
        <f>IF($A844="","",[1]weekly_demand!I845)</f>
        <v/>
      </c>
      <c r="F844" s="61" t="str">
        <f>IF($A844="","",IF($A844&lt;&gt;$A843,IFERROR(INDEX([1]FG_Begin_Inventory!$B:$B,MATCH($A844,[1]FG_Begin_Inventory!$A:$A,0)),0),J843))</f>
        <v/>
      </c>
      <c r="G844" s="61" t="str">
        <f t="shared" si="94"/>
        <v/>
      </c>
      <c r="H844" s="62" t="str">
        <f t="shared" si="95"/>
        <v/>
      </c>
      <c r="I844" s="62" t="str">
        <f t="shared" si="96"/>
        <v/>
      </c>
      <c r="J844" s="62" t="str">
        <f t="shared" si="97"/>
        <v/>
      </c>
      <c r="K844" s="62" t="str">
        <f t="shared" si="98"/>
        <v/>
      </c>
      <c r="L844" s="62" t="str">
        <f t="shared" si="99"/>
        <v/>
      </c>
      <c r="M844" s="63" t="str">
        <f t="shared" si="100"/>
        <v/>
      </c>
      <c r="N844" s="64"/>
    </row>
    <row r="845" spans="1:14" x14ac:dyDescent="0.3">
      <c r="A845" s="58" t="str">
        <f>IF([1]weekly_demand!A846="","",[1]weekly_demand!A846)</f>
        <v/>
      </c>
      <c r="B845" s="59" t="str">
        <f>IF($A845="","",[1]weekly_demand!F846)</f>
        <v/>
      </c>
      <c r="C845" s="60" t="str">
        <f>IF($A845="","",[1]weekly_demand!H846)</f>
        <v/>
      </c>
      <c r="D845" s="61" t="str">
        <f>IF($A845="","",IF(SUMIFS([1]Fixture_Capacity_Input!$C:$C,[1]Fixture_Capacity_Input!$A:$A,$B845,[1]Fixture_Capacity_Input!$B:$B,$C845)&gt;0,SUMIFS([1]Fixture_Capacity_Input!$C:$C,[1]Fixture_Capacity_Input!$A:$A,$B845,[1]Fixture_Capacity_Input!$B:$B,$C845),[1]weekly_demand!G846))</f>
        <v/>
      </c>
      <c r="E845" s="62" t="str">
        <f>IF($A845="","",[1]weekly_demand!I846)</f>
        <v/>
      </c>
      <c r="F845" s="61" t="str">
        <f>IF($A845="","",IF($A845&lt;&gt;$A844,IFERROR(INDEX([1]FG_Begin_Inventory!$B:$B,MATCH($A845,[1]FG_Begin_Inventory!$A:$A,0)),0),J844))</f>
        <v/>
      </c>
      <c r="G845" s="61" t="str">
        <f t="shared" si="94"/>
        <v/>
      </c>
      <c r="H845" s="62" t="str">
        <f t="shared" si="95"/>
        <v/>
      </c>
      <c r="I845" s="62" t="str">
        <f t="shared" si="96"/>
        <v/>
      </c>
      <c r="J845" s="62" t="str">
        <f t="shared" si="97"/>
        <v/>
      </c>
      <c r="K845" s="62" t="str">
        <f t="shared" si="98"/>
        <v/>
      </c>
      <c r="L845" s="62" t="str">
        <f t="shared" si="99"/>
        <v/>
      </c>
      <c r="M845" s="63" t="str">
        <f t="shared" si="100"/>
        <v/>
      </c>
      <c r="N845" s="64"/>
    </row>
    <row r="846" spans="1:14" x14ac:dyDescent="0.3">
      <c r="A846" s="58" t="str">
        <f>IF([1]weekly_demand!A847="","",[1]weekly_demand!A847)</f>
        <v/>
      </c>
      <c r="B846" s="59" t="str">
        <f>IF($A846="","",[1]weekly_demand!F847)</f>
        <v/>
      </c>
      <c r="C846" s="60" t="str">
        <f>IF($A846="","",[1]weekly_demand!H847)</f>
        <v/>
      </c>
      <c r="D846" s="61" t="str">
        <f>IF($A846="","",IF(SUMIFS([1]Fixture_Capacity_Input!$C:$C,[1]Fixture_Capacity_Input!$A:$A,$B846,[1]Fixture_Capacity_Input!$B:$B,$C846)&gt;0,SUMIFS([1]Fixture_Capacity_Input!$C:$C,[1]Fixture_Capacity_Input!$A:$A,$B846,[1]Fixture_Capacity_Input!$B:$B,$C846),[1]weekly_demand!G847))</f>
        <v/>
      </c>
      <c r="E846" s="62" t="str">
        <f>IF($A846="","",[1]weekly_demand!I847)</f>
        <v/>
      </c>
      <c r="F846" s="61" t="str">
        <f>IF($A846="","",IF($A846&lt;&gt;$A845,IFERROR(INDEX([1]FG_Begin_Inventory!$B:$B,MATCH($A846,[1]FG_Begin_Inventory!$A:$A,0)),0),J845))</f>
        <v/>
      </c>
      <c r="G846" s="61" t="str">
        <f t="shared" si="94"/>
        <v/>
      </c>
      <c r="H846" s="62" t="str">
        <f t="shared" si="95"/>
        <v/>
      </c>
      <c r="I846" s="62" t="str">
        <f t="shared" si="96"/>
        <v/>
      </c>
      <c r="J846" s="62" t="str">
        <f t="shared" si="97"/>
        <v/>
      </c>
      <c r="K846" s="62" t="str">
        <f t="shared" si="98"/>
        <v/>
      </c>
      <c r="L846" s="62" t="str">
        <f t="shared" si="99"/>
        <v/>
      </c>
      <c r="M846" s="63" t="str">
        <f t="shared" si="100"/>
        <v/>
      </c>
      <c r="N846" s="64"/>
    </row>
    <row r="847" spans="1:14" x14ac:dyDescent="0.3">
      <c r="A847" s="58" t="str">
        <f>IF([1]weekly_demand!A848="","",[1]weekly_demand!A848)</f>
        <v/>
      </c>
      <c r="B847" s="59" t="str">
        <f>IF($A847="","",[1]weekly_demand!F848)</f>
        <v/>
      </c>
      <c r="C847" s="60" t="str">
        <f>IF($A847="","",[1]weekly_demand!H848)</f>
        <v/>
      </c>
      <c r="D847" s="61" t="str">
        <f>IF($A847="","",IF(SUMIFS([1]Fixture_Capacity_Input!$C:$C,[1]Fixture_Capacity_Input!$A:$A,$B847,[1]Fixture_Capacity_Input!$B:$B,$C847)&gt;0,SUMIFS([1]Fixture_Capacity_Input!$C:$C,[1]Fixture_Capacity_Input!$A:$A,$B847,[1]Fixture_Capacity_Input!$B:$B,$C847),[1]weekly_demand!G848))</f>
        <v/>
      </c>
      <c r="E847" s="62" t="str">
        <f>IF($A847="","",[1]weekly_demand!I848)</f>
        <v/>
      </c>
      <c r="F847" s="61" t="str">
        <f>IF($A847="","",IF($A847&lt;&gt;$A846,IFERROR(INDEX([1]FG_Begin_Inventory!$B:$B,MATCH($A847,[1]FG_Begin_Inventory!$A:$A,0)),0),J846))</f>
        <v/>
      </c>
      <c r="G847" s="61" t="str">
        <f t="shared" si="94"/>
        <v/>
      </c>
      <c r="H847" s="62" t="str">
        <f t="shared" si="95"/>
        <v/>
      </c>
      <c r="I847" s="62" t="str">
        <f t="shared" si="96"/>
        <v/>
      </c>
      <c r="J847" s="62" t="str">
        <f t="shared" si="97"/>
        <v/>
      </c>
      <c r="K847" s="62" t="str">
        <f t="shared" si="98"/>
        <v/>
      </c>
      <c r="L847" s="62" t="str">
        <f t="shared" si="99"/>
        <v/>
      </c>
      <c r="M847" s="63" t="str">
        <f t="shared" si="100"/>
        <v/>
      </c>
      <c r="N847" s="64"/>
    </row>
    <row r="848" spans="1:14" x14ac:dyDescent="0.3">
      <c r="A848" s="58" t="str">
        <f>IF([1]weekly_demand!A849="","",[1]weekly_demand!A849)</f>
        <v/>
      </c>
      <c r="B848" s="59" t="str">
        <f>IF($A848="","",[1]weekly_demand!F849)</f>
        <v/>
      </c>
      <c r="C848" s="60" t="str">
        <f>IF($A848="","",[1]weekly_demand!H849)</f>
        <v/>
      </c>
      <c r="D848" s="61" t="str">
        <f>IF($A848="","",IF(SUMIFS([1]Fixture_Capacity_Input!$C:$C,[1]Fixture_Capacity_Input!$A:$A,$B848,[1]Fixture_Capacity_Input!$B:$B,$C848)&gt;0,SUMIFS([1]Fixture_Capacity_Input!$C:$C,[1]Fixture_Capacity_Input!$A:$A,$B848,[1]Fixture_Capacity_Input!$B:$B,$C848),[1]weekly_demand!G849))</f>
        <v/>
      </c>
      <c r="E848" s="62" t="str">
        <f>IF($A848="","",[1]weekly_demand!I849)</f>
        <v/>
      </c>
      <c r="F848" s="61" t="str">
        <f>IF($A848="","",IF($A848&lt;&gt;$A847,IFERROR(INDEX([1]FG_Begin_Inventory!$B:$B,MATCH($A848,[1]FG_Begin_Inventory!$A:$A,0)),0),J847))</f>
        <v/>
      </c>
      <c r="G848" s="61" t="str">
        <f t="shared" si="94"/>
        <v/>
      </c>
      <c r="H848" s="62" t="str">
        <f t="shared" si="95"/>
        <v/>
      </c>
      <c r="I848" s="62" t="str">
        <f t="shared" si="96"/>
        <v/>
      </c>
      <c r="J848" s="62" t="str">
        <f t="shared" si="97"/>
        <v/>
      </c>
      <c r="K848" s="62" t="str">
        <f t="shared" si="98"/>
        <v/>
      </c>
      <c r="L848" s="62" t="str">
        <f t="shared" si="99"/>
        <v/>
      </c>
      <c r="M848" s="63" t="str">
        <f t="shared" si="100"/>
        <v/>
      </c>
      <c r="N848" s="64"/>
    </row>
    <row r="849" spans="1:14" x14ac:dyDescent="0.3">
      <c r="A849" s="58" t="str">
        <f>IF([1]weekly_demand!A850="","",[1]weekly_demand!A850)</f>
        <v/>
      </c>
      <c r="B849" s="59" t="str">
        <f>IF($A849="","",[1]weekly_demand!F850)</f>
        <v/>
      </c>
      <c r="C849" s="60" t="str">
        <f>IF($A849="","",[1]weekly_demand!H850)</f>
        <v/>
      </c>
      <c r="D849" s="61" t="str">
        <f>IF($A849="","",IF(SUMIFS([1]Fixture_Capacity_Input!$C:$C,[1]Fixture_Capacity_Input!$A:$A,$B849,[1]Fixture_Capacity_Input!$B:$B,$C849)&gt;0,SUMIFS([1]Fixture_Capacity_Input!$C:$C,[1]Fixture_Capacity_Input!$A:$A,$B849,[1]Fixture_Capacity_Input!$B:$B,$C849),[1]weekly_demand!G850))</f>
        <v/>
      </c>
      <c r="E849" s="62" t="str">
        <f>IF($A849="","",[1]weekly_demand!I850)</f>
        <v/>
      </c>
      <c r="F849" s="61" t="str">
        <f>IF($A849="","",IF($A849&lt;&gt;$A848,IFERROR(INDEX([1]FG_Begin_Inventory!$B:$B,MATCH($A849,[1]FG_Begin_Inventory!$A:$A,0)),0),J848))</f>
        <v/>
      </c>
      <c r="G849" s="61" t="str">
        <f t="shared" si="94"/>
        <v/>
      </c>
      <c r="H849" s="62" t="str">
        <f t="shared" si="95"/>
        <v/>
      </c>
      <c r="I849" s="62" t="str">
        <f t="shared" si="96"/>
        <v/>
      </c>
      <c r="J849" s="62" t="str">
        <f t="shared" si="97"/>
        <v/>
      </c>
      <c r="K849" s="62" t="str">
        <f t="shared" si="98"/>
        <v/>
      </c>
      <c r="L849" s="62" t="str">
        <f t="shared" si="99"/>
        <v/>
      </c>
      <c r="M849" s="63" t="str">
        <f t="shared" si="100"/>
        <v/>
      </c>
      <c r="N849" s="64"/>
    </row>
    <row r="850" spans="1:14" x14ac:dyDescent="0.3">
      <c r="A850" s="58" t="str">
        <f>IF([1]weekly_demand!A851="","",[1]weekly_demand!A851)</f>
        <v/>
      </c>
      <c r="B850" s="59" t="str">
        <f>IF($A850="","",[1]weekly_demand!F851)</f>
        <v/>
      </c>
      <c r="C850" s="60" t="str">
        <f>IF($A850="","",[1]weekly_demand!H851)</f>
        <v/>
      </c>
      <c r="D850" s="61" t="str">
        <f>IF($A850="","",IF(SUMIFS([1]Fixture_Capacity_Input!$C:$C,[1]Fixture_Capacity_Input!$A:$A,$B850,[1]Fixture_Capacity_Input!$B:$B,$C850)&gt;0,SUMIFS([1]Fixture_Capacity_Input!$C:$C,[1]Fixture_Capacity_Input!$A:$A,$B850,[1]Fixture_Capacity_Input!$B:$B,$C850),[1]weekly_demand!G851))</f>
        <v/>
      </c>
      <c r="E850" s="62" t="str">
        <f>IF($A850="","",[1]weekly_demand!I851)</f>
        <v/>
      </c>
      <c r="F850" s="61" t="str">
        <f>IF($A850="","",IF($A850&lt;&gt;$A849,IFERROR(INDEX([1]FG_Begin_Inventory!$B:$B,MATCH($A850,[1]FG_Begin_Inventory!$A:$A,0)),0),J849))</f>
        <v/>
      </c>
      <c r="G850" s="61" t="str">
        <f t="shared" si="94"/>
        <v/>
      </c>
      <c r="H850" s="62" t="str">
        <f t="shared" si="95"/>
        <v/>
      </c>
      <c r="I850" s="62" t="str">
        <f t="shared" si="96"/>
        <v/>
      </c>
      <c r="J850" s="62" t="str">
        <f t="shared" si="97"/>
        <v/>
      </c>
      <c r="K850" s="62" t="str">
        <f t="shared" si="98"/>
        <v/>
      </c>
      <c r="L850" s="62" t="str">
        <f t="shared" si="99"/>
        <v/>
      </c>
      <c r="M850" s="63" t="str">
        <f t="shared" si="100"/>
        <v/>
      </c>
      <c r="N850" s="64"/>
    </row>
    <row r="851" spans="1:14" x14ac:dyDescent="0.3">
      <c r="A851" s="58" t="str">
        <f>IF([1]weekly_demand!A852="","",[1]weekly_demand!A852)</f>
        <v/>
      </c>
      <c r="B851" s="59" t="str">
        <f>IF($A851="","",[1]weekly_demand!F852)</f>
        <v/>
      </c>
      <c r="C851" s="60" t="str">
        <f>IF($A851="","",[1]weekly_demand!H852)</f>
        <v/>
      </c>
      <c r="D851" s="61" t="str">
        <f>IF($A851="","",IF(SUMIFS([1]Fixture_Capacity_Input!$C:$C,[1]Fixture_Capacity_Input!$A:$A,$B851,[1]Fixture_Capacity_Input!$B:$B,$C851)&gt;0,SUMIFS([1]Fixture_Capacity_Input!$C:$C,[1]Fixture_Capacity_Input!$A:$A,$B851,[1]Fixture_Capacity_Input!$B:$B,$C851),[1]weekly_demand!G852))</f>
        <v/>
      </c>
      <c r="E851" s="62" t="str">
        <f>IF($A851="","",[1]weekly_demand!I852)</f>
        <v/>
      </c>
      <c r="F851" s="61" t="str">
        <f>IF($A851="","",IF($A851&lt;&gt;$A850,IFERROR(INDEX([1]FG_Begin_Inventory!$B:$B,MATCH($A851,[1]FG_Begin_Inventory!$A:$A,0)),0),J850))</f>
        <v/>
      </c>
      <c r="G851" s="61" t="str">
        <f t="shared" si="94"/>
        <v/>
      </c>
      <c r="H851" s="62" t="str">
        <f t="shared" si="95"/>
        <v/>
      </c>
      <c r="I851" s="62" t="str">
        <f t="shared" si="96"/>
        <v/>
      </c>
      <c r="J851" s="62" t="str">
        <f t="shared" si="97"/>
        <v/>
      </c>
      <c r="K851" s="62" t="str">
        <f t="shared" si="98"/>
        <v/>
      </c>
      <c r="L851" s="62" t="str">
        <f t="shared" si="99"/>
        <v/>
      </c>
      <c r="M851" s="63" t="str">
        <f t="shared" si="100"/>
        <v/>
      </c>
      <c r="N851" s="64"/>
    </row>
    <row r="852" spans="1:14" x14ac:dyDescent="0.3">
      <c r="A852" s="58" t="str">
        <f>IF([1]weekly_demand!A853="","",[1]weekly_demand!A853)</f>
        <v/>
      </c>
      <c r="B852" s="59" t="str">
        <f>IF($A852="","",[1]weekly_demand!F853)</f>
        <v/>
      </c>
      <c r="C852" s="60" t="str">
        <f>IF($A852="","",[1]weekly_demand!H853)</f>
        <v/>
      </c>
      <c r="D852" s="61" t="str">
        <f>IF($A852="","",IF(SUMIFS([1]Fixture_Capacity_Input!$C:$C,[1]Fixture_Capacity_Input!$A:$A,$B852,[1]Fixture_Capacity_Input!$B:$B,$C852)&gt;0,SUMIFS([1]Fixture_Capacity_Input!$C:$C,[1]Fixture_Capacity_Input!$A:$A,$B852,[1]Fixture_Capacity_Input!$B:$B,$C852),[1]weekly_demand!G853))</f>
        <v/>
      </c>
      <c r="E852" s="62" t="str">
        <f>IF($A852="","",[1]weekly_demand!I853)</f>
        <v/>
      </c>
      <c r="F852" s="61" t="str">
        <f>IF($A852="","",IF($A852&lt;&gt;$A851,IFERROR(INDEX([1]FG_Begin_Inventory!$B:$B,MATCH($A852,[1]FG_Begin_Inventory!$A:$A,0)),0),J851))</f>
        <v/>
      </c>
      <c r="G852" s="61" t="str">
        <f t="shared" si="94"/>
        <v/>
      </c>
      <c r="H852" s="62" t="str">
        <f t="shared" si="95"/>
        <v/>
      </c>
      <c r="I852" s="62" t="str">
        <f t="shared" si="96"/>
        <v/>
      </c>
      <c r="J852" s="62" t="str">
        <f t="shared" si="97"/>
        <v/>
      </c>
      <c r="K852" s="62" t="str">
        <f t="shared" si="98"/>
        <v/>
      </c>
      <c r="L852" s="62" t="str">
        <f t="shared" si="99"/>
        <v/>
      </c>
      <c r="M852" s="63" t="str">
        <f t="shared" si="100"/>
        <v/>
      </c>
      <c r="N852" s="64"/>
    </row>
    <row r="853" spans="1:14" x14ac:dyDescent="0.3">
      <c r="A853" s="58" t="str">
        <f>IF([1]weekly_demand!A854="","",[1]weekly_demand!A854)</f>
        <v/>
      </c>
      <c r="B853" s="59" t="str">
        <f>IF($A853="","",[1]weekly_demand!F854)</f>
        <v/>
      </c>
      <c r="C853" s="60" t="str">
        <f>IF($A853="","",[1]weekly_demand!H854)</f>
        <v/>
      </c>
      <c r="D853" s="61" t="str">
        <f>IF($A853="","",IF(SUMIFS([1]Fixture_Capacity_Input!$C:$C,[1]Fixture_Capacity_Input!$A:$A,$B853,[1]Fixture_Capacity_Input!$B:$B,$C853)&gt;0,SUMIFS([1]Fixture_Capacity_Input!$C:$C,[1]Fixture_Capacity_Input!$A:$A,$B853,[1]Fixture_Capacity_Input!$B:$B,$C853),[1]weekly_demand!G854))</f>
        <v/>
      </c>
      <c r="E853" s="62" t="str">
        <f>IF($A853="","",[1]weekly_demand!I854)</f>
        <v/>
      </c>
      <c r="F853" s="61" t="str">
        <f>IF($A853="","",IF($A853&lt;&gt;$A852,IFERROR(INDEX([1]FG_Begin_Inventory!$B:$B,MATCH($A853,[1]FG_Begin_Inventory!$A:$A,0)),0),J852))</f>
        <v/>
      </c>
      <c r="G853" s="61" t="str">
        <f t="shared" si="94"/>
        <v/>
      </c>
      <c r="H853" s="62" t="str">
        <f t="shared" si="95"/>
        <v/>
      </c>
      <c r="I853" s="62" t="str">
        <f t="shared" si="96"/>
        <v/>
      </c>
      <c r="J853" s="62" t="str">
        <f t="shared" si="97"/>
        <v/>
      </c>
      <c r="K853" s="62" t="str">
        <f t="shared" si="98"/>
        <v/>
      </c>
      <c r="L853" s="62" t="str">
        <f t="shared" si="99"/>
        <v/>
      </c>
      <c r="M853" s="63" t="str">
        <f t="shared" si="100"/>
        <v/>
      </c>
      <c r="N853" s="64"/>
    </row>
    <row r="854" spans="1:14" x14ac:dyDescent="0.3">
      <c r="A854" s="58" t="str">
        <f>IF([1]weekly_demand!A855="","",[1]weekly_demand!A855)</f>
        <v/>
      </c>
      <c r="B854" s="59" t="str">
        <f>IF($A854="","",[1]weekly_demand!F855)</f>
        <v/>
      </c>
      <c r="C854" s="60" t="str">
        <f>IF($A854="","",[1]weekly_demand!H855)</f>
        <v/>
      </c>
      <c r="D854" s="61" t="str">
        <f>IF($A854="","",IF(SUMIFS([1]Fixture_Capacity_Input!$C:$C,[1]Fixture_Capacity_Input!$A:$A,$B854,[1]Fixture_Capacity_Input!$B:$B,$C854)&gt;0,SUMIFS([1]Fixture_Capacity_Input!$C:$C,[1]Fixture_Capacity_Input!$A:$A,$B854,[1]Fixture_Capacity_Input!$B:$B,$C854),[1]weekly_demand!G855))</f>
        <v/>
      </c>
      <c r="E854" s="62" t="str">
        <f>IF($A854="","",[1]weekly_demand!I855)</f>
        <v/>
      </c>
      <c r="F854" s="61" t="str">
        <f>IF($A854="","",IF($A854&lt;&gt;$A853,IFERROR(INDEX([1]FG_Begin_Inventory!$B:$B,MATCH($A854,[1]FG_Begin_Inventory!$A:$A,0)),0),J853))</f>
        <v/>
      </c>
      <c r="G854" s="61" t="str">
        <f t="shared" si="94"/>
        <v/>
      </c>
      <c r="H854" s="62" t="str">
        <f t="shared" si="95"/>
        <v/>
      </c>
      <c r="I854" s="62" t="str">
        <f t="shared" si="96"/>
        <v/>
      </c>
      <c r="J854" s="62" t="str">
        <f t="shared" si="97"/>
        <v/>
      </c>
      <c r="K854" s="62" t="str">
        <f t="shared" si="98"/>
        <v/>
      </c>
      <c r="L854" s="62" t="str">
        <f t="shared" si="99"/>
        <v/>
      </c>
      <c r="M854" s="63" t="str">
        <f t="shared" si="100"/>
        <v/>
      </c>
      <c r="N854" s="64"/>
    </row>
    <row r="855" spans="1:14" x14ac:dyDescent="0.3">
      <c r="A855" s="58" t="str">
        <f>IF([1]weekly_demand!A856="","",[1]weekly_demand!A856)</f>
        <v/>
      </c>
      <c r="B855" s="59" t="str">
        <f>IF($A855="","",[1]weekly_demand!F856)</f>
        <v/>
      </c>
      <c r="C855" s="60" t="str">
        <f>IF($A855="","",[1]weekly_demand!H856)</f>
        <v/>
      </c>
      <c r="D855" s="61" t="str">
        <f>IF($A855="","",IF(SUMIFS([1]Fixture_Capacity_Input!$C:$C,[1]Fixture_Capacity_Input!$A:$A,$B855,[1]Fixture_Capacity_Input!$B:$B,$C855)&gt;0,SUMIFS([1]Fixture_Capacity_Input!$C:$C,[1]Fixture_Capacity_Input!$A:$A,$B855,[1]Fixture_Capacity_Input!$B:$B,$C855),[1]weekly_demand!G856))</f>
        <v/>
      </c>
      <c r="E855" s="62" t="str">
        <f>IF($A855="","",[1]weekly_demand!I856)</f>
        <v/>
      </c>
      <c r="F855" s="61" t="str">
        <f>IF($A855="","",IF($A855&lt;&gt;$A854,IFERROR(INDEX([1]FG_Begin_Inventory!$B:$B,MATCH($A855,[1]FG_Begin_Inventory!$A:$A,0)),0),J854))</f>
        <v/>
      </c>
      <c r="G855" s="61" t="str">
        <f t="shared" si="94"/>
        <v/>
      </c>
      <c r="H855" s="62" t="str">
        <f t="shared" si="95"/>
        <v/>
      </c>
      <c r="I855" s="62" t="str">
        <f t="shared" si="96"/>
        <v/>
      </c>
      <c r="J855" s="62" t="str">
        <f t="shared" si="97"/>
        <v/>
      </c>
      <c r="K855" s="62" t="str">
        <f t="shared" si="98"/>
        <v/>
      </c>
      <c r="L855" s="62" t="str">
        <f t="shared" si="99"/>
        <v/>
      </c>
      <c r="M855" s="63" t="str">
        <f t="shared" si="100"/>
        <v/>
      </c>
      <c r="N855" s="64"/>
    </row>
    <row r="856" spans="1:14" x14ac:dyDescent="0.3">
      <c r="A856" s="58" t="str">
        <f>IF([1]weekly_demand!A857="","",[1]weekly_demand!A857)</f>
        <v/>
      </c>
      <c r="B856" s="59" t="str">
        <f>IF($A856="","",[1]weekly_demand!F857)</f>
        <v/>
      </c>
      <c r="C856" s="60" t="str">
        <f>IF($A856="","",[1]weekly_demand!H857)</f>
        <v/>
      </c>
      <c r="D856" s="61" t="str">
        <f>IF($A856="","",IF(SUMIFS([1]Fixture_Capacity_Input!$C:$C,[1]Fixture_Capacity_Input!$A:$A,$B856,[1]Fixture_Capacity_Input!$B:$B,$C856)&gt;0,SUMIFS([1]Fixture_Capacity_Input!$C:$C,[1]Fixture_Capacity_Input!$A:$A,$B856,[1]Fixture_Capacity_Input!$B:$B,$C856),[1]weekly_demand!G857))</f>
        <v/>
      </c>
      <c r="E856" s="62" t="str">
        <f>IF($A856="","",[1]weekly_demand!I857)</f>
        <v/>
      </c>
      <c r="F856" s="61" t="str">
        <f>IF($A856="","",IF($A856&lt;&gt;$A855,IFERROR(INDEX([1]FG_Begin_Inventory!$B:$B,MATCH($A856,[1]FG_Begin_Inventory!$A:$A,0)),0),J855))</f>
        <v/>
      </c>
      <c r="G856" s="61" t="str">
        <f t="shared" si="94"/>
        <v/>
      </c>
      <c r="H856" s="62" t="str">
        <f t="shared" si="95"/>
        <v/>
      </c>
      <c r="I856" s="62" t="str">
        <f t="shared" si="96"/>
        <v/>
      </c>
      <c r="J856" s="62" t="str">
        <f t="shared" si="97"/>
        <v/>
      </c>
      <c r="K856" s="62" t="str">
        <f t="shared" si="98"/>
        <v/>
      </c>
      <c r="L856" s="62" t="str">
        <f t="shared" si="99"/>
        <v/>
      </c>
      <c r="M856" s="63" t="str">
        <f t="shared" si="100"/>
        <v/>
      </c>
      <c r="N856" s="64"/>
    </row>
    <row r="857" spans="1:14" x14ac:dyDescent="0.3">
      <c r="A857" s="58" t="str">
        <f>IF([1]weekly_demand!A858="","",[1]weekly_demand!A858)</f>
        <v/>
      </c>
      <c r="B857" s="59" t="str">
        <f>IF($A857="","",[1]weekly_demand!F858)</f>
        <v/>
      </c>
      <c r="C857" s="60" t="str">
        <f>IF($A857="","",[1]weekly_demand!H858)</f>
        <v/>
      </c>
      <c r="D857" s="61" t="str">
        <f>IF($A857="","",IF(SUMIFS([1]Fixture_Capacity_Input!$C:$C,[1]Fixture_Capacity_Input!$A:$A,$B857,[1]Fixture_Capacity_Input!$B:$B,$C857)&gt;0,SUMIFS([1]Fixture_Capacity_Input!$C:$C,[1]Fixture_Capacity_Input!$A:$A,$B857,[1]Fixture_Capacity_Input!$B:$B,$C857),[1]weekly_demand!G858))</f>
        <v/>
      </c>
      <c r="E857" s="62" t="str">
        <f>IF($A857="","",[1]weekly_demand!I858)</f>
        <v/>
      </c>
      <c r="F857" s="61" t="str">
        <f>IF($A857="","",IF($A857&lt;&gt;$A856,IFERROR(INDEX([1]FG_Begin_Inventory!$B:$B,MATCH($A857,[1]FG_Begin_Inventory!$A:$A,0)),0),J856))</f>
        <v/>
      </c>
      <c r="G857" s="61" t="str">
        <f t="shared" si="94"/>
        <v/>
      </c>
      <c r="H857" s="62" t="str">
        <f t="shared" si="95"/>
        <v/>
      </c>
      <c r="I857" s="62" t="str">
        <f t="shared" si="96"/>
        <v/>
      </c>
      <c r="J857" s="62" t="str">
        <f t="shared" si="97"/>
        <v/>
      </c>
      <c r="K857" s="62" t="str">
        <f t="shared" si="98"/>
        <v/>
      </c>
      <c r="L857" s="62" t="str">
        <f t="shared" si="99"/>
        <v/>
      </c>
      <c r="M857" s="63" t="str">
        <f t="shared" si="100"/>
        <v/>
      </c>
      <c r="N857" s="64"/>
    </row>
    <row r="858" spans="1:14" x14ac:dyDescent="0.3">
      <c r="A858" s="58" t="str">
        <f>IF([1]weekly_demand!A859="","",[1]weekly_demand!A859)</f>
        <v/>
      </c>
      <c r="B858" s="59" t="str">
        <f>IF($A858="","",[1]weekly_demand!F859)</f>
        <v/>
      </c>
      <c r="C858" s="60" t="str">
        <f>IF($A858="","",[1]weekly_demand!H859)</f>
        <v/>
      </c>
      <c r="D858" s="61" t="str">
        <f>IF($A858="","",IF(SUMIFS([1]Fixture_Capacity_Input!$C:$C,[1]Fixture_Capacity_Input!$A:$A,$B858,[1]Fixture_Capacity_Input!$B:$B,$C858)&gt;0,SUMIFS([1]Fixture_Capacity_Input!$C:$C,[1]Fixture_Capacity_Input!$A:$A,$B858,[1]Fixture_Capacity_Input!$B:$B,$C858),[1]weekly_demand!G859))</f>
        <v/>
      </c>
      <c r="E858" s="62" t="str">
        <f>IF($A858="","",[1]weekly_demand!I859)</f>
        <v/>
      </c>
      <c r="F858" s="61" t="str">
        <f>IF($A858="","",IF($A858&lt;&gt;$A857,IFERROR(INDEX([1]FG_Begin_Inventory!$B:$B,MATCH($A858,[1]FG_Begin_Inventory!$A:$A,0)),0),J857))</f>
        <v/>
      </c>
      <c r="G858" s="61" t="str">
        <f t="shared" si="94"/>
        <v/>
      </c>
      <c r="H858" s="62" t="str">
        <f t="shared" si="95"/>
        <v/>
      </c>
      <c r="I858" s="62" t="str">
        <f t="shared" si="96"/>
        <v/>
      </c>
      <c r="J858" s="62" t="str">
        <f t="shared" si="97"/>
        <v/>
      </c>
      <c r="K858" s="62" t="str">
        <f t="shared" si="98"/>
        <v/>
      </c>
      <c r="L858" s="62" t="str">
        <f t="shared" si="99"/>
        <v/>
      </c>
      <c r="M858" s="63" t="str">
        <f t="shared" si="100"/>
        <v/>
      </c>
      <c r="N858" s="64"/>
    </row>
    <row r="859" spans="1:14" x14ac:dyDescent="0.3">
      <c r="A859" s="58" t="str">
        <f>IF([1]weekly_demand!A860="","",[1]weekly_demand!A860)</f>
        <v/>
      </c>
      <c r="B859" s="59" t="str">
        <f>IF($A859="","",[1]weekly_demand!F860)</f>
        <v/>
      </c>
      <c r="C859" s="60" t="str">
        <f>IF($A859="","",[1]weekly_demand!H860)</f>
        <v/>
      </c>
      <c r="D859" s="61" t="str">
        <f>IF($A859="","",IF(SUMIFS([1]Fixture_Capacity_Input!$C:$C,[1]Fixture_Capacity_Input!$A:$A,$B859,[1]Fixture_Capacity_Input!$B:$B,$C859)&gt;0,SUMIFS([1]Fixture_Capacity_Input!$C:$C,[1]Fixture_Capacity_Input!$A:$A,$B859,[1]Fixture_Capacity_Input!$B:$B,$C859),[1]weekly_demand!G860))</f>
        <v/>
      </c>
      <c r="E859" s="62" t="str">
        <f>IF($A859="","",[1]weekly_demand!I860)</f>
        <v/>
      </c>
      <c r="F859" s="61" t="str">
        <f>IF($A859="","",IF($A859&lt;&gt;$A858,IFERROR(INDEX([1]FG_Begin_Inventory!$B:$B,MATCH($A859,[1]FG_Begin_Inventory!$A:$A,0)),0),J858))</f>
        <v/>
      </c>
      <c r="G859" s="61" t="str">
        <f t="shared" si="94"/>
        <v/>
      </c>
      <c r="H859" s="62" t="str">
        <f t="shared" si="95"/>
        <v/>
      </c>
      <c r="I859" s="62" t="str">
        <f t="shared" si="96"/>
        <v/>
      </c>
      <c r="J859" s="62" t="str">
        <f t="shared" si="97"/>
        <v/>
      </c>
      <c r="K859" s="62" t="str">
        <f t="shared" si="98"/>
        <v/>
      </c>
      <c r="L859" s="62" t="str">
        <f t="shared" si="99"/>
        <v/>
      </c>
      <c r="M859" s="63" t="str">
        <f t="shared" si="100"/>
        <v/>
      </c>
      <c r="N859" s="64"/>
    </row>
    <row r="860" spans="1:14" x14ac:dyDescent="0.3">
      <c r="A860" s="58" t="str">
        <f>IF([1]weekly_demand!A861="","",[1]weekly_demand!A861)</f>
        <v/>
      </c>
      <c r="B860" s="59" t="str">
        <f>IF($A860="","",[1]weekly_demand!F861)</f>
        <v/>
      </c>
      <c r="C860" s="60" t="str">
        <f>IF($A860="","",[1]weekly_demand!H861)</f>
        <v/>
      </c>
      <c r="D860" s="61" t="str">
        <f>IF($A860="","",IF(SUMIFS([1]Fixture_Capacity_Input!$C:$C,[1]Fixture_Capacity_Input!$A:$A,$B860,[1]Fixture_Capacity_Input!$B:$B,$C860)&gt;0,SUMIFS([1]Fixture_Capacity_Input!$C:$C,[1]Fixture_Capacity_Input!$A:$A,$B860,[1]Fixture_Capacity_Input!$B:$B,$C860),[1]weekly_demand!G861))</f>
        <v/>
      </c>
      <c r="E860" s="62" t="str">
        <f>IF($A860="","",[1]weekly_demand!I861)</f>
        <v/>
      </c>
      <c r="F860" s="61" t="str">
        <f>IF($A860="","",IF($A860&lt;&gt;$A859,IFERROR(INDEX([1]FG_Begin_Inventory!$B:$B,MATCH($A860,[1]FG_Begin_Inventory!$A:$A,0)),0),J859))</f>
        <v/>
      </c>
      <c r="G860" s="61" t="str">
        <f t="shared" si="94"/>
        <v/>
      </c>
      <c r="H860" s="62" t="str">
        <f t="shared" si="95"/>
        <v/>
      </c>
      <c r="I860" s="62" t="str">
        <f t="shared" si="96"/>
        <v/>
      </c>
      <c r="J860" s="62" t="str">
        <f t="shared" si="97"/>
        <v/>
      </c>
      <c r="K860" s="62" t="str">
        <f t="shared" si="98"/>
        <v/>
      </c>
      <c r="L860" s="62" t="str">
        <f t="shared" si="99"/>
        <v/>
      </c>
      <c r="M860" s="63" t="str">
        <f t="shared" si="100"/>
        <v/>
      </c>
      <c r="N860" s="64"/>
    </row>
    <row r="861" spans="1:14" x14ac:dyDescent="0.3">
      <c r="A861" s="58" t="str">
        <f>IF([1]weekly_demand!A862="","",[1]weekly_demand!A862)</f>
        <v/>
      </c>
      <c r="B861" s="59" t="str">
        <f>IF($A861="","",[1]weekly_demand!F862)</f>
        <v/>
      </c>
      <c r="C861" s="60" t="str">
        <f>IF($A861="","",[1]weekly_demand!H862)</f>
        <v/>
      </c>
      <c r="D861" s="61" t="str">
        <f>IF($A861="","",IF(SUMIFS([1]Fixture_Capacity_Input!$C:$C,[1]Fixture_Capacity_Input!$A:$A,$B861,[1]Fixture_Capacity_Input!$B:$B,$C861)&gt;0,SUMIFS([1]Fixture_Capacity_Input!$C:$C,[1]Fixture_Capacity_Input!$A:$A,$B861,[1]Fixture_Capacity_Input!$B:$B,$C861),[1]weekly_demand!G862))</f>
        <v/>
      </c>
      <c r="E861" s="62" t="str">
        <f>IF($A861="","",[1]weekly_demand!I862)</f>
        <v/>
      </c>
      <c r="F861" s="61" t="str">
        <f>IF($A861="","",IF($A861&lt;&gt;$A860,IFERROR(INDEX([1]FG_Begin_Inventory!$B:$B,MATCH($A861,[1]FG_Begin_Inventory!$A:$A,0)),0),J860))</f>
        <v/>
      </c>
      <c r="G861" s="61" t="str">
        <f t="shared" si="94"/>
        <v/>
      </c>
      <c r="H861" s="62" t="str">
        <f t="shared" si="95"/>
        <v/>
      </c>
      <c r="I861" s="62" t="str">
        <f t="shared" si="96"/>
        <v/>
      </c>
      <c r="J861" s="62" t="str">
        <f t="shared" si="97"/>
        <v/>
      </c>
      <c r="K861" s="62" t="str">
        <f t="shared" si="98"/>
        <v/>
      </c>
      <c r="L861" s="62" t="str">
        <f t="shared" si="99"/>
        <v/>
      </c>
      <c r="M861" s="63" t="str">
        <f t="shared" si="100"/>
        <v/>
      </c>
      <c r="N861" s="64"/>
    </row>
    <row r="862" spans="1:14" x14ac:dyDescent="0.3">
      <c r="A862" s="58" t="str">
        <f>IF([1]weekly_demand!A863="","",[1]weekly_demand!A863)</f>
        <v/>
      </c>
      <c r="B862" s="59" t="str">
        <f>IF($A862="","",[1]weekly_demand!F863)</f>
        <v/>
      </c>
      <c r="C862" s="60" t="str">
        <f>IF($A862="","",[1]weekly_demand!H863)</f>
        <v/>
      </c>
      <c r="D862" s="61" t="str">
        <f>IF($A862="","",IF(SUMIFS([1]Fixture_Capacity_Input!$C:$C,[1]Fixture_Capacity_Input!$A:$A,$B862,[1]Fixture_Capacity_Input!$B:$B,$C862)&gt;0,SUMIFS([1]Fixture_Capacity_Input!$C:$C,[1]Fixture_Capacity_Input!$A:$A,$B862,[1]Fixture_Capacity_Input!$B:$B,$C862),[1]weekly_demand!G863))</f>
        <v/>
      </c>
      <c r="E862" s="62" t="str">
        <f>IF($A862="","",[1]weekly_demand!I863)</f>
        <v/>
      </c>
      <c r="F862" s="61" t="str">
        <f>IF($A862="","",IF($A862&lt;&gt;$A861,IFERROR(INDEX([1]FG_Begin_Inventory!$B:$B,MATCH($A862,[1]FG_Begin_Inventory!$A:$A,0)),0),J861))</f>
        <v/>
      </c>
      <c r="G862" s="61" t="str">
        <f t="shared" si="94"/>
        <v/>
      </c>
      <c r="H862" s="62" t="str">
        <f t="shared" si="95"/>
        <v/>
      </c>
      <c r="I862" s="62" t="str">
        <f t="shared" si="96"/>
        <v/>
      </c>
      <c r="J862" s="62" t="str">
        <f t="shared" si="97"/>
        <v/>
      </c>
      <c r="K862" s="62" t="str">
        <f t="shared" si="98"/>
        <v/>
      </c>
      <c r="L862" s="62" t="str">
        <f t="shared" si="99"/>
        <v/>
      </c>
      <c r="M862" s="63" t="str">
        <f t="shared" si="100"/>
        <v/>
      </c>
      <c r="N862" s="64"/>
    </row>
    <row r="863" spans="1:14" x14ac:dyDescent="0.3">
      <c r="A863" s="58" t="str">
        <f>IF([1]weekly_demand!A864="","",[1]weekly_demand!A864)</f>
        <v/>
      </c>
      <c r="B863" s="59" t="str">
        <f>IF($A863="","",[1]weekly_demand!F864)</f>
        <v/>
      </c>
      <c r="C863" s="60" t="str">
        <f>IF($A863="","",[1]weekly_demand!H864)</f>
        <v/>
      </c>
      <c r="D863" s="61" t="str">
        <f>IF($A863="","",IF(SUMIFS([1]Fixture_Capacity_Input!$C:$C,[1]Fixture_Capacity_Input!$A:$A,$B863,[1]Fixture_Capacity_Input!$B:$B,$C863)&gt;0,SUMIFS([1]Fixture_Capacity_Input!$C:$C,[1]Fixture_Capacity_Input!$A:$A,$B863,[1]Fixture_Capacity_Input!$B:$B,$C863),[1]weekly_demand!G864))</f>
        <v/>
      </c>
      <c r="E863" s="62" t="str">
        <f>IF($A863="","",[1]weekly_demand!I864)</f>
        <v/>
      </c>
      <c r="F863" s="61" t="str">
        <f>IF($A863="","",IF($A863&lt;&gt;$A862,IFERROR(INDEX([1]FG_Begin_Inventory!$B:$B,MATCH($A863,[1]FG_Begin_Inventory!$A:$A,0)),0),J862))</f>
        <v/>
      </c>
      <c r="G863" s="61" t="str">
        <f t="shared" si="94"/>
        <v/>
      </c>
      <c r="H863" s="62" t="str">
        <f t="shared" si="95"/>
        <v/>
      </c>
      <c r="I863" s="62" t="str">
        <f t="shared" si="96"/>
        <v/>
      </c>
      <c r="J863" s="62" t="str">
        <f t="shared" si="97"/>
        <v/>
      </c>
      <c r="K863" s="62" t="str">
        <f t="shared" si="98"/>
        <v/>
      </c>
      <c r="L863" s="62" t="str">
        <f t="shared" si="99"/>
        <v/>
      </c>
      <c r="M863" s="63" t="str">
        <f t="shared" si="100"/>
        <v/>
      </c>
      <c r="N863" s="64"/>
    </row>
    <row r="864" spans="1:14" x14ac:dyDescent="0.3">
      <c r="A864" s="58" t="str">
        <f>IF([1]weekly_demand!A865="","",[1]weekly_demand!A865)</f>
        <v/>
      </c>
      <c r="B864" s="59" t="str">
        <f>IF($A864="","",[1]weekly_demand!F865)</f>
        <v/>
      </c>
      <c r="C864" s="60" t="str">
        <f>IF($A864="","",[1]weekly_demand!H865)</f>
        <v/>
      </c>
      <c r="D864" s="61" t="str">
        <f>IF($A864="","",IF(SUMIFS([1]Fixture_Capacity_Input!$C:$C,[1]Fixture_Capacity_Input!$A:$A,$B864,[1]Fixture_Capacity_Input!$B:$B,$C864)&gt;0,SUMIFS([1]Fixture_Capacity_Input!$C:$C,[1]Fixture_Capacity_Input!$A:$A,$B864,[1]Fixture_Capacity_Input!$B:$B,$C864),[1]weekly_demand!G865))</f>
        <v/>
      </c>
      <c r="E864" s="62" t="str">
        <f>IF($A864="","",[1]weekly_demand!I865)</f>
        <v/>
      </c>
      <c r="F864" s="61" t="str">
        <f>IF($A864="","",IF($A864&lt;&gt;$A863,IFERROR(INDEX([1]FG_Begin_Inventory!$B:$B,MATCH($A864,[1]FG_Begin_Inventory!$A:$A,0)),0),J863))</f>
        <v/>
      </c>
      <c r="G864" s="61" t="str">
        <f t="shared" si="94"/>
        <v/>
      </c>
      <c r="H864" s="62" t="str">
        <f t="shared" si="95"/>
        <v/>
      </c>
      <c r="I864" s="62" t="str">
        <f t="shared" si="96"/>
        <v/>
      </c>
      <c r="J864" s="62" t="str">
        <f t="shared" si="97"/>
        <v/>
      </c>
      <c r="K864" s="62" t="str">
        <f t="shared" si="98"/>
        <v/>
      </c>
      <c r="L864" s="62" t="str">
        <f t="shared" si="99"/>
        <v/>
      </c>
      <c r="M864" s="63" t="str">
        <f t="shared" si="100"/>
        <v/>
      </c>
      <c r="N864" s="64"/>
    </row>
    <row r="865" spans="1:14" x14ac:dyDescent="0.3">
      <c r="A865" s="58" t="str">
        <f>IF([1]weekly_demand!A866="","",[1]weekly_demand!A866)</f>
        <v/>
      </c>
      <c r="B865" s="59" t="str">
        <f>IF($A865="","",[1]weekly_demand!F866)</f>
        <v/>
      </c>
      <c r="C865" s="60" t="str">
        <f>IF($A865="","",[1]weekly_demand!H866)</f>
        <v/>
      </c>
      <c r="D865" s="61" t="str">
        <f>IF($A865="","",IF(SUMIFS([1]Fixture_Capacity_Input!$C:$C,[1]Fixture_Capacity_Input!$A:$A,$B865,[1]Fixture_Capacity_Input!$B:$B,$C865)&gt;0,SUMIFS([1]Fixture_Capacity_Input!$C:$C,[1]Fixture_Capacity_Input!$A:$A,$B865,[1]Fixture_Capacity_Input!$B:$B,$C865),[1]weekly_demand!G866))</f>
        <v/>
      </c>
      <c r="E865" s="62" t="str">
        <f>IF($A865="","",[1]weekly_demand!I866)</f>
        <v/>
      </c>
      <c r="F865" s="61" t="str">
        <f>IF($A865="","",IF($A865&lt;&gt;$A864,IFERROR(INDEX([1]FG_Begin_Inventory!$B:$B,MATCH($A865,[1]FG_Begin_Inventory!$A:$A,0)),0),J864))</f>
        <v/>
      </c>
      <c r="G865" s="61" t="str">
        <f t="shared" si="94"/>
        <v/>
      </c>
      <c r="H865" s="62" t="str">
        <f t="shared" si="95"/>
        <v/>
      </c>
      <c r="I865" s="62" t="str">
        <f t="shared" si="96"/>
        <v/>
      </c>
      <c r="J865" s="62" t="str">
        <f t="shared" si="97"/>
        <v/>
      </c>
      <c r="K865" s="62" t="str">
        <f t="shared" si="98"/>
        <v/>
      </c>
      <c r="L865" s="62" t="str">
        <f t="shared" si="99"/>
        <v/>
      </c>
      <c r="M865" s="63" t="str">
        <f t="shared" si="100"/>
        <v/>
      </c>
      <c r="N865" s="64"/>
    </row>
    <row r="866" spans="1:14" x14ac:dyDescent="0.3">
      <c r="A866" s="58" t="str">
        <f>IF([1]weekly_demand!A867="","",[1]weekly_demand!A867)</f>
        <v/>
      </c>
      <c r="B866" s="59" t="str">
        <f>IF($A866="","",[1]weekly_demand!F867)</f>
        <v/>
      </c>
      <c r="C866" s="60" t="str">
        <f>IF($A866="","",[1]weekly_demand!H867)</f>
        <v/>
      </c>
      <c r="D866" s="61" t="str">
        <f>IF($A866="","",IF(SUMIFS([1]Fixture_Capacity_Input!$C:$C,[1]Fixture_Capacity_Input!$A:$A,$B866,[1]Fixture_Capacity_Input!$B:$B,$C866)&gt;0,SUMIFS([1]Fixture_Capacity_Input!$C:$C,[1]Fixture_Capacity_Input!$A:$A,$B866,[1]Fixture_Capacity_Input!$B:$B,$C866),[1]weekly_demand!G867))</f>
        <v/>
      </c>
      <c r="E866" s="62" t="str">
        <f>IF($A866="","",[1]weekly_demand!I867)</f>
        <v/>
      </c>
      <c r="F866" s="61" t="str">
        <f>IF($A866="","",IF($A866&lt;&gt;$A865,IFERROR(INDEX([1]FG_Begin_Inventory!$B:$B,MATCH($A866,[1]FG_Begin_Inventory!$A:$A,0)),0),J865))</f>
        <v/>
      </c>
      <c r="G866" s="61" t="str">
        <f t="shared" si="94"/>
        <v/>
      </c>
      <c r="H866" s="62" t="str">
        <f t="shared" si="95"/>
        <v/>
      </c>
      <c r="I866" s="62" t="str">
        <f t="shared" si="96"/>
        <v/>
      </c>
      <c r="J866" s="62" t="str">
        <f t="shared" si="97"/>
        <v/>
      </c>
      <c r="K866" s="62" t="str">
        <f t="shared" si="98"/>
        <v/>
      </c>
      <c r="L866" s="62" t="str">
        <f t="shared" si="99"/>
        <v/>
      </c>
      <c r="M866" s="63" t="str">
        <f t="shared" si="100"/>
        <v/>
      </c>
      <c r="N866" s="64"/>
    </row>
    <row r="867" spans="1:14" x14ac:dyDescent="0.3">
      <c r="A867" s="58" t="str">
        <f>IF([1]weekly_demand!A868="","",[1]weekly_demand!A868)</f>
        <v/>
      </c>
      <c r="B867" s="59" t="str">
        <f>IF($A867="","",[1]weekly_demand!F868)</f>
        <v/>
      </c>
      <c r="C867" s="60" t="str">
        <f>IF($A867="","",[1]weekly_demand!H868)</f>
        <v/>
      </c>
      <c r="D867" s="61" t="str">
        <f>IF($A867="","",IF(SUMIFS([1]Fixture_Capacity_Input!$C:$C,[1]Fixture_Capacity_Input!$A:$A,$B867,[1]Fixture_Capacity_Input!$B:$B,$C867)&gt;0,SUMIFS([1]Fixture_Capacity_Input!$C:$C,[1]Fixture_Capacity_Input!$A:$A,$B867,[1]Fixture_Capacity_Input!$B:$B,$C867),[1]weekly_demand!G868))</f>
        <v/>
      </c>
      <c r="E867" s="62" t="str">
        <f>IF($A867="","",[1]weekly_demand!I868)</f>
        <v/>
      </c>
      <c r="F867" s="61" t="str">
        <f>IF($A867="","",IF($A867&lt;&gt;$A866,IFERROR(INDEX([1]FG_Begin_Inventory!$B:$B,MATCH($A867,[1]FG_Begin_Inventory!$A:$A,0)),0),J866))</f>
        <v/>
      </c>
      <c r="G867" s="61" t="str">
        <f t="shared" si="94"/>
        <v/>
      </c>
      <c r="H867" s="62" t="str">
        <f t="shared" si="95"/>
        <v/>
      </c>
      <c r="I867" s="62" t="str">
        <f t="shared" si="96"/>
        <v/>
      </c>
      <c r="J867" s="62" t="str">
        <f t="shared" si="97"/>
        <v/>
      </c>
      <c r="K867" s="62" t="str">
        <f t="shared" si="98"/>
        <v/>
      </c>
      <c r="L867" s="62" t="str">
        <f t="shared" si="99"/>
        <v/>
      </c>
      <c r="M867" s="63" t="str">
        <f t="shared" si="100"/>
        <v/>
      </c>
      <c r="N867" s="64"/>
    </row>
    <row r="868" spans="1:14" x14ac:dyDescent="0.3">
      <c r="A868" s="58" t="str">
        <f>IF([1]weekly_demand!A869="","",[1]weekly_demand!A869)</f>
        <v/>
      </c>
      <c r="B868" s="59" t="str">
        <f>IF($A868="","",[1]weekly_demand!F869)</f>
        <v/>
      </c>
      <c r="C868" s="60" t="str">
        <f>IF($A868="","",[1]weekly_demand!H869)</f>
        <v/>
      </c>
      <c r="D868" s="61" t="str">
        <f>IF($A868="","",IF(SUMIFS([1]Fixture_Capacity_Input!$C:$C,[1]Fixture_Capacity_Input!$A:$A,$B868,[1]Fixture_Capacity_Input!$B:$B,$C868)&gt;0,SUMIFS([1]Fixture_Capacity_Input!$C:$C,[1]Fixture_Capacity_Input!$A:$A,$B868,[1]Fixture_Capacity_Input!$B:$B,$C868),[1]weekly_demand!G869))</f>
        <v/>
      </c>
      <c r="E868" s="62" t="str">
        <f>IF($A868="","",[1]weekly_demand!I869)</f>
        <v/>
      </c>
      <c r="F868" s="61" t="str">
        <f>IF($A868="","",IF($A868&lt;&gt;$A867,IFERROR(INDEX([1]FG_Begin_Inventory!$B:$B,MATCH($A868,[1]FG_Begin_Inventory!$A:$A,0)),0),J867))</f>
        <v/>
      </c>
      <c r="G868" s="61" t="str">
        <f t="shared" si="94"/>
        <v/>
      </c>
      <c r="H868" s="62" t="str">
        <f t="shared" si="95"/>
        <v/>
      </c>
      <c r="I868" s="62" t="str">
        <f t="shared" si="96"/>
        <v/>
      </c>
      <c r="J868" s="62" t="str">
        <f t="shared" si="97"/>
        <v/>
      </c>
      <c r="K868" s="62" t="str">
        <f t="shared" si="98"/>
        <v/>
      </c>
      <c r="L868" s="62" t="str">
        <f t="shared" si="99"/>
        <v/>
      </c>
      <c r="M868" s="63" t="str">
        <f t="shared" si="100"/>
        <v/>
      </c>
      <c r="N868" s="64"/>
    </row>
    <row r="869" spans="1:14" x14ac:dyDescent="0.3">
      <c r="A869" s="58" t="str">
        <f>IF([1]weekly_demand!A870="","",[1]weekly_demand!A870)</f>
        <v/>
      </c>
      <c r="B869" s="59" t="str">
        <f>IF($A869="","",[1]weekly_demand!F870)</f>
        <v/>
      </c>
      <c r="C869" s="60" t="str">
        <f>IF($A869="","",[1]weekly_demand!H870)</f>
        <v/>
      </c>
      <c r="D869" s="61" t="str">
        <f>IF($A869="","",IF(SUMIFS([1]Fixture_Capacity_Input!$C:$C,[1]Fixture_Capacity_Input!$A:$A,$B869,[1]Fixture_Capacity_Input!$B:$B,$C869)&gt;0,SUMIFS([1]Fixture_Capacity_Input!$C:$C,[1]Fixture_Capacity_Input!$A:$A,$B869,[1]Fixture_Capacity_Input!$B:$B,$C869),[1]weekly_demand!G870))</f>
        <v/>
      </c>
      <c r="E869" s="62" t="str">
        <f>IF($A869="","",[1]weekly_demand!I870)</f>
        <v/>
      </c>
      <c r="F869" s="61" t="str">
        <f>IF($A869="","",IF($A869&lt;&gt;$A868,IFERROR(INDEX([1]FG_Begin_Inventory!$B:$B,MATCH($A869,[1]FG_Begin_Inventory!$A:$A,0)),0),J868))</f>
        <v/>
      </c>
      <c r="G869" s="61" t="str">
        <f t="shared" si="94"/>
        <v/>
      </c>
      <c r="H869" s="62" t="str">
        <f t="shared" si="95"/>
        <v/>
      </c>
      <c r="I869" s="62" t="str">
        <f t="shared" si="96"/>
        <v/>
      </c>
      <c r="J869" s="62" t="str">
        <f t="shared" si="97"/>
        <v/>
      </c>
      <c r="K869" s="62" t="str">
        <f t="shared" si="98"/>
        <v/>
      </c>
      <c r="L869" s="62" t="str">
        <f t="shared" si="99"/>
        <v/>
      </c>
      <c r="M869" s="63" t="str">
        <f t="shared" si="100"/>
        <v/>
      </c>
      <c r="N869" s="64"/>
    </row>
    <row r="870" spans="1:14" x14ac:dyDescent="0.3">
      <c r="A870" s="58" t="str">
        <f>IF([1]weekly_demand!A871="","",[1]weekly_demand!A871)</f>
        <v/>
      </c>
      <c r="B870" s="59" t="str">
        <f>IF($A870="","",[1]weekly_demand!F871)</f>
        <v/>
      </c>
      <c r="C870" s="60" t="str">
        <f>IF($A870="","",[1]weekly_demand!H871)</f>
        <v/>
      </c>
      <c r="D870" s="61" t="str">
        <f>IF($A870="","",IF(SUMIFS([1]Fixture_Capacity_Input!$C:$C,[1]Fixture_Capacity_Input!$A:$A,$B870,[1]Fixture_Capacity_Input!$B:$B,$C870)&gt;0,SUMIFS([1]Fixture_Capacity_Input!$C:$C,[1]Fixture_Capacity_Input!$A:$A,$B870,[1]Fixture_Capacity_Input!$B:$B,$C870),[1]weekly_demand!G871))</f>
        <v/>
      </c>
      <c r="E870" s="62" t="str">
        <f>IF($A870="","",[1]weekly_demand!I871)</f>
        <v/>
      </c>
      <c r="F870" s="61" t="str">
        <f>IF($A870="","",IF($A870&lt;&gt;$A869,IFERROR(INDEX([1]FG_Begin_Inventory!$B:$B,MATCH($A870,[1]FG_Begin_Inventory!$A:$A,0)),0),J869))</f>
        <v/>
      </c>
      <c r="G870" s="61" t="str">
        <f t="shared" si="94"/>
        <v/>
      </c>
      <c r="H870" s="62" t="str">
        <f t="shared" si="95"/>
        <v/>
      </c>
      <c r="I870" s="62" t="str">
        <f t="shared" si="96"/>
        <v/>
      </c>
      <c r="J870" s="62" t="str">
        <f t="shared" si="97"/>
        <v/>
      </c>
      <c r="K870" s="62" t="str">
        <f t="shared" si="98"/>
        <v/>
      </c>
      <c r="L870" s="62" t="str">
        <f t="shared" si="99"/>
        <v/>
      </c>
      <c r="M870" s="63" t="str">
        <f t="shared" si="100"/>
        <v/>
      </c>
      <c r="N870" s="64"/>
    </row>
    <row r="871" spans="1:14" x14ac:dyDescent="0.3">
      <c r="A871" s="58" t="str">
        <f>IF([1]weekly_demand!A872="","",[1]weekly_demand!A872)</f>
        <v/>
      </c>
      <c r="B871" s="59" t="str">
        <f>IF($A871="","",[1]weekly_demand!F872)</f>
        <v/>
      </c>
      <c r="C871" s="60" t="str">
        <f>IF($A871="","",[1]weekly_demand!H872)</f>
        <v/>
      </c>
      <c r="D871" s="61" t="str">
        <f>IF($A871="","",IF(SUMIFS([1]Fixture_Capacity_Input!$C:$C,[1]Fixture_Capacity_Input!$A:$A,$B871,[1]Fixture_Capacity_Input!$B:$B,$C871)&gt;0,SUMIFS([1]Fixture_Capacity_Input!$C:$C,[1]Fixture_Capacity_Input!$A:$A,$B871,[1]Fixture_Capacity_Input!$B:$B,$C871),[1]weekly_demand!G872))</f>
        <v/>
      </c>
      <c r="E871" s="62" t="str">
        <f>IF($A871="","",[1]weekly_demand!I872)</f>
        <v/>
      </c>
      <c r="F871" s="61" t="str">
        <f>IF($A871="","",IF($A871&lt;&gt;$A870,IFERROR(INDEX([1]FG_Begin_Inventory!$B:$B,MATCH($A871,[1]FG_Begin_Inventory!$A:$A,0)),0),J870))</f>
        <v/>
      </c>
      <c r="G871" s="61" t="str">
        <f t="shared" si="94"/>
        <v/>
      </c>
      <c r="H871" s="62" t="str">
        <f t="shared" si="95"/>
        <v/>
      </c>
      <c r="I871" s="62" t="str">
        <f t="shared" si="96"/>
        <v/>
      </c>
      <c r="J871" s="62" t="str">
        <f t="shared" si="97"/>
        <v/>
      </c>
      <c r="K871" s="62" t="str">
        <f t="shared" si="98"/>
        <v/>
      </c>
      <c r="L871" s="62" t="str">
        <f t="shared" si="99"/>
        <v/>
      </c>
      <c r="M871" s="63" t="str">
        <f t="shared" si="100"/>
        <v/>
      </c>
      <c r="N871" s="64"/>
    </row>
    <row r="872" spans="1:14" x14ac:dyDescent="0.3">
      <c r="A872" s="58" t="str">
        <f>IF([1]weekly_demand!A873="","",[1]weekly_demand!A873)</f>
        <v/>
      </c>
      <c r="B872" s="59" t="str">
        <f>IF($A872="","",[1]weekly_demand!F873)</f>
        <v/>
      </c>
      <c r="C872" s="60" t="str">
        <f>IF($A872="","",[1]weekly_demand!H873)</f>
        <v/>
      </c>
      <c r="D872" s="61" t="str">
        <f>IF($A872="","",IF(SUMIFS([1]Fixture_Capacity_Input!$C:$C,[1]Fixture_Capacity_Input!$A:$A,$B872,[1]Fixture_Capacity_Input!$B:$B,$C872)&gt;0,SUMIFS([1]Fixture_Capacity_Input!$C:$C,[1]Fixture_Capacity_Input!$A:$A,$B872,[1]Fixture_Capacity_Input!$B:$B,$C872),[1]weekly_demand!G873))</f>
        <v/>
      </c>
      <c r="E872" s="62" t="str">
        <f>IF($A872="","",[1]weekly_demand!I873)</f>
        <v/>
      </c>
      <c r="F872" s="61" t="str">
        <f>IF($A872="","",IF($A872&lt;&gt;$A871,IFERROR(INDEX([1]FG_Begin_Inventory!$B:$B,MATCH($A872,[1]FG_Begin_Inventory!$A:$A,0)),0),J871))</f>
        <v/>
      </c>
      <c r="G872" s="61" t="str">
        <f t="shared" si="94"/>
        <v/>
      </c>
      <c r="H872" s="62" t="str">
        <f t="shared" si="95"/>
        <v/>
      </c>
      <c r="I872" s="62" t="str">
        <f t="shared" si="96"/>
        <v/>
      </c>
      <c r="J872" s="62" t="str">
        <f t="shared" si="97"/>
        <v/>
      </c>
      <c r="K872" s="62" t="str">
        <f t="shared" si="98"/>
        <v/>
      </c>
      <c r="L872" s="62" t="str">
        <f t="shared" si="99"/>
        <v/>
      </c>
      <c r="M872" s="63" t="str">
        <f t="shared" si="100"/>
        <v/>
      </c>
      <c r="N872" s="64"/>
    </row>
    <row r="873" spans="1:14" x14ac:dyDescent="0.3">
      <c r="A873" s="58" t="str">
        <f>IF([1]weekly_demand!A874="","",[1]weekly_demand!A874)</f>
        <v/>
      </c>
      <c r="B873" s="59" t="str">
        <f>IF($A873="","",[1]weekly_demand!F874)</f>
        <v/>
      </c>
      <c r="C873" s="60" t="str">
        <f>IF($A873="","",[1]weekly_demand!H874)</f>
        <v/>
      </c>
      <c r="D873" s="61" t="str">
        <f>IF($A873="","",IF(SUMIFS([1]Fixture_Capacity_Input!$C:$C,[1]Fixture_Capacity_Input!$A:$A,$B873,[1]Fixture_Capacity_Input!$B:$B,$C873)&gt;0,SUMIFS([1]Fixture_Capacity_Input!$C:$C,[1]Fixture_Capacity_Input!$A:$A,$B873,[1]Fixture_Capacity_Input!$B:$B,$C873),[1]weekly_demand!G874))</f>
        <v/>
      </c>
      <c r="E873" s="62" t="str">
        <f>IF($A873="","",[1]weekly_demand!I874)</f>
        <v/>
      </c>
      <c r="F873" s="61" t="str">
        <f>IF($A873="","",IF($A873&lt;&gt;$A872,IFERROR(INDEX([1]FG_Begin_Inventory!$B:$B,MATCH($A873,[1]FG_Begin_Inventory!$A:$A,0)),0),J872))</f>
        <v/>
      </c>
      <c r="G873" s="61" t="str">
        <f t="shared" si="94"/>
        <v/>
      </c>
      <c r="H873" s="62" t="str">
        <f t="shared" si="95"/>
        <v/>
      </c>
      <c r="I873" s="62" t="str">
        <f t="shared" si="96"/>
        <v/>
      </c>
      <c r="J873" s="62" t="str">
        <f t="shared" si="97"/>
        <v/>
      </c>
      <c r="K873" s="62" t="str">
        <f t="shared" si="98"/>
        <v/>
      </c>
      <c r="L873" s="62" t="str">
        <f t="shared" si="99"/>
        <v/>
      </c>
      <c r="M873" s="63" t="str">
        <f t="shared" si="100"/>
        <v/>
      </c>
      <c r="N873" s="64"/>
    </row>
    <row r="874" spans="1:14" x14ac:dyDescent="0.3">
      <c r="A874" s="58" t="str">
        <f>IF([1]weekly_demand!A875="","",[1]weekly_demand!A875)</f>
        <v/>
      </c>
      <c r="B874" s="59" t="str">
        <f>IF($A874="","",[1]weekly_demand!F875)</f>
        <v/>
      </c>
      <c r="C874" s="60" t="str">
        <f>IF($A874="","",[1]weekly_demand!H875)</f>
        <v/>
      </c>
      <c r="D874" s="61" t="str">
        <f>IF($A874="","",IF(SUMIFS([1]Fixture_Capacity_Input!$C:$C,[1]Fixture_Capacity_Input!$A:$A,$B874,[1]Fixture_Capacity_Input!$B:$B,$C874)&gt;0,SUMIFS([1]Fixture_Capacity_Input!$C:$C,[1]Fixture_Capacity_Input!$A:$A,$B874,[1]Fixture_Capacity_Input!$B:$B,$C874),[1]weekly_demand!G875))</f>
        <v/>
      </c>
      <c r="E874" s="62" t="str">
        <f>IF($A874="","",[1]weekly_demand!I875)</f>
        <v/>
      </c>
      <c r="F874" s="61" t="str">
        <f>IF($A874="","",IF($A874&lt;&gt;$A873,IFERROR(INDEX([1]FG_Begin_Inventory!$B:$B,MATCH($A874,[1]FG_Begin_Inventory!$A:$A,0)),0),J873))</f>
        <v/>
      </c>
      <c r="G874" s="61" t="str">
        <f t="shared" si="94"/>
        <v/>
      </c>
      <c r="H874" s="62" t="str">
        <f t="shared" si="95"/>
        <v/>
      </c>
      <c r="I874" s="62" t="str">
        <f t="shared" si="96"/>
        <v/>
      </c>
      <c r="J874" s="62" t="str">
        <f t="shared" si="97"/>
        <v/>
      </c>
      <c r="K874" s="62" t="str">
        <f t="shared" si="98"/>
        <v/>
      </c>
      <c r="L874" s="62" t="str">
        <f t="shared" si="99"/>
        <v/>
      </c>
      <c r="M874" s="63" t="str">
        <f t="shared" si="100"/>
        <v/>
      </c>
      <c r="N874" s="64"/>
    </row>
    <row r="875" spans="1:14" x14ac:dyDescent="0.3">
      <c r="A875" s="58" t="str">
        <f>IF([1]weekly_demand!A876="","",[1]weekly_demand!A876)</f>
        <v/>
      </c>
      <c r="B875" s="59" t="str">
        <f>IF($A875="","",[1]weekly_demand!F876)</f>
        <v/>
      </c>
      <c r="C875" s="60" t="str">
        <f>IF($A875="","",[1]weekly_demand!H876)</f>
        <v/>
      </c>
      <c r="D875" s="61" t="str">
        <f>IF($A875="","",IF(SUMIFS([1]Fixture_Capacity_Input!$C:$C,[1]Fixture_Capacity_Input!$A:$A,$B875,[1]Fixture_Capacity_Input!$B:$B,$C875)&gt;0,SUMIFS([1]Fixture_Capacity_Input!$C:$C,[1]Fixture_Capacity_Input!$A:$A,$B875,[1]Fixture_Capacity_Input!$B:$B,$C875),[1]weekly_demand!G876))</f>
        <v/>
      </c>
      <c r="E875" s="62" t="str">
        <f>IF($A875="","",[1]weekly_demand!I876)</f>
        <v/>
      </c>
      <c r="F875" s="61" t="str">
        <f>IF($A875="","",IF($A875&lt;&gt;$A874,IFERROR(INDEX([1]FG_Begin_Inventory!$B:$B,MATCH($A875,[1]FG_Begin_Inventory!$A:$A,0)),0),J874))</f>
        <v/>
      </c>
      <c r="G875" s="61" t="str">
        <f t="shared" si="94"/>
        <v/>
      </c>
      <c r="H875" s="62" t="str">
        <f t="shared" si="95"/>
        <v/>
      </c>
      <c r="I875" s="62" t="str">
        <f t="shared" si="96"/>
        <v/>
      </c>
      <c r="J875" s="62" t="str">
        <f t="shared" si="97"/>
        <v/>
      </c>
      <c r="K875" s="62" t="str">
        <f t="shared" si="98"/>
        <v/>
      </c>
      <c r="L875" s="62" t="str">
        <f t="shared" si="99"/>
        <v/>
      </c>
      <c r="M875" s="63" t="str">
        <f t="shared" si="100"/>
        <v/>
      </c>
      <c r="N875" s="64"/>
    </row>
    <row r="876" spans="1:14" x14ac:dyDescent="0.3">
      <c r="A876" s="58" t="str">
        <f>IF([1]weekly_demand!A877="","",[1]weekly_demand!A877)</f>
        <v/>
      </c>
      <c r="B876" s="59" t="str">
        <f>IF($A876="","",[1]weekly_demand!F877)</f>
        <v/>
      </c>
      <c r="C876" s="60" t="str">
        <f>IF($A876="","",[1]weekly_demand!H877)</f>
        <v/>
      </c>
      <c r="D876" s="61" t="str">
        <f>IF($A876="","",IF(SUMIFS([1]Fixture_Capacity_Input!$C:$C,[1]Fixture_Capacity_Input!$A:$A,$B876,[1]Fixture_Capacity_Input!$B:$B,$C876)&gt;0,SUMIFS([1]Fixture_Capacity_Input!$C:$C,[1]Fixture_Capacity_Input!$A:$A,$B876,[1]Fixture_Capacity_Input!$B:$B,$C876),[1]weekly_demand!G877))</f>
        <v/>
      </c>
      <c r="E876" s="62" t="str">
        <f>IF($A876="","",[1]weekly_demand!I877)</f>
        <v/>
      </c>
      <c r="F876" s="61" t="str">
        <f>IF($A876="","",IF($A876&lt;&gt;$A875,IFERROR(INDEX([1]FG_Begin_Inventory!$B:$B,MATCH($A876,[1]FG_Begin_Inventory!$A:$A,0)),0),J875))</f>
        <v/>
      </c>
      <c r="G876" s="61" t="str">
        <f t="shared" si="94"/>
        <v/>
      </c>
      <c r="H876" s="62" t="str">
        <f t="shared" si="95"/>
        <v/>
      </c>
      <c r="I876" s="62" t="str">
        <f t="shared" si="96"/>
        <v/>
      </c>
      <c r="J876" s="62" t="str">
        <f t="shared" si="97"/>
        <v/>
      </c>
      <c r="K876" s="62" t="str">
        <f t="shared" si="98"/>
        <v/>
      </c>
      <c r="L876" s="62" t="str">
        <f t="shared" si="99"/>
        <v/>
      </c>
      <c r="M876" s="63" t="str">
        <f t="shared" si="100"/>
        <v/>
      </c>
      <c r="N876" s="64"/>
    </row>
    <row r="877" spans="1:14" x14ac:dyDescent="0.3">
      <c r="A877" s="58" t="str">
        <f>IF([1]weekly_demand!A878="","",[1]weekly_demand!A878)</f>
        <v/>
      </c>
      <c r="B877" s="59" t="str">
        <f>IF($A877="","",[1]weekly_demand!F878)</f>
        <v/>
      </c>
      <c r="C877" s="60" t="str">
        <f>IF($A877="","",[1]weekly_demand!H878)</f>
        <v/>
      </c>
      <c r="D877" s="61" t="str">
        <f>IF($A877="","",IF(SUMIFS([1]Fixture_Capacity_Input!$C:$C,[1]Fixture_Capacity_Input!$A:$A,$B877,[1]Fixture_Capacity_Input!$B:$B,$C877)&gt;0,SUMIFS([1]Fixture_Capacity_Input!$C:$C,[1]Fixture_Capacity_Input!$A:$A,$B877,[1]Fixture_Capacity_Input!$B:$B,$C877),[1]weekly_demand!G878))</f>
        <v/>
      </c>
      <c r="E877" s="62" t="str">
        <f>IF($A877="","",[1]weekly_demand!I878)</f>
        <v/>
      </c>
      <c r="F877" s="61" t="str">
        <f>IF($A877="","",IF($A877&lt;&gt;$A876,IFERROR(INDEX([1]FG_Begin_Inventory!$B:$B,MATCH($A877,[1]FG_Begin_Inventory!$A:$A,0)),0),J876))</f>
        <v/>
      </c>
      <c r="G877" s="61" t="str">
        <f t="shared" si="94"/>
        <v/>
      </c>
      <c r="H877" s="62" t="str">
        <f t="shared" si="95"/>
        <v/>
      </c>
      <c r="I877" s="62" t="str">
        <f t="shared" si="96"/>
        <v/>
      </c>
      <c r="J877" s="62" t="str">
        <f t="shared" si="97"/>
        <v/>
      </c>
      <c r="K877" s="62" t="str">
        <f t="shared" si="98"/>
        <v/>
      </c>
      <c r="L877" s="62" t="str">
        <f t="shared" si="99"/>
        <v/>
      </c>
      <c r="M877" s="63" t="str">
        <f t="shared" si="100"/>
        <v/>
      </c>
      <c r="N877" s="64"/>
    </row>
    <row r="878" spans="1:14" x14ac:dyDescent="0.3">
      <c r="A878" s="58" t="str">
        <f>IF([1]weekly_demand!A879="","",[1]weekly_demand!A879)</f>
        <v/>
      </c>
      <c r="B878" s="59" t="str">
        <f>IF($A878="","",[1]weekly_demand!F879)</f>
        <v/>
      </c>
      <c r="C878" s="60" t="str">
        <f>IF($A878="","",[1]weekly_demand!H879)</f>
        <v/>
      </c>
      <c r="D878" s="61" t="str">
        <f>IF($A878="","",IF(SUMIFS([1]Fixture_Capacity_Input!$C:$C,[1]Fixture_Capacity_Input!$A:$A,$B878,[1]Fixture_Capacity_Input!$B:$B,$C878)&gt;0,SUMIFS([1]Fixture_Capacity_Input!$C:$C,[1]Fixture_Capacity_Input!$A:$A,$B878,[1]Fixture_Capacity_Input!$B:$B,$C878),[1]weekly_demand!G879))</f>
        <v/>
      </c>
      <c r="E878" s="62" t="str">
        <f>IF($A878="","",[1]weekly_demand!I879)</f>
        <v/>
      </c>
      <c r="F878" s="61" t="str">
        <f>IF($A878="","",IF($A878&lt;&gt;$A877,IFERROR(INDEX([1]FG_Begin_Inventory!$B:$B,MATCH($A878,[1]FG_Begin_Inventory!$A:$A,0)),0),J877))</f>
        <v/>
      </c>
      <c r="G878" s="61" t="str">
        <f t="shared" si="94"/>
        <v/>
      </c>
      <c r="H878" s="62" t="str">
        <f t="shared" si="95"/>
        <v/>
      </c>
      <c r="I878" s="62" t="str">
        <f t="shared" si="96"/>
        <v/>
      </c>
      <c r="J878" s="62" t="str">
        <f t="shared" si="97"/>
        <v/>
      </c>
      <c r="K878" s="62" t="str">
        <f t="shared" si="98"/>
        <v/>
      </c>
      <c r="L878" s="62" t="str">
        <f t="shared" si="99"/>
        <v/>
      </c>
      <c r="M878" s="63" t="str">
        <f t="shared" si="100"/>
        <v/>
      </c>
      <c r="N878" s="64"/>
    </row>
    <row r="879" spans="1:14" x14ac:dyDescent="0.3">
      <c r="A879" s="58" t="str">
        <f>IF([1]weekly_demand!A880="","",[1]weekly_demand!A880)</f>
        <v/>
      </c>
      <c r="B879" s="59" t="str">
        <f>IF($A879="","",[1]weekly_demand!F880)</f>
        <v/>
      </c>
      <c r="C879" s="60" t="str">
        <f>IF($A879="","",[1]weekly_demand!H880)</f>
        <v/>
      </c>
      <c r="D879" s="61" t="str">
        <f>IF($A879="","",IF(SUMIFS([1]Fixture_Capacity_Input!$C:$C,[1]Fixture_Capacity_Input!$A:$A,$B879,[1]Fixture_Capacity_Input!$B:$B,$C879)&gt;0,SUMIFS([1]Fixture_Capacity_Input!$C:$C,[1]Fixture_Capacity_Input!$A:$A,$B879,[1]Fixture_Capacity_Input!$B:$B,$C879),[1]weekly_demand!G880))</f>
        <v/>
      </c>
      <c r="E879" s="62" t="str">
        <f>IF($A879="","",[1]weekly_demand!I880)</f>
        <v/>
      </c>
      <c r="F879" s="61" t="str">
        <f>IF($A879="","",IF($A879&lt;&gt;$A878,IFERROR(INDEX([1]FG_Begin_Inventory!$B:$B,MATCH($A879,[1]FG_Begin_Inventory!$A:$A,0)),0),J878))</f>
        <v/>
      </c>
      <c r="G879" s="61" t="str">
        <f t="shared" si="94"/>
        <v/>
      </c>
      <c r="H879" s="62" t="str">
        <f t="shared" si="95"/>
        <v/>
      </c>
      <c r="I879" s="62" t="str">
        <f t="shared" si="96"/>
        <v/>
      </c>
      <c r="J879" s="62" t="str">
        <f t="shared" si="97"/>
        <v/>
      </c>
      <c r="K879" s="62" t="str">
        <f t="shared" si="98"/>
        <v/>
      </c>
      <c r="L879" s="62" t="str">
        <f t="shared" si="99"/>
        <v/>
      </c>
      <c r="M879" s="63" t="str">
        <f t="shared" si="100"/>
        <v/>
      </c>
      <c r="N879" s="64"/>
    </row>
    <row r="880" spans="1:14" x14ac:dyDescent="0.3">
      <c r="A880" s="58" t="str">
        <f>IF([1]weekly_demand!A881="","",[1]weekly_demand!A881)</f>
        <v/>
      </c>
      <c r="B880" s="59" t="str">
        <f>IF($A880="","",[1]weekly_demand!F881)</f>
        <v/>
      </c>
      <c r="C880" s="60" t="str">
        <f>IF($A880="","",[1]weekly_demand!H881)</f>
        <v/>
      </c>
      <c r="D880" s="61" t="str">
        <f>IF($A880="","",IF(SUMIFS([1]Fixture_Capacity_Input!$C:$C,[1]Fixture_Capacity_Input!$A:$A,$B880,[1]Fixture_Capacity_Input!$B:$B,$C880)&gt;0,SUMIFS([1]Fixture_Capacity_Input!$C:$C,[1]Fixture_Capacity_Input!$A:$A,$B880,[1]Fixture_Capacity_Input!$B:$B,$C880),[1]weekly_demand!G881))</f>
        <v/>
      </c>
      <c r="E880" s="62" t="str">
        <f>IF($A880="","",[1]weekly_demand!I881)</f>
        <v/>
      </c>
      <c r="F880" s="61" t="str">
        <f>IF($A880="","",IF($A880&lt;&gt;$A879,IFERROR(INDEX([1]FG_Begin_Inventory!$B:$B,MATCH($A880,[1]FG_Begin_Inventory!$A:$A,0)),0),J879))</f>
        <v/>
      </c>
      <c r="G880" s="61" t="str">
        <f t="shared" si="94"/>
        <v/>
      </c>
      <c r="H880" s="62" t="str">
        <f t="shared" si="95"/>
        <v/>
      </c>
      <c r="I880" s="62" t="str">
        <f t="shared" si="96"/>
        <v/>
      </c>
      <c r="J880" s="62" t="str">
        <f t="shared" si="97"/>
        <v/>
      </c>
      <c r="K880" s="62" t="str">
        <f t="shared" si="98"/>
        <v/>
      </c>
      <c r="L880" s="62" t="str">
        <f t="shared" si="99"/>
        <v/>
      </c>
      <c r="M880" s="63" t="str">
        <f t="shared" si="100"/>
        <v/>
      </c>
      <c r="N880" s="64"/>
    </row>
    <row r="881" spans="1:14" x14ac:dyDescent="0.3">
      <c r="A881" s="58" t="str">
        <f>IF([1]weekly_demand!A882="","",[1]weekly_demand!A882)</f>
        <v/>
      </c>
      <c r="B881" s="59" t="str">
        <f>IF($A881="","",[1]weekly_demand!F882)</f>
        <v/>
      </c>
      <c r="C881" s="60" t="str">
        <f>IF($A881="","",[1]weekly_demand!H882)</f>
        <v/>
      </c>
      <c r="D881" s="61" t="str">
        <f>IF($A881="","",IF(SUMIFS([1]Fixture_Capacity_Input!$C:$C,[1]Fixture_Capacity_Input!$A:$A,$B881,[1]Fixture_Capacity_Input!$B:$B,$C881)&gt;0,SUMIFS([1]Fixture_Capacity_Input!$C:$C,[1]Fixture_Capacity_Input!$A:$A,$B881,[1]Fixture_Capacity_Input!$B:$B,$C881),[1]weekly_demand!G882))</f>
        <v/>
      </c>
      <c r="E881" s="62" t="str">
        <f>IF($A881="","",[1]weekly_demand!I882)</f>
        <v/>
      </c>
      <c r="F881" s="61" t="str">
        <f>IF($A881="","",IF($A881&lt;&gt;$A880,IFERROR(INDEX([1]FG_Begin_Inventory!$B:$B,MATCH($A881,[1]FG_Begin_Inventory!$A:$A,0)),0),J880))</f>
        <v/>
      </c>
      <c r="G881" s="61" t="str">
        <f t="shared" si="94"/>
        <v/>
      </c>
      <c r="H881" s="62" t="str">
        <f t="shared" si="95"/>
        <v/>
      </c>
      <c r="I881" s="62" t="str">
        <f t="shared" si="96"/>
        <v/>
      </c>
      <c r="J881" s="62" t="str">
        <f t="shared" si="97"/>
        <v/>
      </c>
      <c r="K881" s="62" t="str">
        <f t="shared" si="98"/>
        <v/>
      </c>
      <c r="L881" s="62" t="str">
        <f t="shared" si="99"/>
        <v/>
      </c>
      <c r="M881" s="63" t="str">
        <f t="shared" si="100"/>
        <v/>
      </c>
      <c r="N881" s="64"/>
    </row>
    <row r="882" spans="1:14" x14ac:dyDescent="0.3">
      <c r="A882" s="58" t="str">
        <f>IF([1]weekly_demand!A883="","",[1]weekly_demand!A883)</f>
        <v/>
      </c>
      <c r="B882" s="59" t="str">
        <f>IF($A882="","",[1]weekly_demand!F883)</f>
        <v/>
      </c>
      <c r="C882" s="60" t="str">
        <f>IF($A882="","",[1]weekly_demand!H883)</f>
        <v/>
      </c>
      <c r="D882" s="61" t="str">
        <f>IF($A882="","",IF(SUMIFS([1]Fixture_Capacity_Input!$C:$C,[1]Fixture_Capacity_Input!$A:$A,$B882,[1]Fixture_Capacity_Input!$B:$B,$C882)&gt;0,SUMIFS([1]Fixture_Capacity_Input!$C:$C,[1]Fixture_Capacity_Input!$A:$A,$B882,[1]Fixture_Capacity_Input!$B:$B,$C882),[1]weekly_demand!G883))</f>
        <v/>
      </c>
      <c r="E882" s="62" t="str">
        <f>IF($A882="","",[1]weekly_demand!I883)</f>
        <v/>
      </c>
      <c r="F882" s="61" t="str">
        <f>IF($A882="","",IF($A882&lt;&gt;$A881,IFERROR(INDEX([1]FG_Begin_Inventory!$B:$B,MATCH($A882,[1]FG_Begin_Inventory!$A:$A,0)),0),J881))</f>
        <v/>
      </c>
      <c r="G882" s="61" t="str">
        <f t="shared" si="94"/>
        <v/>
      </c>
      <c r="H882" s="62" t="str">
        <f t="shared" si="95"/>
        <v/>
      </c>
      <c r="I882" s="62" t="str">
        <f t="shared" si="96"/>
        <v/>
      </c>
      <c r="J882" s="62" t="str">
        <f t="shared" si="97"/>
        <v/>
      </c>
      <c r="K882" s="62" t="str">
        <f t="shared" si="98"/>
        <v/>
      </c>
      <c r="L882" s="62" t="str">
        <f t="shared" si="99"/>
        <v/>
      </c>
      <c r="M882" s="63" t="str">
        <f t="shared" si="100"/>
        <v/>
      </c>
      <c r="N882" s="64"/>
    </row>
    <row r="883" spans="1:14" x14ac:dyDescent="0.3">
      <c r="A883" s="58" t="str">
        <f>IF([1]weekly_demand!A884="","",[1]weekly_demand!A884)</f>
        <v/>
      </c>
      <c r="B883" s="59" t="str">
        <f>IF($A883="","",[1]weekly_demand!F884)</f>
        <v/>
      </c>
      <c r="C883" s="60" t="str">
        <f>IF($A883="","",[1]weekly_demand!H884)</f>
        <v/>
      </c>
      <c r="D883" s="61" t="str">
        <f>IF($A883="","",IF(SUMIFS([1]Fixture_Capacity_Input!$C:$C,[1]Fixture_Capacity_Input!$A:$A,$B883,[1]Fixture_Capacity_Input!$B:$B,$C883)&gt;0,SUMIFS([1]Fixture_Capacity_Input!$C:$C,[1]Fixture_Capacity_Input!$A:$A,$B883,[1]Fixture_Capacity_Input!$B:$B,$C883),[1]weekly_demand!G884))</f>
        <v/>
      </c>
      <c r="E883" s="62" t="str">
        <f>IF($A883="","",[1]weekly_demand!I884)</f>
        <v/>
      </c>
      <c r="F883" s="61" t="str">
        <f>IF($A883="","",IF($A883&lt;&gt;$A882,IFERROR(INDEX([1]FG_Begin_Inventory!$B:$B,MATCH($A883,[1]FG_Begin_Inventory!$A:$A,0)),0),J882))</f>
        <v/>
      </c>
      <c r="G883" s="61" t="str">
        <f t="shared" ref="G883:G946" si="101">IF($A883="","",IF($A883&lt;&gt;$A884,0,MAX(0,G884+E884-D884)))</f>
        <v/>
      </c>
      <c r="H883" s="62" t="str">
        <f t="shared" si="95"/>
        <v/>
      </c>
      <c r="I883" s="62" t="str">
        <f t="shared" si="96"/>
        <v/>
      </c>
      <c r="J883" s="62" t="str">
        <f t="shared" si="97"/>
        <v/>
      </c>
      <c r="K883" s="62" t="str">
        <f t="shared" si="98"/>
        <v/>
      </c>
      <c r="L883" s="62" t="str">
        <f t="shared" si="99"/>
        <v/>
      </c>
      <c r="M883" s="63" t="str">
        <f t="shared" si="100"/>
        <v/>
      </c>
      <c r="N883" s="64"/>
    </row>
    <row r="884" spans="1:14" x14ac:dyDescent="0.3">
      <c r="A884" s="58" t="str">
        <f>IF([1]weekly_demand!A885="","",[1]weekly_demand!A885)</f>
        <v/>
      </c>
      <c r="B884" s="59" t="str">
        <f>IF($A884="","",[1]weekly_demand!F885)</f>
        <v/>
      </c>
      <c r="C884" s="60" t="str">
        <f>IF($A884="","",[1]weekly_demand!H885)</f>
        <v/>
      </c>
      <c r="D884" s="61" t="str">
        <f>IF($A884="","",IF(SUMIFS([1]Fixture_Capacity_Input!$C:$C,[1]Fixture_Capacity_Input!$A:$A,$B884,[1]Fixture_Capacity_Input!$B:$B,$C884)&gt;0,SUMIFS([1]Fixture_Capacity_Input!$C:$C,[1]Fixture_Capacity_Input!$A:$A,$B884,[1]Fixture_Capacity_Input!$B:$B,$C884),[1]weekly_demand!G885))</f>
        <v/>
      </c>
      <c r="E884" s="62" t="str">
        <f>IF($A884="","",[1]weekly_demand!I885)</f>
        <v/>
      </c>
      <c r="F884" s="61" t="str">
        <f>IF($A884="","",IF($A884&lt;&gt;$A883,IFERROR(INDEX([1]FG_Begin_Inventory!$B:$B,MATCH($A884,[1]FG_Begin_Inventory!$A:$A,0)),0),J883))</f>
        <v/>
      </c>
      <c r="G884" s="61" t="str">
        <f t="shared" si="101"/>
        <v/>
      </c>
      <c r="H884" s="62" t="str">
        <f t="shared" si="95"/>
        <v/>
      </c>
      <c r="I884" s="62" t="str">
        <f t="shared" si="96"/>
        <v/>
      </c>
      <c r="J884" s="62" t="str">
        <f t="shared" si="97"/>
        <v/>
      </c>
      <c r="K884" s="62" t="str">
        <f t="shared" si="98"/>
        <v/>
      </c>
      <c r="L884" s="62" t="str">
        <f t="shared" si="99"/>
        <v/>
      </c>
      <c r="M884" s="63" t="str">
        <f t="shared" si="100"/>
        <v/>
      </c>
      <c r="N884" s="64"/>
    </row>
    <row r="885" spans="1:14" x14ac:dyDescent="0.3">
      <c r="A885" s="58" t="str">
        <f>IF([1]weekly_demand!A886="","",[1]weekly_demand!A886)</f>
        <v/>
      </c>
      <c r="B885" s="59" t="str">
        <f>IF($A885="","",[1]weekly_demand!F886)</f>
        <v/>
      </c>
      <c r="C885" s="60" t="str">
        <f>IF($A885="","",[1]weekly_demand!H886)</f>
        <v/>
      </c>
      <c r="D885" s="61" t="str">
        <f>IF($A885="","",IF(SUMIFS([1]Fixture_Capacity_Input!$C:$C,[1]Fixture_Capacity_Input!$A:$A,$B885,[1]Fixture_Capacity_Input!$B:$B,$C885)&gt;0,SUMIFS([1]Fixture_Capacity_Input!$C:$C,[1]Fixture_Capacity_Input!$A:$A,$B885,[1]Fixture_Capacity_Input!$B:$B,$C885),[1]weekly_demand!G886))</f>
        <v/>
      </c>
      <c r="E885" s="62" t="str">
        <f>IF($A885="","",[1]weekly_demand!I886)</f>
        <v/>
      </c>
      <c r="F885" s="61" t="str">
        <f>IF($A885="","",IF($A885&lt;&gt;$A884,IFERROR(INDEX([1]FG_Begin_Inventory!$B:$B,MATCH($A885,[1]FG_Begin_Inventory!$A:$A,0)),0),J884))</f>
        <v/>
      </c>
      <c r="G885" s="61" t="str">
        <f t="shared" si="101"/>
        <v/>
      </c>
      <c r="H885" s="62" t="str">
        <f t="shared" si="95"/>
        <v/>
      </c>
      <c r="I885" s="62" t="str">
        <f t="shared" si="96"/>
        <v/>
      </c>
      <c r="J885" s="62" t="str">
        <f t="shared" si="97"/>
        <v/>
      </c>
      <c r="K885" s="62" t="str">
        <f t="shared" si="98"/>
        <v/>
      </c>
      <c r="L885" s="62" t="str">
        <f t="shared" si="99"/>
        <v/>
      </c>
      <c r="M885" s="63" t="str">
        <f t="shared" si="100"/>
        <v/>
      </c>
      <c r="N885" s="64"/>
    </row>
    <row r="886" spans="1:14" x14ac:dyDescent="0.3">
      <c r="A886" s="58" t="str">
        <f>IF([1]weekly_demand!A887="","",[1]weekly_demand!A887)</f>
        <v/>
      </c>
      <c r="B886" s="59" t="str">
        <f>IF($A886="","",[1]weekly_demand!F887)</f>
        <v/>
      </c>
      <c r="C886" s="60" t="str">
        <f>IF($A886="","",[1]weekly_demand!H887)</f>
        <v/>
      </c>
      <c r="D886" s="61" t="str">
        <f>IF($A886="","",IF(SUMIFS([1]Fixture_Capacity_Input!$C:$C,[1]Fixture_Capacity_Input!$A:$A,$B886,[1]Fixture_Capacity_Input!$B:$B,$C886)&gt;0,SUMIFS([1]Fixture_Capacity_Input!$C:$C,[1]Fixture_Capacity_Input!$A:$A,$B886,[1]Fixture_Capacity_Input!$B:$B,$C886),[1]weekly_demand!G887))</f>
        <v/>
      </c>
      <c r="E886" s="62" t="str">
        <f>IF($A886="","",[1]weekly_demand!I887)</f>
        <v/>
      </c>
      <c r="F886" s="61" t="str">
        <f>IF($A886="","",IF($A886&lt;&gt;$A885,IFERROR(INDEX([1]FG_Begin_Inventory!$B:$B,MATCH($A886,[1]FG_Begin_Inventory!$A:$A,0)),0),J885))</f>
        <v/>
      </c>
      <c r="G886" s="61" t="str">
        <f t="shared" si="101"/>
        <v/>
      </c>
      <c r="H886" s="62" t="str">
        <f t="shared" si="95"/>
        <v/>
      </c>
      <c r="I886" s="62" t="str">
        <f t="shared" si="96"/>
        <v/>
      </c>
      <c r="J886" s="62" t="str">
        <f t="shared" si="97"/>
        <v/>
      </c>
      <c r="K886" s="62" t="str">
        <f t="shared" si="98"/>
        <v/>
      </c>
      <c r="L886" s="62" t="str">
        <f t="shared" si="99"/>
        <v/>
      </c>
      <c r="M886" s="63" t="str">
        <f t="shared" si="100"/>
        <v/>
      </c>
      <c r="N886" s="64"/>
    </row>
    <row r="887" spans="1:14" x14ac:dyDescent="0.3">
      <c r="A887" s="58" t="str">
        <f>IF([1]weekly_demand!A888="","",[1]weekly_demand!A888)</f>
        <v/>
      </c>
      <c r="B887" s="59" t="str">
        <f>IF($A887="","",[1]weekly_demand!F888)</f>
        <v/>
      </c>
      <c r="C887" s="60" t="str">
        <f>IF($A887="","",[1]weekly_demand!H888)</f>
        <v/>
      </c>
      <c r="D887" s="61" t="str">
        <f>IF($A887="","",IF(SUMIFS([1]Fixture_Capacity_Input!$C:$C,[1]Fixture_Capacity_Input!$A:$A,$B887,[1]Fixture_Capacity_Input!$B:$B,$C887)&gt;0,SUMIFS([1]Fixture_Capacity_Input!$C:$C,[1]Fixture_Capacity_Input!$A:$A,$B887,[1]Fixture_Capacity_Input!$B:$B,$C887),[1]weekly_demand!G888))</f>
        <v/>
      </c>
      <c r="E887" s="62" t="str">
        <f>IF($A887="","",[1]weekly_demand!I888)</f>
        <v/>
      </c>
      <c r="F887" s="61" t="str">
        <f>IF($A887="","",IF($A887&lt;&gt;$A886,IFERROR(INDEX([1]FG_Begin_Inventory!$B:$B,MATCH($A887,[1]FG_Begin_Inventory!$A:$A,0)),0),J886))</f>
        <v/>
      </c>
      <c r="G887" s="61" t="str">
        <f t="shared" si="101"/>
        <v/>
      </c>
      <c r="H887" s="62" t="str">
        <f t="shared" si="95"/>
        <v/>
      </c>
      <c r="I887" s="62" t="str">
        <f t="shared" si="96"/>
        <v/>
      </c>
      <c r="J887" s="62" t="str">
        <f t="shared" si="97"/>
        <v/>
      </c>
      <c r="K887" s="62" t="str">
        <f t="shared" si="98"/>
        <v/>
      </c>
      <c r="L887" s="62" t="str">
        <f t="shared" si="99"/>
        <v/>
      </c>
      <c r="M887" s="63" t="str">
        <f t="shared" si="100"/>
        <v/>
      </c>
      <c r="N887" s="64"/>
    </row>
    <row r="888" spans="1:14" x14ac:dyDescent="0.3">
      <c r="A888" s="58" t="str">
        <f>IF([1]weekly_demand!A889="","",[1]weekly_demand!A889)</f>
        <v/>
      </c>
      <c r="B888" s="59" t="str">
        <f>IF($A888="","",[1]weekly_demand!F889)</f>
        <v/>
      </c>
      <c r="C888" s="60" t="str">
        <f>IF($A888="","",[1]weekly_demand!H889)</f>
        <v/>
      </c>
      <c r="D888" s="61" t="str">
        <f>IF($A888="","",IF(SUMIFS([1]Fixture_Capacity_Input!$C:$C,[1]Fixture_Capacity_Input!$A:$A,$B888,[1]Fixture_Capacity_Input!$B:$B,$C888)&gt;0,SUMIFS([1]Fixture_Capacity_Input!$C:$C,[1]Fixture_Capacity_Input!$A:$A,$B888,[1]Fixture_Capacity_Input!$B:$B,$C888),[1]weekly_demand!G889))</f>
        <v/>
      </c>
      <c r="E888" s="62" t="str">
        <f>IF($A888="","",[1]weekly_demand!I889)</f>
        <v/>
      </c>
      <c r="F888" s="61" t="str">
        <f>IF($A888="","",IF($A888&lt;&gt;$A887,IFERROR(INDEX([1]FG_Begin_Inventory!$B:$B,MATCH($A888,[1]FG_Begin_Inventory!$A:$A,0)),0),J887))</f>
        <v/>
      </c>
      <c r="G888" s="61" t="str">
        <f t="shared" si="101"/>
        <v/>
      </c>
      <c r="H888" s="62" t="str">
        <f t="shared" si="95"/>
        <v/>
      </c>
      <c r="I888" s="62" t="str">
        <f t="shared" si="96"/>
        <v/>
      </c>
      <c r="J888" s="62" t="str">
        <f t="shared" si="97"/>
        <v/>
      </c>
      <c r="K888" s="62" t="str">
        <f t="shared" si="98"/>
        <v/>
      </c>
      <c r="L888" s="62" t="str">
        <f t="shared" si="99"/>
        <v/>
      </c>
      <c r="M888" s="63" t="str">
        <f t="shared" si="100"/>
        <v/>
      </c>
      <c r="N888" s="64"/>
    </row>
    <row r="889" spans="1:14" x14ac:dyDescent="0.3">
      <c r="A889" s="58" t="str">
        <f>IF([1]weekly_demand!A890="","",[1]weekly_demand!A890)</f>
        <v/>
      </c>
      <c r="B889" s="59" t="str">
        <f>IF($A889="","",[1]weekly_demand!F890)</f>
        <v/>
      </c>
      <c r="C889" s="60" t="str">
        <f>IF($A889="","",[1]weekly_demand!H890)</f>
        <v/>
      </c>
      <c r="D889" s="61" t="str">
        <f>IF($A889="","",IF(SUMIFS([1]Fixture_Capacity_Input!$C:$C,[1]Fixture_Capacity_Input!$A:$A,$B889,[1]Fixture_Capacity_Input!$B:$B,$C889)&gt;0,SUMIFS([1]Fixture_Capacity_Input!$C:$C,[1]Fixture_Capacity_Input!$A:$A,$B889,[1]Fixture_Capacity_Input!$B:$B,$C889),[1]weekly_demand!G890))</f>
        <v/>
      </c>
      <c r="E889" s="62" t="str">
        <f>IF($A889="","",[1]weekly_demand!I890)</f>
        <v/>
      </c>
      <c r="F889" s="61" t="str">
        <f>IF($A889="","",IF($A889&lt;&gt;$A888,IFERROR(INDEX([1]FG_Begin_Inventory!$B:$B,MATCH($A889,[1]FG_Begin_Inventory!$A:$A,0)),0),J888))</f>
        <v/>
      </c>
      <c r="G889" s="61" t="str">
        <f t="shared" si="101"/>
        <v/>
      </c>
      <c r="H889" s="62" t="str">
        <f t="shared" si="95"/>
        <v/>
      </c>
      <c r="I889" s="62" t="str">
        <f t="shared" si="96"/>
        <v/>
      </c>
      <c r="J889" s="62" t="str">
        <f t="shared" si="97"/>
        <v/>
      </c>
      <c r="K889" s="62" t="str">
        <f t="shared" si="98"/>
        <v/>
      </c>
      <c r="L889" s="62" t="str">
        <f t="shared" si="99"/>
        <v/>
      </c>
      <c r="M889" s="63" t="str">
        <f t="shared" si="100"/>
        <v/>
      </c>
      <c r="N889" s="64"/>
    </row>
    <row r="890" spans="1:14" x14ac:dyDescent="0.3">
      <c r="A890" s="58" t="str">
        <f>IF([1]weekly_demand!A891="","",[1]weekly_demand!A891)</f>
        <v/>
      </c>
      <c r="B890" s="59" t="str">
        <f>IF($A890="","",[1]weekly_demand!F891)</f>
        <v/>
      </c>
      <c r="C890" s="60" t="str">
        <f>IF($A890="","",[1]weekly_demand!H891)</f>
        <v/>
      </c>
      <c r="D890" s="61" t="str">
        <f>IF($A890="","",IF(SUMIFS([1]Fixture_Capacity_Input!$C:$C,[1]Fixture_Capacity_Input!$A:$A,$B890,[1]Fixture_Capacity_Input!$B:$B,$C890)&gt;0,SUMIFS([1]Fixture_Capacity_Input!$C:$C,[1]Fixture_Capacity_Input!$A:$A,$B890,[1]Fixture_Capacity_Input!$B:$B,$C890),[1]weekly_demand!G891))</f>
        <v/>
      </c>
      <c r="E890" s="62" t="str">
        <f>IF($A890="","",[1]weekly_demand!I891)</f>
        <v/>
      </c>
      <c r="F890" s="61" t="str">
        <f>IF($A890="","",IF($A890&lt;&gt;$A889,IFERROR(INDEX([1]FG_Begin_Inventory!$B:$B,MATCH($A890,[1]FG_Begin_Inventory!$A:$A,0)),0),J889))</f>
        <v/>
      </c>
      <c r="G890" s="61" t="str">
        <f t="shared" si="101"/>
        <v/>
      </c>
      <c r="H890" s="62" t="str">
        <f t="shared" si="95"/>
        <v/>
      </c>
      <c r="I890" s="62" t="str">
        <f t="shared" si="96"/>
        <v/>
      </c>
      <c r="J890" s="62" t="str">
        <f t="shared" si="97"/>
        <v/>
      </c>
      <c r="K890" s="62" t="str">
        <f t="shared" si="98"/>
        <v/>
      </c>
      <c r="L890" s="62" t="str">
        <f t="shared" si="99"/>
        <v/>
      </c>
      <c r="M890" s="63" t="str">
        <f t="shared" si="100"/>
        <v/>
      </c>
      <c r="N890" s="64"/>
    </row>
    <row r="891" spans="1:14" x14ac:dyDescent="0.3">
      <c r="A891" s="58" t="str">
        <f>IF([1]weekly_demand!A892="","",[1]weekly_demand!A892)</f>
        <v/>
      </c>
      <c r="B891" s="59" t="str">
        <f>IF($A891="","",[1]weekly_demand!F892)</f>
        <v/>
      </c>
      <c r="C891" s="60" t="str">
        <f>IF($A891="","",[1]weekly_demand!H892)</f>
        <v/>
      </c>
      <c r="D891" s="61" t="str">
        <f>IF($A891="","",IF(SUMIFS([1]Fixture_Capacity_Input!$C:$C,[1]Fixture_Capacity_Input!$A:$A,$B891,[1]Fixture_Capacity_Input!$B:$B,$C891)&gt;0,SUMIFS([1]Fixture_Capacity_Input!$C:$C,[1]Fixture_Capacity_Input!$A:$A,$B891,[1]Fixture_Capacity_Input!$B:$B,$C891),[1]weekly_demand!G892))</f>
        <v/>
      </c>
      <c r="E891" s="62" t="str">
        <f>IF($A891="","",[1]weekly_demand!I892)</f>
        <v/>
      </c>
      <c r="F891" s="61" t="str">
        <f>IF($A891="","",IF($A891&lt;&gt;$A890,IFERROR(INDEX([1]FG_Begin_Inventory!$B:$B,MATCH($A891,[1]FG_Begin_Inventory!$A:$A,0)),0),J890))</f>
        <v/>
      </c>
      <c r="G891" s="61" t="str">
        <f t="shared" si="101"/>
        <v/>
      </c>
      <c r="H891" s="62" t="str">
        <f t="shared" si="95"/>
        <v/>
      </c>
      <c r="I891" s="62" t="str">
        <f t="shared" si="96"/>
        <v/>
      </c>
      <c r="J891" s="62" t="str">
        <f t="shared" si="97"/>
        <v/>
      </c>
      <c r="K891" s="62" t="str">
        <f t="shared" si="98"/>
        <v/>
      </c>
      <c r="L891" s="62" t="str">
        <f t="shared" si="99"/>
        <v/>
      </c>
      <c r="M891" s="63" t="str">
        <f t="shared" si="100"/>
        <v/>
      </c>
      <c r="N891" s="64"/>
    </row>
    <row r="892" spans="1:14" x14ac:dyDescent="0.3">
      <c r="A892" s="58" t="str">
        <f>IF([1]weekly_demand!A893="","",[1]weekly_demand!A893)</f>
        <v/>
      </c>
      <c r="B892" s="59" t="str">
        <f>IF($A892="","",[1]weekly_demand!F893)</f>
        <v/>
      </c>
      <c r="C892" s="60" t="str">
        <f>IF($A892="","",[1]weekly_demand!H893)</f>
        <v/>
      </c>
      <c r="D892" s="61" t="str">
        <f>IF($A892="","",IF(SUMIFS([1]Fixture_Capacity_Input!$C:$C,[1]Fixture_Capacity_Input!$A:$A,$B892,[1]Fixture_Capacity_Input!$B:$B,$C892)&gt;0,SUMIFS([1]Fixture_Capacity_Input!$C:$C,[1]Fixture_Capacity_Input!$A:$A,$B892,[1]Fixture_Capacity_Input!$B:$B,$C892),[1]weekly_demand!G893))</f>
        <v/>
      </c>
      <c r="E892" s="62" t="str">
        <f>IF($A892="","",[1]weekly_demand!I893)</f>
        <v/>
      </c>
      <c r="F892" s="61" t="str">
        <f>IF($A892="","",IF($A892&lt;&gt;$A891,IFERROR(INDEX([1]FG_Begin_Inventory!$B:$B,MATCH($A892,[1]FG_Begin_Inventory!$A:$A,0)),0),J891))</f>
        <v/>
      </c>
      <c r="G892" s="61" t="str">
        <f t="shared" si="101"/>
        <v/>
      </c>
      <c r="H892" s="62" t="str">
        <f t="shared" si="95"/>
        <v/>
      </c>
      <c r="I892" s="62" t="str">
        <f t="shared" si="96"/>
        <v/>
      </c>
      <c r="J892" s="62" t="str">
        <f t="shared" si="97"/>
        <v/>
      </c>
      <c r="K892" s="62" t="str">
        <f t="shared" si="98"/>
        <v/>
      </c>
      <c r="L892" s="62" t="str">
        <f t="shared" si="99"/>
        <v/>
      </c>
      <c r="M892" s="63" t="str">
        <f t="shared" si="100"/>
        <v/>
      </c>
      <c r="N892" s="64"/>
    </row>
    <row r="893" spans="1:14" x14ac:dyDescent="0.3">
      <c r="A893" s="58" t="str">
        <f>IF([1]weekly_demand!A894="","",[1]weekly_demand!A894)</f>
        <v/>
      </c>
      <c r="B893" s="59" t="str">
        <f>IF($A893="","",[1]weekly_demand!F894)</f>
        <v/>
      </c>
      <c r="C893" s="60" t="str">
        <f>IF($A893="","",[1]weekly_demand!H894)</f>
        <v/>
      </c>
      <c r="D893" s="61" t="str">
        <f>IF($A893="","",IF(SUMIFS([1]Fixture_Capacity_Input!$C:$C,[1]Fixture_Capacity_Input!$A:$A,$B893,[1]Fixture_Capacity_Input!$B:$B,$C893)&gt;0,SUMIFS([1]Fixture_Capacity_Input!$C:$C,[1]Fixture_Capacity_Input!$A:$A,$B893,[1]Fixture_Capacity_Input!$B:$B,$C893),[1]weekly_demand!G894))</f>
        <v/>
      </c>
      <c r="E893" s="62" t="str">
        <f>IF($A893="","",[1]weekly_demand!I894)</f>
        <v/>
      </c>
      <c r="F893" s="61" t="str">
        <f>IF($A893="","",IF($A893&lt;&gt;$A892,IFERROR(INDEX([1]FG_Begin_Inventory!$B:$B,MATCH($A893,[1]FG_Begin_Inventory!$A:$A,0)),0),J892))</f>
        <v/>
      </c>
      <c r="G893" s="61" t="str">
        <f t="shared" si="101"/>
        <v/>
      </c>
      <c r="H893" s="62" t="str">
        <f t="shared" si="95"/>
        <v/>
      </c>
      <c r="I893" s="62" t="str">
        <f t="shared" si="96"/>
        <v/>
      </c>
      <c r="J893" s="62" t="str">
        <f t="shared" si="97"/>
        <v/>
      </c>
      <c r="K893" s="62" t="str">
        <f t="shared" si="98"/>
        <v/>
      </c>
      <c r="L893" s="62" t="str">
        <f t="shared" si="99"/>
        <v/>
      </c>
      <c r="M893" s="63" t="str">
        <f t="shared" si="100"/>
        <v/>
      </c>
      <c r="N893" s="64"/>
    </row>
    <row r="894" spans="1:14" x14ac:dyDescent="0.3">
      <c r="A894" s="58" t="str">
        <f>IF([1]weekly_demand!A895="","",[1]weekly_demand!A895)</f>
        <v/>
      </c>
      <c r="B894" s="59" t="str">
        <f>IF($A894="","",[1]weekly_demand!F895)</f>
        <v/>
      </c>
      <c r="C894" s="60" t="str">
        <f>IF($A894="","",[1]weekly_demand!H895)</f>
        <v/>
      </c>
      <c r="D894" s="61" t="str">
        <f>IF($A894="","",IF(SUMIFS([1]Fixture_Capacity_Input!$C:$C,[1]Fixture_Capacity_Input!$A:$A,$B894,[1]Fixture_Capacity_Input!$B:$B,$C894)&gt;0,SUMIFS([1]Fixture_Capacity_Input!$C:$C,[1]Fixture_Capacity_Input!$A:$A,$B894,[1]Fixture_Capacity_Input!$B:$B,$C894),[1]weekly_demand!G895))</f>
        <v/>
      </c>
      <c r="E894" s="62" t="str">
        <f>IF($A894="","",[1]weekly_demand!I895)</f>
        <v/>
      </c>
      <c r="F894" s="61" t="str">
        <f>IF($A894="","",IF($A894&lt;&gt;$A893,IFERROR(INDEX([1]FG_Begin_Inventory!$B:$B,MATCH($A894,[1]FG_Begin_Inventory!$A:$A,0)),0),J893))</f>
        <v/>
      </c>
      <c r="G894" s="61" t="str">
        <f t="shared" si="101"/>
        <v/>
      </c>
      <c r="H894" s="62" t="str">
        <f t="shared" si="95"/>
        <v/>
      </c>
      <c r="I894" s="62" t="str">
        <f t="shared" si="96"/>
        <v/>
      </c>
      <c r="J894" s="62" t="str">
        <f t="shared" si="97"/>
        <v/>
      </c>
      <c r="K894" s="62" t="str">
        <f t="shared" si="98"/>
        <v/>
      </c>
      <c r="L894" s="62" t="str">
        <f t="shared" si="99"/>
        <v/>
      </c>
      <c r="M894" s="63" t="str">
        <f t="shared" si="100"/>
        <v/>
      </c>
      <c r="N894" s="64"/>
    </row>
    <row r="895" spans="1:14" x14ac:dyDescent="0.3">
      <c r="A895" s="58" t="str">
        <f>IF([1]weekly_demand!A896="","",[1]weekly_demand!A896)</f>
        <v/>
      </c>
      <c r="B895" s="59" t="str">
        <f>IF($A895="","",[1]weekly_demand!F896)</f>
        <v/>
      </c>
      <c r="C895" s="60" t="str">
        <f>IF($A895="","",[1]weekly_demand!H896)</f>
        <v/>
      </c>
      <c r="D895" s="61" t="str">
        <f>IF($A895="","",IF(SUMIFS([1]Fixture_Capacity_Input!$C:$C,[1]Fixture_Capacity_Input!$A:$A,$B895,[1]Fixture_Capacity_Input!$B:$B,$C895)&gt;0,SUMIFS([1]Fixture_Capacity_Input!$C:$C,[1]Fixture_Capacity_Input!$A:$A,$B895,[1]Fixture_Capacity_Input!$B:$B,$C895),[1]weekly_demand!G896))</f>
        <v/>
      </c>
      <c r="E895" s="62" t="str">
        <f>IF($A895="","",[1]weekly_demand!I896)</f>
        <v/>
      </c>
      <c r="F895" s="61" t="str">
        <f>IF($A895="","",IF($A895&lt;&gt;$A894,IFERROR(INDEX([1]FG_Begin_Inventory!$B:$B,MATCH($A895,[1]FG_Begin_Inventory!$A:$A,0)),0),J894))</f>
        <v/>
      </c>
      <c r="G895" s="61" t="str">
        <f t="shared" si="101"/>
        <v/>
      </c>
      <c r="H895" s="62" t="str">
        <f t="shared" si="95"/>
        <v/>
      </c>
      <c r="I895" s="62" t="str">
        <f t="shared" si="96"/>
        <v/>
      </c>
      <c r="J895" s="62" t="str">
        <f t="shared" si="97"/>
        <v/>
      </c>
      <c r="K895" s="62" t="str">
        <f t="shared" si="98"/>
        <v/>
      </c>
      <c r="L895" s="62" t="str">
        <f t="shared" si="99"/>
        <v/>
      </c>
      <c r="M895" s="63" t="str">
        <f t="shared" si="100"/>
        <v/>
      </c>
      <c r="N895" s="64"/>
    </row>
    <row r="896" spans="1:14" x14ac:dyDescent="0.3">
      <c r="A896" s="58" t="str">
        <f>IF([1]weekly_demand!A897="","",[1]weekly_demand!A897)</f>
        <v/>
      </c>
      <c r="B896" s="59" t="str">
        <f>IF($A896="","",[1]weekly_demand!F897)</f>
        <v/>
      </c>
      <c r="C896" s="60" t="str">
        <f>IF($A896="","",[1]weekly_demand!H897)</f>
        <v/>
      </c>
      <c r="D896" s="61" t="str">
        <f>IF($A896="","",IF(SUMIFS([1]Fixture_Capacity_Input!$C:$C,[1]Fixture_Capacity_Input!$A:$A,$B896,[1]Fixture_Capacity_Input!$B:$B,$C896)&gt;0,SUMIFS([1]Fixture_Capacity_Input!$C:$C,[1]Fixture_Capacity_Input!$A:$A,$B896,[1]Fixture_Capacity_Input!$B:$B,$C896),[1]weekly_demand!G897))</f>
        <v/>
      </c>
      <c r="E896" s="62" t="str">
        <f>IF($A896="","",[1]weekly_demand!I897)</f>
        <v/>
      </c>
      <c r="F896" s="61" t="str">
        <f>IF($A896="","",IF($A896&lt;&gt;$A895,IFERROR(INDEX([1]FG_Begin_Inventory!$B:$B,MATCH($A896,[1]FG_Begin_Inventory!$A:$A,0)),0),J895))</f>
        <v/>
      </c>
      <c r="G896" s="61" t="str">
        <f t="shared" si="101"/>
        <v/>
      </c>
      <c r="H896" s="62" t="str">
        <f t="shared" si="95"/>
        <v/>
      </c>
      <c r="I896" s="62" t="str">
        <f t="shared" si="96"/>
        <v/>
      </c>
      <c r="J896" s="62" t="str">
        <f t="shared" si="97"/>
        <v/>
      </c>
      <c r="K896" s="62" t="str">
        <f t="shared" si="98"/>
        <v/>
      </c>
      <c r="L896" s="62" t="str">
        <f t="shared" si="99"/>
        <v/>
      </c>
      <c r="M896" s="63" t="str">
        <f t="shared" si="100"/>
        <v/>
      </c>
      <c r="N896" s="64"/>
    </row>
    <row r="897" spans="1:14" x14ac:dyDescent="0.3">
      <c r="A897" s="58" t="str">
        <f>IF([1]weekly_demand!A898="","",[1]weekly_demand!A898)</f>
        <v/>
      </c>
      <c r="B897" s="59" t="str">
        <f>IF($A897="","",[1]weekly_demand!F898)</f>
        <v/>
      </c>
      <c r="C897" s="60" t="str">
        <f>IF($A897="","",[1]weekly_demand!H898)</f>
        <v/>
      </c>
      <c r="D897" s="61" t="str">
        <f>IF($A897="","",IF(SUMIFS([1]Fixture_Capacity_Input!$C:$C,[1]Fixture_Capacity_Input!$A:$A,$B897,[1]Fixture_Capacity_Input!$B:$B,$C897)&gt;0,SUMIFS([1]Fixture_Capacity_Input!$C:$C,[1]Fixture_Capacity_Input!$A:$A,$B897,[1]Fixture_Capacity_Input!$B:$B,$C897),[1]weekly_demand!G898))</f>
        <v/>
      </c>
      <c r="E897" s="62" t="str">
        <f>IF($A897="","",[1]weekly_demand!I898)</f>
        <v/>
      </c>
      <c r="F897" s="61" t="str">
        <f>IF($A897="","",IF($A897&lt;&gt;$A896,IFERROR(INDEX([1]FG_Begin_Inventory!$B:$B,MATCH($A897,[1]FG_Begin_Inventory!$A:$A,0)),0),J896))</f>
        <v/>
      </c>
      <c r="G897" s="61" t="str">
        <f t="shared" si="101"/>
        <v/>
      </c>
      <c r="H897" s="62" t="str">
        <f t="shared" si="95"/>
        <v/>
      </c>
      <c r="I897" s="62" t="str">
        <f t="shared" si="96"/>
        <v/>
      </c>
      <c r="J897" s="62" t="str">
        <f t="shared" si="97"/>
        <v/>
      </c>
      <c r="K897" s="62" t="str">
        <f t="shared" si="98"/>
        <v/>
      </c>
      <c r="L897" s="62" t="str">
        <f t="shared" si="99"/>
        <v/>
      </c>
      <c r="M897" s="63" t="str">
        <f t="shared" si="100"/>
        <v/>
      </c>
      <c r="N897" s="64"/>
    </row>
    <row r="898" spans="1:14" x14ac:dyDescent="0.3">
      <c r="A898" s="58" t="str">
        <f>IF([1]weekly_demand!A899="","",[1]weekly_demand!A899)</f>
        <v/>
      </c>
      <c r="B898" s="59" t="str">
        <f>IF($A898="","",[1]weekly_demand!F899)</f>
        <v/>
      </c>
      <c r="C898" s="60" t="str">
        <f>IF($A898="","",[1]weekly_demand!H899)</f>
        <v/>
      </c>
      <c r="D898" s="61" t="str">
        <f>IF($A898="","",IF(SUMIFS([1]Fixture_Capacity_Input!$C:$C,[1]Fixture_Capacity_Input!$A:$A,$B898,[1]Fixture_Capacity_Input!$B:$B,$C898)&gt;0,SUMIFS([1]Fixture_Capacity_Input!$C:$C,[1]Fixture_Capacity_Input!$A:$A,$B898,[1]Fixture_Capacity_Input!$B:$B,$C898),[1]weekly_demand!G899))</f>
        <v/>
      </c>
      <c r="E898" s="62" t="str">
        <f>IF($A898="","",[1]weekly_demand!I899)</f>
        <v/>
      </c>
      <c r="F898" s="61" t="str">
        <f>IF($A898="","",IF($A898&lt;&gt;$A897,IFERROR(INDEX([1]FG_Begin_Inventory!$B:$B,MATCH($A898,[1]FG_Begin_Inventory!$A:$A,0)),0),J897))</f>
        <v/>
      </c>
      <c r="G898" s="61" t="str">
        <f t="shared" si="101"/>
        <v/>
      </c>
      <c r="H898" s="62" t="str">
        <f t="shared" ref="H898:H961" si="102">IF($A898="","",MAX(0,E898+G898-F898))</f>
        <v/>
      </c>
      <c r="I898" s="62" t="str">
        <f t="shared" ref="I898:I961" si="103">IF($A898="","",MIN(D898,H898))</f>
        <v/>
      </c>
      <c r="J898" s="62" t="str">
        <f t="shared" ref="J898:J961" si="104">IF($A898="","",MAX(0,F898+I898-E898))</f>
        <v/>
      </c>
      <c r="K898" s="62" t="str">
        <f t="shared" ref="K898:K961" si="105">IF($A898="","",MAX(0,E898-F898-I898))</f>
        <v/>
      </c>
      <c r="L898" s="62" t="str">
        <f t="shared" ref="L898:L961" si="106">IF($A898="","",MAX(0,F898+I898-E898))</f>
        <v/>
      </c>
      <c r="M898" s="63" t="str">
        <f t="shared" ref="M898:M961" si="107">IF($A898="","",IFERROR(I898/D898,0))</f>
        <v/>
      </c>
      <c r="N898" s="64"/>
    </row>
    <row r="899" spans="1:14" x14ac:dyDescent="0.3">
      <c r="A899" s="58" t="str">
        <f>IF([1]weekly_demand!A900="","",[1]weekly_demand!A900)</f>
        <v/>
      </c>
      <c r="B899" s="59" t="str">
        <f>IF($A899="","",[1]weekly_demand!F900)</f>
        <v/>
      </c>
      <c r="C899" s="60" t="str">
        <f>IF($A899="","",[1]weekly_demand!H900)</f>
        <v/>
      </c>
      <c r="D899" s="61" t="str">
        <f>IF($A899="","",IF(SUMIFS([1]Fixture_Capacity_Input!$C:$C,[1]Fixture_Capacity_Input!$A:$A,$B899,[1]Fixture_Capacity_Input!$B:$B,$C899)&gt;0,SUMIFS([1]Fixture_Capacity_Input!$C:$C,[1]Fixture_Capacity_Input!$A:$A,$B899,[1]Fixture_Capacity_Input!$B:$B,$C899),[1]weekly_demand!G900))</f>
        <v/>
      </c>
      <c r="E899" s="62" t="str">
        <f>IF($A899="","",[1]weekly_demand!I900)</f>
        <v/>
      </c>
      <c r="F899" s="61" t="str">
        <f>IF($A899="","",IF($A899&lt;&gt;$A898,IFERROR(INDEX([1]FG_Begin_Inventory!$B:$B,MATCH($A899,[1]FG_Begin_Inventory!$A:$A,0)),0),J898))</f>
        <v/>
      </c>
      <c r="G899" s="61" t="str">
        <f t="shared" si="101"/>
        <v/>
      </c>
      <c r="H899" s="62" t="str">
        <f t="shared" si="102"/>
        <v/>
      </c>
      <c r="I899" s="62" t="str">
        <f t="shared" si="103"/>
        <v/>
      </c>
      <c r="J899" s="62" t="str">
        <f t="shared" si="104"/>
        <v/>
      </c>
      <c r="K899" s="62" t="str">
        <f t="shared" si="105"/>
        <v/>
      </c>
      <c r="L899" s="62" t="str">
        <f t="shared" si="106"/>
        <v/>
      </c>
      <c r="M899" s="63" t="str">
        <f t="shared" si="107"/>
        <v/>
      </c>
      <c r="N899" s="64"/>
    </row>
    <row r="900" spans="1:14" x14ac:dyDescent="0.3">
      <c r="A900" s="58" t="str">
        <f>IF([1]weekly_demand!A901="","",[1]weekly_demand!A901)</f>
        <v/>
      </c>
      <c r="B900" s="59" t="str">
        <f>IF($A900="","",[1]weekly_demand!F901)</f>
        <v/>
      </c>
      <c r="C900" s="60" t="str">
        <f>IF($A900="","",[1]weekly_demand!H901)</f>
        <v/>
      </c>
      <c r="D900" s="61" t="str">
        <f>IF($A900="","",IF(SUMIFS([1]Fixture_Capacity_Input!$C:$C,[1]Fixture_Capacity_Input!$A:$A,$B900,[1]Fixture_Capacity_Input!$B:$B,$C900)&gt;0,SUMIFS([1]Fixture_Capacity_Input!$C:$C,[1]Fixture_Capacity_Input!$A:$A,$B900,[1]Fixture_Capacity_Input!$B:$B,$C900),[1]weekly_demand!G901))</f>
        <v/>
      </c>
      <c r="E900" s="62" t="str">
        <f>IF($A900="","",[1]weekly_demand!I901)</f>
        <v/>
      </c>
      <c r="F900" s="61" t="str">
        <f>IF($A900="","",IF($A900&lt;&gt;$A899,IFERROR(INDEX([1]FG_Begin_Inventory!$B:$B,MATCH($A900,[1]FG_Begin_Inventory!$A:$A,0)),0),J899))</f>
        <v/>
      </c>
      <c r="G900" s="61" t="str">
        <f t="shared" si="101"/>
        <v/>
      </c>
      <c r="H900" s="62" t="str">
        <f t="shared" si="102"/>
        <v/>
      </c>
      <c r="I900" s="62" t="str">
        <f t="shared" si="103"/>
        <v/>
      </c>
      <c r="J900" s="62" t="str">
        <f t="shared" si="104"/>
        <v/>
      </c>
      <c r="K900" s="62" t="str">
        <f t="shared" si="105"/>
        <v/>
      </c>
      <c r="L900" s="62" t="str">
        <f t="shared" si="106"/>
        <v/>
      </c>
      <c r="M900" s="63" t="str">
        <f t="shared" si="107"/>
        <v/>
      </c>
      <c r="N900" s="64"/>
    </row>
    <row r="901" spans="1:14" x14ac:dyDescent="0.3">
      <c r="A901" s="58" t="str">
        <f>IF([1]weekly_demand!A902="","",[1]weekly_demand!A902)</f>
        <v/>
      </c>
      <c r="B901" s="59" t="str">
        <f>IF($A901="","",[1]weekly_demand!F902)</f>
        <v/>
      </c>
      <c r="C901" s="60" t="str">
        <f>IF($A901="","",[1]weekly_demand!H902)</f>
        <v/>
      </c>
      <c r="D901" s="61" t="str">
        <f>IF($A901="","",IF(SUMIFS([1]Fixture_Capacity_Input!$C:$C,[1]Fixture_Capacity_Input!$A:$A,$B901,[1]Fixture_Capacity_Input!$B:$B,$C901)&gt;0,SUMIFS([1]Fixture_Capacity_Input!$C:$C,[1]Fixture_Capacity_Input!$A:$A,$B901,[1]Fixture_Capacity_Input!$B:$B,$C901),[1]weekly_demand!G902))</f>
        <v/>
      </c>
      <c r="E901" s="62" t="str">
        <f>IF($A901="","",[1]weekly_demand!I902)</f>
        <v/>
      </c>
      <c r="F901" s="61" t="str">
        <f>IF($A901="","",IF($A901&lt;&gt;$A900,IFERROR(INDEX([1]FG_Begin_Inventory!$B:$B,MATCH($A901,[1]FG_Begin_Inventory!$A:$A,0)),0),J900))</f>
        <v/>
      </c>
      <c r="G901" s="61" t="str">
        <f t="shared" si="101"/>
        <v/>
      </c>
      <c r="H901" s="62" t="str">
        <f t="shared" si="102"/>
        <v/>
      </c>
      <c r="I901" s="62" t="str">
        <f t="shared" si="103"/>
        <v/>
      </c>
      <c r="J901" s="62" t="str">
        <f t="shared" si="104"/>
        <v/>
      </c>
      <c r="K901" s="62" t="str">
        <f t="shared" si="105"/>
        <v/>
      </c>
      <c r="L901" s="62" t="str">
        <f t="shared" si="106"/>
        <v/>
      </c>
      <c r="M901" s="63" t="str">
        <f t="shared" si="107"/>
        <v/>
      </c>
      <c r="N901" s="64"/>
    </row>
    <row r="902" spans="1:14" x14ac:dyDescent="0.3">
      <c r="A902" s="58" t="str">
        <f>IF([1]weekly_demand!A903="","",[1]weekly_demand!A903)</f>
        <v/>
      </c>
      <c r="B902" s="59" t="str">
        <f>IF($A902="","",[1]weekly_demand!F903)</f>
        <v/>
      </c>
      <c r="C902" s="60" t="str">
        <f>IF($A902="","",[1]weekly_demand!H903)</f>
        <v/>
      </c>
      <c r="D902" s="61" t="str">
        <f>IF($A902="","",IF(SUMIFS([1]Fixture_Capacity_Input!$C:$C,[1]Fixture_Capacity_Input!$A:$A,$B902,[1]Fixture_Capacity_Input!$B:$B,$C902)&gt;0,SUMIFS([1]Fixture_Capacity_Input!$C:$C,[1]Fixture_Capacity_Input!$A:$A,$B902,[1]Fixture_Capacity_Input!$B:$B,$C902),[1]weekly_demand!G903))</f>
        <v/>
      </c>
      <c r="E902" s="62" t="str">
        <f>IF($A902="","",[1]weekly_demand!I903)</f>
        <v/>
      </c>
      <c r="F902" s="61" t="str">
        <f>IF($A902="","",IF($A902&lt;&gt;$A901,IFERROR(INDEX([1]FG_Begin_Inventory!$B:$B,MATCH($A902,[1]FG_Begin_Inventory!$A:$A,0)),0),J901))</f>
        <v/>
      </c>
      <c r="G902" s="61" t="str">
        <f t="shared" si="101"/>
        <v/>
      </c>
      <c r="H902" s="62" t="str">
        <f t="shared" si="102"/>
        <v/>
      </c>
      <c r="I902" s="62" t="str">
        <f t="shared" si="103"/>
        <v/>
      </c>
      <c r="J902" s="62" t="str">
        <f t="shared" si="104"/>
        <v/>
      </c>
      <c r="K902" s="62" t="str">
        <f t="shared" si="105"/>
        <v/>
      </c>
      <c r="L902" s="62" t="str">
        <f t="shared" si="106"/>
        <v/>
      </c>
      <c r="M902" s="63" t="str">
        <f t="shared" si="107"/>
        <v/>
      </c>
      <c r="N902" s="64"/>
    </row>
    <row r="903" spans="1:14" x14ac:dyDescent="0.3">
      <c r="A903" s="58" t="str">
        <f>IF([1]weekly_demand!A904="","",[1]weekly_demand!A904)</f>
        <v/>
      </c>
      <c r="B903" s="59" t="str">
        <f>IF($A903="","",[1]weekly_demand!F904)</f>
        <v/>
      </c>
      <c r="C903" s="60" t="str">
        <f>IF($A903="","",[1]weekly_demand!H904)</f>
        <v/>
      </c>
      <c r="D903" s="61" t="str">
        <f>IF($A903="","",IF(SUMIFS([1]Fixture_Capacity_Input!$C:$C,[1]Fixture_Capacity_Input!$A:$A,$B903,[1]Fixture_Capacity_Input!$B:$B,$C903)&gt;0,SUMIFS([1]Fixture_Capacity_Input!$C:$C,[1]Fixture_Capacity_Input!$A:$A,$B903,[1]Fixture_Capacity_Input!$B:$B,$C903),[1]weekly_demand!G904))</f>
        <v/>
      </c>
      <c r="E903" s="62" t="str">
        <f>IF($A903="","",[1]weekly_demand!I904)</f>
        <v/>
      </c>
      <c r="F903" s="61" t="str">
        <f>IF($A903="","",IF($A903&lt;&gt;$A902,IFERROR(INDEX([1]FG_Begin_Inventory!$B:$B,MATCH($A903,[1]FG_Begin_Inventory!$A:$A,0)),0),J902))</f>
        <v/>
      </c>
      <c r="G903" s="61" t="str">
        <f t="shared" si="101"/>
        <v/>
      </c>
      <c r="H903" s="62" t="str">
        <f t="shared" si="102"/>
        <v/>
      </c>
      <c r="I903" s="62" t="str">
        <f t="shared" si="103"/>
        <v/>
      </c>
      <c r="J903" s="62" t="str">
        <f t="shared" si="104"/>
        <v/>
      </c>
      <c r="K903" s="62" t="str">
        <f t="shared" si="105"/>
        <v/>
      </c>
      <c r="L903" s="62" t="str">
        <f t="shared" si="106"/>
        <v/>
      </c>
      <c r="M903" s="63" t="str">
        <f t="shared" si="107"/>
        <v/>
      </c>
      <c r="N903" s="64"/>
    </row>
    <row r="904" spans="1:14" x14ac:dyDescent="0.3">
      <c r="A904" s="58" t="str">
        <f>IF([1]weekly_demand!A905="","",[1]weekly_demand!A905)</f>
        <v/>
      </c>
      <c r="B904" s="59" t="str">
        <f>IF($A904="","",[1]weekly_demand!F905)</f>
        <v/>
      </c>
      <c r="C904" s="60" t="str">
        <f>IF($A904="","",[1]weekly_demand!H905)</f>
        <v/>
      </c>
      <c r="D904" s="61" t="str">
        <f>IF($A904="","",IF(SUMIFS([1]Fixture_Capacity_Input!$C:$C,[1]Fixture_Capacity_Input!$A:$A,$B904,[1]Fixture_Capacity_Input!$B:$B,$C904)&gt;0,SUMIFS([1]Fixture_Capacity_Input!$C:$C,[1]Fixture_Capacity_Input!$A:$A,$B904,[1]Fixture_Capacity_Input!$B:$B,$C904),[1]weekly_demand!G905))</f>
        <v/>
      </c>
      <c r="E904" s="62" t="str">
        <f>IF($A904="","",[1]weekly_demand!I905)</f>
        <v/>
      </c>
      <c r="F904" s="61" t="str">
        <f>IF($A904="","",IF($A904&lt;&gt;$A903,IFERROR(INDEX([1]FG_Begin_Inventory!$B:$B,MATCH($A904,[1]FG_Begin_Inventory!$A:$A,0)),0),J903))</f>
        <v/>
      </c>
      <c r="G904" s="61" t="str">
        <f t="shared" si="101"/>
        <v/>
      </c>
      <c r="H904" s="62" t="str">
        <f t="shared" si="102"/>
        <v/>
      </c>
      <c r="I904" s="62" t="str">
        <f t="shared" si="103"/>
        <v/>
      </c>
      <c r="J904" s="62" t="str">
        <f t="shared" si="104"/>
        <v/>
      </c>
      <c r="K904" s="62" t="str">
        <f t="shared" si="105"/>
        <v/>
      </c>
      <c r="L904" s="62" t="str">
        <f t="shared" si="106"/>
        <v/>
      </c>
      <c r="M904" s="63" t="str">
        <f t="shared" si="107"/>
        <v/>
      </c>
      <c r="N904" s="64"/>
    </row>
    <row r="905" spans="1:14" x14ac:dyDescent="0.3">
      <c r="A905" s="58" t="str">
        <f>IF([1]weekly_demand!A906="","",[1]weekly_demand!A906)</f>
        <v/>
      </c>
      <c r="B905" s="59" t="str">
        <f>IF($A905="","",[1]weekly_demand!F906)</f>
        <v/>
      </c>
      <c r="C905" s="60" t="str">
        <f>IF($A905="","",[1]weekly_demand!H906)</f>
        <v/>
      </c>
      <c r="D905" s="61" t="str">
        <f>IF($A905="","",IF(SUMIFS([1]Fixture_Capacity_Input!$C:$C,[1]Fixture_Capacity_Input!$A:$A,$B905,[1]Fixture_Capacity_Input!$B:$B,$C905)&gt;0,SUMIFS([1]Fixture_Capacity_Input!$C:$C,[1]Fixture_Capacity_Input!$A:$A,$B905,[1]Fixture_Capacity_Input!$B:$B,$C905),[1]weekly_demand!G906))</f>
        <v/>
      </c>
      <c r="E905" s="62" t="str">
        <f>IF($A905="","",[1]weekly_demand!I906)</f>
        <v/>
      </c>
      <c r="F905" s="61" t="str">
        <f>IF($A905="","",IF($A905&lt;&gt;$A904,IFERROR(INDEX([1]FG_Begin_Inventory!$B:$B,MATCH($A905,[1]FG_Begin_Inventory!$A:$A,0)),0),J904))</f>
        <v/>
      </c>
      <c r="G905" s="61" t="str">
        <f t="shared" si="101"/>
        <v/>
      </c>
      <c r="H905" s="62" t="str">
        <f t="shared" si="102"/>
        <v/>
      </c>
      <c r="I905" s="62" t="str">
        <f t="shared" si="103"/>
        <v/>
      </c>
      <c r="J905" s="62" t="str">
        <f t="shared" si="104"/>
        <v/>
      </c>
      <c r="K905" s="62" t="str">
        <f t="shared" si="105"/>
        <v/>
      </c>
      <c r="L905" s="62" t="str">
        <f t="shared" si="106"/>
        <v/>
      </c>
      <c r="M905" s="63" t="str">
        <f t="shared" si="107"/>
        <v/>
      </c>
      <c r="N905" s="64"/>
    </row>
    <row r="906" spans="1:14" x14ac:dyDescent="0.3">
      <c r="A906" s="58" t="str">
        <f>IF([1]weekly_demand!A907="","",[1]weekly_demand!A907)</f>
        <v/>
      </c>
      <c r="B906" s="59" t="str">
        <f>IF($A906="","",[1]weekly_demand!F907)</f>
        <v/>
      </c>
      <c r="C906" s="60" t="str">
        <f>IF($A906="","",[1]weekly_demand!H907)</f>
        <v/>
      </c>
      <c r="D906" s="61" t="str">
        <f>IF($A906="","",IF(SUMIFS([1]Fixture_Capacity_Input!$C:$C,[1]Fixture_Capacity_Input!$A:$A,$B906,[1]Fixture_Capacity_Input!$B:$B,$C906)&gt;0,SUMIFS([1]Fixture_Capacity_Input!$C:$C,[1]Fixture_Capacity_Input!$A:$A,$B906,[1]Fixture_Capacity_Input!$B:$B,$C906),[1]weekly_demand!G907))</f>
        <v/>
      </c>
      <c r="E906" s="62" t="str">
        <f>IF($A906="","",[1]weekly_demand!I907)</f>
        <v/>
      </c>
      <c r="F906" s="61" t="str">
        <f>IF($A906="","",IF($A906&lt;&gt;$A905,IFERROR(INDEX([1]FG_Begin_Inventory!$B:$B,MATCH($A906,[1]FG_Begin_Inventory!$A:$A,0)),0),J905))</f>
        <v/>
      </c>
      <c r="G906" s="61" t="str">
        <f t="shared" si="101"/>
        <v/>
      </c>
      <c r="H906" s="62" t="str">
        <f t="shared" si="102"/>
        <v/>
      </c>
      <c r="I906" s="62" t="str">
        <f t="shared" si="103"/>
        <v/>
      </c>
      <c r="J906" s="62" t="str">
        <f t="shared" si="104"/>
        <v/>
      </c>
      <c r="K906" s="62" t="str">
        <f t="shared" si="105"/>
        <v/>
      </c>
      <c r="L906" s="62" t="str">
        <f t="shared" si="106"/>
        <v/>
      </c>
      <c r="M906" s="63" t="str">
        <f t="shared" si="107"/>
        <v/>
      </c>
      <c r="N906" s="64"/>
    </row>
    <row r="907" spans="1:14" x14ac:dyDescent="0.3">
      <c r="A907" s="58" t="str">
        <f>IF([1]weekly_demand!A908="","",[1]weekly_demand!A908)</f>
        <v/>
      </c>
      <c r="B907" s="59" t="str">
        <f>IF($A907="","",[1]weekly_demand!F908)</f>
        <v/>
      </c>
      <c r="C907" s="60" t="str">
        <f>IF($A907="","",[1]weekly_demand!H908)</f>
        <v/>
      </c>
      <c r="D907" s="61" t="str">
        <f>IF($A907="","",IF(SUMIFS([1]Fixture_Capacity_Input!$C:$C,[1]Fixture_Capacity_Input!$A:$A,$B907,[1]Fixture_Capacity_Input!$B:$B,$C907)&gt;0,SUMIFS([1]Fixture_Capacity_Input!$C:$C,[1]Fixture_Capacity_Input!$A:$A,$B907,[1]Fixture_Capacity_Input!$B:$B,$C907),[1]weekly_demand!G908))</f>
        <v/>
      </c>
      <c r="E907" s="62" t="str">
        <f>IF($A907="","",[1]weekly_demand!I908)</f>
        <v/>
      </c>
      <c r="F907" s="61" t="str">
        <f>IF($A907="","",IF($A907&lt;&gt;$A906,IFERROR(INDEX([1]FG_Begin_Inventory!$B:$B,MATCH($A907,[1]FG_Begin_Inventory!$A:$A,0)),0),J906))</f>
        <v/>
      </c>
      <c r="G907" s="61" t="str">
        <f t="shared" si="101"/>
        <v/>
      </c>
      <c r="H907" s="62" t="str">
        <f t="shared" si="102"/>
        <v/>
      </c>
      <c r="I907" s="62" t="str">
        <f t="shared" si="103"/>
        <v/>
      </c>
      <c r="J907" s="62" t="str">
        <f t="shared" si="104"/>
        <v/>
      </c>
      <c r="K907" s="62" t="str">
        <f t="shared" si="105"/>
        <v/>
      </c>
      <c r="L907" s="62" t="str">
        <f t="shared" si="106"/>
        <v/>
      </c>
      <c r="M907" s="63" t="str">
        <f t="shared" si="107"/>
        <v/>
      </c>
      <c r="N907" s="64"/>
    </row>
    <row r="908" spans="1:14" x14ac:dyDescent="0.3">
      <c r="A908" s="58" t="str">
        <f>IF([1]weekly_demand!A909="","",[1]weekly_demand!A909)</f>
        <v/>
      </c>
      <c r="B908" s="59" t="str">
        <f>IF($A908="","",[1]weekly_demand!F909)</f>
        <v/>
      </c>
      <c r="C908" s="60" t="str">
        <f>IF($A908="","",[1]weekly_demand!H909)</f>
        <v/>
      </c>
      <c r="D908" s="61" t="str">
        <f>IF($A908="","",IF(SUMIFS([1]Fixture_Capacity_Input!$C:$C,[1]Fixture_Capacity_Input!$A:$A,$B908,[1]Fixture_Capacity_Input!$B:$B,$C908)&gt;0,SUMIFS([1]Fixture_Capacity_Input!$C:$C,[1]Fixture_Capacity_Input!$A:$A,$B908,[1]Fixture_Capacity_Input!$B:$B,$C908),[1]weekly_demand!G909))</f>
        <v/>
      </c>
      <c r="E908" s="62" t="str">
        <f>IF($A908="","",[1]weekly_demand!I909)</f>
        <v/>
      </c>
      <c r="F908" s="61" t="str">
        <f>IF($A908="","",IF($A908&lt;&gt;$A907,IFERROR(INDEX([1]FG_Begin_Inventory!$B:$B,MATCH($A908,[1]FG_Begin_Inventory!$A:$A,0)),0),J907))</f>
        <v/>
      </c>
      <c r="G908" s="61" t="str">
        <f t="shared" si="101"/>
        <v/>
      </c>
      <c r="H908" s="62" t="str">
        <f t="shared" si="102"/>
        <v/>
      </c>
      <c r="I908" s="62" t="str">
        <f t="shared" si="103"/>
        <v/>
      </c>
      <c r="J908" s="62" t="str">
        <f t="shared" si="104"/>
        <v/>
      </c>
      <c r="K908" s="62" t="str">
        <f t="shared" si="105"/>
        <v/>
      </c>
      <c r="L908" s="62" t="str">
        <f t="shared" si="106"/>
        <v/>
      </c>
      <c r="M908" s="63" t="str">
        <f t="shared" si="107"/>
        <v/>
      </c>
      <c r="N908" s="64"/>
    </row>
    <row r="909" spans="1:14" x14ac:dyDescent="0.3">
      <c r="A909" s="58" t="str">
        <f>IF([1]weekly_demand!A910="","",[1]weekly_demand!A910)</f>
        <v/>
      </c>
      <c r="B909" s="59" t="str">
        <f>IF($A909="","",[1]weekly_demand!F910)</f>
        <v/>
      </c>
      <c r="C909" s="60" t="str">
        <f>IF($A909="","",[1]weekly_demand!H910)</f>
        <v/>
      </c>
      <c r="D909" s="61" t="str">
        <f>IF($A909="","",IF(SUMIFS([1]Fixture_Capacity_Input!$C:$C,[1]Fixture_Capacity_Input!$A:$A,$B909,[1]Fixture_Capacity_Input!$B:$B,$C909)&gt;0,SUMIFS([1]Fixture_Capacity_Input!$C:$C,[1]Fixture_Capacity_Input!$A:$A,$B909,[1]Fixture_Capacity_Input!$B:$B,$C909),[1]weekly_demand!G910))</f>
        <v/>
      </c>
      <c r="E909" s="62" t="str">
        <f>IF($A909="","",[1]weekly_demand!I910)</f>
        <v/>
      </c>
      <c r="F909" s="61" t="str">
        <f>IF($A909="","",IF($A909&lt;&gt;$A908,IFERROR(INDEX([1]FG_Begin_Inventory!$B:$B,MATCH($A909,[1]FG_Begin_Inventory!$A:$A,0)),0),J908))</f>
        <v/>
      </c>
      <c r="G909" s="61" t="str">
        <f t="shared" si="101"/>
        <v/>
      </c>
      <c r="H909" s="62" t="str">
        <f t="shared" si="102"/>
        <v/>
      </c>
      <c r="I909" s="62" t="str">
        <f t="shared" si="103"/>
        <v/>
      </c>
      <c r="J909" s="62" t="str">
        <f t="shared" si="104"/>
        <v/>
      </c>
      <c r="K909" s="62" t="str">
        <f t="shared" si="105"/>
        <v/>
      </c>
      <c r="L909" s="62" t="str">
        <f t="shared" si="106"/>
        <v/>
      </c>
      <c r="M909" s="63" t="str">
        <f t="shared" si="107"/>
        <v/>
      </c>
      <c r="N909" s="64"/>
    </row>
    <row r="910" spans="1:14" x14ac:dyDescent="0.3">
      <c r="A910" s="58" t="str">
        <f>IF([1]weekly_demand!A911="","",[1]weekly_demand!A911)</f>
        <v/>
      </c>
      <c r="B910" s="59" t="str">
        <f>IF($A910="","",[1]weekly_demand!F911)</f>
        <v/>
      </c>
      <c r="C910" s="60" t="str">
        <f>IF($A910="","",[1]weekly_demand!H911)</f>
        <v/>
      </c>
      <c r="D910" s="61" t="str">
        <f>IF($A910="","",IF(SUMIFS([1]Fixture_Capacity_Input!$C:$C,[1]Fixture_Capacity_Input!$A:$A,$B910,[1]Fixture_Capacity_Input!$B:$B,$C910)&gt;0,SUMIFS([1]Fixture_Capacity_Input!$C:$C,[1]Fixture_Capacity_Input!$A:$A,$B910,[1]Fixture_Capacity_Input!$B:$B,$C910),[1]weekly_demand!G911))</f>
        <v/>
      </c>
      <c r="E910" s="62" t="str">
        <f>IF($A910="","",[1]weekly_demand!I911)</f>
        <v/>
      </c>
      <c r="F910" s="61" t="str">
        <f>IF($A910="","",IF($A910&lt;&gt;$A909,IFERROR(INDEX([1]FG_Begin_Inventory!$B:$B,MATCH($A910,[1]FG_Begin_Inventory!$A:$A,0)),0),J909))</f>
        <v/>
      </c>
      <c r="G910" s="61" t="str">
        <f t="shared" si="101"/>
        <v/>
      </c>
      <c r="H910" s="62" t="str">
        <f t="shared" si="102"/>
        <v/>
      </c>
      <c r="I910" s="62" t="str">
        <f t="shared" si="103"/>
        <v/>
      </c>
      <c r="J910" s="62" t="str">
        <f t="shared" si="104"/>
        <v/>
      </c>
      <c r="K910" s="62" t="str">
        <f t="shared" si="105"/>
        <v/>
      </c>
      <c r="L910" s="62" t="str">
        <f t="shared" si="106"/>
        <v/>
      </c>
      <c r="M910" s="63" t="str">
        <f t="shared" si="107"/>
        <v/>
      </c>
      <c r="N910" s="64"/>
    </row>
    <row r="911" spans="1:14" x14ac:dyDescent="0.3">
      <c r="A911" s="58" t="str">
        <f>IF([1]weekly_demand!A912="","",[1]weekly_demand!A912)</f>
        <v/>
      </c>
      <c r="B911" s="59" t="str">
        <f>IF($A911="","",[1]weekly_demand!F912)</f>
        <v/>
      </c>
      <c r="C911" s="60" t="str">
        <f>IF($A911="","",[1]weekly_demand!H912)</f>
        <v/>
      </c>
      <c r="D911" s="61" t="str">
        <f>IF($A911="","",IF(SUMIFS([1]Fixture_Capacity_Input!$C:$C,[1]Fixture_Capacity_Input!$A:$A,$B911,[1]Fixture_Capacity_Input!$B:$B,$C911)&gt;0,SUMIFS([1]Fixture_Capacity_Input!$C:$C,[1]Fixture_Capacity_Input!$A:$A,$B911,[1]Fixture_Capacity_Input!$B:$B,$C911),[1]weekly_demand!G912))</f>
        <v/>
      </c>
      <c r="E911" s="62" t="str">
        <f>IF($A911="","",[1]weekly_demand!I912)</f>
        <v/>
      </c>
      <c r="F911" s="61" t="str">
        <f>IF($A911="","",IF($A911&lt;&gt;$A910,IFERROR(INDEX([1]FG_Begin_Inventory!$B:$B,MATCH($A911,[1]FG_Begin_Inventory!$A:$A,0)),0),J910))</f>
        <v/>
      </c>
      <c r="G911" s="61" t="str">
        <f t="shared" si="101"/>
        <v/>
      </c>
      <c r="H911" s="62" t="str">
        <f t="shared" si="102"/>
        <v/>
      </c>
      <c r="I911" s="62" t="str">
        <f t="shared" si="103"/>
        <v/>
      </c>
      <c r="J911" s="62" t="str">
        <f t="shared" si="104"/>
        <v/>
      </c>
      <c r="K911" s="62" t="str">
        <f t="shared" si="105"/>
        <v/>
      </c>
      <c r="L911" s="62" t="str">
        <f t="shared" si="106"/>
        <v/>
      </c>
      <c r="M911" s="63" t="str">
        <f t="shared" si="107"/>
        <v/>
      </c>
      <c r="N911" s="64"/>
    </row>
    <row r="912" spans="1:14" x14ac:dyDescent="0.3">
      <c r="A912" s="58" t="str">
        <f>IF([1]weekly_demand!A913="","",[1]weekly_demand!A913)</f>
        <v/>
      </c>
      <c r="B912" s="59" t="str">
        <f>IF($A912="","",[1]weekly_demand!F913)</f>
        <v/>
      </c>
      <c r="C912" s="60" t="str">
        <f>IF($A912="","",[1]weekly_demand!H913)</f>
        <v/>
      </c>
      <c r="D912" s="61" t="str">
        <f>IF($A912="","",IF(SUMIFS([1]Fixture_Capacity_Input!$C:$C,[1]Fixture_Capacity_Input!$A:$A,$B912,[1]Fixture_Capacity_Input!$B:$B,$C912)&gt;0,SUMIFS([1]Fixture_Capacity_Input!$C:$C,[1]Fixture_Capacity_Input!$A:$A,$B912,[1]Fixture_Capacity_Input!$B:$B,$C912),[1]weekly_demand!G913))</f>
        <v/>
      </c>
      <c r="E912" s="62" t="str">
        <f>IF($A912="","",[1]weekly_demand!I913)</f>
        <v/>
      </c>
      <c r="F912" s="61" t="str">
        <f>IF($A912="","",IF($A912&lt;&gt;$A911,IFERROR(INDEX([1]FG_Begin_Inventory!$B:$B,MATCH($A912,[1]FG_Begin_Inventory!$A:$A,0)),0),J911))</f>
        <v/>
      </c>
      <c r="G912" s="61" t="str">
        <f t="shared" si="101"/>
        <v/>
      </c>
      <c r="H912" s="62" t="str">
        <f t="shared" si="102"/>
        <v/>
      </c>
      <c r="I912" s="62" t="str">
        <f t="shared" si="103"/>
        <v/>
      </c>
      <c r="J912" s="62" t="str">
        <f t="shared" si="104"/>
        <v/>
      </c>
      <c r="K912" s="62" t="str">
        <f t="shared" si="105"/>
        <v/>
      </c>
      <c r="L912" s="62" t="str">
        <f t="shared" si="106"/>
        <v/>
      </c>
      <c r="M912" s="63" t="str">
        <f t="shared" si="107"/>
        <v/>
      </c>
      <c r="N912" s="64"/>
    </row>
    <row r="913" spans="1:14" x14ac:dyDescent="0.3">
      <c r="A913" s="58" t="str">
        <f>IF([1]weekly_demand!A914="","",[1]weekly_demand!A914)</f>
        <v/>
      </c>
      <c r="B913" s="59" t="str">
        <f>IF($A913="","",[1]weekly_demand!F914)</f>
        <v/>
      </c>
      <c r="C913" s="60" t="str">
        <f>IF($A913="","",[1]weekly_demand!H914)</f>
        <v/>
      </c>
      <c r="D913" s="61" t="str">
        <f>IF($A913="","",IF(SUMIFS([1]Fixture_Capacity_Input!$C:$C,[1]Fixture_Capacity_Input!$A:$A,$B913,[1]Fixture_Capacity_Input!$B:$B,$C913)&gt;0,SUMIFS([1]Fixture_Capacity_Input!$C:$C,[1]Fixture_Capacity_Input!$A:$A,$B913,[1]Fixture_Capacity_Input!$B:$B,$C913),[1]weekly_demand!G914))</f>
        <v/>
      </c>
      <c r="E913" s="62" t="str">
        <f>IF($A913="","",[1]weekly_demand!I914)</f>
        <v/>
      </c>
      <c r="F913" s="61" t="str">
        <f>IF($A913="","",IF($A913&lt;&gt;$A912,IFERROR(INDEX([1]FG_Begin_Inventory!$B:$B,MATCH($A913,[1]FG_Begin_Inventory!$A:$A,0)),0),J912))</f>
        <v/>
      </c>
      <c r="G913" s="61" t="str">
        <f t="shared" si="101"/>
        <v/>
      </c>
      <c r="H913" s="62" t="str">
        <f t="shared" si="102"/>
        <v/>
      </c>
      <c r="I913" s="62" t="str">
        <f t="shared" si="103"/>
        <v/>
      </c>
      <c r="J913" s="62" t="str">
        <f t="shared" si="104"/>
        <v/>
      </c>
      <c r="K913" s="62" t="str">
        <f t="shared" si="105"/>
        <v/>
      </c>
      <c r="L913" s="62" t="str">
        <f t="shared" si="106"/>
        <v/>
      </c>
      <c r="M913" s="63" t="str">
        <f t="shared" si="107"/>
        <v/>
      </c>
      <c r="N913" s="64"/>
    </row>
    <row r="914" spans="1:14" x14ac:dyDescent="0.3">
      <c r="A914" s="58" t="str">
        <f>IF([1]weekly_demand!A915="","",[1]weekly_demand!A915)</f>
        <v/>
      </c>
      <c r="B914" s="59" t="str">
        <f>IF($A914="","",[1]weekly_demand!F915)</f>
        <v/>
      </c>
      <c r="C914" s="60" t="str">
        <f>IF($A914="","",[1]weekly_demand!H915)</f>
        <v/>
      </c>
      <c r="D914" s="61" t="str">
        <f>IF($A914="","",IF(SUMIFS([1]Fixture_Capacity_Input!$C:$C,[1]Fixture_Capacity_Input!$A:$A,$B914,[1]Fixture_Capacity_Input!$B:$B,$C914)&gt;0,SUMIFS([1]Fixture_Capacity_Input!$C:$C,[1]Fixture_Capacity_Input!$A:$A,$B914,[1]Fixture_Capacity_Input!$B:$B,$C914),[1]weekly_demand!G915))</f>
        <v/>
      </c>
      <c r="E914" s="62" t="str">
        <f>IF($A914="","",[1]weekly_demand!I915)</f>
        <v/>
      </c>
      <c r="F914" s="61" t="str">
        <f>IF($A914="","",IF($A914&lt;&gt;$A913,IFERROR(INDEX([1]FG_Begin_Inventory!$B:$B,MATCH($A914,[1]FG_Begin_Inventory!$A:$A,0)),0),J913))</f>
        <v/>
      </c>
      <c r="G914" s="61" t="str">
        <f t="shared" si="101"/>
        <v/>
      </c>
      <c r="H914" s="62" t="str">
        <f t="shared" si="102"/>
        <v/>
      </c>
      <c r="I914" s="62" t="str">
        <f t="shared" si="103"/>
        <v/>
      </c>
      <c r="J914" s="62" t="str">
        <f t="shared" si="104"/>
        <v/>
      </c>
      <c r="K914" s="62" t="str">
        <f t="shared" si="105"/>
        <v/>
      </c>
      <c r="L914" s="62" t="str">
        <f t="shared" si="106"/>
        <v/>
      </c>
      <c r="M914" s="63" t="str">
        <f t="shared" si="107"/>
        <v/>
      </c>
      <c r="N914" s="64"/>
    </row>
    <row r="915" spans="1:14" x14ac:dyDescent="0.3">
      <c r="A915" s="58" t="str">
        <f>IF([1]weekly_demand!A916="","",[1]weekly_demand!A916)</f>
        <v/>
      </c>
      <c r="B915" s="59" t="str">
        <f>IF($A915="","",[1]weekly_demand!F916)</f>
        <v/>
      </c>
      <c r="C915" s="60" t="str">
        <f>IF($A915="","",[1]weekly_demand!H916)</f>
        <v/>
      </c>
      <c r="D915" s="61" t="str">
        <f>IF($A915="","",IF(SUMIFS([1]Fixture_Capacity_Input!$C:$C,[1]Fixture_Capacity_Input!$A:$A,$B915,[1]Fixture_Capacity_Input!$B:$B,$C915)&gt;0,SUMIFS([1]Fixture_Capacity_Input!$C:$C,[1]Fixture_Capacity_Input!$A:$A,$B915,[1]Fixture_Capacity_Input!$B:$B,$C915),[1]weekly_demand!G916))</f>
        <v/>
      </c>
      <c r="E915" s="62" t="str">
        <f>IF($A915="","",[1]weekly_demand!I916)</f>
        <v/>
      </c>
      <c r="F915" s="61" t="str">
        <f>IF($A915="","",IF($A915&lt;&gt;$A914,IFERROR(INDEX([1]FG_Begin_Inventory!$B:$B,MATCH($A915,[1]FG_Begin_Inventory!$A:$A,0)),0),J914))</f>
        <v/>
      </c>
      <c r="G915" s="61" t="str">
        <f t="shared" si="101"/>
        <v/>
      </c>
      <c r="H915" s="62" t="str">
        <f t="shared" si="102"/>
        <v/>
      </c>
      <c r="I915" s="62" t="str">
        <f t="shared" si="103"/>
        <v/>
      </c>
      <c r="J915" s="62" t="str">
        <f t="shared" si="104"/>
        <v/>
      </c>
      <c r="K915" s="62" t="str">
        <f t="shared" si="105"/>
        <v/>
      </c>
      <c r="L915" s="62" t="str">
        <f t="shared" si="106"/>
        <v/>
      </c>
      <c r="M915" s="63" t="str">
        <f t="shared" si="107"/>
        <v/>
      </c>
      <c r="N915" s="64"/>
    </row>
    <row r="916" spans="1:14" x14ac:dyDescent="0.3">
      <c r="A916" s="58" t="str">
        <f>IF([1]weekly_demand!A917="","",[1]weekly_demand!A917)</f>
        <v/>
      </c>
      <c r="B916" s="59" t="str">
        <f>IF($A916="","",[1]weekly_demand!F917)</f>
        <v/>
      </c>
      <c r="C916" s="60" t="str">
        <f>IF($A916="","",[1]weekly_demand!H917)</f>
        <v/>
      </c>
      <c r="D916" s="61" t="str">
        <f>IF($A916="","",IF(SUMIFS([1]Fixture_Capacity_Input!$C:$C,[1]Fixture_Capacity_Input!$A:$A,$B916,[1]Fixture_Capacity_Input!$B:$B,$C916)&gt;0,SUMIFS([1]Fixture_Capacity_Input!$C:$C,[1]Fixture_Capacity_Input!$A:$A,$B916,[1]Fixture_Capacity_Input!$B:$B,$C916),[1]weekly_demand!G917))</f>
        <v/>
      </c>
      <c r="E916" s="62" t="str">
        <f>IF($A916="","",[1]weekly_demand!I917)</f>
        <v/>
      </c>
      <c r="F916" s="61" t="str">
        <f>IF($A916="","",IF($A916&lt;&gt;$A915,IFERROR(INDEX([1]FG_Begin_Inventory!$B:$B,MATCH($A916,[1]FG_Begin_Inventory!$A:$A,0)),0),J915))</f>
        <v/>
      </c>
      <c r="G916" s="61" t="str">
        <f t="shared" si="101"/>
        <v/>
      </c>
      <c r="H916" s="62" t="str">
        <f t="shared" si="102"/>
        <v/>
      </c>
      <c r="I916" s="62" t="str">
        <f t="shared" si="103"/>
        <v/>
      </c>
      <c r="J916" s="62" t="str">
        <f t="shared" si="104"/>
        <v/>
      </c>
      <c r="K916" s="62" t="str">
        <f t="shared" si="105"/>
        <v/>
      </c>
      <c r="L916" s="62" t="str">
        <f t="shared" si="106"/>
        <v/>
      </c>
      <c r="M916" s="63" t="str">
        <f t="shared" si="107"/>
        <v/>
      </c>
      <c r="N916" s="64"/>
    </row>
    <row r="917" spans="1:14" x14ac:dyDescent="0.3">
      <c r="A917" s="58" t="str">
        <f>IF([1]weekly_demand!A918="","",[1]weekly_demand!A918)</f>
        <v/>
      </c>
      <c r="B917" s="59" t="str">
        <f>IF($A917="","",[1]weekly_demand!F918)</f>
        <v/>
      </c>
      <c r="C917" s="60" t="str">
        <f>IF($A917="","",[1]weekly_demand!H918)</f>
        <v/>
      </c>
      <c r="D917" s="61" t="str">
        <f>IF($A917="","",IF(SUMIFS([1]Fixture_Capacity_Input!$C:$C,[1]Fixture_Capacity_Input!$A:$A,$B917,[1]Fixture_Capacity_Input!$B:$B,$C917)&gt;0,SUMIFS([1]Fixture_Capacity_Input!$C:$C,[1]Fixture_Capacity_Input!$A:$A,$B917,[1]Fixture_Capacity_Input!$B:$B,$C917),[1]weekly_demand!G918))</f>
        <v/>
      </c>
      <c r="E917" s="62" t="str">
        <f>IF($A917="","",[1]weekly_demand!I918)</f>
        <v/>
      </c>
      <c r="F917" s="61" t="str">
        <f>IF($A917="","",IF($A917&lt;&gt;$A916,IFERROR(INDEX([1]FG_Begin_Inventory!$B:$B,MATCH($A917,[1]FG_Begin_Inventory!$A:$A,0)),0),J916))</f>
        <v/>
      </c>
      <c r="G917" s="61" t="str">
        <f t="shared" si="101"/>
        <v/>
      </c>
      <c r="H917" s="62" t="str">
        <f t="shared" si="102"/>
        <v/>
      </c>
      <c r="I917" s="62" t="str">
        <f t="shared" si="103"/>
        <v/>
      </c>
      <c r="J917" s="62" t="str">
        <f t="shared" si="104"/>
        <v/>
      </c>
      <c r="K917" s="62" t="str">
        <f t="shared" si="105"/>
        <v/>
      </c>
      <c r="L917" s="62" t="str">
        <f t="shared" si="106"/>
        <v/>
      </c>
      <c r="M917" s="63" t="str">
        <f t="shared" si="107"/>
        <v/>
      </c>
      <c r="N917" s="64"/>
    </row>
    <row r="918" spans="1:14" x14ac:dyDescent="0.3">
      <c r="A918" s="58" t="str">
        <f>IF([1]weekly_demand!A919="","",[1]weekly_demand!A919)</f>
        <v/>
      </c>
      <c r="B918" s="59" t="str">
        <f>IF($A918="","",[1]weekly_demand!F919)</f>
        <v/>
      </c>
      <c r="C918" s="60" t="str">
        <f>IF($A918="","",[1]weekly_demand!H919)</f>
        <v/>
      </c>
      <c r="D918" s="61" t="str">
        <f>IF($A918="","",IF(SUMIFS([1]Fixture_Capacity_Input!$C:$C,[1]Fixture_Capacity_Input!$A:$A,$B918,[1]Fixture_Capacity_Input!$B:$B,$C918)&gt;0,SUMIFS([1]Fixture_Capacity_Input!$C:$C,[1]Fixture_Capacity_Input!$A:$A,$B918,[1]Fixture_Capacity_Input!$B:$B,$C918),[1]weekly_demand!G919))</f>
        <v/>
      </c>
      <c r="E918" s="62" t="str">
        <f>IF($A918="","",[1]weekly_demand!I919)</f>
        <v/>
      </c>
      <c r="F918" s="61" t="str">
        <f>IF($A918="","",IF($A918&lt;&gt;$A917,IFERROR(INDEX([1]FG_Begin_Inventory!$B:$B,MATCH($A918,[1]FG_Begin_Inventory!$A:$A,0)),0),J917))</f>
        <v/>
      </c>
      <c r="G918" s="61" t="str">
        <f t="shared" si="101"/>
        <v/>
      </c>
      <c r="H918" s="62" t="str">
        <f t="shared" si="102"/>
        <v/>
      </c>
      <c r="I918" s="62" t="str">
        <f t="shared" si="103"/>
        <v/>
      </c>
      <c r="J918" s="62" t="str">
        <f t="shared" si="104"/>
        <v/>
      </c>
      <c r="K918" s="62" t="str">
        <f t="shared" si="105"/>
        <v/>
      </c>
      <c r="L918" s="62" t="str">
        <f t="shared" si="106"/>
        <v/>
      </c>
      <c r="M918" s="63" t="str">
        <f t="shared" si="107"/>
        <v/>
      </c>
      <c r="N918" s="64"/>
    </row>
    <row r="919" spans="1:14" x14ac:dyDescent="0.3">
      <c r="A919" s="58" t="str">
        <f>IF([1]weekly_demand!A920="","",[1]weekly_demand!A920)</f>
        <v/>
      </c>
      <c r="B919" s="59" t="str">
        <f>IF($A919="","",[1]weekly_demand!F920)</f>
        <v/>
      </c>
      <c r="C919" s="60" t="str">
        <f>IF($A919="","",[1]weekly_demand!H920)</f>
        <v/>
      </c>
      <c r="D919" s="61" t="str">
        <f>IF($A919="","",IF(SUMIFS([1]Fixture_Capacity_Input!$C:$C,[1]Fixture_Capacity_Input!$A:$A,$B919,[1]Fixture_Capacity_Input!$B:$B,$C919)&gt;0,SUMIFS([1]Fixture_Capacity_Input!$C:$C,[1]Fixture_Capacity_Input!$A:$A,$B919,[1]Fixture_Capacity_Input!$B:$B,$C919),[1]weekly_demand!G920))</f>
        <v/>
      </c>
      <c r="E919" s="62" t="str">
        <f>IF($A919="","",[1]weekly_demand!I920)</f>
        <v/>
      </c>
      <c r="F919" s="61" t="str">
        <f>IF($A919="","",IF($A919&lt;&gt;$A918,IFERROR(INDEX([1]FG_Begin_Inventory!$B:$B,MATCH($A919,[1]FG_Begin_Inventory!$A:$A,0)),0),J918))</f>
        <v/>
      </c>
      <c r="G919" s="61" t="str">
        <f t="shared" si="101"/>
        <v/>
      </c>
      <c r="H919" s="62" t="str">
        <f t="shared" si="102"/>
        <v/>
      </c>
      <c r="I919" s="62" t="str">
        <f t="shared" si="103"/>
        <v/>
      </c>
      <c r="J919" s="62" t="str">
        <f t="shared" si="104"/>
        <v/>
      </c>
      <c r="K919" s="62" t="str">
        <f t="shared" si="105"/>
        <v/>
      </c>
      <c r="L919" s="62" t="str">
        <f t="shared" si="106"/>
        <v/>
      </c>
      <c r="M919" s="63" t="str">
        <f t="shared" si="107"/>
        <v/>
      </c>
      <c r="N919" s="64"/>
    </row>
    <row r="920" spans="1:14" x14ac:dyDescent="0.3">
      <c r="A920" s="58" t="str">
        <f>IF([1]weekly_demand!A921="","",[1]weekly_demand!A921)</f>
        <v/>
      </c>
      <c r="B920" s="59" t="str">
        <f>IF($A920="","",[1]weekly_demand!F921)</f>
        <v/>
      </c>
      <c r="C920" s="60" t="str">
        <f>IF($A920="","",[1]weekly_demand!H921)</f>
        <v/>
      </c>
      <c r="D920" s="61" t="str">
        <f>IF($A920="","",IF(SUMIFS([1]Fixture_Capacity_Input!$C:$C,[1]Fixture_Capacity_Input!$A:$A,$B920,[1]Fixture_Capacity_Input!$B:$B,$C920)&gt;0,SUMIFS([1]Fixture_Capacity_Input!$C:$C,[1]Fixture_Capacity_Input!$A:$A,$B920,[1]Fixture_Capacity_Input!$B:$B,$C920),[1]weekly_demand!G921))</f>
        <v/>
      </c>
      <c r="E920" s="62" t="str">
        <f>IF($A920="","",[1]weekly_demand!I921)</f>
        <v/>
      </c>
      <c r="F920" s="61" t="str">
        <f>IF($A920="","",IF($A920&lt;&gt;$A919,IFERROR(INDEX([1]FG_Begin_Inventory!$B:$B,MATCH($A920,[1]FG_Begin_Inventory!$A:$A,0)),0),J919))</f>
        <v/>
      </c>
      <c r="G920" s="61" t="str">
        <f t="shared" si="101"/>
        <v/>
      </c>
      <c r="H920" s="62" t="str">
        <f t="shared" si="102"/>
        <v/>
      </c>
      <c r="I920" s="62" t="str">
        <f t="shared" si="103"/>
        <v/>
      </c>
      <c r="J920" s="62" t="str">
        <f t="shared" si="104"/>
        <v/>
      </c>
      <c r="K920" s="62" t="str">
        <f t="shared" si="105"/>
        <v/>
      </c>
      <c r="L920" s="62" t="str">
        <f t="shared" si="106"/>
        <v/>
      </c>
      <c r="M920" s="63" t="str">
        <f t="shared" si="107"/>
        <v/>
      </c>
      <c r="N920" s="64"/>
    </row>
    <row r="921" spans="1:14" x14ac:dyDescent="0.3">
      <c r="A921" s="58" t="str">
        <f>IF([1]weekly_demand!A922="","",[1]weekly_demand!A922)</f>
        <v/>
      </c>
      <c r="B921" s="59" t="str">
        <f>IF($A921="","",[1]weekly_demand!F922)</f>
        <v/>
      </c>
      <c r="C921" s="60" t="str">
        <f>IF($A921="","",[1]weekly_demand!H922)</f>
        <v/>
      </c>
      <c r="D921" s="61" t="str">
        <f>IF($A921="","",IF(SUMIFS([1]Fixture_Capacity_Input!$C:$C,[1]Fixture_Capacity_Input!$A:$A,$B921,[1]Fixture_Capacity_Input!$B:$B,$C921)&gt;0,SUMIFS([1]Fixture_Capacity_Input!$C:$C,[1]Fixture_Capacity_Input!$A:$A,$B921,[1]Fixture_Capacity_Input!$B:$B,$C921),[1]weekly_demand!G922))</f>
        <v/>
      </c>
      <c r="E921" s="62" t="str">
        <f>IF($A921="","",[1]weekly_demand!I922)</f>
        <v/>
      </c>
      <c r="F921" s="61" t="str">
        <f>IF($A921="","",IF($A921&lt;&gt;$A920,IFERROR(INDEX([1]FG_Begin_Inventory!$B:$B,MATCH($A921,[1]FG_Begin_Inventory!$A:$A,0)),0),J920))</f>
        <v/>
      </c>
      <c r="G921" s="61" t="str">
        <f t="shared" si="101"/>
        <v/>
      </c>
      <c r="H921" s="62" t="str">
        <f t="shared" si="102"/>
        <v/>
      </c>
      <c r="I921" s="62" t="str">
        <f t="shared" si="103"/>
        <v/>
      </c>
      <c r="J921" s="62" t="str">
        <f t="shared" si="104"/>
        <v/>
      </c>
      <c r="K921" s="62" t="str">
        <f t="shared" si="105"/>
        <v/>
      </c>
      <c r="L921" s="62" t="str">
        <f t="shared" si="106"/>
        <v/>
      </c>
      <c r="M921" s="63" t="str">
        <f t="shared" si="107"/>
        <v/>
      </c>
      <c r="N921" s="64"/>
    </row>
    <row r="922" spans="1:14" x14ac:dyDescent="0.3">
      <c r="A922" s="58" t="str">
        <f>IF([1]weekly_demand!A923="","",[1]weekly_demand!A923)</f>
        <v/>
      </c>
      <c r="B922" s="59" t="str">
        <f>IF($A922="","",[1]weekly_demand!F923)</f>
        <v/>
      </c>
      <c r="C922" s="60" t="str">
        <f>IF($A922="","",[1]weekly_demand!H923)</f>
        <v/>
      </c>
      <c r="D922" s="61" t="str">
        <f>IF($A922="","",IF(SUMIFS([1]Fixture_Capacity_Input!$C:$C,[1]Fixture_Capacity_Input!$A:$A,$B922,[1]Fixture_Capacity_Input!$B:$B,$C922)&gt;0,SUMIFS([1]Fixture_Capacity_Input!$C:$C,[1]Fixture_Capacity_Input!$A:$A,$B922,[1]Fixture_Capacity_Input!$B:$B,$C922),[1]weekly_demand!G923))</f>
        <v/>
      </c>
      <c r="E922" s="62" t="str">
        <f>IF($A922="","",[1]weekly_demand!I923)</f>
        <v/>
      </c>
      <c r="F922" s="61" t="str">
        <f>IF($A922="","",IF($A922&lt;&gt;$A921,IFERROR(INDEX([1]FG_Begin_Inventory!$B:$B,MATCH($A922,[1]FG_Begin_Inventory!$A:$A,0)),0),J921))</f>
        <v/>
      </c>
      <c r="G922" s="61" t="str">
        <f t="shared" si="101"/>
        <v/>
      </c>
      <c r="H922" s="62" t="str">
        <f t="shared" si="102"/>
        <v/>
      </c>
      <c r="I922" s="62" t="str">
        <f t="shared" si="103"/>
        <v/>
      </c>
      <c r="J922" s="62" t="str">
        <f t="shared" si="104"/>
        <v/>
      </c>
      <c r="K922" s="62" t="str">
        <f t="shared" si="105"/>
        <v/>
      </c>
      <c r="L922" s="62" t="str">
        <f t="shared" si="106"/>
        <v/>
      </c>
      <c r="M922" s="63" t="str">
        <f t="shared" si="107"/>
        <v/>
      </c>
      <c r="N922" s="64"/>
    </row>
    <row r="923" spans="1:14" x14ac:dyDescent="0.3">
      <c r="A923" s="58" t="str">
        <f>IF([1]weekly_demand!A924="","",[1]weekly_demand!A924)</f>
        <v/>
      </c>
      <c r="B923" s="59" t="str">
        <f>IF($A923="","",[1]weekly_demand!F924)</f>
        <v/>
      </c>
      <c r="C923" s="60" t="str">
        <f>IF($A923="","",[1]weekly_demand!H924)</f>
        <v/>
      </c>
      <c r="D923" s="61" t="str">
        <f>IF($A923="","",IF(SUMIFS([1]Fixture_Capacity_Input!$C:$C,[1]Fixture_Capacity_Input!$A:$A,$B923,[1]Fixture_Capacity_Input!$B:$B,$C923)&gt;0,SUMIFS([1]Fixture_Capacity_Input!$C:$C,[1]Fixture_Capacity_Input!$A:$A,$B923,[1]Fixture_Capacity_Input!$B:$B,$C923),[1]weekly_demand!G924))</f>
        <v/>
      </c>
      <c r="E923" s="62" t="str">
        <f>IF($A923="","",[1]weekly_demand!I924)</f>
        <v/>
      </c>
      <c r="F923" s="61" t="str">
        <f>IF($A923="","",IF($A923&lt;&gt;$A922,IFERROR(INDEX([1]FG_Begin_Inventory!$B:$B,MATCH($A923,[1]FG_Begin_Inventory!$A:$A,0)),0),J922))</f>
        <v/>
      </c>
      <c r="G923" s="61" t="str">
        <f t="shared" si="101"/>
        <v/>
      </c>
      <c r="H923" s="62" t="str">
        <f t="shared" si="102"/>
        <v/>
      </c>
      <c r="I923" s="62" t="str">
        <f t="shared" si="103"/>
        <v/>
      </c>
      <c r="J923" s="62" t="str">
        <f t="shared" si="104"/>
        <v/>
      </c>
      <c r="K923" s="62" t="str">
        <f t="shared" si="105"/>
        <v/>
      </c>
      <c r="L923" s="62" t="str">
        <f t="shared" si="106"/>
        <v/>
      </c>
      <c r="M923" s="63" t="str">
        <f t="shared" si="107"/>
        <v/>
      </c>
      <c r="N923" s="64"/>
    </row>
    <row r="924" spans="1:14" x14ac:dyDescent="0.3">
      <c r="A924" s="58" t="str">
        <f>IF([1]weekly_demand!A925="","",[1]weekly_demand!A925)</f>
        <v/>
      </c>
      <c r="B924" s="59" t="str">
        <f>IF($A924="","",[1]weekly_demand!F925)</f>
        <v/>
      </c>
      <c r="C924" s="60" t="str">
        <f>IF($A924="","",[1]weekly_demand!H925)</f>
        <v/>
      </c>
      <c r="D924" s="61" t="str">
        <f>IF($A924="","",IF(SUMIFS([1]Fixture_Capacity_Input!$C:$C,[1]Fixture_Capacity_Input!$A:$A,$B924,[1]Fixture_Capacity_Input!$B:$B,$C924)&gt;0,SUMIFS([1]Fixture_Capacity_Input!$C:$C,[1]Fixture_Capacity_Input!$A:$A,$B924,[1]Fixture_Capacity_Input!$B:$B,$C924),[1]weekly_demand!G925))</f>
        <v/>
      </c>
      <c r="E924" s="62" t="str">
        <f>IF($A924="","",[1]weekly_demand!I925)</f>
        <v/>
      </c>
      <c r="F924" s="61" t="str">
        <f>IF($A924="","",IF($A924&lt;&gt;$A923,IFERROR(INDEX([1]FG_Begin_Inventory!$B:$B,MATCH($A924,[1]FG_Begin_Inventory!$A:$A,0)),0),J923))</f>
        <v/>
      </c>
      <c r="G924" s="61" t="str">
        <f t="shared" si="101"/>
        <v/>
      </c>
      <c r="H924" s="62" t="str">
        <f t="shared" si="102"/>
        <v/>
      </c>
      <c r="I924" s="62" t="str">
        <f t="shared" si="103"/>
        <v/>
      </c>
      <c r="J924" s="62" t="str">
        <f t="shared" si="104"/>
        <v/>
      </c>
      <c r="K924" s="62" t="str">
        <f t="shared" si="105"/>
        <v/>
      </c>
      <c r="L924" s="62" t="str">
        <f t="shared" si="106"/>
        <v/>
      </c>
      <c r="M924" s="63" t="str">
        <f t="shared" si="107"/>
        <v/>
      </c>
      <c r="N924" s="64"/>
    </row>
    <row r="925" spans="1:14" x14ac:dyDescent="0.3">
      <c r="A925" s="58" t="str">
        <f>IF([1]weekly_demand!A926="","",[1]weekly_demand!A926)</f>
        <v/>
      </c>
      <c r="B925" s="59" t="str">
        <f>IF($A925="","",[1]weekly_demand!F926)</f>
        <v/>
      </c>
      <c r="C925" s="60" t="str">
        <f>IF($A925="","",[1]weekly_demand!H926)</f>
        <v/>
      </c>
      <c r="D925" s="61" t="str">
        <f>IF($A925="","",IF(SUMIFS([1]Fixture_Capacity_Input!$C:$C,[1]Fixture_Capacity_Input!$A:$A,$B925,[1]Fixture_Capacity_Input!$B:$B,$C925)&gt;0,SUMIFS([1]Fixture_Capacity_Input!$C:$C,[1]Fixture_Capacity_Input!$A:$A,$B925,[1]Fixture_Capacity_Input!$B:$B,$C925),[1]weekly_demand!G926))</f>
        <v/>
      </c>
      <c r="E925" s="62" t="str">
        <f>IF($A925="","",[1]weekly_demand!I926)</f>
        <v/>
      </c>
      <c r="F925" s="61" t="str">
        <f>IF($A925="","",IF($A925&lt;&gt;$A924,IFERROR(INDEX([1]FG_Begin_Inventory!$B:$B,MATCH($A925,[1]FG_Begin_Inventory!$A:$A,0)),0),J924))</f>
        <v/>
      </c>
      <c r="G925" s="61" t="str">
        <f t="shared" si="101"/>
        <v/>
      </c>
      <c r="H925" s="62" t="str">
        <f t="shared" si="102"/>
        <v/>
      </c>
      <c r="I925" s="62" t="str">
        <f t="shared" si="103"/>
        <v/>
      </c>
      <c r="J925" s="62" t="str">
        <f t="shared" si="104"/>
        <v/>
      </c>
      <c r="K925" s="62" t="str">
        <f t="shared" si="105"/>
        <v/>
      </c>
      <c r="L925" s="62" t="str">
        <f t="shared" si="106"/>
        <v/>
      </c>
      <c r="M925" s="63" t="str">
        <f t="shared" si="107"/>
        <v/>
      </c>
      <c r="N925" s="64"/>
    </row>
    <row r="926" spans="1:14" x14ac:dyDescent="0.3">
      <c r="A926" s="58" t="str">
        <f>IF([1]weekly_demand!A927="","",[1]weekly_demand!A927)</f>
        <v/>
      </c>
      <c r="B926" s="59" t="str">
        <f>IF($A926="","",[1]weekly_demand!F927)</f>
        <v/>
      </c>
      <c r="C926" s="60" t="str">
        <f>IF($A926="","",[1]weekly_demand!H927)</f>
        <v/>
      </c>
      <c r="D926" s="61" t="str">
        <f>IF($A926="","",IF(SUMIFS([1]Fixture_Capacity_Input!$C:$C,[1]Fixture_Capacity_Input!$A:$A,$B926,[1]Fixture_Capacity_Input!$B:$B,$C926)&gt;0,SUMIFS([1]Fixture_Capacity_Input!$C:$C,[1]Fixture_Capacity_Input!$A:$A,$B926,[1]Fixture_Capacity_Input!$B:$B,$C926),[1]weekly_demand!G927))</f>
        <v/>
      </c>
      <c r="E926" s="62" t="str">
        <f>IF($A926="","",[1]weekly_demand!I927)</f>
        <v/>
      </c>
      <c r="F926" s="61" t="str">
        <f>IF($A926="","",IF($A926&lt;&gt;$A925,IFERROR(INDEX([1]FG_Begin_Inventory!$B:$B,MATCH($A926,[1]FG_Begin_Inventory!$A:$A,0)),0),J925))</f>
        <v/>
      </c>
      <c r="G926" s="61" t="str">
        <f t="shared" si="101"/>
        <v/>
      </c>
      <c r="H926" s="62" t="str">
        <f t="shared" si="102"/>
        <v/>
      </c>
      <c r="I926" s="62" t="str">
        <f t="shared" si="103"/>
        <v/>
      </c>
      <c r="J926" s="62" t="str">
        <f t="shared" si="104"/>
        <v/>
      </c>
      <c r="K926" s="62" t="str">
        <f t="shared" si="105"/>
        <v/>
      </c>
      <c r="L926" s="62" t="str">
        <f t="shared" si="106"/>
        <v/>
      </c>
      <c r="M926" s="63" t="str">
        <f t="shared" si="107"/>
        <v/>
      </c>
      <c r="N926" s="64"/>
    </row>
    <row r="927" spans="1:14" x14ac:dyDescent="0.3">
      <c r="A927" s="58" t="str">
        <f>IF([1]weekly_demand!A928="","",[1]weekly_demand!A928)</f>
        <v/>
      </c>
      <c r="B927" s="59" t="str">
        <f>IF($A927="","",[1]weekly_demand!F928)</f>
        <v/>
      </c>
      <c r="C927" s="60" t="str">
        <f>IF($A927="","",[1]weekly_demand!H928)</f>
        <v/>
      </c>
      <c r="D927" s="61" t="str">
        <f>IF($A927="","",IF(SUMIFS([1]Fixture_Capacity_Input!$C:$C,[1]Fixture_Capacity_Input!$A:$A,$B927,[1]Fixture_Capacity_Input!$B:$B,$C927)&gt;0,SUMIFS([1]Fixture_Capacity_Input!$C:$C,[1]Fixture_Capacity_Input!$A:$A,$B927,[1]Fixture_Capacity_Input!$B:$B,$C927),[1]weekly_demand!G928))</f>
        <v/>
      </c>
      <c r="E927" s="62" t="str">
        <f>IF($A927="","",[1]weekly_demand!I928)</f>
        <v/>
      </c>
      <c r="F927" s="61" t="str">
        <f>IF($A927="","",IF($A927&lt;&gt;$A926,IFERROR(INDEX([1]FG_Begin_Inventory!$B:$B,MATCH($A927,[1]FG_Begin_Inventory!$A:$A,0)),0),J926))</f>
        <v/>
      </c>
      <c r="G927" s="61" t="str">
        <f t="shared" si="101"/>
        <v/>
      </c>
      <c r="H927" s="62" t="str">
        <f t="shared" si="102"/>
        <v/>
      </c>
      <c r="I927" s="62" t="str">
        <f t="shared" si="103"/>
        <v/>
      </c>
      <c r="J927" s="62" t="str">
        <f t="shared" si="104"/>
        <v/>
      </c>
      <c r="K927" s="62" t="str">
        <f t="shared" si="105"/>
        <v/>
      </c>
      <c r="L927" s="62" t="str">
        <f t="shared" si="106"/>
        <v/>
      </c>
      <c r="M927" s="63" t="str">
        <f t="shared" si="107"/>
        <v/>
      </c>
      <c r="N927" s="64"/>
    </row>
    <row r="928" spans="1:14" x14ac:dyDescent="0.3">
      <c r="A928" s="58" t="str">
        <f>IF([1]weekly_demand!A929="","",[1]weekly_demand!A929)</f>
        <v/>
      </c>
      <c r="B928" s="59" t="str">
        <f>IF($A928="","",[1]weekly_demand!F929)</f>
        <v/>
      </c>
      <c r="C928" s="60" t="str">
        <f>IF($A928="","",[1]weekly_demand!H929)</f>
        <v/>
      </c>
      <c r="D928" s="61" t="str">
        <f>IF($A928="","",IF(SUMIFS([1]Fixture_Capacity_Input!$C:$C,[1]Fixture_Capacity_Input!$A:$A,$B928,[1]Fixture_Capacity_Input!$B:$B,$C928)&gt;0,SUMIFS([1]Fixture_Capacity_Input!$C:$C,[1]Fixture_Capacity_Input!$A:$A,$B928,[1]Fixture_Capacity_Input!$B:$B,$C928),[1]weekly_demand!G929))</f>
        <v/>
      </c>
      <c r="E928" s="62" t="str">
        <f>IF($A928="","",[1]weekly_demand!I929)</f>
        <v/>
      </c>
      <c r="F928" s="61" t="str">
        <f>IF($A928="","",IF($A928&lt;&gt;$A927,IFERROR(INDEX([1]FG_Begin_Inventory!$B:$B,MATCH($A928,[1]FG_Begin_Inventory!$A:$A,0)),0),J927))</f>
        <v/>
      </c>
      <c r="G928" s="61" t="str">
        <f t="shared" si="101"/>
        <v/>
      </c>
      <c r="H928" s="62" t="str">
        <f t="shared" si="102"/>
        <v/>
      </c>
      <c r="I928" s="62" t="str">
        <f t="shared" si="103"/>
        <v/>
      </c>
      <c r="J928" s="62" t="str">
        <f t="shared" si="104"/>
        <v/>
      </c>
      <c r="K928" s="62" t="str">
        <f t="shared" si="105"/>
        <v/>
      </c>
      <c r="L928" s="62" t="str">
        <f t="shared" si="106"/>
        <v/>
      </c>
      <c r="M928" s="63" t="str">
        <f t="shared" si="107"/>
        <v/>
      </c>
      <c r="N928" s="64"/>
    </row>
    <row r="929" spans="1:14" x14ac:dyDescent="0.3">
      <c r="A929" s="58" t="str">
        <f>IF([1]weekly_demand!A930="","",[1]weekly_demand!A930)</f>
        <v/>
      </c>
      <c r="B929" s="59" t="str">
        <f>IF($A929="","",[1]weekly_demand!F930)</f>
        <v/>
      </c>
      <c r="C929" s="60" t="str">
        <f>IF($A929="","",[1]weekly_demand!H930)</f>
        <v/>
      </c>
      <c r="D929" s="61" t="str">
        <f>IF($A929="","",IF(SUMIFS([1]Fixture_Capacity_Input!$C:$C,[1]Fixture_Capacity_Input!$A:$A,$B929,[1]Fixture_Capacity_Input!$B:$B,$C929)&gt;0,SUMIFS([1]Fixture_Capacity_Input!$C:$C,[1]Fixture_Capacity_Input!$A:$A,$B929,[1]Fixture_Capacity_Input!$B:$B,$C929),[1]weekly_demand!G930))</f>
        <v/>
      </c>
      <c r="E929" s="62" t="str">
        <f>IF($A929="","",[1]weekly_demand!I930)</f>
        <v/>
      </c>
      <c r="F929" s="61" t="str">
        <f>IF($A929="","",IF($A929&lt;&gt;$A928,IFERROR(INDEX([1]FG_Begin_Inventory!$B:$B,MATCH($A929,[1]FG_Begin_Inventory!$A:$A,0)),0),J928))</f>
        <v/>
      </c>
      <c r="G929" s="61" t="str">
        <f t="shared" si="101"/>
        <v/>
      </c>
      <c r="H929" s="62" t="str">
        <f t="shared" si="102"/>
        <v/>
      </c>
      <c r="I929" s="62" t="str">
        <f t="shared" si="103"/>
        <v/>
      </c>
      <c r="J929" s="62" t="str">
        <f t="shared" si="104"/>
        <v/>
      </c>
      <c r="K929" s="62" t="str">
        <f t="shared" si="105"/>
        <v/>
      </c>
      <c r="L929" s="62" t="str">
        <f t="shared" si="106"/>
        <v/>
      </c>
      <c r="M929" s="63" t="str">
        <f t="shared" si="107"/>
        <v/>
      </c>
      <c r="N929" s="64"/>
    </row>
    <row r="930" spans="1:14" x14ac:dyDescent="0.3">
      <c r="A930" s="58" t="str">
        <f>IF([1]weekly_demand!A931="","",[1]weekly_demand!A931)</f>
        <v/>
      </c>
      <c r="B930" s="59" t="str">
        <f>IF($A930="","",[1]weekly_demand!F931)</f>
        <v/>
      </c>
      <c r="C930" s="60" t="str">
        <f>IF($A930="","",[1]weekly_demand!H931)</f>
        <v/>
      </c>
      <c r="D930" s="61" t="str">
        <f>IF($A930="","",IF(SUMIFS([1]Fixture_Capacity_Input!$C:$C,[1]Fixture_Capacity_Input!$A:$A,$B930,[1]Fixture_Capacity_Input!$B:$B,$C930)&gt;0,SUMIFS([1]Fixture_Capacity_Input!$C:$C,[1]Fixture_Capacity_Input!$A:$A,$B930,[1]Fixture_Capacity_Input!$B:$B,$C930),[1]weekly_demand!G931))</f>
        <v/>
      </c>
      <c r="E930" s="62" t="str">
        <f>IF($A930="","",[1]weekly_demand!I931)</f>
        <v/>
      </c>
      <c r="F930" s="61" t="str">
        <f>IF($A930="","",IF($A930&lt;&gt;$A929,IFERROR(INDEX([1]FG_Begin_Inventory!$B:$B,MATCH($A930,[1]FG_Begin_Inventory!$A:$A,0)),0),J929))</f>
        <v/>
      </c>
      <c r="G930" s="61" t="str">
        <f t="shared" si="101"/>
        <v/>
      </c>
      <c r="H930" s="62" t="str">
        <f t="shared" si="102"/>
        <v/>
      </c>
      <c r="I930" s="62" t="str">
        <f t="shared" si="103"/>
        <v/>
      </c>
      <c r="J930" s="62" t="str">
        <f t="shared" si="104"/>
        <v/>
      </c>
      <c r="K930" s="62" t="str">
        <f t="shared" si="105"/>
        <v/>
      </c>
      <c r="L930" s="62" t="str">
        <f t="shared" si="106"/>
        <v/>
      </c>
      <c r="M930" s="63" t="str">
        <f t="shared" si="107"/>
        <v/>
      </c>
      <c r="N930" s="64"/>
    </row>
    <row r="931" spans="1:14" x14ac:dyDescent="0.3">
      <c r="A931" s="58" t="str">
        <f>IF([1]weekly_demand!A932="","",[1]weekly_demand!A932)</f>
        <v/>
      </c>
      <c r="B931" s="59" t="str">
        <f>IF($A931="","",[1]weekly_demand!F932)</f>
        <v/>
      </c>
      <c r="C931" s="60" t="str">
        <f>IF($A931="","",[1]weekly_demand!H932)</f>
        <v/>
      </c>
      <c r="D931" s="61" t="str">
        <f>IF($A931="","",IF(SUMIFS([1]Fixture_Capacity_Input!$C:$C,[1]Fixture_Capacity_Input!$A:$A,$B931,[1]Fixture_Capacity_Input!$B:$B,$C931)&gt;0,SUMIFS([1]Fixture_Capacity_Input!$C:$C,[1]Fixture_Capacity_Input!$A:$A,$B931,[1]Fixture_Capacity_Input!$B:$B,$C931),[1]weekly_demand!G932))</f>
        <v/>
      </c>
      <c r="E931" s="62" t="str">
        <f>IF($A931="","",[1]weekly_demand!I932)</f>
        <v/>
      </c>
      <c r="F931" s="61" t="str">
        <f>IF($A931="","",IF($A931&lt;&gt;$A930,IFERROR(INDEX([1]FG_Begin_Inventory!$B:$B,MATCH($A931,[1]FG_Begin_Inventory!$A:$A,0)),0),J930))</f>
        <v/>
      </c>
      <c r="G931" s="61" t="str">
        <f t="shared" si="101"/>
        <v/>
      </c>
      <c r="H931" s="62" t="str">
        <f t="shared" si="102"/>
        <v/>
      </c>
      <c r="I931" s="62" t="str">
        <f t="shared" si="103"/>
        <v/>
      </c>
      <c r="J931" s="62" t="str">
        <f t="shared" si="104"/>
        <v/>
      </c>
      <c r="K931" s="62" t="str">
        <f t="shared" si="105"/>
        <v/>
      </c>
      <c r="L931" s="62" t="str">
        <f t="shared" si="106"/>
        <v/>
      </c>
      <c r="M931" s="63" t="str">
        <f t="shared" si="107"/>
        <v/>
      </c>
      <c r="N931" s="64"/>
    </row>
    <row r="932" spans="1:14" x14ac:dyDescent="0.3">
      <c r="A932" s="58" t="str">
        <f>IF([1]weekly_demand!A933="","",[1]weekly_demand!A933)</f>
        <v/>
      </c>
      <c r="B932" s="59" t="str">
        <f>IF($A932="","",[1]weekly_demand!F933)</f>
        <v/>
      </c>
      <c r="C932" s="60" t="str">
        <f>IF($A932="","",[1]weekly_demand!H933)</f>
        <v/>
      </c>
      <c r="D932" s="61" t="str">
        <f>IF($A932="","",IF(SUMIFS([1]Fixture_Capacity_Input!$C:$C,[1]Fixture_Capacity_Input!$A:$A,$B932,[1]Fixture_Capacity_Input!$B:$B,$C932)&gt;0,SUMIFS([1]Fixture_Capacity_Input!$C:$C,[1]Fixture_Capacity_Input!$A:$A,$B932,[1]Fixture_Capacity_Input!$B:$B,$C932),[1]weekly_demand!G933))</f>
        <v/>
      </c>
      <c r="E932" s="62" t="str">
        <f>IF($A932="","",[1]weekly_demand!I933)</f>
        <v/>
      </c>
      <c r="F932" s="61" t="str">
        <f>IF($A932="","",IF($A932&lt;&gt;$A931,IFERROR(INDEX([1]FG_Begin_Inventory!$B:$B,MATCH($A932,[1]FG_Begin_Inventory!$A:$A,0)),0),J931))</f>
        <v/>
      </c>
      <c r="G932" s="61" t="str">
        <f t="shared" si="101"/>
        <v/>
      </c>
      <c r="H932" s="62" t="str">
        <f t="shared" si="102"/>
        <v/>
      </c>
      <c r="I932" s="62" t="str">
        <f t="shared" si="103"/>
        <v/>
      </c>
      <c r="J932" s="62" t="str">
        <f t="shared" si="104"/>
        <v/>
      </c>
      <c r="K932" s="62" t="str">
        <f t="shared" si="105"/>
        <v/>
      </c>
      <c r="L932" s="62" t="str">
        <f t="shared" si="106"/>
        <v/>
      </c>
      <c r="M932" s="63" t="str">
        <f t="shared" si="107"/>
        <v/>
      </c>
      <c r="N932" s="64"/>
    </row>
    <row r="933" spans="1:14" x14ac:dyDescent="0.3">
      <c r="A933" s="58" t="str">
        <f>IF([1]weekly_demand!A934="","",[1]weekly_demand!A934)</f>
        <v/>
      </c>
      <c r="B933" s="59" t="str">
        <f>IF($A933="","",[1]weekly_demand!F934)</f>
        <v/>
      </c>
      <c r="C933" s="60" t="str">
        <f>IF($A933="","",[1]weekly_demand!H934)</f>
        <v/>
      </c>
      <c r="D933" s="61" t="str">
        <f>IF($A933="","",IF(SUMIFS([1]Fixture_Capacity_Input!$C:$C,[1]Fixture_Capacity_Input!$A:$A,$B933,[1]Fixture_Capacity_Input!$B:$B,$C933)&gt;0,SUMIFS([1]Fixture_Capacity_Input!$C:$C,[1]Fixture_Capacity_Input!$A:$A,$B933,[1]Fixture_Capacity_Input!$B:$B,$C933),[1]weekly_demand!G934))</f>
        <v/>
      </c>
      <c r="E933" s="62" t="str">
        <f>IF($A933="","",[1]weekly_demand!I934)</f>
        <v/>
      </c>
      <c r="F933" s="61" t="str">
        <f>IF($A933="","",IF($A933&lt;&gt;$A932,IFERROR(INDEX([1]FG_Begin_Inventory!$B:$B,MATCH($A933,[1]FG_Begin_Inventory!$A:$A,0)),0),J932))</f>
        <v/>
      </c>
      <c r="G933" s="61" t="str">
        <f t="shared" si="101"/>
        <v/>
      </c>
      <c r="H933" s="62" t="str">
        <f t="shared" si="102"/>
        <v/>
      </c>
      <c r="I933" s="62" t="str">
        <f t="shared" si="103"/>
        <v/>
      </c>
      <c r="J933" s="62" t="str">
        <f t="shared" si="104"/>
        <v/>
      </c>
      <c r="K933" s="62" t="str">
        <f t="shared" si="105"/>
        <v/>
      </c>
      <c r="L933" s="62" t="str">
        <f t="shared" si="106"/>
        <v/>
      </c>
      <c r="M933" s="63" t="str">
        <f t="shared" si="107"/>
        <v/>
      </c>
      <c r="N933" s="64"/>
    </row>
    <row r="934" spans="1:14" x14ac:dyDescent="0.3">
      <c r="A934" s="58" t="str">
        <f>IF([1]weekly_demand!A935="","",[1]weekly_demand!A935)</f>
        <v/>
      </c>
      <c r="B934" s="59" t="str">
        <f>IF($A934="","",[1]weekly_demand!F935)</f>
        <v/>
      </c>
      <c r="C934" s="60" t="str">
        <f>IF($A934="","",[1]weekly_demand!H935)</f>
        <v/>
      </c>
      <c r="D934" s="61" t="str">
        <f>IF($A934="","",IF(SUMIFS([1]Fixture_Capacity_Input!$C:$C,[1]Fixture_Capacity_Input!$A:$A,$B934,[1]Fixture_Capacity_Input!$B:$B,$C934)&gt;0,SUMIFS([1]Fixture_Capacity_Input!$C:$C,[1]Fixture_Capacity_Input!$A:$A,$B934,[1]Fixture_Capacity_Input!$B:$B,$C934),[1]weekly_demand!G935))</f>
        <v/>
      </c>
      <c r="E934" s="62" t="str">
        <f>IF($A934="","",[1]weekly_demand!I935)</f>
        <v/>
      </c>
      <c r="F934" s="61" t="str">
        <f>IF($A934="","",IF($A934&lt;&gt;$A933,IFERROR(INDEX([1]FG_Begin_Inventory!$B:$B,MATCH($A934,[1]FG_Begin_Inventory!$A:$A,0)),0),J933))</f>
        <v/>
      </c>
      <c r="G934" s="61" t="str">
        <f t="shared" si="101"/>
        <v/>
      </c>
      <c r="H934" s="62" t="str">
        <f t="shared" si="102"/>
        <v/>
      </c>
      <c r="I934" s="62" t="str">
        <f t="shared" si="103"/>
        <v/>
      </c>
      <c r="J934" s="62" t="str">
        <f t="shared" si="104"/>
        <v/>
      </c>
      <c r="K934" s="62" t="str">
        <f t="shared" si="105"/>
        <v/>
      </c>
      <c r="L934" s="62" t="str">
        <f t="shared" si="106"/>
        <v/>
      </c>
      <c r="M934" s="63" t="str">
        <f t="shared" si="107"/>
        <v/>
      </c>
      <c r="N934" s="64"/>
    </row>
    <row r="935" spans="1:14" x14ac:dyDescent="0.3">
      <c r="A935" s="58" t="str">
        <f>IF([1]weekly_demand!A936="","",[1]weekly_demand!A936)</f>
        <v/>
      </c>
      <c r="B935" s="59" t="str">
        <f>IF($A935="","",[1]weekly_demand!F936)</f>
        <v/>
      </c>
      <c r="C935" s="60" t="str">
        <f>IF($A935="","",[1]weekly_demand!H936)</f>
        <v/>
      </c>
      <c r="D935" s="61" t="str">
        <f>IF($A935="","",IF(SUMIFS([1]Fixture_Capacity_Input!$C:$C,[1]Fixture_Capacity_Input!$A:$A,$B935,[1]Fixture_Capacity_Input!$B:$B,$C935)&gt;0,SUMIFS([1]Fixture_Capacity_Input!$C:$C,[1]Fixture_Capacity_Input!$A:$A,$B935,[1]Fixture_Capacity_Input!$B:$B,$C935),[1]weekly_demand!G936))</f>
        <v/>
      </c>
      <c r="E935" s="62" t="str">
        <f>IF($A935="","",[1]weekly_demand!I936)</f>
        <v/>
      </c>
      <c r="F935" s="61" t="str">
        <f>IF($A935="","",IF($A935&lt;&gt;$A934,IFERROR(INDEX([1]FG_Begin_Inventory!$B:$B,MATCH($A935,[1]FG_Begin_Inventory!$A:$A,0)),0),J934))</f>
        <v/>
      </c>
      <c r="G935" s="61" t="str">
        <f t="shared" si="101"/>
        <v/>
      </c>
      <c r="H935" s="62" t="str">
        <f t="shared" si="102"/>
        <v/>
      </c>
      <c r="I935" s="62" t="str">
        <f t="shared" si="103"/>
        <v/>
      </c>
      <c r="J935" s="62" t="str">
        <f t="shared" si="104"/>
        <v/>
      </c>
      <c r="K935" s="62" t="str">
        <f t="shared" si="105"/>
        <v/>
      </c>
      <c r="L935" s="62" t="str">
        <f t="shared" si="106"/>
        <v/>
      </c>
      <c r="M935" s="63" t="str">
        <f t="shared" si="107"/>
        <v/>
      </c>
      <c r="N935" s="64"/>
    </row>
    <row r="936" spans="1:14" x14ac:dyDescent="0.3">
      <c r="A936" s="58" t="str">
        <f>IF([1]weekly_demand!A937="","",[1]weekly_demand!A937)</f>
        <v/>
      </c>
      <c r="B936" s="59" t="str">
        <f>IF($A936="","",[1]weekly_demand!F937)</f>
        <v/>
      </c>
      <c r="C936" s="60" t="str">
        <f>IF($A936="","",[1]weekly_demand!H937)</f>
        <v/>
      </c>
      <c r="D936" s="61" t="str">
        <f>IF($A936="","",IF(SUMIFS([1]Fixture_Capacity_Input!$C:$C,[1]Fixture_Capacity_Input!$A:$A,$B936,[1]Fixture_Capacity_Input!$B:$B,$C936)&gt;0,SUMIFS([1]Fixture_Capacity_Input!$C:$C,[1]Fixture_Capacity_Input!$A:$A,$B936,[1]Fixture_Capacity_Input!$B:$B,$C936),[1]weekly_demand!G937))</f>
        <v/>
      </c>
      <c r="E936" s="62" t="str">
        <f>IF($A936="","",[1]weekly_demand!I937)</f>
        <v/>
      </c>
      <c r="F936" s="61" t="str">
        <f>IF($A936="","",IF($A936&lt;&gt;$A935,IFERROR(INDEX([1]FG_Begin_Inventory!$B:$B,MATCH($A936,[1]FG_Begin_Inventory!$A:$A,0)),0),J935))</f>
        <v/>
      </c>
      <c r="G936" s="61" t="str">
        <f t="shared" si="101"/>
        <v/>
      </c>
      <c r="H936" s="62" t="str">
        <f t="shared" si="102"/>
        <v/>
      </c>
      <c r="I936" s="62" t="str">
        <f t="shared" si="103"/>
        <v/>
      </c>
      <c r="J936" s="62" t="str">
        <f t="shared" si="104"/>
        <v/>
      </c>
      <c r="K936" s="62" t="str">
        <f t="shared" si="105"/>
        <v/>
      </c>
      <c r="L936" s="62" t="str">
        <f t="shared" si="106"/>
        <v/>
      </c>
      <c r="M936" s="63" t="str">
        <f t="shared" si="107"/>
        <v/>
      </c>
      <c r="N936" s="64"/>
    </row>
    <row r="937" spans="1:14" x14ac:dyDescent="0.3">
      <c r="A937" s="58" t="str">
        <f>IF([1]weekly_demand!A938="","",[1]weekly_demand!A938)</f>
        <v/>
      </c>
      <c r="B937" s="59" t="str">
        <f>IF($A937="","",[1]weekly_demand!F938)</f>
        <v/>
      </c>
      <c r="C937" s="60" t="str">
        <f>IF($A937="","",[1]weekly_demand!H938)</f>
        <v/>
      </c>
      <c r="D937" s="61" t="str">
        <f>IF($A937="","",IF(SUMIFS([1]Fixture_Capacity_Input!$C:$C,[1]Fixture_Capacity_Input!$A:$A,$B937,[1]Fixture_Capacity_Input!$B:$B,$C937)&gt;0,SUMIFS([1]Fixture_Capacity_Input!$C:$C,[1]Fixture_Capacity_Input!$A:$A,$B937,[1]Fixture_Capacity_Input!$B:$B,$C937),[1]weekly_demand!G938))</f>
        <v/>
      </c>
      <c r="E937" s="62" t="str">
        <f>IF($A937="","",[1]weekly_demand!I938)</f>
        <v/>
      </c>
      <c r="F937" s="61" t="str">
        <f>IF($A937="","",IF($A937&lt;&gt;$A936,IFERROR(INDEX([1]FG_Begin_Inventory!$B:$B,MATCH($A937,[1]FG_Begin_Inventory!$A:$A,0)),0),J936))</f>
        <v/>
      </c>
      <c r="G937" s="61" t="str">
        <f t="shared" si="101"/>
        <v/>
      </c>
      <c r="H937" s="62" t="str">
        <f t="shared" si="102"/>
        <v/>
      </c>
      <c r="I937" s="62" t="str">
        <f t="shared" si="103"/>
        <v/>
      </c>
      <c r="J937" s="62" t="str">
        <f t="shared" si="104"/>
        <v/>
      </c>
      <c r="K937" s="62" t="str">
        <f t="shared" si="105"/>
        <v/>
      </c>
      <c r="L937" s="62" t="str">
        <f t="shared" si="106"/>
        <v/>
      </c>
      <c r="M937" s="63" t="str">
        <f t="shared" si="107"/>
        <v/>
      </c>
      <c r="N937" s="64"/>
    </row>
    <row r="938" spans="1:14" x14ac:dyDescent="0.3">
      <c r="A938" s="58" t="str">
        <f>IF([1]weekly_demand!A939="","",[1]weekly_demand!A939)</f>
        <v/>
      </c>
      <c r="B938" s="59" t="str">
        <f>IF($A938="","",[1]weekly_demand!F939)</f>
        <v/>
      </c>
      <c r="C938" s="60" t="str">
        <f>IF($A938="","",[1]weekly_demand!H939)</f>
        <v/>
      </c>
      <c r="D938" s="61" t="str">
        <f>IF($A938="","",IF(SUMIFS([1]Fixture_Capacity_Input!$C:$C,[1]Fixture_Capacity_Input!$A:$A,$B938,[1]Fixture_Capacity_Input!$B:$B,$C938)&gt;0,SUMIFS([1]Fixture_Capacity_Input!$C:$C,[1]Fixture_Capacity_Input!$A:$A,$B938,[1]Fixture_Capacity_Input!$B:$B,$C938),[1]weekly_demand!G939))</f>
        <v/>
      </c>
      <c r="E938" s="62" t="str">
        <f>IF($A938="","",[1]weekly_demand!I939)</f>
        <v/>
      </c>
      <c r="F938" s="61" t="str">
        <f>IF($A938="","",IF($A938&lt;&gt;$A937,IFERROR(INDEX([1]FG_Begin_Inventory!$B:$B,MATCH($A938,[1]FG_Begin_Inventory!$A:$A,0)),0),J937))</f>
        <v/>
      </c>
      <c r="G938" s="61" t="str">
        <f t="shared" si="101"/>
        <v/>
      </c>
      <c r="H938" s="62" t="str">
        <f t="shared" si="102"/>
        <v/>
      </c>
      <c r="I938" s="62" t="str">
        <f t="shared" si="103"/>
        <v/>
      </c>
      <c r="J938" s="62" t="str">
        <f t="shared" si="104"/>
        <v/>
      </c>
      <c r="K938" s="62" t="str">
        <f t="shared" si="105"/>
        <v/>
      </c>
      <c r="L938" s="62" t="str">
        <f t="shared" si="106"/>
        <v/>
      </c>
      <c r="M938" s="63" t="str">
        <f t="shared" si="107"/>
        <v/>
      </c>
      <c r="N938" s="64"/>
    </row>
    <row r="939" spans="1:14" x14ac:dyDescent="0.3">
      <c r="A939" s="58" t="str">
        <f>IF([1]weekly_demand!A940="","",[1]weekly_demand!A940)</f>
        <v/>
      </c>
      <c r="B939" s="59" t="str">
        <f>IF($A939="","",[1]weekly_demand!F940)</f>
        <v/>
      </c>
      <c r="C939" s="60" t="str">
        <f>IF($A939="","",[1]weekly_demand!H940)</f>
        <v/>
      </c>
      <c r="D939" s="61" t="str">
        <f>IF($A939="","",IF(SUMIFS([1]Fixture_Capacity_Input!$C:$C,[1]Fixture_Capacity_Input!$A:$A,$B939,[1]Fixture_Capacity_Input!$B:$B,$C939)&gt;0,SUMIFS([1]Fixture_Capacity_Input!$C:$C,[1]Fixture_Capacity_Input!$A:$A,$B939,[1]Fixture_Capacity_Input!$B:$B,$C939),[1]weekly_demand!G940))</f>
        <v/>
      </c>
      <c r="E939" s="62" t="str">
        <f>IF($A939="","",[1]weekly_demand!I940)</f>
        <v/>
      </c>
      <c r="F939" s="61" t="str">
        <f>IF($A939="","",IF($A939&lt;&gt;$A938,IFERROR(INDEX([1]FG_Begin_Inventory!$B:$B,MATCH($A939,[1]FG_Begin_Inventory!$A:$A,0)),0),J938))</f>
        <v/>
      </c>
      <c r="G939" s="61" t="str">
        <f t="shared" si="101"/>
        <v/>
      </c>
      <c r="H939" s="62" t="str">
        <f t="shared" si="102"/>
        <v/>
      </c>
      <c r="I939" s="62" t="str">
        <f t="shared" si="103"/>
        <v/>
      </c>
      <c r="J939" s="62" t="str">
        <f t="shared" si="104"/>
        <v/>
      </c>
      <c r="K939" s="62" t="str">
        <f t="shared" si="105"/>
        <v/>
      </c>
      <c r="L939" s="62" t="str">
        <f t="shared" si="106"/>
        <v/>
      </c>
      <c r="M939" s="63" t="str">
        <f t="shared" si="107"/>
        <v/>
      </c>
      <c r="N939" s="64"/>
    </row>
    <row r="940" spans="1:14" x14ac:dyDescent="0.3">
      <c r="A940" s="58" t="str">
        <f>IF([1]weekly_demand!A941="","",[1]weekly_demand!A941)</f>
        <v/>
      </c>
      <c r="B940" s="59" t="str">
        <f>IF($A940="","",[1]weekly_demand!F941)</f>
        <v/>
      </c>
      <c r="C940" s="60" t="str">
        <f>IF($A940="","",[1]weekly_demand!H941)</f>
        <v/>
      </c>
      <c r="D940" s="61" t="str">
        <f>IF($A940="","",IF(SUMIFS([1]Fixture_Capacity_Input!$C:$C,[1]Fixture_Capacity_Input!$A:$A,$B940,[1]Fixture_Capacity_Input!$B:$B,$C940)&gt;0,SUMIFS([1]Fixture_Capacity_Input!$C:$C,[1]Fixture_Capacity_Input!$A:$A,$B940,[1]Fixture_Capacity_Input!$B:$B,$C940),[1]weekly_demand!G941))</f>
        <v/>
      </c>
      <c r="E940" s="62" t="str">
        <f>IF($A940="","",[1]weekly_demand!I941)</f>
        <v/>
      </c>
      <c r="F940" s="61" t="str">
        <f>IF($A940="","",IF($A940&lt;&gt;$A939,IFERROR(INDEX([1]FG_Begin_Inventory!$B:$B,MATCH($A940,[1]FG_Begin_Inventory!$A:$A,0)),0),J939))</f>
        <v/>
      </c>
      <c r="G940" s="61" t="str">
        <f t="shared" si="101"/>
        <v/>
      </c>
      <c r="H940" s="62" t="str">
        <f t="shared" si="102"/>
        <v/>
      </c>
      <c r="I940" s="62" t="str">
        <f t="shared" si="103"/>
        <v/>
      </c>
      <c r="J940" s="62" t="str">
        <f t="shared" si="104"/>
        <v/>
      </c>
      <c r="K940" s="62" t="str">
        <f t="shared" si="105"/>
        <v/>
      </c>
      <c r="L940" s="62" t="str">
        <f t="shared" si="106"/>
        <v/>
      </c>
      <c r="M940" s="63" t="str">
        <f t="shared" si="107"/>
        <v/>
      </c>
      <c r="N940" s="64"/>
    </row>
    <row r="941" spans="1:14" x14ac:dyDescent="0.3">
      <c r="A941" s="58" t="str">
        <f>IF([1]weekly_demand!A942="","",[1]weekly_demand!A942)</f>
        <v/>
      </c>
      <c r="B941" s="59" t="str">
        <f>IF($A941="","",[1]weekly_demand!F942)</f>
        <v/>
      </c>
      <c r="C941" s="60" t="str">
        <f>IF($A941="","",[1]weekly_demand!H942)</f>
        <v/>
      </c>
      <c r="D941" s="61" t="str">
        <f>IF($A941="","",IF(SUMIFS([1]Fixture_Capacity_Input!$C:$C,[1]Fixture_Capacity_Input!$A:$A,$B941,[1]Fixture_Capacity_Input!$B:$B,$C941)&gt;0,SUMIFS([1]Fixture_Capacity_Input!$C:$C,[1]Fixture_Capacity_Input!$A:$A,$B941,[1]Fixture_Capacity_Input!$B:$B,$C941),[1]weekly_demand!G942))</f>
        <v/>
      </c>
      <c r="E941" s="62" t="str">
        <f>IF($A941="","",[1]weekly_demand!I942)</f>
        <v/>
      </c>
      <c r="F941" s="61" t="str">
        <f>IF($A941="","",IF($A941&lt;&gt;$A940,IFERROR(INDEX([1]FG_Begin_Inventory!$B:$B,MATCH($A941,[1]FG_Begin_Inventory!$A:$A,0)),0),J940))</f>
        <v/>
      </c>
      <c r="G941" s="61" t="str">
        <f t="shared" si="101"/>
        <v/>
      </c>
      <c r="H941" s="62" t="str">
        <f t="shared" si="102"/>
        <v/>
      </c>
      <c r="I941" s="62" t="str">
        <f t="shared" si="103"/>
        <v/>
      </c>
      <c r="J941" s="62" t="str">
        <f t="shared" si="104"/>
        <v/>
      </c>
      <c r="K941" s="62" t="str">
        <f t="shared" si="105"/>
        <v/>
      </c>
      <c r="L941" s="62" t="str">
        <f t="shared" si="106"/>
        <v/>
      </c>
      <c r="M941" s="63" t="str">
        <f t="shared" si="107"/>
        <v/>
      </c>
      <c r="N941" s="64"/>
    </row>
    <row r="942" spans="1:14" x14ac:dyDescent="0.3">
      <c r="A942" s="58" t="str">
        <f>IF([1]weekly_demand!A943="","",[1]weekly_demand!A943)</f>
        <v/>
      </c>
      <c r="B942" s="59" t="str">
        <f>IF($A942="","",[1]weekly_demand!F943)</f>
        <v/>
      </c>
      <c r="C942" s="60" t="str">
        <f>IF($A942="","",[1]weekly_demand!H943)</f>
        <v/>
      </c>
      <c r="D942" s="61" t="str">
        <f>IF($A942="","",IF(SUMIFS([1]Fixture_Capacity_Input!$C:$C,[1]Fixture_Capacity_Input!$A:$A,$B942,[1]Fixture_Capacity_Input!$B:$B,$C942)&gt;0,SUMIFS([1]Fixture_Capacity_Input!$C:$C,[1]Fixture_Capacity_Input!$A:$A,$B942,[1]Fixture_Capacity_Input!$B:$B,$C942),[1]weekly_demand!G943))</f>
        <v/>
      </c>
      <c r="E942" s="62" t="str">
        <f>IF($A942="","",[1]weekly_demand!I943)</f>
        <v/>
      </c>
      <c r="F942" s="61" t="str">
        <f>IF($A942="","",IF($A942&lt;&gt;$A941,IFERROR(INDEX([1]FG_Begin_Inventory!$B:$B,MATCH($A942,[1]FG_Begin_Inventory!$A:$A,0)),0),J941))</f>
        <v/>
      </c>
      <c r="G942" s="61" t="str">
        <f t="shared" si="101"/>
        <v/>
      </c>
      <c r="H942" s="62" t="str">
        <f t="shared" si="102"/>
        <v/>
      </c>
      <c r="I942" s="62" t="str">
        <f t="shared" si="103"/>
        <v/>
      </c>
      <c r="J942" s="62" t="str">
        <f t="shared" si="104"/>
        <v/>
      </c>
      <c r="K942" s="62" t="str">
        <f t="shared" si="105"/>
        <v/>
      </c>
      <c r="L942" s="62" t="str">
        <f t="shared" si="106"/>
        <v/>
      </c>
      <c r="M942" s="63" t="str">
        <f t="shared" si="107"/>
        <v/>
      </c>
      <c r="N942" s="64"/>
    </row>
    <row r="943" spans="1:14" x14ac:dyDescent="0.3">
      <c r="A943" s="58" t="str">
        <f>IF([1]weekly_demand!A944="","",[1]weekly_demand!A944)</f>
        <v/>
      </c>
      <c r="B943" s="59" t="str">
        <f>IF($A943="","",[1]weekly_demand!F944)</f>
        <v/>
      </c>
      <c r="C943" s="60" t="str">
        <f>IF($A943="","",[1]weekly_demand!H944)</f>
        <v/>
      </c>
      <c r="D943" s="61" t="str">
        <f>IF($A943="","",IF(SUMIFS([1]Fixture_Capacity_Input!$C:$C,[1]Fixture_Capacity_Input!$A:$A,$B943,[1]Fixture_Capacity_Input!$B:$B,$C943)&gt;0,SUMIFS([1]Fixture_Capacity_Input!$C:$C,[1]Fixture_Capacity_Input!$A:$A,$B943,[1]Fixture_Capacity_Input!$B:$B,$C943),[1]weekly_demand!G944))</f>
        <v/>
      </c>
      <c r="E943" s="62" t="str">
        <f>IF($A943="","",[1]weekly_demand!I944)</f>
        <v/>
      </c>
      <c r="F943" s="61" t="str">
        <f>IF($A943="","",IF($A943&lt;&gt;$A942,IFERROR(INDEX([1]FG_Begin_Inventory!$B:$B,MATCH($A943,[1]FG_Begin_Inventory!$A:$A,0)),0),J942))</f>
        <v/>
      </c>
      <c r="G943" s="61" t="str">
        <f t="shared" si="101"/>
        <v/>
      </c>
      <c r="H943" s="62" t="str">
        <f t="shared" si="102"/>
        <v/>
      </c>
      <c r="I943" s="62" t="str">
        <f t="shared" si="103"/>
        <v/>
      </c>
      <c r="J943" s="62" t="str">
        <f t="shared" si="104"/>
        <v/>
      </c>
      <c r="K943" s="62" t="str">
        <f t="shared" si="105"/>
        <v/>
      </c>
      <c r="L943" s="62" t="str">
        <f t="shared" si="106"/>
        <v/>
      </c>
      <c r="M943" s="63" t="str">
        <f t="shared" si="107"/>
        <v/>
      </c>
      <c r="N943" s="64"/>
    </row>
    <row r="944" spans="1:14" x14ac:dyDescent="0.3">
      <c r="A944" s="58" t="str">
        <f>IF([1]weekly_demand!A945="","",[1]weekly_demand!A945)</f>
        <v/>
      </c>
      <c r="B944" s="59" t="str">
        <f>IF($A944="","",[1]weekly_demand!F945)</f>
        <v/>
      </c>
      <c r="C944" s="60" t="str">
        <f>IF($A944="","",[1]weekly_demand!H945)</f>
        <v/>
      </c>
      <c r="D944" s="61" t="str">
        <f>IF($A944="","",IF(SUMIFS([1]Fixture_Capacity_Input!$C:$C,[1]Fixture_Capacity_Input!$A:$A,$B944,[1]Fixture_Capacity_Input!$B:$B,$C944)&gt;0,SUMIFS([1]Fixture_Capacity_Input!$C:$C,[1]Fixture_Capacity_Input!$A:$A,$B944,[1]Fixture_Capacity_Input!$B:$B,$C944),[1]weekly_demand!G945))</f>
        <v/>
      </c>
      <c r="E944" s="62" t="str">
        <f>IF($A944="","",[1]weekly_demand!I945)</f>
        <v/>
      </c>
      <c r="F944" s="61" t="str">
        <f>IF($A944="","",IF($A944&lt;&gt;$A943,IFERROR(INDEX([1]FG_Begin_Inventory!$B:$B,MATCH($A944,[1]FG_Begin_Inventory!$A:$A,0)),0),J943))</f>
        <v/>
      </c>
      <c r="G944" s="61" t="str">
        <f t="shared" si="101"/>
        <v/>
      </c>
      <c r="H944" s="62" t="str">
        <f t="shared" si="102"/>
        <v/>
      </c>
      <c r="I944" s="62" t="str">
        <f t="shared" si="103"/>
        <v/>
      </c>
      <c r="J944" s="62" t="str">
        <f t="shared" si="104"/>
        <v/>
      </c>
      <c r="K944" s="62" t="str">
        <f t="shared" si="105"/>
        <v/>
      </c>
      <c r="L944" s="62" t="str">
        <f t="shared" si="106"/>
        <v/>
      </c>
      <c r="M944" s="63" t="str">
        <f t="shared" si="107"/>
        <v/>
      </c>
      <c r="N944" s="64"/>
    </row>
    <row r="945" spans="1:14" x14ac:dyDescent="0.3">
      <c r="A945" s="58" t="str">
        <f>IF([1]weekly_demand!A946="","",[1]weekly_demand!A946)</f>
        <v/>
      </c>
      <c r="B945" s="59" t="str">
        <f>IF($A945="","",[1]weekly_demand!F946)</f>
        <v/>
      </c>
      <c r="C945" s="60" t="str">
        <f>IF($A945="","",[1]weekly_demand!H946)</f>
        <v/>
      </c>
      <c r="D945" s="61" t="str">
        <f>IF($A945="","",IF(SUMIFS([1]Fixture_Capacity_Input!$C:$C,[1]Fixture_Capacity_Input!$A:$A,$B945,[1]Fixture_Capacity_Input!$B:$B,$C945)&gt;0,SUMIFS([1]Fixture_Capacity_Input!$C:$C,[1]Fixture_Capacity_Input!$A:$A,$B945,[1]Fixture_Capacity_Input!$B:$B,$C945),[1]weekly_demand!G946))</f>
        <v/>
      </c>
      <c r="E945" s="62" t="str">
        <f>IF($A945="","",[1]weekly_demand!I946)</f>
        <v/>
      </c>
      <c r="F945" s="61" t="str">
        <f>IF($A945="","",IF($A945&lt;&gt;$A944,IFERROR(INDEX([1]FG_Begin_Inventory!$B:$B,MATCH($A945,[1]FG_Begin_Inventory!$A:$A,0)),0),J944))</f>
        <v/>
      </c>
      <c r="G945" s="61" t="str">
        <f t="shared" si="101"/>
        <v/>
      </c>
      <c r="H945" s="62" t="str">
        <f t="shared" si="102"/>
        <v/>
      </c>
      <c r="I945" s="62" t="str">
        <f t="shared" si="103"/>
        <v/>
      </c>
      <c r="J945" s="62" t="str">
        <f t="shared" si="104"/>
        <v/>
      </c>
      <c r="K945" s="62" t="str">
        <f t="shared" si="105"/>
        <v/>
      </c>
      <c r="L945" s="62" t="str">
        <f t="shared" si="106"/>
        <v/>
      </c>
      <c r="M945" s="63" t="str">
        <f t="shared" si="107"/>
        <v/>
      </c>
      <c r="N945" s="64"/>
    </row>
    <row r="946" spans="1:14" x14ac:dyDescent="0.3">
      <c r="A946" s="58" t="str">
        <f>IF([1]weekly_demand!A947="","",[1]weekly_demand!A947)</f>
        <v/>
      </c>
      <c r="B946" s="59" t="str">
        <f>IF($A946="","",[1]weekly_demand!F947)</f>
        <v/>
      </c>
      <c r="C946" s="60" t="str">
        <f>IF($A946="","",[1]weekly_demand!H947)</f>
        <v/>
      </c>
      <c r="D946" s="61" t="str">
        <f>IF($A946="","",IF(SUMIFS([1]Fixture_Capacity_Input!$C:$C,[1]Fixture_Capacity_Input!$A:$A,$B946,[1]Fixture_Capacity_Input!$B:$B,$C946)&gt;0,SUMIFS([1]Fixture_Capacity_Input!$C:$C,[1]Fixture_Capacity_Input!$A:$A,$B946,[1]Fixture_Capacity_Input!$B:$B,$C946),[1]weekly_demand!G947))</f>
        <v/>
      </c>
      <c r="E946" s="62" t="str">
        <f>IF($A946="","",[1]weekly_demand!I947)</f>
        <v/>
      </c>
      <c r="F946" s="61" t="str">
        <f>IF($A946="","",IF($A946&lt;&gt;$A945,IFERROR(INDEX([1]FG_Begin_Inventory!$B:$B,MATCH($A946,[1]FG_Begin_Inventory!$A:$A,0)),0),J945))</f>
        <v/>
      </c>
      <c r="G946" s="61" t="str">
        <f t="shared" si="101"/>
        <v/>
      </c>
      <c r="H946" s="62" t="str">
        <f t="shared" si="102"/>
        <v/>
      </c>
      <c r="I946" s="62" t="str">
        <f t="shared" si="103"/>
        <v/>
      </c>
      <c r="J946" s="62" t="str">
        <f t="shared" si="104"/>
        <v/>
      </c>
      <c r="K946" s="62" t="str">
        <f t="shared" si="105"/>
        <v/>
      </c>
      <c r="L946" s="62" t="str">
        <f t="shared" si="106"/>
        <v/>
      </c>
      <c r="M946" s="63" t="str">
        <f t="shared" si="107"/>
        <v/>
      </c>
      <c r="N946" s="64"/>
    </row>
    <row r="947" spans="1:14" x14ac:dyDescent="0.3">
      <c r="A947" s="58" t="str">
        <f>IF([1]weekly_demand!A948="","",[1]weekly_demand!A948)</f>
        <v/>
      </c>
      <c r="B947" s="59" t="str">
        <f>IF($A947="","",[1]weekly_demand!F948)</f>
        <v/>
      </c>
      <c r="C947" s="60" t="str">
        <f>IF($A947="","",[1]weekly_demand!H948)</f>
        <v/>
      </c>
      <c r="D947" s="61" t="str">
        <f>IF($A947="","",IF(SUMIFS([1]Fixture_Capacity_Input!$C:$C,[1]Fixture_Capacity_Input!$A:$A,$B947,[1]Fixture_Capacity_Input!$B:$B,$C947)&gt;0,SUMIFS([1]Fixture_Capacity_Input!$C:$C,[1]Fixture_Capacity_Input!$A:$A,$B947,[1]Fixture_Capacity_Input!$B:$B,$C947),[1]weekly_demand!G948))</f>
        <v/>
      </c>
      <c r="E947" s="62" t="str">
        <f>IF($A947="","",[1]weekly_demand!I948)</f>
        <v/>
      </c>
      <c r="F947" s="61" t="str">
        <f>IF($A947="","",IF($A947&lt;&gt;$A946,IFERROR(INDEX([1]FG_Begin_Inventory!$B:$B,MATCH($A947,[1]FG_Begin_Inventory!$A:$A,0)),0),J946))</f>
        <v/>
      </c>
      <c r="G947" s="61" t="str">
        <f t="shared" ref="G947:G1010" si="108">IF($A947="","",IF($A947&lt;&gt;$A948,0,MAX(0,G948+E948-D948)))</f>
        <v/>
      </c>
      <c r="H947" s="62" t="str">
        <f t="shared" si="102"/>
        <v/>
      </c>
      <c r="I947" s="62" t="str">
        <f t="shared" si="103"/>
        <v/>
      </c>
      <c r="J947" s="62" t="str">
        <f t="shared" si="104"/>
        <v/>
      </c>
      <c r="K947" s="62" t="str">
        <f t="shared" si="105"/>
        <v/>
      </c>
      <c r="L947" s="62" t="str">
        <f t="shared" si="106"/>
        <v/>
      </c>
      <c r="M947" s="63" t="str">
        <f t="shared" si="107"/>
        <v/>
      </c>
      <c r="N947" s="64"/>
    </row>
    <row r="948" spans="1:14" x14ac:dyDescent="0.3">
      <c r="A948" s="58" t="str">
        <f>IF([1]weekly_demand!A949="","",[1]weekly_demand!A949)</f>
        <v/>
      </c>
      <c r="B948" s="59" t="str">
        <f>IF($A948="","",[1]weekly_demand!F949)</f>
        <v/>
      </c>
      <c r="C948" s="60" t="str">
        <f>IF($A948="","",[1]weekly_demand!H949)</f>
        <v/>
      </c>
      <c r="D948" s="61" t="str">
        <f>IF($A948="","",IF(SUMIFS([1]Fixture_Capacity_Input!$C:$C,[1]Fixture_Capacity_Input!$A:$A,$B948,[1]Fixture_Capacity_Input!$B:$B,$C948)&gt;0,SUMIFS([1]Fixture_Capacity_Input!$C:$C,[1]Fixture_Capacity_Input!$A:$A,$B948,[1]Fixture_Capacity_Input!$B:$B,$C948),[1]weekly_demand!G949))</f>
        <v/>
      </c>
      <c r="E948" s="62" t="str">
        <f>IF($A948="","",[1]weekly_demand!I949)</f>
        <v/>
      </c>
      <c r="F948" s="61" t="str">
        <f>IF($A948="","",IF($A948&lt;&gt;$A947,IFERROR(INDEX([1]FG_Begin_Inventory!$B:$B,MATCH($A948,[1]FG_Begin_Inventory!$A:$A,0)),0),J947))</f>
        <v/>
      </c>
      <c r="G948" s="61" t="str">
        <f t="shared" si="108"/>
        <v/>
      </c>
      <c r="H948" s="62" t="str">
        <f t="shared" si="102"/>
        <v/>
      </c>
      <c r="I948" s="62" t="str">
        <f t="shared" si="103"/>
        <v/>
      </c>
      <c r="J948" s="62" t="str">
        <f t="shared" si="104"/>
        <v/>
      </c>
      <c r="K948" s="62" t="str">
        <f t="shared" si="105"/>
        <v/>
      </c>
      <c r="L948" s="62" t="str">
        <f t="shared" si="106"/>
        <v/>
      </c>
      <c r="M948" s="63" t="str">
        <f t="shared" si="107"/>
        <v/>
      </c>
      <c r="N948" s="64"/>
    </row>
    <row r="949" spans="1:14" x14ac:dyDescent="0.3">
      <c r="A949" s="58" t="str">
        <f>IF([1]weekly_demand!A950="","",[1]weekly_demand!A950)</f>
        <v/>
      </c>
      <c r="B949" s="59" t="str">
        <f>IF($A949="","",[1]weekly_demand!F950)</f>
        <v/>
      </c>
      <c r="C949" s="60" t="str">
        <f>IF($A949="","",[1]weekly_demand!H950)</f>
        <v/>
      </c>
      <c r="D949" s="61" t="str">
        <f>IF($A949="","",IF(SUMIFS([1]Fixture_Capacity_Input!$C:$C,[1]Fixture_Capacity_Input!$A:$A,$B949,[1]Fixture_Capacity_Input!$B:$B,$C949)&gt;0,SUMIFS([1]Fixture_Capacity_Input!$C:$C,[1]Fixture_Capacity_Input!$A:$A,$B949,[1]Fixture_Capacity_Input!$B:$B,$C949),[1]weekly_demand!G950))</f>
        <v/>
      </c>
      <c r="E949" s="62" t="str">
        <f>IF($A949="","",[1]weekly_demand!I950)</f>
        <v/>
      </c>
      <c r="F949" s="61" t="str">
        <f>IF($A949="","",IF($A949&lt;&gt;$A948,IFERROR(INDEX([1]FG_Begin_Inventory!$B:$B,MATCH($A949,[1]FG_Begin_Inventory!$A:$A,0)),0),J948))</f>
        <v/>
      </c>
      <c r="G949" s="61" t="str">
        <f t="shared" si="108"/>
        <v/>
      </c>
      <c r="H949" s="62" t="str">
        <f t="shared" si="102"/>
        <v/>
      </c>
      <c r="I949" s="62" t="str">
        <f t="shared" si="103"/>
        <v/>
      </c>
      <c r="J949" s="62" t="str">
        <f t="shared" si="104"/>
        <v/>
      </c>
      <c r="K949" s="62" t="str">
        <f t="shared" si="105"/>
        <v/>
      </c>
      <c r="L949" s="62" t="str">
        <f t="shared" si="106"/>
        <v/>
      </c>
      <c r="M949" s="63" t="str">
        <f t="shared" si="107"/>
        <v/>
      </c>
      <c r="N949" s="64"/>
    </row>
    <row r="950" spans="1:14" x14ac:dyDescent="0.3">
      <c r="A950" s="58" t="str">
        <f>IF([1]weekly_demand!A951="","",[1]weekly_demand!A951)</f>
        <v/>
      </c>
      <c r="B950" s="59" t="str">
        <f>IF($A950="","",[1]weekly_demand!F951)</f>
        <v/>
      </c>
      <c r="C950" s="60" t="str">
        <f>IF($A950="","",[1]weekly_demand!H951)</f>
        <v/>
      </c>
      <c r="D950" s="61" t="str">
        <f>IF($A950="","",IF(SUMIFS([1]Fixture_Capacity_Input!$C:$C,[1]Fixture_Capacity_Input!$A:$A,$B950,[1]Fixture_Capacity_Input!$B:$B,$C950)&gt;0,SUMIFS([1]Fixture_Capacity_Input!$C:$C,[1]Fixture_Capacity_Input!$A:$A,$B950,[1]Fixture_Capacity_Input!$B:$B,$C950),[1]weekly_demand!G951))</f>
        <v/>
      </c>
      <c r="E950" s="62" t="str">
        <f>IF($A950="","",[1]weekly_demand!I951)</f>
        <v/>
      </c>
      <c r="F950" s="61" t="str">
        <f>IF($A950="","",IF($A950&lt;&gt;$A949,IFERROR(INDEX([1]FG_Begin_Inventory!$B:$B,MATCH($A950,[1]FG_Begin_Inventory!$A:$A,0)),0),J949))</f>
        <v/>
      </c>
      <c r="G950" s="61" t="str">
        <f t="shared" si="108"/>
        <v/>
      </c>
      <c r="H950" s="62" t="str">
        <f t="shared" si="102"/>
        <v/>
      </c>
      <c r="I950" s="62" t="str">
        <f t="shared" si="103"/>
        <v/>
      </c>
      <c r="J950" s="62" t="str">
        <f t="shared" si="104"/>
        <v/>
      </c>
      <c r="K950" s="62" t="str">
        <f t="shared" si="105"/>
        <v/>
      </c>
      <c r="L950" s="62" t="str">
        <f t="shared" si="106"/>
        <v/>
      </c>
      <c r="M950" s="63" t="str">
        <f t="shared" si="107"/>
        <v/>
      </c>
      <c r="N950" s="64"/>
    </row>
    <row r="951" spans="1:14" x14ac:dyDescent="0.3">
      <c r="A951" s="58" t="str">
        <f>IF([1]weekly_demand!A952="","",[1]weekly_demand!A952)</f>
        <v/>
      </c>
      <c r="B951" s="59" t="str">
        <f>IF($A951="","",[1]weekly_demand!F952)</f>
        <v/>
      </c>
      <c r="C951" s="60" t="str">
        <f>IF($A951="","",[1]weekly_demand!H952)</f>
        <v/>
      </c>
      <c r="D951" s="61" t="str">
        <f>IF($A951="","",IF(SUMIFS([1]Fixture_Capacity_Input!$C:$C,[1]Fixture_Capacity_Input!$A:$A,$B951,[1]Fixture_Capacity_Input!$B:$B,$C951)&gt;0,SUMIFS([1]Fixture_Capacity_Input!$C:$C,[1]Fixture_Capacity_Input!$A:$A,$B951,[1]Fixture_Capacity_Input!$B:$B,$C951),[1]weekly_demand!G952))</f>
        <v/>
      </c>
      <c r="E951" s="62" t="str">
        <f>IF($A951="","",[1]weekly_demand!I952)</f>
        <v/>
      </c>
      <c r="F951" s="61" t="str">
        <f>IF($A951="","",IF($A951&lt;&gt;$A950,IFERROR(INDEX([1]FG_Begin_Inventory!$B:$B,MATCH($A951,[1]FG_Begin_Inventory!$A:$A,0)),0),J950))</f>
        <v/>
      </c>
      <c r="G951" s="61" t="str">
        <f t="shared" si="108"/>
        <v/>
      </c>
      <c r="H951" s="62" t="str">
        <f t="shared" si="102"/>
        <v/>
      </c>
      <c r="I951" s="62" t="str">
        <f t="shared" si="103"/>
        <v/>
      </c>
      <c r="J951" s="62" t="str">
        <f t="shared" si="104"/>
        <v/>
      </c>
      <c r="K951" s="62" t="str">
        <f t="shared" si="105"/>
        <v/>
      </c>
      <c r="L951" s="62" t="str">
        <f t="shared" si="106"/>
        <v/>
      </c>
      <c r="M951" s="63" t="str">
        <f t="shared" si="107"/>
        <v/>
      </c>
      <c r="N951" s="64"/>
    </row>
    <row r="952" spans="1:14" x14ac:dyDescent="0.3">
      <c r="A952" s="58" t="str">
        <f>IF([1]weekly_demand!A953="","",[1]weekly_demand!A953)</f>
        <v/>
      </c>
      <c r="B952" s="59" t="str">
        <f>IF($A952="","",[1]weekly_demand!F953)</f>
        <v/>
      </c>
      <c r="C952" s="60" t="str">
        <f>IF($A952="","",[1]weekly_demand!H953)</f>
        <v/>
      </c>
      <c r="D952" s="61" t="str">
        <f>IF($A952="","",IF(SUMIFS([1]Fixture_Capacity_Input!$C:$C,[1]Fixture_Capacity_Input!$A:$A,$B952,[1]Fixture_Capacity_Input!$B:$B,$C952)&gt;0,SUMIFS([1]Fixture_Capacity_Input!$C:$C,[1]Fixture_Capacity_Input!$A:$A,$B952,[1]Fixture_Capacity_Input!$B:$B,$C952),[1]weekly_demand!G953))</f>
        <v/>
      </c>
      <c r="E952" s="62" t="str">
        <f>IF($A952="","",[1]weekly_demand!I953)</f>
        <v/>
      </c>
      <c r="F952" s="61" t="str">
        <f>IF($A952="","",IF($A952&lt;&gt;$A951,IFERROR(INDEX([1]FG_Begin_Inventory!$B:$B,MATCH($A952,[1]FG_Begin_Inventory!$A:$A,0)),0),J951))</f>
        <v/>
      </c>
      <c r="G952" s="61" t="str">
        <f t="shared" si="108"/>
        <v/>
      </c>
      <c r="H952" s="62" t="str">
        <f t="shared" si="102"/>
        <v/>
      </c>
      <c r="I952" s="62" t="str">
        <f t="shared" si="103"/>
        <v/>
      </c>
      <c r="J952" s="62" t="str">
        <f t="shared" si="104"/>
        <v/>
      </c>
      <c r="K952" s="62" t="str">
        <f t="shared" si="105"/>
        <v/>
      </c>
      <c r="L952" s="62" t="str">
        <f t="shared" si="106"/>
        <v/>
      </c>
      <c r="M952" s="63" t="str">
        <f t="shared" si="107"/>
        <v/>
      </c>
      <c r="N952" s="64"/>
    </row>
    <row r="953" spans="1:14" x14ac:dyDescent="0.3">
      <c r="A953" s="58" t="str">
        <f>IF([1]weekly_demand!A954="","",[1]weekly_demand!A954)</f>
        <v/>
      </c>
      <c r="B953" s="59" t="str">
        <f>IF($A953="","",[1]weekly_demand!F954)</f>
        <v/>
      </c>
      <c r="C953" s="60" t="str">
        <f>IF($A953="","",[1]weekly_demand!H954)</f>
        <v/>
      </c>
      <c r="D953" s="61" t="str">
        <f>IF($A953="","",IF(SUMIFS([1]Fixture_Capacity_Input!$C:$C,[1]Fixture_Capacity_Input!$A:$A,$B953,[1]Fixture_Capacity_Input!$B:$B,$C953)&gt;0,SUMIFS([1]Fixture_Capacity_Input!$C:$C,[1]Fixture_Capacity_Input!$A:$A,$B953,[1]Fixture_Capacity_Input!$B:$B,$C953),[1]weekly_demand!G954))</f>
        <v/>
      </c>
      <c r="E953" s="62" t="str">
        <f>IF($A953="","",[1]weekly_demand!I954)</f>
        <v/>
      </c>
      <c r="F953" s="61" t="str">
        <f>IF($A953="","",IF($A953&lt;&gt;$A952,IFERROR(INDEX([1]FG_Begin_Inventory!$B:$B,MATCH($A953,[1]FG_Begin_Inventory!$A:$A,0)),0),J952))</f>
        <v/>
      </c>
      <c r="G953" s="61" t="str">
        <f t="shared" si="108"/>
        <v/>
      </c>
      <c r="H953" s="62" t="str">
        <f t="shared" si="102"/>
        <v/>
      </c>
      <c r="I953" s="62" t="str">
        <f t="shared" si="103"/>
        <v/>
      </c>
      <c r="J953" s="62" t="str">
        <f t="shared" si="104"/>
        <v/>
      </c>
      <c r="K953" s="62" t="str">
        <f t="shared" si="105"/>
        <v/>
      </c>
      <c r="L953" s="62" t="str">
        <f t="shared" si="106"/>
        <v/>
      </c>
      <c r="M953" s="63" t="str">
        <f t="shared" si="107"/>
        <v/>
      </c>
      <c r="N953" s="64"/>
    </row>
    <row r="954" spans="1:14" x14ac:dyDescent="0.3">
      <c r="A954" s="58" t="str">
        <f>IF([1]weekly_demand!A955="","",[1]weekly_demand!A955)</f>
        <v/>
      </c>
      <c r="B954" s="59" t="str">
        <f>IF($A954="","",[1]weekly_demand!F955)</f>
        <v/>
      </c>
      <c r="C954" s="60" t="str">
        <f>IF($A954="","",[1]weekly_demand!H955)</f>
        <v/>
      </c>
      <c r="D954" s="61" t="str">
        <f>IF($A954="","",IF(SUMIFS([1]Fixture_Capacity_Input!$C:$C,[1]Fixture_Capacity_Input!$A:$A,$B954,[1]Fixture_Capacity_Input!$B:$B,$C954)&gt;0,SUMIFS([1]Fixture_Capacity_Input!$C:$C,[1]Fixture_Capacity_Input!$A:$A,$B954,[1]Fixture_Capacity_Input!$B:$B,$C954),[1]weekly_demand!G955))</f>
        <v/>
      </c>
      <c r="E954" s="62" t="str">
        <f>IF($A954="","",[1]weekly_demand!I955)</f>
        <v/>
      </c>
      <c r="F954" s="61" t="str">
        <f>IF($A954="","",IF($A954&lt;&gt;$A953,IFERROR(INDEX([1]FG_Begin_Inventory!$B:$B,MATCH($A954,[1]FG_Begin_Inventory!$A:$A,0)),0),J953))</f>
        <v/>
      </c>
      <c r="G954" s="61" t="str">
        <f t="shared" si="108"/>
        <v/>
      </c>
      <c r="H954" s="62" t="str">
        <f t="shared" si="102"/>
        <v/>
      </c>
      <c r="I954" s="62" t="str">
        <f t="shared" si="103"/>
        <v/>
      </c>
      <c r="J954" s="62" t="str">
        <f t="shared" si="104"/>
        <v/>
      </c>
      <c r="K954" s="62" t="str">
        <f t="shared" si="105"/>
        <v/>
      </c>
      <c r="L954" s="62" t="str">
        <f t="shared" si="106"/>
        <v/>
      </c>
      <c r="M954" s="63" t="str">
        <f t="shared" si="107"/>
        <v/>
      </c>
      <c r="N954" s="64"/>
    </row>
    <row r="955" spans="1:14" x14ac:dyDescent="0.3">
      <c r="A955" s="58" t="str">
        <f>IF([1]weekly_demand!A956="","",[1]weekly_demand!A956)</f>
        <v/>
      </c>
      <c r="B955" s="59" t="str">
        <f>IF($A955="","",[1]weekly_demand!F956)</f>
        <v/>
      </c>
      <c r="C955" s="60" t="str">
        <f>IF($A955="","",[1]weekly_demand!H956)</f>
        <v/>
      </c>
      <c r="D955" s="61" t="str">
        <f>IF($A955="","",IF(SUMIFS([1]Fixture_Capacity_Input!$C:$C,[1]Fixture_Capacity_Input!$A:$A,$B955,[1]Fixture_Capacity_Input!$B:$B,$C955)&gt;0,SUMIFS([1]Fixture_Capacity_Input!$C:$C,[1]Fixture_Capacity_Input!$A:$A,$B955,[1]Fixture_Capacity_Input!$B:$B,$C955),[1]weekly_demand!G956))</f>
        <v/>
      </c>
      <c r="E955" s="62" t="str">
        <f>IF($A955="","",[1]weekly_demand!I956)</f>
        <v/>
      </c>
      <c r="F955" s="61" t="str">
        <f>IF($A955="","",IF($A955&lt;&gt;$A954,IFERROR(INDEX([1]FG_Begin_Inventory!$B:$B,MATCH($A955,[1]FG_Begin_Inventory!$A:$A,0)),0),J954))</f>
        <v/>
      </c>
      <c r="G955" s="61" t="str">
        <f t="shared" si="108"/>
        <v/>
      </c>
      <c r="H955" s="62" t="str">
        <f t="shared" si="102"/>
        <v/>
      </c>
      <c r="I955" s="62" t="str">
        <f t="shared" si="103"/>
        <v/>
      </c>
      <c r="J955" s="62" t="str">
        <f t="shared" si="104"/>
        <v/>
      </c>
      <c r="K955" s="62" t="str">
        <f t="shared" si="105"/>
        <v/>
      </c>
      <c r="L955" s="62" t="str">
        <f t="shared" si="106"/>
        <v/>
      </c>
      <c r="M955" s="63" t="str">
        <f t="shared" si="107"/>
        <v/>
      </c>
      <c r="N955" s="64"/>
    </row>
    <row r="956" spans="1:14" x14ac:dyDescent="0.3">
      <c r="A956" s="58" t="str">
        <f>IF([1]weekly_demand!A957="","",[1]weekly_demand!A957)</f>
        <v/>
      </c>
      <c r="B956" s="59" t="str">
        <f>IF($A956="","",[1]weekly_demand!F957)</f>
        <v/>
      </c>
      <c r="C956" s="60" t="str">
        <f>IF($A956="","",[1]weekly_demand!H957)</f>
        <v/>
      </c>
      <c r="D956" s="61" t="str">
        <f>IF($A956="","",IF(SUMIFS([1]Fixture_Capacity_Input!$C:$C,[1]Fixture_Capacity_Input!$A:$A,$B956,[1]Fixture_Capacity_Input!$B:$B,$C956)&gt;0,SUMIFS([1]Fixture_Capacity_Input!$C:$C,[1]Fixture_Capacity_Input!$A:$A,$B956,[1]Fixture_Capacity_Input!$B:$B,$C956),[1]weekly_demand!G957))</f>
        <v/>
      </c>
      <c r="E956" s="62" t="str">
        <f>IF($A956="","",[1]weekly_demand!I957)</f>
        <v/>
      </c>
      <c r="F956" s="61" t="str">
        <f>IF($A956="","",IF($A956&lt;&gt;$A955,IFERROR(INDEX([1]FG_Begin_Inventory!$B:$B,MATCH($A956,[1]FG_Begin_Inventory!$A:$A,0)),0),J955))</f>
        <v/>
      </c>
      <c r="G956" s="61" t="str">
        <f t="shared" si="108"/>
        <v/>
      </c>
      <c r="H956" s="62" t="str">
        <f t="shared" si="102"/>
        <v/>
      </c>
      <c r="I956" s="62" t="str">
        <f t="shared" si="103"/>
        <v/>
      </c>
      <c r="J956" s="62" t="str">
        <f t="shared" si="104"/>
        <v/>
      </c>
      <c r="K956" s="62" t="str">
        <f t="shared" si="105"/>
        <v/>
      </c>
      <c r="L956" s="62" t="str">
        <f t="shared" si="106"/>
        <v/>
      </c>
      <c r="M956" s="63" t="str">
        <f t="shared" si="107"/>
        <v/>
      </c>
      <c r="N956" s="64"/>
    </row>
    <row r="957" spans="1:14" x14ac:dyDescent="0.3">
      <c r="A957" s="58" t="str">
        <f>IF([1]weekly_demand!A958="","",[1]weekly_demand!A958)</f>
        <v/>
      </c>
      <c r="B957" s="59" t="str">
        <f>IF($A957="","",[1]weekly_demand!F958)</f>
        <v/>
      </c>
      <c r="C957" s="60" t="str">
        <f>IF($A957="","",[1]weekly_demand!H958)</f>
        <v/>
      </c>
      <c r="D957" s="61" t="str">
        <f>IF($A957="","",IF(SUMIFS([1]Fixture_Capacity_Input!$C:$C,[1]Fixture_Capacity_Input!$A:$A,$B957,[1]Fixture_Capacity_Input!$B:$B,$C957)&gt;0,SUMIFS([1]Fixture_Capacity_Input!$C:$C,[1]Fixture_Capacity_Input!$A:$A,$B957,[1]Fixture_Capacity_Input!$B:$B,$C957),[1]weekly_demand!G958))</f>
        <v/>
      </c>
      <c r="E957" s="62" t="str">
        <f>IF($A957="","",[1]weekly_demand!I958)</f>
        <v/>
      </c>
      <c r="F957" s="61" t="str">
        <f>IF($A957="","",IF($A957&lt;&gt;$A956,IFERROR(INDEX([1]FG_Begin_Inventory!$B:$B,MATCH($A957,[1]FG_Begin_Inventory!$A:$A,0)),0),J956))</f>
        <v/>
      </c>
      <c r="G957" s="61" t="str">
        <f t="shared" si="108"/>
        <v/>
      </c>
      <c r="H957" s="62" t="str">
        <f t="shared" si="102"/>
        <v/>
      </c>
      <c r="I957" s="62" t="str">
        <f t="shared" si="103"/>
        <v/>
      </c>
      <c r="J957" s="62" t="str">
        <f t="shared" si="104"/>
        <v/>
      </c>
      <c r="K957" s="62" t="str">
        <f t="shared" si="105"/>
        <v/>
      </c>
      <c r="L957" s="62" t="str">
        <f t="shared" si="106"/>
        <v/>
      </c>
      <c r="M957" s="63" t="str">
        <f t="shared" si="107"/>
        <v/>
      </c>
      <c r="N957" s="64"/>
    </row>
    <row r="958" spans="1:14" x14ac:dyDescent="0.3">
      <c r="A958" s="58" t="str">
        <f>IF([1]weekly_demand!A959="","",[1]weekly_demand!A959)</f>
        <v/>
      </c>
      <c r="B958" s="59" t="str">
        <f>IF($A958="","",[1]weekly_demand!F959)</f>
        <v/>
      </c>
      <c r="C958" s="60" t="str">
        <f>IF($A958="","",[1]weekly_demand!H959)</f>
        <v/>
      </c>
      <c r="D958" s="61" t="str">
        <f>IF($A958="","",IF(SUMIFS([1]Fixture_Capacity_Input!$C:$C,[1]Fixture_Capacity_Input!$A:$A,$B958,[1]Fixture_Capacity_Input!$B:$B,$C958)&gt;0,SUMIFS([1]Fixture_Capacity_Input!$C:$C,[1]Fixture_Capacity_Input!$A:$A,$B958,[1]Fixture_Capacity_Input!$B:$B,$C958),[1]weekly_demand!G959))</f>
        <v/>
      </c>
      <c r="E958" s="62" t="str">
        <f>IF($A958="","",[1]weekly_demand!I959)</f>
        <v/>
      </c>
      <c r="F958" s="61" t="str">
        <f>IF($A958="","",IF($A958&lt;&gt;$A957,IFERROR(INDEX([1]FG_Begin_Inventory!$B:$B,MATCH($A958,[1]FG_Begin_Inventory!$A:$A,0)),0),J957))</f>
        <v/>
      </c>
      <c r="G958" s="61" t="str">
        <f t="shared" si="108"/>
        <v/>
      </c>
      <c r="H958" s="62" t="str">
        <f t="shared" si="102"/>
        <v/>
      </c>
      <c r="I958" s="62" t="str">
        <f t="shared" si="103"/>
        <v/>
      </c>
      <c r="J958" s="62" t="str">
        <f t="shared" si="104"/>
        <v/>
      </c>
      <c r="K958" s="62" t="str">
        <f t="shared" si="105"/>
        <v/>
      </c>
      <c r="L958" s="62" t="str">
        <f t="shared" si="106"/>
        <v/>
      </c>
      <c r="M958" s="63" t="str">
        <f t="shared" si="107"/>
        <v/>
      </c>
      <c r="N958" s="64"/>
    </row>
    <row r="959" spans="1:14" x14ac:dyDescent="0.3">
      <c r="A959" s="58" t="str">
        <f>IF([1]weekly_demand!A960="","",[1]weekly_demand!A960)</f>
        <v/>
      </c>
      <c r="B959" s="59" t="str">
        <f>IF($A959="","",[1]weekly_demand!F960)</f>
        <v/>
      </c>
      <c r="C959" s="60" t="str">
        <f>IF($A959="","",[1]weekly_demand!H960)</f>
        <v/>
      </c>
      <c r="D959" s="61" t="str">
        <f>IF($A959="","",IF(SUMIFS([1]Fixture_Capacity_Input!$C:$C,[1]Fixture_Capacity_Input!$A:$A,$B959,[1]Fixture_Capacity_Input!$B:$B,$C959)&gt;0,SUMIFS([1]Fixture_Capacity_Input!$C:$C,[1]Fixture_Capacity_Input!$A:$A,$B959,[1]Fixture_Capacity_Input!$B:$B,$C959),[1]weekly_demand!G960))</f>
        <v/>
      </c>
      <c r="E959" s="62" t="str">
        <f>IF($A959="","",[1]weekly_demand!I960)</f>
        <v/>
      </c>
      <c r="F959" s="61" t="str">
        <f>IF($A959="","",IF($A959&lt;&gt;$A958,IFERROR(INDEX([1]FG_Begin_Inventory!$B:$B,MATCH($A959,[1]FG_Begin_Inventory!$A:$A,0)),0),J958))</f>
        <v/>
      </c>
      <c r="G959" s="61" t="str">
        <f t="shared" si="108"/>
        <v/>
      </c>
      <c r="H959" s="62" t="str">
        <f t="shared" si="102"/>
        <v/>
      </c>
      <c r="I959" s="62" t="str">
        <f t="shared" si="103"/>
        <v/>
      </c>
      <c r="J959" s="62" t="str">
        <f t="shared" si="104"/>
        <v/>
      </c>
      <c r="K959" s="62" t="str">
        <f t="shared" si="105"/>
        <v/>
      </c>
      <c r="L959" s="62" t="str">
        <f t="shared" si="106"/>
        <v/>
      </c>
      <c r="M959" s="63" t="str">
        <f t="shared" si="107"/>
        <v/>
      </c>
      <c r="N959" s="64"/>
    </row>
    <row r="960" spans="1:14" x14ac:dyDescent="0.3">
      <c r="A960" s="58" t="str">
        <f>IF([1]weekly_demand!A961="","",[1]weekly_demand!A961)</f>
        <v/>
      </c>
      <c r="B960" s="59" t="str">
        <f>IF($A960="","",[1]weekly_demand!F961)</f>
        <v/>
      </c>
      <c r="C960" s="60" t="str">
        <f>IF($A960="","",[1]weekly_demand!H961)</f>
        <v/>
      </c>
      <c r="D960" s="61" t="str">
        <f>IF($A960="","",IF(SUMIFS([1]Fixture_Capacity_Input!$C:$C,[1]Fixture_Capacity_Input!$A:$A,$B960,[1]Fixture_Capacity_Input!$B:$B,$C960)&gt;0,SUMIFS([1]Fixture_Capacity_Input!$C:$C,[1]Fixture_Capacity_Input!$A:$A,$B960,[1]Fixture_Capacity_Input!$B:$B,$C960),[1]weekly_demand!G961))</f>
        <v/>
      </c>
      <c r="E960" s="62" t="str">
        <f>IF($A960="","",[1]weekly_demand!I961)</f>
        <v/>
      </c>
      <c r="F960" s="61" t="str">
        <f>IF($A960="","",IF($A960&lt;&gt;$A959,IFERROR(INDEX([1]FG_Begin_Inventory!$B:$B,MATCH($A960,[1]FG_Begin_Inventory!$A:$A,0)),0),J959))</f>
        <v/>
      </c>
      <c r="G960" s="61" t="str">
        <f t="shared" si="108"/>
        <v/>
      </c>
      <c r="H960" s="62" t="str">
        <f t="shared" si="102"/>
        <v/>
      </c>
      <c r="I960" s="62" t="str">
        <f t="shared" si="103"/>
        <v/>
      </c>
      <c r="J960" s="62" t="str">
        <f t="shared" si="104"/>
        <v/>
      </c>
      <c r="K960" s="62" t="str">
        <f t="shared" si="105"/>
        <v/>
      </c>
      <c r="L960" s="62" t="str">
        <f t="shared" si="106"/>
        <v/>
      </c>
      <c r="M960" s="63" t="str">
        <f t="shared" si="107"/>
        <v/>
      </c>
      <c r="N960" s="64"/>
    </row>
    <row r="961" spans="1:14" x14ac:dyDescent="0.3">
      <c r="A961" s="58" t="str">
        <f>IF([1]weekly_demand!A962="","",[1]weekly_demand!A962)</f>
        <v/>
      </c>
      <c r="B961" s="59" t="str">
        <f>IF($A961="","",[1]weekly_demand!F962)</f>
        <v/>
      </c>
      <c r="C961" s="60" t="str">
        <f>IF($A961="","",[1]weekly_demand!H962)</f>
        <v/>
      </c>
      <c r="D961" s="61" t="str">
        <f>IF($A961="","",IF(SUMIFS([1]Fixture_Capacity_Input!$C:$C,[1]Fixture_Capacity_Input!$A:$A,$B961,[1]Fixture_Capacity_Input!$B:$B,$C961)&gt;0,SUMIFS([1]Fixture_Capacity_Input!$C:$C,[1]Fixture_Capacity_Input!$A:$A,$B961,[1]Fixture_Capacity_Input!$B:$B,$C961),[1]weekly_demand!G962))</f>
        <v/>
      </c>
      <c r="E961" s="62" t="str">
        <f>IF($A961="","",[1]weekly_demand!I962)</f>
        <v/>
      </c>
      <c r="F961" s="61" t="str">
        <f>IF($A961="","",IF($A961&lt;&gt;$A960,IFERROR(INDEX([1]FG_Begin_Inventory!$B:$B,MATCH($A961,[1]FG_Begin_Inventory!$A:$A,0)),0),J960))</f>
        <v/>
      </c>
      <c r="G961" s="61" t="str">
        <f t="shared" si="108"/>
        <v/>
      </c>
      <c r="H961" s="62" t="str">
        <f t="shared" si="102"/>
        <v/>
      </c>
      <c r="I961" s="62" t="str">
        <f t="shared" si="103"/>
        <v/>
      </c>
      <c r="J961" s="62" t="str">
        <f t="shared" si="104"/>
        <v/>
      </c>
      <c r="K961" s="62" t="str">
        <f t="shared" si="105"/>
        <v/>
      </c>
      <c r="L961" s="62" t="str">
        <f t="shared" si="106"/>
        <v/>
      </c>
      <c r="M961" s="63" t="str">
        <f t="shared" si="107"/>
        <v/>
      </c>
      <c r="N961" s="64"/>
    </row>
    <row r="962" spans="1:14" x14ac:dyDescent="0.3">
      <c r="A962" s="58" t="str">
        <f>IF([1]weekly_demand!A963="","",[1]weekly_demand!A963)</f>
        <v/>
      </c>
      <c r="B962" s="59" t="str">
        <f>IF($A962="","",[1]weekly_demand!F963)</f>
        <v/>
      </c>
      <c r="C962" s="60" t="str">
        <f>IF($A962="","",[1]weekly_demand!H963)</f>
        <v/>
      </c>
      <c r="D962" s="61" t="str">
        <f>IF($A962="","",IF(SUMIFS([1]Fixture_Capacity_Input!$C:$C,[1]Fixture_Capacity_Input!$A:$A,$B962,[1]Fixture_Capacity_Input!$B:$B,$C962)&gt;0,SUMIFS([1]Fixture_Capacity_Input!$C:$C,[1]Fixture_Capacity_Input!$A:$A,$B962,[1]Fixture_Capacity_Input!$B:$B,$C962),[1]weekly_demand!G963))</f>
        <v/>
      </c>
      <c r="E962" s="62" t="str">
        <f>IF($A962="","",[1]weekly_demand!I963)</f>
        <v/>
      </c>
      <c r="F962" s="61" t="str">
        <f>IF($A962="","",IF($A962&lt;&gt;$A961,IFERROR(INDEX([1]FG_Begin_Inventory!$B:$B,MATCH($A962,[1]FG_Begin_Inventory!$A:$A,0)),0),J961))</f>
        <v/>
      </c>
      <c r="G962" s="61" t="str">
        <f t="shared" si="108"/>
        <v/>
      </c>
      <c r="H962" s="62" t="str">
        <f t="shared" ref="H962:H1025" si="109">IF($A962="","",MAX(0,E962+G962-F962))</f>
        <v/>
      </c>
      <c r="I962" s="62" t="str">
        <f t="shared" ref="I962:I1025" si="110">IF($A962="","",MIN(D962,H962))</f>
        <v/>
      </c>
      <c r="J962" s="62" t="str">
        <f t="shared" ref="J962:J1025" si="111">IF($A962="","",MAX(0,F962+I962-E962))</f>
        <v/>
      </c>
      <c r="K962" s="62" t="str">
        <f t="shared" ref="K962:K1025" si="112">IF($A962="","",MAX(0,E962-F962-I962))</f>
        <v/>
      </c>
      <c r="L962" s="62" t="str">
        <f t="shared" ref="L962:L1025" si="113">IF($A962="","",MAX(0,F962+I962-E962))</f>
        <v/>
      </c>
      <c r="M962" s="63" t="str">
        <f t="shared" ref="M962:M1025" si="114">IF($A962="","",IFERROR(I962/D962,0))</f>
        <v/>
      </c>
      <c r="N962" s="64"/>
    </row>
    <row r="963" spans="1:14" x14ac:dyDescent="0.3">
      <c r="A963" s="58" t="str">
        <f>IF([1]weekly_demand!A964="","",[1]weekly_demand!A964)</f>
        <v/>
      </c>
      <c r="B963" s="59" t="str">
        <f>IF($A963="","",[1]weekly_demand!F964)</f>
        <v/>
      </c>
      <c r="C963" s="60" t="str">
        <f>IF($A963="","",[1]weekly_demand!H964)</f>
        <v/>
      </c>
      <c r="D963" s="61" t="str">
        <f>IF($A963="","",IF(SUMIFS([1]Fixture_Capacity_Input!$C:$C,[1]Fixture_Capacity_Input!$A:$A,$B963,[1]Fixture_Capacity_Input!$B:$B,$C963)&gt;0,SUMIFS([1]Fixture_Capacity_Input!$C:$C,[1]Fixture_Capacity_Input!$A:$A,$B963,[1]Fixture_Capacity_Input!$B:$B,$C963),[1]weekly_demand!G964))</f>
        <v/>
      </c>
      <c r="E963" s="62" t="str">
        <f>IF($A963="","",[1]weekly_demand!I964)</f>
        <v/>
      </c>
      <c r="F963" s="61" t="str">
        <f>IF($A963="","",IF($A963&lt;&gt;$A962,IFERROR(INDEX([1]FG_Begin_Inventory!$B:$B,MATCH($A963,[1]FG_Begin_Inventory!$A:$A,0)),0),J962))</f>
        <v/>
      </c>
      <c r="G963" s="61" t="str">
        <f t="shared" si="108"/>
        <v/>
      </c>
      <c r="H963" s="62" t="str">
        <f t="shared" si="109"/>
        <v/>
      </c>
      <c r="I963" s="62" t="str">
        <f t="shared" si="110"/>
        <v/>
      </c>
      <c r="J963" s="62" t="str">
        <f t="shared" si="111"/>
        <v/>
      </c>
      <c r="K963" s="62" t="str">
        <f t="shared" si="112"/>
        <v/>
      </c>
      <c r="L963" s="62" t="str">
        <f t="shared" si="113"/>
        <v/>
      </c>
      <c r="M963" s="63" t="str">
        <f t="shared" si="114"/>
        <v/>
      </c>
      <c r="N963" s="64"/>
    </row>
    <row r="964" spans="1:14" x14ac:dyDescent="0.3">
      <c r="A964" s="58" t="str">
        <f>IF([1]weekly_demand!A965="","",[1]weekly_demand!A965)</f>
        <v/>
      </c>
      <c r="B964" s="59" t="str">
        <f>IF($A964="","",[1]weekly_demand!F965)</f>
        <v/>
      </c>
      <c r="C964" s="60" t="str">
        <f>IF($A964="","",[1]weekly_demand!H965)</f>
        <v/>
      </c>
      <c r="D964" s="61" t="str">
        <f>IF($A964="","",IF(SUMIFS([1]Fixture_Capacity_Input!$C:$C,[1]Fixture_Capacity_Input!$A:$A,$B964,[1]Fixture_Capacity_Input!$B:$B,$C964)&gt;0,SUMIFS([1]Fixture_Capacity_Input!$C:$C,[1]Fixture_Capacity_Input!$A:$A,$B964,[1]Fixture_Capacity_Input!$B:$B,$C964),[1]weekly_demand!G965))</f>
        <v/>
      </c>
      <c r="E964" s="62" t="str">
        <f>IF($A964="","",[1]weekly_demand!I965)</f>
        <v/>
      </c>
      <c r="F964" s="61" t="str">
        <f>IF($A964="","",IF($A964&lt;&gt;$A963,IFERROR(INDEX([1]FG_Begin_Inventory!$B:$B,MATCH($A964,[1]FG_Begin_Inventory!$A:$A,0)),0),J963))</f>
        <v/>
      </c>
      <c r="G964" s="61" t="str">
        <f t="shared" si="108"/>
        <v/>
      </c>
      <c r="H964" s="62" t="str">
        <f t="shared" si="109"/>
        <v/>
      </c>
      <c r="I964" s="62" t="str">
        <f t="shared" si="110"/>
        <v/>
      </c>
      <c r="J964" s="62" t="str">
        <f t="shared" si="111"/>
        <v/>
      </c>
      <c r="K964" s="62" t="str">
        <f t="shared" si="112"/>
        <v/>
      </c>
      <c r="L964" s="62" t="str">
        <f t="shared" si="113"/>
        <v/>
      </c>
      <c r="M964" s="63" t="str">
        <f t="shared" si="114"/>
        <v/>
      </c>
      <c r="N964" s="64"/>
    </row>
    <row r="965" spans="1:14" x14ac:dyDescent="0.3">
      <c r="A965" s="58" t="str">
        <f>IF([1]weekly_demand!A966="","",[1]weekly_demand!A966)</f>
        <v/>
      </c>
      <c r="B965" s="59" t="str">
        <f>IF($A965="","",[1]weekly_demand!F966)</f>
        <v/>
      </c>
      <c r="C965" s="60" t="str">
        <f>IF($A965="","",[1]weekly_demand!H966)</f>
        <v/>
      </c>
      <c r="D965" s="61" t="str">
        <f>IF($A965="","",IF(SUMIFS([1]Fixture_Capacity_Input!$C:$C,[1]Fixture_Capacity_Input!$A:$A,$B965,[1]Fixture_Capacity_Input!$B:$B,$C965)&gt;0,SUMIFS([1]Fixture_Capacity_Input!$C:$C,[1]Fixture_Capacity_Input!$A:$A,$B965,[1]Fixture_Capacity_Input!$B:$B,$C965),[1]weekly_demand!G966))</f>
        <v/>
      </c>
      <c r="E965" s="62" t="str">
        <f>IF($A965="","",[1]weekly_demand!I966)</f>
        <v/>
      </c>
      <c r="F965" s="61" t="str">
        <f>IF($A965="","",IF($A965&lt;&gt;$A964,IFERROR(INDEX([1]FG_Begin_Inventory!$B:$B,MATCH($A965,[1]FG_Begin_Inventory!$A:$A,0)),0),J964))</f>
        <v/>
      </c>
      <c r="G965" s="61" t="str">
        <f t="shared" si="108"/>
        <v/>
      </c>
      <c r="H965" s="62" t="str">
        <f t="shared" si="109"/>
        <v/>
      </c>
      <c r="I965" s="62" t="str">
        <f t="shared" si="110"/>
        <v/>
      </c>
      <c r="J965" s="62" t="str">
        <f t="shared" si="111"/>
        <v/>
      </c>
      <c r="K965" s="62" t="str">
        <f t="shared" si="112"/>
        <v/>
      </c>
      <c r="L965" s="62" t="str">
        <f t="shared" si="113"/>
        <v/>
      </c>
      <c r="M965" s="63" t="str">
        <f t="shared" si="114"/>
        <v/>
      </c>
      <c r="N965" s="64"/>
    </row>
    <row r="966" spans="1:14" x14ac:dyDescent="0.3">
      <c r="A966" s="58" t="str">
        <f>IF([1]weekly_demand!A967="","",[1]weekly_demand!A967)</f>
        <v/>
      </c>
      <c r="B966" s="59" t="str">
        <f>IF($A966="","",[1]weekly_demand!F967)</f>
        <v/>
      </c>
      <c r="C966" s="60" t="str">
        <f>IF($A966="","",[1]weekly_demand!H967)</f>
        <v/>
      </c>
      <c r="D966" s="61" t="str">
        <f>IF($A966="","",IF(SUMIFS([1]Fixture_Capacity_Input!$C:$C,[1]Fixture_Capacity_Input!$A:$A,$B966,[1]Fixture_Capacity_Input!$B:$B,$C966)&gt;0,SUMIFS([1]Fixture_Capacity_Input!$C:$C,[1]Fixture_Capacity_Input!$A:$A,$B966,[1]Fixture_Capacity_Input!$B:$B,$C966),[1]weekly_demand!G967))</f>
        <v/>
      </c>
      <c r="E966" s="62" t="str">
        <f>IF($A966="","",[1]weekly_demand!I967)</f>
        <v/>
      </c>
      <c r="F966" s="61" t="str">
        <f>IF($A966="","",IF($A966&lt;&gt;$A965,IFERROR(INDEX([1]FG_Begin_Inventory!$B:$B,MATCH($A966,[1]FG_Begin_Inventory!$A:$A,0)),0),J965))</f>
        <v/>
      </c>
      <c r="G966" s="61" t="str">
        <f t="shared" si="108"/>
        <v/>
      </c>
      <c r="H966" s="62" t="str">
        <f t="shared" si="109"/>
        <v/>
      </c>
      <c r="I966" s="62" t="str">
        <f t="shared" si="110"/>
        <v/>
      </c>
      <c r="J966" s="62" t="str">
        <f t="shared" si="111"/>
        <v/>
      </c>
      <c r="K966" s="62" t="str">
        <f t="shared" si="112"/>
        <v/>
      </c>
      <c r="L966" s="62" t="str">
        <f t="shared" si="113"/>
        <v/>
      </c>
      <c r="M966" s="63" t="str">
        <f t="shared" si="114"/>
        <v/>
      </c>
      <c r="N966" s="64"/>
    </row>
    <row r="967" spans="1:14" x14ac:dyDescent="0.3">
      <c r="A967" s="58" t="str">
        <f>IF([1]weekly_demand!A968="","",[1]weekly_demand!A968)</f>
        <v/>
      </c>
      <c r="B967" s="59" t="str">
        <f>IF($A967="","",[1]weekly_demand!F968)</f>
        <v/>
      </c>
      <c r="C967" s="60" t="str">
        <f>IF($A967="","",[1]weekly_demand!H968)</f>
        <v/>
      </c>
      <c r="D967" s="61" t="str">
        <f>IF($A967="","",IF(SUMIFS([1]Fixture_Capacity_Input!$C:$C,[1]Fixture_Capacity_Input!$A:$A,$B967,[1]Fixture_Capacity_Input!$B:$B,$C967)&gt;0,SUMIFS([1]Fixture_Capacity_Input!$C:$C,[1]Fixture_Capacity_Input!$A:$A,$B967,[1]Fixture_Capacity_Input!$B:$B,$C967),[1]weekly_demand!G968))</f>
        <v/>
      </c>
      <c r="E967" s="62" t="str">
        <f>IF($A967="","",[1]weekly_demand!I968)</f>
        <v/>
      </c>
      <c r="F967" s="61" t="str">
        <f>IF($A967="","",IF($A967&lt;&gt;$A966,IFERROR(INDEX([1]FG_Begin_Inventory!$B:$B,MATCH($A967,[1]FG_Begin_Inventory!$A:$A,0)),0),J966))</f>
        <v/>
      </c>
      <c r="G967" s="61" t="str">
        <f t="shared" si="108"/>
        <v/>
      </c>
      <c r="H967" s="62" t="str">
        <f t="shared" si="109"/>
        <v/>
      </c>
      <c r="I967" s="62" t="str">
        <f t="shared" si="110"/>
        <v/>
      </c>
      <c r="J967" s="62" t="str">
        <f t="shared" si="111"/>
        <v/>
      </c>
      <c r="K967" s="62" t="str">
        <f t="shared" si="112"/>
        <v/>
      </c>
      <c r="L967" s="62" t="str">
        <f t="shared" si="113"/>
        <v/>
      </c>
      <c r="M967" s="63" t="str">
        <f t="shared" si="114"/>
        <v/>
      </c>
      <c r="N967" s="64"/>
    </row>
    <row r="968" spans="1:14" x14ac:dyDescent="0.3">
      <c r="A968" s="58" t="str">
        <f>IF([1]weekly_demand!A969="","",[1]weekly_demand!A969)</f>
        <v/>
      </c>
      <c r="B968" s="59" t="str">
        <f>IF($A968="","",[1]weekly_demand!F969)</f>
        <v/>
      </c>
      <c r="C968" s="60" t="str">
        <f>IF($A968="","",[1]weekly_demand!H969)</f>
        <v/>
      </c>
      <c r="D968" s="61" t="str">
        <f>IF($A968="","",IF(SUMIFS([1]Fixture_Capacity_Input!$C:$C,[1]Fixture_Capacity_Input!$A:$A,$B968,[1]Fixture_Capacity_Input!$B:$B,$C968)&gt;0,SUMIFS([1]Fixture_Capacity_Input!$C:$C,[1]Fixture_Capacity_Input!$A:$A,$B968,[1]Fixture_Capacity_Input!$B:$B,$C968),[1]weekly_demand!G969))</f>
        <v/>
      </c>
      <c r="E968" s="62" t="str">
        <f>IF($A968="","",[1]weekly_demand!I969)</f>
        <v/>
      </c>
      <c r="F968" s="61" t="str">
        <f>IF($A968="","",IF($A968&lt;&gt;$A967,IFERROR(INDEX([1]FG_Begin_Inventory!$B:$B,MATCH($A968,[1]FG_Begin_Inventory!$A:$A,0)),0),J967))</f>
        <v/>
      </c>
      <c r="G968" s="61" t="str">
        <f t="shared" si="108"/>
        <v/>
      </c>
      <c r="H968" s="62" t="str">
        <f t="shared" si="109"/>
        <v/>
      </c>
      <c r="I968" s="62" t="str">
        <f t="shared" si="110"/>
        <v/>
      </c>
      <c r="J968" s="62" t="str">
        <f t="shared" si="111"/>
        <v/>
      </c>
      <c r="K968" s="62" t="str">
        <f t="shared" si="112"/>
        <v/>
      </c>
      <c r="L968" s="62" t="str">
        <f t="shared" si="113"/>
        <v/>
      </c>
      <c r="M968" s="63" t="str">
        <f t="shared" si="114"/>
        <v/>
      </c>
      <c r="N968" s="64"/>
    </row>
    <row r="969" spans="1:14" x14ac:dyDescent="0.3">
      <c r="A969" s="58" t="str">
        <f>IF([1]weekly_demand!A970="","",[1]weekly_demand!A970)</f>
        <v/>
      </c>
      <c r="B969" s="59" t="str">
        <f>IF($A969="","",[1]weekly_demand!F970)</f>
        <v/>
      </c>
      <c r="C969" s="60" t="str">
        <f>IF($A969="","",[1]weekly_demand!H970)</f>
        <v/>
      </c>
      <c r="D969" s="61" t="str">
        <f>IF($A969="","",IF(SUMIFS([1]Fixture_Capacity_Input!$C:$C,[1]Fixture_Capacity_Input!$A:$A,$B969,[1]Fixture_Capacity_Input!$B:$B,$C969)&gt;0,SUMIFS([1]Fixture_Capacity_Input!$C:$C,[1]Fixture_Capacity_Input!$A:$A,$B969,[1]Fixture_Capacity_Input!$B:$B,$C969),[1]weekly_demand!G970))</f>
        <v/>
      </c>
      <c r="E969" s="62" t="str">
        <f>IF($A969="","",[1]weekly_demand!I970)</f>
        <v/>
      </c>
      <c r="F969" s="61" t="str">
        <f>IF($A969="","",IF($A969&lt;&gt;$A968,IFERROR(INDEX([1]FG_Begin_Inventory!$B:$B,MATCH($A969,[1]FG_Begin_Inventory!$A:$A,0)),0),J968))</f>
        <v/>
      </c>
      <c r="G969" s="61" t="str">
        <f t="shared" si="108"/>
        <v/>
      </c>
      <c r="H969" s="62" t="str">
        <f t="shared" si="109"/>
        <v/>
      </c>
      <c r="I969" s="62" t="str">
        <f t="shared" si="110"/>
        <v/>
      </c>
      <c r="J969" s="62" t="str">
        <f t="shared" si="111"/>
        <v/>
      </c>
      <c r="K969" s="62" t="str">
        <f t="shared" si="112"/>
        <v/>
      </c>
      <c r="L969" s="62" t="str">
        <f t="shared" si="113"/>
        <v/>
      </c>
      <c r="M969" s="63" t="str">
        <f t="shared" si="114"/>
        <v/>
      </c>
      <c r="N969" s="64"/>
    </row>
    <row r="970" spans="1:14" x14ac:dyDescent="0.3">
      <c r="A970" s="58" t="str">
        <f>IF([1]weekly_demand!A971="","",[1]weekly_demand!A971)</f>
        <v/>
      </c>
      <c r="B970" s="59" t="str">
        <f>IF($A970="","",[1]weekly_demand!F971)</f>
        <v/>
      </c>
      <c r="C970" s="60" t="str">
        <f>IF($A970="","",[1]weekly_demand!H971)</f>
        <v/>
      </c>
      <c r="D970" s="61" t="str">
        <f>IF($A970="","",IF(SUMIFS([1]Fixture_Capacity_Input!$C:$C,[1]Fixture_Capacity_Input!$A:$A,$B970,[1]Fixture_Capacity_Input!$B:$B,$C970)&gt;0,SUMIFS([1]Fixture_Capacity_Input!$C:$C,[1]Fixture_Capacity_Input!$A:$A,$B970,[1]Fixture_Capacity_Input!$B:$B,$C970),[1]weekly_demand!G971))</f>
        <v/>
      </c>
      <c r="E970" s="62" t="str">
        <f>IF($A970="","",[1]weekly_demand!I971)</f>
        <v/>
      </c>
      <c r="F970" s="61" t="str">
        <f>IF($A970="","",IF($A970&lt;&gt;$A969,IFERROR(INDEX([1]FG_Begin_Inventory!$B:$B,MATCH($A970,[1]FG_Begin_Inventory!$A:$A,0)),0),J969))</f>
        <v/>
      </c>
      <c r="G970" s="61" t="str">
        <f t="shared" si="108"/>
        <v/>
      </c>
      <c r="H970" s="62" t="str">
        <f t="shared" si="109"/>
        <v/>
      </c>
      <c r="I970" s="62" t="str">
        <f t="shared" si="110"/>
        <v/>
      </c>
      <c r="J970" s="62" t="str">
        <f t="shared" si="111"/>
        <v/>
      </c>
      <c r="K970" s="62" t="str">
        <f t="shared" si="112"/>
        <v/>
      </c>
      <c r="L970" s="62" t="str">
        <f t="shared" si="113"/>
        <v/>
      </c>
      <c r="M970" s="63" t="str">
        <f t="shared" si="114"/>
        <v/>
      </c>
      <c r="N970" s="64"/>
    </row>
    <row r="971" spans="1:14" x14ac:dyDescent="0.3">
      <c r="A971" s="58" t="str">
        <f>IF([1]weekly_demand!A972="","",[1]weekly_demand!A972)</f>
        <v/>
      </c>
      <c r="B971" s="59" t="str">
        <f>IF($A971="","",[1]weekly_demand!F972)</f>
        <v/>
      </c>
      <c r="C971" s="60" t="str">
        <f>IF($A971="","",[1]weekly_demand!H972)</f>
        <v/>
      </c>
      <c r="D971" s="61" t="str">
        <f>IF($A971="","",IF(SUMIFS([1]Fixture_Capacity_Input!$C:$C,[1]Fixture_Capacity_Input!$A:$A,$B971,[1]Fixture_Capacity_Input!$B:$B,$C971)&gt;0,SUMIFS([1]Fixture_Capacity_Input!$C:$C,[1]Fixture_Capacity_Input!$A:$A,$B971,[1]Fixture_Capacity_Input!$B:$B,$C971),[1]weekly_demand!G972))</f>
        <v/>
      </c>
      <c r="E971" s="62" t="str">
        <f>IF($A971="","",[1]weekly_demand!I972)</f>
        <v/>
      </c>
      <c r="F971" s="61" t="str">
        <f>IF($A971="","",IF($A971&lt;&gt;$A970,IFERROR(INDEX([1]FG_Begin_Inventory!$B:$B,MATCH($A971,[1]FG_Begin_Inventory!$A:$A,0)),0),J970))</f>
        <v/>
      </c>
      <c r="G971" s="61" t="str">
        <f t="shared" si="108"/>
        <v/>
      </c>
      <c r="H971" s="62" t="str">
        <f t="shared" si="109"/>
        <v/>
      </c>
      <c r="I971" s="62" t="str">
        <f t="shared" si="110"/>
        <v/>
      </c>
      <c r="J971" s="62" t="str">
        <f t="shared" si="111"/>
        <v/>
      </c>
      <c r="K971" s="62" t="str">
        <f t="shared" si="112"/>
        <v/>
      </c>
      <c r="L971" s="62" t="str">
        <f t="shared" si="113"/>
        <v/>
      </c>
      <c r="M971" s="63" t="str">
        <f t="shared" si="114"/>
        <v/>
      </c>
      <c r="N971" s="64"/>
    </row>
    <row r="972" spans="1:14" x14ac:dyDescent="0.3">
      <c r="A972" s="58" t="str">
        <f>IF([1]weekly_demand!A973="","",[1]weekly_demand!A973)</f>
        <v/>
      </c>
      <c r="B972" s="59" t="str">
        <f>IF($A972="","",[1]weekly_demand!F973)</f>
        <v/>
      </c>
      <c r="C972" s="60" t="str">
        <f>IF($A972="","",[1]weekly_demand!H973)</f>
        <v/>
      </c>
      <c r="D972" s="61" t="str">
        <f>IF($A972="","",IF(SUMIFS([1]Fixture_Capacity_Input!$C:$C,[1]Fixture_Capacity_Input!$A:$A,$B972,[1]Fixture_Capacity_Input!$B:$B,$C972)&gt;0,SUMIFS([1]Fixture_Capacity_Input!$C:$C,[1]Fixture_Capacity_Input!$A:$A,$B972,[1]Fixture_Capacity_Input!$B:$B,$C972),[1]weekly_demand!G973))</f>
        <v/>
      </c>
      <c r="E972" s="62" t="str">
        <f>IF($A972="","",[1]weekly_demand!I973)</f>
        <v/>
      </c>
      <c r="F972" s="61" t="str">
        <f>IF($A972="","",IF($A972&lt;&gt;$A971,IFERROR(INDEX([1]FG_Begin_Inventory!$B:$B,MATCH($A972,[1]FG_Begin_Inventory!$A:$A,0)),0),J971))</f>
        <v/>
      </c>
      <c r="G972" s="61" t="str">
        <f t="shared" si="108"/>
        <v/>
      </c>
      <c r="H972" s="62" t="str">
        <f t="shared" si="109"/>
        <v/>
      </c>
      <c r="I972" s="62" t="str">
        <f t="shared" si="110"/>
        <v/>
      </c>
      <c r="J972" s="62" t="str">
        <f t="shared" si="111"/>
        <v/>
      </c>
      <c r="K972" s="62" t="str">
        <f t="shared" si="112"/>
        <v/>
      </c>
      <c r="L972" s="62" t="str">
        <f t="shared" si="113"/>
        <v/>
      </c>
      <c r="M972" s="63" t="str">
        <f t="shared" si="114"/>
        <v/>
      </c>
      <c r="N972" s="64"/>
    </row>
    <row r="973" spans="1:14" x14ac:dyDescent="0.3">
      <c r="A973" s="58" t="str">
        <f>IF([1]weekly_demand!A974="","",[1]weekly_demand!A974)</f>
        <v/>
      </c>
      <c r="B973" s="59" t="str">
        <f>IF($A973="","",[1]weekly_demand!F974)</f>
        <v/>
      </c>
      <c r="C973" s="60" t="str">
        <f>IF($A973="","",[1]weekly_demand!H974)</f>
        <v/>
      </c>
      <c r="D973" s="61" t="str">
        <f>IF($A973="","",IF(SUMIFS([1]Fixture_Capacity_Input!$C:$C,[1]Fixture_Capacity_Input!$A:$A,$B973,[1]Fixture_Capacity_Input!$B:$B,$C973)&gt;0,SUMIFS([1]Fixture_Capacity_Input!$C:$C,[1]Fixture_Capacity_Input!$A:$A,$B973,[1]Fixture_Capacity_Input!$B:$B,$C973),[1]weekly_demand!G974))</f>
        <v/>
      </c>
      <c r="E973" s="62" t="str">
        <f>IF($A973="","",[1]weekly_demand!I974)</f>
        <v/>
      </c>
      <c r="F973" s="61" t="str">
        <f>IF($A973="","",IF($A973&lt;&gt;$A972,IFERROR(INDEX([1]FG_Begin_Inventory!$B:$B,MATCH($A973,[1]FG_Begin_Inventory!$A:$A,0)),0),J972))</f>
        <v/>
      </c>
      <c r="G973" s="61" t="str">
        <f t="shared" si="108"/>
        <v/>
      </c>
      <c r="H973" s="62" t="str">
        <f t="shared" si="109"/>
        <v/>
      </c>
      <c r="I973" s="62" t="str">
        <f t="shared" si="110"/>
        <v/>
      </c>
      <c r="J973" s="62" t="str">
        <f t="shared" si="111"/>
        <v/>
      </c>
      <c r="K973" s="62" t="str">
        <f t="shared" si="112"/>
        <v/>
      </c>
      <c r="L973" s="62" t="str">
        <f t="shared" si="113"/>
        <v/>
      </c>
      <c r="M973" s="63" t="str">
        <f t="shared" si="114"/>
        <v/>
      </c>
      <c r="N973" s="64"/>
    </row>
    <row r="974" spans="1:14" x14ac:dyDescent="0.3">
      <c r="A974" s="58" t="str">
        <f>IF([1]weekly_demand!A975="","",[1]weekly_demand!A975)</f>
        <v/>
      </c>
      <c r="B974" s="59" t="str">
        <f>IF($A974="","",[1]weekly_demand!F975)</f>
        <v/>
      </c>
      <c r="C974" s="60" t="str">
        <f>IF($A974="","",[1]weekly_demand!H975)</f>
        <v/>
      </c>
      <c r="D974" s="61" t="str">
        <f>IF($A974="","",IF(SUMIFS([1]Fixture_Capacity_Input!$C:$C,[1]Fixture_Capacity_Input!$A:$A,$B974,[1]Fixture_Capacity_Input!$B:$B,$C974)&gt;0,SUMIFS([1]Fixture_Capacity_Input!$C:$C,[1]Fixture_Capacity_Input!$A:$A,$B974,[1]Fixture_Capacity_Input!$B:$B,$C974),[1]weekly_demand!G975))</f>
        <v/>
      </c>
      <c r="E974" s="62" t="str">
        <f>IF($A974="","",[1]weekly_demand!I975)</f>
        <v/>
      </c>
      <c r="F974" s="61" t="str">
        <f>IF($A974="","",IF($A974&lt;&gt;$A973,IFERROR(INDEX([1]FG_Begin_Inventory!$B:$B,MATCH($A974,[1]FG_Begin_Inventory!$A:$A,0)),0),J973))</f>
        <v/>
      </c>
      <c r="G974" s="61" t="str">
        <f t="shared" si="108"/>
        <v/>
      </c>
      <c r="H974" s="62" t="str">
        <f t="shared" si="109"/>
        <v/>
      </c>
      <c r="I974" s="62" t="str">
        <f t="shared" si="110"/>
        <v/>
      </c>
      <c r="J974" s="62" t="str">
        <f t="shared" si="111"/>
        <v/>
      </c>
      <c r="K974" s="62" t="str">
        <f t="shared" si="112"/>
        <v/>
      </c>
      <c r="L974" s="62" t="str">
        <f t="shared" si="113"/>
        <v/>
      </c>
      <c r="M974" s="63" t="str">
        <f t="shared" si="114"/>
        <v/>
      </c>
      <c r="N974" s="64"/>
    </row>
    <row r="975" spans="1:14" x14ac:dyDescent="0.3">
      <c r="A975" s="58" t="str">
        <f>IF([1]weekly_demand!A976="","",[1]weekly_demand!A976)</f>
        <v/>
      </c>
      <c r="B975" s="59" t="str">
        <f>IF($A975="","",[1]weekly_demand!F976)</f>
        <v/>
      </c>
      <c r="C975" s="60" t="str">
        <f>IF($A975="","",[1]weekly_demand!H976)</f>
        <v/>
      </c>
      <c r="D975" s="61" t="str">
        <f>IF($A975="","",IF(SUMIFS([1]Fixture_Capacity_Input!$C:$C,[1]Fixture_Capacity_Input!$A:$A,$B975,[1]Fixture_Capacity_Input!$B:$B,$C975)&gt;0,SUMIFS([1]Fixture_Capacity_Input!$C:$C,[1]Fixture_Capacity_Input!$A:$A,$B975,[1]Fixture_Capacity_Input!$B:$B,$C975),[1]weekly_demand!G976))</f>
        <v/>
      </c>
      <c r="E975" s="62" t="str">
        <f>IF($A975="","",[1]weekly_demand!I976)</f>
        <v/>
      </c>
      <c r="F975" s="61" t="str">
        <f>IF($A975="","",IF($A975&lt;&gt;$A974,IFERROR(INDEX([1]FG_Begin_Inventory!$B:$B,MATCH($A975,[1]FG_Begin_Inventory!$A:$A,0)),0),J974))</f>
        <v/>
      </c>
      <c r="G975" s="61" t="str">
        <f t="shared" si="108"/>
        <v/>
      </c>
      <c r="H975" s="62" t="str">
        <f t="shared" si="109"/>
        <v/>
      </c>
      <c r="I975" s="62" t="str">
        <f t="shared" si="110"/>
        <v/>
      </c>
      <c r="J975" s="62" t="str">
        <f t="shared" si="111"/>
        <v/>
      </c>
      <c r="K975" s="62" t="str">
        <f t="shared" si="112"/>
        <v/>
      </c>
      <c r="L975" s="62" t="str">
        <f t="shared" si="113"/>
        <v/>
      </c>
      <c r="M975" s="63" t="str">
        <f t="shared" si="114"/>
        <v/>
      </c>
      <c r="N975" s="64"/>
    </row>
    <row r="976" spans="1:14" x14ac:dyDescent="0.3">
      <c r="A976" s="58" t="str">
        <f>IF([1]weekly_demand!A977="","",[1]weekly_demand!A977)</f>
        <v/>
      </c>
      <c r="B976" s="59" t="str">
        <f>IF($A976="","",[1]weekly_demand!F977)</f>
        <v/>
      </c>
      <c r="C976" s="60" t="str">
        <f>IF($A976="","",[1]weekly_demand!H977)</f>
        <v/>
      </c>
      <c r="D976" s="61" t="str">
        <f>IF($A976="","",IF(SUMIFS([1]Fixture_Capacity_Input!$C:$C,[1]Fixture_Capacity_Input!$A:$A,$B976,[1]Fixture_Capacity_Input!$B:$B,$C976)&gt;0,SUMIFS([1]Fixture_Capacity_Input!$C:$C,[1]Fixture_Capacity_Input!$A:$A,$B976,[1]Fixture_Capacity_Input!$B:$B,$C976),[1]weekly_demand!G977))</f>
        <v/>
      </c>
      <c r="E976" s="62" t="str">
        <f>IF($A976="","",[1]weekly_demand!I977)</f>
        <v/>
      </c>
      <c r="F976" s="61" t="str">
        <f>IF($A976="","",IF($A976&lt;&gt;$A975,IFERROR(INDEX([1]FG_Begin_Inventory!$B:$B,MATCH($A976,[1]FG_Begin_Inventory!$A:$A,0)),0),J975))</f>
        <v/>
      </c>
      <c r="G976" s="61" t="str">
        <f t="shared" si="108"/>
        <v/>
      </c>
      <c r="H976" s="62" t="str">
        <f t="shared" si="109"/>
        <v/>
      </c>
      <c r="I976" s="62" t="str">
        <f t="shared" si="110"/>
        <v/>
      </c>
      <c r="J976" s="62" t="str">
        <f t="shared" si="111"/>
        <v/>
      </c>
      <c r="K976" s="62" t="str">
        <f t="shared" si="112"/>
        <v/>
      </c>
      <c r="L976" s="62" t="str">
        <f t="shared" si="113"/>
        <v/>
      </c>
      <c r="M976" s="63" t="str">
        <f t="shared" si="114"/>
        <v/>
      </c>
      <c r="N976" s="64"/>
    </row>
    <row r="977" spans="1:14" x14ac:dyDescent="0.3">
      <c r="A977" s="58" t="str">
        <f>IF([1]weekly_demand!A978="","",[1]weekly_demand!A978)</f>
        <v/>
      </c>
      <c r="B977" s="59" t="str">
        <f>IF($A977="","",[1]weekly_demand!F978)</f>
        <v/>
      </c>
      <c r="C977" s="60" t="str">
        <f>IF($A977="","",[1]weekly_demand!H978)</f>
        <v/>
      </c>
      <c r="D977" s="61" t="str">
        <f>IF($A977="","",IF(SUMIFS([1]Fixture_Capacity_Input!$C:$C,[1]Fixture_Capacity_Input!$A:$A,$B977,[1]Fixture_Capacity_Input!$B:$B,$C977)&gt;0,SUMIFS([1]Fixture_Capacity_Input!$C:$C,[1]Fixture_Capacity_Input!$A:$A,$B977,[1]Fixture_Capacity_Input!$B:$B,$C977),[1]weekly_demand!G978))</f>
        <v/>
      </c>
      <c r="E977" s="62" t="str">
        <f>IF($A977="","",[1]weekly_demand!I978)</f>
        <v/>
      </c>
      <c r="F977" s="61" t="str">
        <f>IF($A977="","",IF($A977&lt;&gt;$A976,IFERROR(INDEX([1]FG_Begin_Inventory!$B:$B,MATCH($A977,[1]FG_Begin_Inventory!$A:$A,0)),0),J976))</f>
        <v/>
      </c>
      <c r="G977" s="61" t="str">
        <f t="shared" si="108"/>
        <v/>
      </c>
      <c r="H977" s="62" t="str">
        <f t="shared" si="109"/>
        <v/>
      </c>
      <c r="I977" s="62" t="str">
        <f t="shared" si="110"/>
        <v/>
      </c>
      <c r="J977" s="62" t="str">
        <f t="shared" si="111"/>
        <v/>
      </c>
      <c r="K977" s="62" t="str">
        <f t="shared" si="112"/>
        <v/>
      </c>
      <c r="L977" s="62" t="str">
        <f t="shared" si="113"/>
        <v/>
      </c>
      <c r="M977" s="63" t="str">
        <f t="shared" si="114"/>
        <v/>
      </c>
      <c r="N977" s="64"/>
    </row>
    <row r="978" spans="1:14" x14ac:dyDescent="0.3">
      <c r="A978" s="58" t="str">
        <f>IF([1]weekly_demand!A979="","",[1]weekly_demand!A979)</f>
        <v/>
      </c>
      <c r="B978" s="59" t="str">
        <f>IF($A978="","",[1]weekly_demand!F979)</f>
        <v/>
      </c>
      <c r="C978" s="60" t="str">
        <f>IF($A978="","",[1]weekly_demand!H979)</f>
        <v/>
      </c>
      <c r="D978" s="61" t="str">
        <f>IF($A978="","",IF(SUMIFS([1]Fixture_Capacity_Input!$C:$C,[1]Fixture_Capacity_Input!$A:$A,$B978,[1]Fixture_Capacity_Input!$B:$B,$C978)&gt;0,SUMIFS([1]Fixture_Capacity_Input!$C:$C,[1]Fixture_Capacity_Input!$A:$A,$B978,[1]Fixture_Capacity_Input!$B:$B,$C978),[1]weekly_demand!G979))</f>
        <v/>
      </c>
      <c r="E978" s="62" t="str">
        <f>IF($A978="","",[1]weekly_demand!I979)</f>
        <v/>
      </c>
      <c r="F978" s="61" t="str">
        <f>IF($A978="","",IF($A978&lt;&gt;$A977,IFERROR(INDEX([1]FG_Begin_Inventory!$B:$B,MATCH($A978,[1]FG_Begin_Inventory!$A:$A,0)),0),J977))</f>
        <v/>
      </c>
      <c r="G978" s="61" t="str">
        <f t="shared" si="108"/>
        <v/>
      </c>
      <c r="H978" s="62" t="str">
        <f t="shared" si="109"/>
        <v/>
      </c>
      <c r="I978" s="62" t="str">
        <f t="shared" si="110"/>
        <v/>
      </c>
      <c r="J978" s="62" t="str">
        <f t="shared" si="111"/>
        <v/>
      </c>
      <c r="K978" s="62" t="str">
        <f t="shared" si="112"/>
        <v/>
      </c>
      <c r="L978" s="62" t="str">
        <f t="shared" si="113"/>
        <v/>
      </c>
      <c r="M978" s="63" t="str">
        <f t="shared" si="114"/>
        <v/>
      </c>
      <c r="N978" s="64"/>
    </row>
    <row r="979" spans="1:14" x14ac:dyDescent="0.3">
      <c r="A979" s="58" t="str">
        <f>IF([1]weekly_demand!A980="","",[1]weekly_demand!A980)</f>
        <v/>
      </c>
      <c r="B979" s="59" t="str">
        <f>IF($A979="","",[1]weekly_demand!F980)</f>
        <v/>
      </c>
      <c r="C979" s="60" t="str">
        <f>IF($A979="","",[1]weekly_demand!H980)</f>
        <v/>
      </c>
      <c r="D979" s="61" t="str">
        <f>IF($A979="","",IF(SUMIFS([1]Fixture_Capacity_Input!$C:$C,[1]Fixture_Capacity_Input!$A:$A,$B979,[1]Fixture_Capacity_Input!$B:$B,$C979)&gt;0,SUMIFS([1]Fixture_Capacity_Input!$C:$C,[1]Fixture_Capacity_Input!$A:$A,$B979,[1]Fixture_Capacity_Input!$B:$B,$C979),[1]weekly_demand!G980))</f>
        <v/>
      </c>
      <c r="E979" s="62" t="str">
        <f>IF($A979="","",[1]weekly_demand!I980)</f>
        <v/>
      </c>
      <c r="F979" s="61" t="str">
        <f>IF($A979="","",IF($A979&lt;&gt;$A978,IFERROR(INDEX([1]FG_Begin_Inventory!$B:$B,MATCH($A979,[1]FG_Begin_Inventory!$A:$A,0)),0),J978))</f>
        <v/>
      </c>
      <c r="G979" s="61" t="str">
        <f t="shared" si="108"/>
        <v/>
      </c>
      <c r="H979" s="62" t="str">
        <f t="shared" si="109"/>
        <v/>
      </c>
      <c r="I979" s="62" t="str">
        <f t="shared" si="110"/>
        <v/>
      </c>
      <c r="J979" s="62" t="str">
        <f t="shared" si="111"/>
        <v/>
      </c>
      <c r="K979" s="62" t="str">
        <f t="shared" si="112"/>
        <v/>
      </c>
      <c r="L979" s="62" t="str">
        <f t="shared" si="113"/>
        <v/>
      </c>
      <c r="M979" s="63" t="str">
        <f t="shared" si="114"/>
        <v/>
      </c>
      <c r="N979" s="64"/>
    </row>
    <row r="980" spans="1:14" x14ac:dyDescent="0.3">
      <c r="A980" s="58" t="str">
        <f>IF([1]weekly_demand!A981="","",[1]weekly_demand!A981)</f>
        <v/>
      </c>
      <c r="B980" s="59" t="str">
        <f>IF($A980="","",[1]weekly_demand!F981)</f>
        <v/>
      </c>
      <c r="C980" s="60" t="str">
        <f>IF($A980="","",[1]weekly_demand!H981)</f>
        <v/>
      </c>
      <c r="D980" s="61" t="str">
        <f>IF($A980="","",IF(SUMIFS([1]Fixture_Capacity_Input!$C:$C,[1]Fixture_Capacity_Input!$A:$A,$B980,[1]Fixture_Capacity_Input!$B:$B,$C980)&gt;0,SUMIFS([1]Fixture_Capacity_Input!$C:$C,[1]Fixture_Capacity_Input!$A:$A,$B980,[1]Fixture_Capacity_Input!$B:$B,$C980),[1]weekly_demand!G981))</f>
        <v/>
      </c>
      <c r="E980" s="62" t="str">
        <f>IF($A980="","",[1]weekly_demand!I981)</f>
        <v/>
      </c>
      <c r="F980" s="61" t="str">
        <f>IF($A980="","",IF($A980&lt;&gt;$A979,IFERROR(INDEX([1]FG_Begin_Inventory!$B:$B,MATCH($A980,[1]FG_Begin_Inventory!$A:$A,0)),0),J979))</f>
        <v/>
      </c>
      <c r="G980" s="61" t="str">
        <f t="shared" si="108"/>
        <v/>
      </c>
      <c r="H980" s="62" t="str">
        <f t="shared" si="109"/>
        <v/>
      </c>
      <c r="I980" s="62" t="str">
        <f t="shared" si="110"/>
        <v/>
      </c>
      <c r="J980" s="62" t="str">
        <f t="shared" si="111"/>
        <v/>
      </c>
      <c r="K980" s="62" t="str">
        <f t="shared" si="112"/>
        <v/>
      </c>
      <c r="L980" s="62" t="str">
        <f t="shared" si="113"/>
        <v/>
      </c>
      <c r="M980" s="63" t="str">
        <f t="shared" si="114"/>
        <v/>
      </c>
      <c r="N980" s="64"/>
    </row>
    <row r="981" spans="1:14" x14ac:dyDescent="0.3">
      <c r="A981" s="58" t="str">
        <f>IF([1]weekly_demand!A982="","",[1]weekly_demand!A982)</f>
        <v/>
      </c>
      <c r="B981" s="59" t="str">
        <f>IF($A981="","",[1]weekly_demand!F982)</f>
        <v/>
      </c>
      <c r="C981" s="60" t="str">
        <f>IF($A981="","",[1]weekly_demand!H982)</f>
        <v/>
      </c>
      <c r="D981" s="61" t="str">
        <f>IF($A981="","",IF(SUMIFS([1]Fixture_Capacity_Input!$C:$C,[1]Fixture_Capacity_Input!$A:$A,$B981,[1]Fixture_Capacity_Input!$B:$B,$C981)&gt;0,SUMIFS([1]Fixture_Capacity_Input!$C:$C,[1]Fixture_Capacity_Input!$A:$A,$B981,[1]Fixture_Capacity_Input!$B:$B,$C981),[1]weekly_demand!G982))</f>
        <v/>
      </c>
      <c r="E981" s="62" t="str">
        <f>IF($A981="","",[1]weekly_demand!I982)</f>
        <v/>
      </c>
      <c r="F981" s="61" t="str">
        <f>IF($A981="","",IF($A981&lt;&gt;$A980,IFERROR(INDEX([1]FG_Begin_Inventory!$B:$B,MATCH($A981,[1]FG_Begin_Inventory!$A:$A,0)),0),J980))</f>
        <v/>
      </c>
      <c r="G981" s="61" t="str">
        <f t="shared" si="108"/>
        <v/>
      </c>
      <c r="H981" s="62" t="str">
        <f t="shared" si="109"/>
        <v/>
      </c>
      <c r="I981" s="62" t="str">
        <f t="shared" si="110"/>
        <v/>
      </c>
      <c r="J981" s="62" t="str">
        <f t="shared" si="111"/>
        <v/>
      </c>
      <c r="K981" s="62" t="str">
        <f t="shared" si="112"/>
        <v/>
      </c>
      <c r="L981" s="62" t="str">
        <f t="shared" si="113"/>
        <v/>
      </c>
      <c r="M981" s="63" t="str">
        <f t="shared" si="114"/>
        <v/>
      </c>
      <c r="N981" s="64"/>
    </row>
    <row r="982" spans="1:14" x14ac:dyDescent="0.3">
      <c r="A982" s="58" t="str">
        <f>IF([1]weekly_demand!A983="","",[1]weekly_demand!A983)</f>
        <v/>
      </c>
      <c r="B982" s="59" t="str">
        <f>IF($A982="","",[1]weekly_demand!F983)</f>
        <v/>
      </c>
      <c r="C982" s="60" t="str">
        <f>IF($A982="","",[1]weekly_demand!H983)</f>
        <v/>
      </c>
      <c r="D982" s="61" t="str">
        <f>IF($A982="","",IF(SUMIFS([1]Fixture_Capacity_Input!$C:$C,[1]Fixture_Capacity_Input!$A:$A,$B982,[1]Fixture_Capacity_Input!$B:$B,$C982)&gt;0,SUMIFS([1]Fixture_Capacity_Input!$C:$C,[1]Fixture_Capacity_Input!$A:$A,$B982,[1]Fixture_Capacity_Input!$B:$B,$C982),[1]weekly_demand!G983))</f>
        <v/>
      </c>
      <c r="E982" s="62" t="str">
        <f>IF($A982="","",[1]weekly_demand!I983)</f>
        <v/>
      </c>
      <c r="F982" s="61" t="str">
        <f>IF($A982="","",IF($A982&lt;&gt;$A981,IFERROR(INDEX([1]FG_Begin_Inventory!$B:$B,MATCH($A982,[1]FG_Begin_Inventory!$A:$A,0)),0),J981))</f>
        <v/>
      </c>
      <c r="G982" s="61" t="str">
        <f t="shared" si="108"/>
        <v/>
      </c>
      <c r="H982" s="62" t="str">
        <f t="shared" si="109"/>
        <v/>
      </c>
      <c r="I982" s="62" t="str">
        <f t="shared" si="110"/>
        <v/>
      </c>
      <c r="J982" s="62" t="str">
        <f t="shared" si="111"/>
        <v/>
      </c>
      <c r="K982" s="62" t="str">
        <f t="shared" si="112"/>
        <v/>
      </c>
      <c r="L982" s="62" t="str">
        <f t="shared" si="113"/>
        <v/>
      </c>
      <c r="M982" s="63" t="str">
        <f t="shared" si="114"/>
        <v/>
      </c>
      <c r="N982" s="64"/>
    </row>
    <row r="983" spans="1:14" x14ac:dyDescent="0.3">
      <c r="A983" s="58" t="str">
        <f>IF([1]weekly_demand!A984="","",[1]weekly_demand!A984)</f>
        <v/>
      </c>
      <c r="B983" s="59" t="str">
        <f>IF($A983="","",[1]weekly_demand!F984)</f>
        <v/>
      </c>
      <c r="C983" s="60" t="str">
        <f>IF($A983="","",[1]weekly_demand!H984)</f>
        <v/>
      </c>
      <c r="D983" s="61" t="str">
        <f>IF($A983="","",IF(SUMIFS([1]Fixture_Capacity_Input!$C:$C,[1]Fixture_Capacity_Input!$A:$A,$B983,[1]Fixture_Capacity_Input!$B:$B,$C983)&gt;0,SUMIFS([1]Fixture_Capacity_Input!$C:$C,[1]Fixture_Capacity_Input!$A:$A,$B983,[1]Fixture_Capacity_Input!$B:$B,$C983),[1]weekly_demand!G984))</f>
        <v/>
      </c>
      <c r="E983" s="62" t="str">
        <f>IF($A983="","",[1]weekly_demand!I984)</f>
        <v/>
      </c>
      <c r="F983" s="61" t="str">
        <f>IF($A983="","",IF($A983&lt;&gt;$A982,IFERROR(INDEX([1]FG_Begin_Inventory!$B:$B,MATCH($A983,[1]FG_Begin_Inventory!$A:$A,0)),0),J982))</f>
        <v/>
      </c>
      <c r="G983" s="61" t="str">
        <f t="shared" si="108"/>
        <v/>
      </c>
      <c r="H983" s="62" t="str">
        <f t="shared" si="109"/>
        <v/>
      </c>
      <c r="I983" s="62" t="str">
        <f t="shared" si="110"/>
        <v/>
      </c>
      <c r="J983" s="62" t="str">
        <f t="shared" si="111"/>
        <v/>
      </c>
      <c r="K983" s="62" t="str">
        <f t="shared" si="112"/>
        <v/>
      </c>
      <c r="L983" s="62" t="str">
        <f t="shared" si="113"/>
        <v/>
      </c>
      <c r="M983" s="63" t="str">
        <f t="shared" si="114"/>
        <v/>
      </c>
      <c r="N983" s="64"/>
    </row>
    <row r="984" spans="1:14" x14ac:dyDescent="0.3">
      <c r="A984" s="58" t="str">
        <f>IF([1]weekly_demand!A985="","",[1]weekly_demand!A985)</f>
        <v/>
      </c>
      <c r="B984" s="59" t="str">
        <f>IF($A984="","",[1]weekly_demand!F985)</f>
        <v/>
      </c>
      <c r="C984" s="60" t="str">
        <f>IF($A984="","",[1]weekly_demand!H985)</f>
        <v/>
      </c>
      <c r="D984" s="61" t="str">
        <f>IF($A984="","",IF(SUMIFS([1]Fixture_Capacity_Input!$C:$C,[1]Fixture_Capacity_Input!$A:$A,$B984,[1]Fixture_Capacity_Input!$B:$B,$C984)&gt;0,SUMIFS([1]Fixture_Capacity_Input!$C:$C,[1]Fixture_Capacity_Input!$A:$A,$B984,[1]Fixture_Capacity_Input!$B:$B,$C984),[1]weekly_demand!G985))</f>
        <v/>
      </c>
      <c r="E984" s="62" t="str">
        <f>IF($A984="","",[1]weekly_demand!I985)</f>
        <v/>
      </c>
      <c r="F984" s="61" t="str">
        <f>IF($A984="","",IF($A984&lt;&gt;$A983,IFERROR(INDEX([1]FG_Begin_Inventory!$B:$B,MATCH($A984,[1]FG_Begin_Inventory!$A:$A,0)),0),J983))</f>
        <v/>
      </c>
      <c r="G984" s="61" t="str">
        <f t="shared" si="108"/>
        <v/>
      </c>
      <c r="H984" s="62" t="str">
        <f t="shared" si="109"/>
        <v/>
      </c>
      <c r="I984" s="62" t="str">
        <f t="shared" si="110"/>
        <v/>
      </c>
      <c r="J984" s="62" t="str">
        <f t="shared" si="111"/>
        <v/>
      </c>
      <c r="K984" s="62" t="str">
        <f t="shared" si="112"/>
        <v/>
      </c>
      <c r="L984" s="62" t="str">
        <f t="shared" si="113"/>
        <v/>
      </c>
      <c r="M984" s="63" t="str">
        <f t="shared" si="114"/>
        <v/>
      </c>
      <c r="N984" s="64"/>
    </row>
    <row r="985" spans="1:14" x14ac:dyDescent="0.3">
      <c r="A985" s="58" t="str">
        <f>IF([1]weekly_demand!A986="","",[1]weekly_demand!A986)</f>
        <v/>
      </c>
      <c r="B985" s="59" t="str">
        <f>IF($A985="","",[1]weekly_demand!F986)</f>
        <v/>
      </c>
      <c r="C985" s="60" t="str">
        <f>IF($A985="","",[1]weekly_demand!H986)</f>
        <v/>
      </c>
      <c r="D985" s="61" t="str">
        <f>IF($A985="","",IF(SUMIFS([1]Fixture_Capacity_Input!$C:$C,[1]Fixture_Capacity_Input!$A:$A,$B985,[1]Fixture_Capacity_Input!$B:$B,$C985)&gt;0,SUMIFS([1]Fixture_Capacity_Input!$C:$C,[1]Fixture_Capacity_Input!$A:$A,$B985,[1]Fixture_Capacity_Input!$B:$B,$C985),[1]weekly_demand!G986))</f>
        <v/>
      </c>
      <c r="E985" s="62" t="str">
        <f>IF($A985="","",[1]weekly_demand!I986)</f>
        <v/>
      </c>
      <c r="F985" s="61" t="str">
        <f>IF($A985="","",IF($A985&lt;&gt;$A984,IFERROR(INDEX([1]FG_Begin_Inventory!$B:$B,MATCH($A985,[1]FG_Begin_Inventory!$A:$A,0)),0),J984))</f>
        <v/>
      </c>
      <c r="G985" s="61" t="str">
        <f t="shared" si="108"/>
        <v/>
      </c>
      <c r="H985" s="62" t="str">
        <f t="shared" si="109"/>
        <v/>
      </c>
      <c r="I985" s="62" t="str">
        <f t="shared" si="110"/>
        <v/>
      </c>
      <c r="J985" s="62" t="str">
        <f t="shared" si="111"/>
        <v/>
      </c>
      <c r="K985" s="62" t="str">
        <f t="shared" si="112"/>
        <v/>
      </c>
      <c r="L985" s="62" t="str">
        <f t="shared" si="113"/>
        <v/>
      </c>
      <c r="M985" s="63" t="str">
        <f t="shared" si="114"/>
        <v/>
      </c>
      <c r="N985" s="64"/>
    </row>
    <row r="986" spans="1:14" x14ac:dyDescent="0.3">
      <c r="A986" s="58" t="str">
        <f>IF([1]weekly_demand!A987="","",[1]weekly_demand!A987)</f>
        <v/>
      </c>
      <c r="B986" s="59" t="str">
        <f>IF($A986="","",[1]weekly_demand!F987)</f>
        <v/>
      </c>
      <c r="C986" s="60" t="str">
        <f>IF($A986="","",[1]weekly_demand!H987)</f>
        <v/>
      </c>
      <c r="D986" s="61" t="str">
        <f>IF($A986="","",IF(SUMIFS([1]Fixture_Capacity_Input!$C:$C,[1]Fixture_Capacity_Input!$A:$A,$B986,[1]Fixture_Capacity_Input!$B:$B,$C986)&gt;0,SUMIFS([1]Fixture_Capacity_Input!$C:$C,[1]Fixture_Capacity_Input!$A:$A,$B986,[1]Fixture_Capacity_Input!$B:$B,$C986),[1]weekly_demand!G987))</f>
        <v/>
      </c>
      <c r="E986" s="62" t="str">
        <f>IF($A986="","",[1]weekly_demand!I987)</f>
        <v/>
      </c>
      <c r="F986" s="61" t="str">
        <f>IF($A986="","",IF($A986&lt;&gt;$A985,IFERROR(INDEX([1]FG_Begin_Inventory!$B:$B,MATCH($A986,[1]FG_Begin_Inventory!$A:$A,0)),0),J985))</f>
        <v/>
      </c>
      <c r="G986" s="61" t="str">
        <f t="shared" si="108"/>
        <v/>
      </c>
      <c r="H986" s="62" t="str">
        <f t="shared" si="109"/>
        <v/>
      </c>
      <c r="I986" s="62" t="str">
        <f t="shared" si="110"/>
        <v/>
      </c>
      <c r="J986" s="62" t="str">
        <f t="shared" si="111"/>
        <v/>
      </c>
      <c r="K986" s="62" t="str">
        <f t="shared" si="112"/>
        <v/>
      </c>
      <c r="L986" s="62" t="str">
        <f t="shared" si="113"/>
        <v/>
      </c>
      <c r="M986" s="63" t="str">
        <f t="shared" si="114"/>
        <v/>
      </c>
      <c r="N986" s="64"/>
    </row>
    <row r="987" spans="1:14" x14ac:dyDescent="0.3">
      <c r="A987" s="58" t="str">
        <f>IF([1]weekly_demand!A988="","",[1]weekly_demand!A988)</f>
        <v/>
      </c>
      <c r="B987" s="59" t="str">
        <f>IF($A987="","",[1]weekly_demand!F988)</f>
        <v/>
      </c>
      <c r="C987" s="60" t="str">
        <f>IF($A987="","",[1]weekly_demand!H988)</f>
        <v/>
      </c>
      <c r="D987" s="61" t="str">
        <f>IF($A987="","",IF(SUMIFS([1]Fixture_Capacity_Input!$C:$C,[1]Fixture_Capacity_Input!$A:$A,$B987,[1]Fixture_Capacity_Input!$B:$B,$C987)&gt;0,SUMIFS([1]Fixture_Capacity_Input!$C:$C,[1]Fixture_Capacity_Input!$A:$A,$B987,[1]Fixture_Capacity_Input!$B:$B,$C987),[1]weekly_demand!G988))</f>
        <v/>
      </c>
      <c r="E987" s="62" t="str">
        <f>IF($A987="","",[1]weekly_demand!I988)</f>
        <v/>
      </c>
      <c r="F987" s="61" t="str">
        <f>IF($A987="","",IF($A987&lt;&gt;$A986,IFERROR(INDEX([1]FG_Begin_Inventory!$B:$B,MATCH($A987,[1]FG_Begin_Inventory!$A:$A,0)),0),J986))</f>
        <v/>
      </c>
      <c r="G987" s="61" t="str">
        <f t="shared" si="108"/>
        <v/>
      </c>
      <c r="H987" s="62" t="str">
        <f t="shared" si="109"/>
        <v/>
      </c>
      <c r="I987" s="62" t="str">
        <f t="shared" si="110"/>
        <v/>
      </c>
      <c r="J987" s="62" t="str">
        <f t="shared" si="111"/>
        <v/>
      </c>
      <c r="K987" s="62" t="str">
        <f t="shared" si="112"/>
        <v/>
      </c>
      <c r="L987" s="62" t="str">
        <f t="shared" si="113"/>
        <v/>
      </c>
      <c r="M987" s="63" t="str">
        <f t="shared" si="114"/>
        <v/>
      </c>
      <c r="N987" s="64"/>
    </row>
    <row r="988" spans="1:14" x14ac:dyDescent="0.3">
      <c r="A988" s="58" t="str">
        <f>IF([1]weekly_demand!A989="","",[1]weekly_demand!A989)</f>
        <v/>
      </c>
      <c r="B988" s="59" t="str">
        <f>IF($A988="","",[1]weekly_demand!F989)</f>
        <v/>
      </c>
      <c r="C988" s="60" t="str">
        <f>IF($A988="","",[1]weekly_demand!H989)</f>
        <v/>
      </c>
      <c r="D988" s="61" t="str">
        <f>IF($A988="","",IF(SUMIFS([1]Fixture_Capacity_Input!$C:$C,[1]Fixture_Capacity_Input!$A:$A,$B988,[1]Fixture_Capacity_Input!$B:$B,$C988)&gt;0,SUMIFS([1]Fixture_Capacity_Input!$C:$C,[1]Fixture_Capacity_Input!$A:$A,$B988,[1]Fixture_Capacity_Input!$B:$B,$C988),[1]weekly_demand!G989))</f>
        <v/>
      </c>
      <c r="E988" s="62" t="str">
        <f>IF($A988="","",[1]weekly_demand!I989)</f>
        <v/>
      </c>
      <c r="F988" s="61" t="str">
        <f>IF($A988="","",IF($A988&lt;&gt;$A987,IFERROR(INDEX([1]FG_Begin_Inventory!$B:$B,MATCH($A988,[1]FG_Begin_Inventory!$A:$A,0)),0),J987))</f>
        <v/>
      </c>
      <c r="G988" s="61" t="str">
        <f t="shared" si="108"/>
        <v/>
      </c>
      <c r="H988" s="62" t="str">
        <f t="shared" si="109"/>
        <v/>
      </c>
      <c r="I988" s="62" t="str">
        <f t="shared" si="110"/>
        <v/>
      </c>
      <c r="J988" s="62" t="str">
        <f t="shared" si="111"/>
        <v/>
      </c>
      <c r="K988" s="62" t="str">
        <f t="shared" si="112"/>
        <v/>
      </c>
      <c r="L988" s="62" t="str">
        <f t="shared" si="113"/>
        <v/>
      </c>
      <c r="M988" s="63" t="str">
        <f t="shared" si="114"/>
        <v/>
      </c>
      <c r="N988" s="64"/>
    </row>
    <row r="989" spans="1:14" x14ac:dyDescent="0.3">
      <c r="A989" s="58" t="str">
        <f>IF([1]weekly_demand!A990="","",[1]weekly_demand!A990)</f>
        <v/>
      </c>
      <c r="B989" s="59" t="str">
        <f>IF($A989="","",[1]weekly_demand!F990)</f>
        <v/>
      </c>
      <c r="C989" s="60" t="str">
        <f>IF($A989="","",[1]weekly_demand!H990)</f>
        <v/>
      </c>
      <c r="D989" s="61" t="str">
        <f>IF($A989="","",IF(SUMIFS([1]Fixture_Capacity_Input!$C:$C,[1]Fixture_Capacity_Input!$A:$A,$B989,[1]Fixture_Capacity_Input!$B:$B,$C989)&gt;0,SUMIFS([1]Fixture_Capacity_Input!$C:$C,[1]Fixture_Capacity_Input!$A:$A,$B989,[1]Fixture_Capacity_Input!$B:$B,$C989),[1]weekly_demand!G990))</f>
        <v/>
      </c>
      <c r="E989" s="62" t="str">
        <f>IF($A989="","",[1]weekly_demand!I990)</f>
        <v/>
      </c>
      <c r="F989" s="61" t="str">
        <f>IF($A989="","",IF($A989&lt;&gt;$A988,IFERROR(INDEX([1]FG_Begin_Inventory!$B:$B,MATCH($A989,[1]FG_Begin_Inventory!$A:$A,0)),0),J988))</f>
        <v/>
      </c>
      <c r="G989" s="61" t="str">
        <f t="shared" si="108"/>
        <v/>
      </c>
      <c r="H989" s="62" t="str">
        <f t="shared" si="109"/>
        <v/>
      </c>
      <c r="I989" s="62" t="str">
        <f t="shared" si="110"/>
        <v/>
      </c>
      <c r="J989" s="62" t="str">
        <f t="shared" si="111"/>
        <v/>
      </c>
      <c r="K989" s="62" t="str">
        <f t="shared" si="112"/>
        <v/>
      </c>
      <c r="L989" s="62" t="str">
        <f t="shared" si="113"/>
        <v/>
      </c>
      <c r="M989" s="63" t="str">
        <f t="shared" si="114"/>
        <v/>
      </c>
      <c r="N989" s="64"/>
    </row>
    <row r="990" spans="1:14" x14ac:dyDescent="0.3">
      <c r="A990" s="58" t="str">
        <f>IF([1]weekly_demand!A991="","",[1]weekly_demand!A991)</f>
        <v/>
      </c>
      <c r="B990" s="59" t="str">
        <f>IF($A990="","",[1]weekly_demand!F991)</f>
        <v/>
      </c>
      <c r="C990" s="60" t="str">
        <f>IF($A990="","",[1]weekly_demand!H991)</f>
        <v/>
      </c>
      <c r="D990" s="61" t="str">
        <f>IF($A990="","",IF(SUMIFS([1]Fixture_Capacity_Input!$C:$C,[1]Fixture_Capacity_Input!$A:$A,$B990,[1]Fixture_Capacity_Input!$B:$B,$C990)&gt;0,SUMIFS([1]Fixture_Capacity_Input!$C:$C,[1]Fixture_Capacity_Input!$A:$A,$B990,[1]Fixture_Capacity_Input!$B:$B,$C990),[1]weekly_demand!G991))</f>
        <v/>
      </c>
      <c r="E990" s="62" t="str">
        <f>IF($A990="","",[1]weekly_demand!I991)</f>
        <v/>
      </c>
      <c r="F990" s="61" t="str">
        <f>IF($A990="","",IF($A990&lt;&gt;$A989,IFERROR(INDEX([1]FG_Begin_Inventory!$B:$B,MATCH($A990,[1]FG_Begin_Inventory!$A:$A,0)),0),J989))</f>
        <v/>
      </c>
      <c r="G990" s="61" t="str">
        <f t="shared" si="108"/>
        <v/>
      </c>
      <c r="H990" s="62" t="str">
        <f t="shared" si="109"/>
        <v/>
      </c>
      <c r="I990" s="62" t="str">
        <f t="shared" si="110"/>
        <v/>
      </c>
      <c r="J990" s="62" t="str">
        <f t="shared" si="111"/>
        <v/>
      </c>
      <c r="K990" s="62" t="str">
        <f t="shared" si="112"/>
        <v/>
      </c>
      <c r="L990" s="62" t="str">
        <f t="shared" si="113"/>
        <v/>
      </c>
      <c r="M990" s="63" t="str">
        <f t="shared" si="114"/>
        <v/>
      </c>
      <c r="N990" s="64"/>
    </row>
    <row r="991" spans="1:14" x14ac:dyDescent="0.3">
      <c r="A991" s="58" t="str">
        <f>IF([1]weekly_demand!A992="","",[1]weekly_demand!A992)</f>
        <v/>
      </c>
      <c r="B991" s="59" t="str">
        <f>IF($A991="","",[1]weekly_demand!F992)</f>
        <v/>
      </c>
      <c r="C991" s="60" t="str">
        <f>IF($A991="","",[1]weekly_demand!H992)</f>
        <v/>
      </c>
      <c r="D991" s="61" t="str">
        <f>IF($A991="","",IF(SUMIFS([1]Fixture_Capacity_Input!$C:$C,[1]Fixture_Capacity_Input!$A:$A,$B991,[1]Fixture_Capacity_Input!$B:$B,$C991)&gt;0,SUMIFS([1]Fixture_Capacity_Input!$C:$C,[1]Fixture_Capacity_Input!$A:$A,$B991,[1]Fixture_Capacity_Input!$B:$B,$C991),[1]weekly_demand!G992))</f>
        <v/>
      </c>
      <c r="E991" s="62" t="str">
        <f>IF($A991="","",[1]weekly_demand!I992)</f>
        <v/>
      </c>
      <c r="F991" s="61" t="str">
        <f>IF($A991="","",IF($A991&lt;&gt;$A990,IFERROR(INDEX([1]FG_Begin_Inventory!$B:$B,MATCH($A991,[1]FG_Begin_Inventory!$A:$A,0)),0),J990))</f>
        <v/>
      </c>
      <c r="G991" s="61" t="str">
        <f t="shared" si="108"/>
        <v/>
      </c>
      <c r="H991" s="62" t="str">
        <f t="shared" si="109"/>
        <v/>
      </c>
      <c r="I991" s="62" t="str">
        <f t="shared" si="110"/>
        <v/>
      </c>
      <c r="J991" s="62" t="str">
        <f t="shared" si="111"/>
        <v/>
      </c>
      <c r="K991" s="62" t="str">
        <f t="shared" si="112"/>
        <v/>
      </c>
      <c r="L991" s="62" t="str">
        <f t="shared" si="113"/>
        <v/>
      </c>
      <c r="M991" s="63" t="str">
        <f t="shared" si="114"/>
        <v/>
      </c>
      <c r="N991" s="64"/>
    </row>
    <row r="992" spans="1:14" x14ac:dyDescent="0.3">
      <c r="A992" s="58" t="str">
        <f>IF([1]weekly_demand!A993="","",[1]weekly_demand!A993)</f>
        <v/>
      </c>
      <c r="B992" s="59" t="str">
        <f>IF($A992="","",[1]weekly_demand!F993)</f>
        <v/>
      </c>
      <c r="C992" s="60" t="str">
        <f>IF($A992="","",[1]weekly_demand!H993)</f>
        <v/>
      </c>
      <c r="D992" s="61" t="str">
        <f>IF($A992="","",IF(SUMIFS([1]Fixture_Capacity_Input!$C:$C,[1]Fixture_Capacity_Input!$A:$A,$B992,[1]Fixture_Capacity_Input!$B:$B,$C992)&gt;0,SUMIFS([1]Fixture_Capacity_Input!$C:$C,[1]Fixture_Capacity_Input!$A:$A,$B992,[1]Fixture_Capacity_Input!$B:$B,$C992),[1]weekly_demand!G993))</f>
        <v/>
      </c>
      <c r="E992" s="62" t="str">
        <f>IF($A992="","",[1]weekly_demand!I993)</f>
        <v/>
      </c>
      <c r="F992" s="61" t="str">
        <f>IF($A992="","",IF($A992&lt;&gt;$A991,IFERROR(INDEX([1]FG_Begin_Inventory!$B:$B,MATCH($A992,[1]FG_Begin_Inventory!$A:$A,0)),0),J991))</f>
        <v/>
      </c>
      <c r="G992" s="61" t="str">
        <f t="shared" si="108"/>
        <v/>
      </c>
      <c r="H992" s="62" t="str">
        <f t="shared" si="109"/>
        <v/>
      </c>
      <c r="I992" s="62" t="str">
        <f t="shared" si="110"/>
        <v/>
      </c>
      <c r="J992" s="62" t="str">
        <f t="shared" si="111"/>
        <v/>
      </c>
      <c r="K992" s="62" t="str">
        <f t="shared" si="112"/>
        <v/>
      </c>
      <c r="L992" s="62" t="str">
        <f t="shared" si="113"/>
        <v/>
      </c>
      <c r="M992" s="63" t="str">
        <f t="shared" si="114"/>
        <v/>
      </c>
      <c r="N992" s="64"/>
    </row>
    <row r="993" spans="1:14" x14ac:dyDescent="0.3">
      <c r="A993" s="58" t="str">
        <f>IF([1]weekly_demand!A994="","",[1]weekly_demand!A994)</f>
        <v/>
      </c>
      <c r="B993" s="59" t="str">
        <f>IF($A993="","",[1]weekly_demand!F994)</f>
        <v/>
      </c>
      <c r="C993" s="60" t="str">
        <f>IF($A993="","",[1]weekly_demand!H994)</f>
        <v/>
      </c>
      <c r="D993" s="61" t="str">
        <f>IF($A993="","",IF(SUMIFS([1]Fixture_Capacity_Input!$C:$C,[1]Fixture_Capacity_Input!$A:$A,$B993,[1]Fixture_Capacity_Input!$B:$B,$C993)&gt;0,SUMIFS([1]Fixture_Capacity_Input!$C:$C,[1]Fixture_Capacity_Input!$A:$A,$B993,[1]Fixture_Capacity_Input!$B:$B,$C993),[1]weekly_demand!G994))</f>
        <v/>
      </c>
      <c r="E993" s="62" t="str">
        <f>IF($A993="","",[1]weekly_demand!I994)</f>
        <v/>
      </c>
      <c r="F993" s="61" t="str">
        <f>IF($A993="","",IF($A993&lt;&gt;$A992,IFERROR(INDEX([1]FG_Begin_Inventory!$B:$B,MATCH($A993,[1]FG_Begin_Inventory!$A:$A,0)),0),J992))</f>
        <v/>
      </c>
      <c r="G993" s="61" t="str">
        <f t="shared" si="108"/>
        <v/>
      </c>
      <c r="H993" s="62" t="str">
        <f t="shared" si="109"/>
        <v/>
      </c>
      <c r="I993" s="62" t="str">
        <f t="shared" si="110"/>
        <v/>
      </c>
      <c r="J993" s="62" t="str">
        <f t="shared" si="111"/>
        <v/>
      </c>
      <c r="K993" s="62" t="str">
        <f t="shared" si="112"/>
        <v/>
      </c>
      <c r="L993" s="62" t="str">
        <f t="shared" si="113"/>
        <v/>
      </c>
      <c r="M993" s="63" t="str">
        <f t="shared" si="114"/>
        <v/>
      </c>
      <c r="N993" s="64"/>
    </row>
    <row r="994" spans="1:14" x14ac:dyDescent="0.3">
      <c r="A994" s="58" t="str">
        <f>IF([1]weekly_demand!A995="","",[1]weekly_demand!A995)</f>
        <v/>
      </c>
      <c r="B994" s="59" t="str">
        <f>IF($A994="","",[1]weekly_demand!F995)</f>
        <v/>
      </c>
      <c r="C994" s="60" t="str">
        <f>IF($A994="","",[1]weekly_demand!H995)</f>
        <v/>
      </c>
      <c r="D994" s="61" t="str">
        <f>IF($A994="","",IF(SUMIFS([1]Fixture_Capacity_Input!$C:$C,[1]Fixture_Capacity_Input!$A:$A,$B994,[1]Fixture_Capacity_Input!$B:$B,$C994)&gt;0,SUMIFS([1]Fixture_Capacity_Input!$C:$C,[1]Fixture_Capacity_Input!$A:$A,$B994,[1]Fixture_Capacity_Input!$B:$B,$C994),[1]weekly_demand!G995))</f>
        <v/>
      </c>
      <c r="E994" s="62" t="str">
        <f>IF($A994="","",[1]weekly_demand!I995)</f>
        <v/>
      </c>
      <c r="F994" s="61" t="str">
        <f>IF($A994="","",IF($A994&lt;&gt;$A993,IFERROR(INDEX([1]FG_Begin_Inventory!$B:$B,MATCH($A994,[1]FG_Begin_Inventory!$A:$A,0)),0),J993))</f>
        <v/>
      </c>
      <c r="G994" s="61" t="str">
        <f t="shared" si="108"/>
        <v/>
      </c>
      <c r="H994" s="62" t="str">
        <f t="shared" si="109"/>
        <v/>
      </c>
      <c r="I994" s="62" t="str">
        <f t="shared" si="110"/>
        <v/>
      </c>
      <c r="J994" s="62" t="str">
        <f t="shared" si="111"/>
        <v/>
      </c>
      <c r="K994" s="62" t="str">
        <f t="shared" si="112"/>
        <v/>
      </c>
      <c r="L994" s="62" t="str">
        <f t="shared" si="113"/>
        <v/>
      </c>
      <c r="M994" s="63" t="str">
        <f t="shared" si="114"/>
        <v/>
      </c>
      <c r="N994" s="64"/>
    </row>
    <row r="995" spans="1:14" x14ac:dyDescent="0.3">
      <c r="A995" s="58" t="str">
        <f>IF([1]weekly_demand!A996="","",[1]weekly_demand!A996)</f>
        <v/>
      </c>
      <c r="B995" s="59" t="str">
        <f>IF($A995="","",[1]weekly_demand!F996)</f>
        <v/>
      </c>
      <c r="C995" s="60" t="str">
        <f>IF($A995="","",[1]weekly_demand!H996)</f>
        <v/>
      </c>
      <c r="D995" s="61" t="str">
        <f>IF($A995="","",IF(SUMIFS([1]Fixture_Capacity_Input!$C:$C,[1]Fixture_Capacity_Input!$A:$A,$B995,[1]Fixture_Capacity_Input!$B:$B,$C995)&gt;0,SUMIFS([1]Fixture_Capacity_Input!$C:$C,[1]Fixture_Capacity_Input!$A:$A,$B995,[1]Fixture_Capacity_Input!$B:$B,$C995),[1]weekly_demand!G996))</f>
        <v/>
      </c>
      <c r="E995" s="62" t="str">
        <f>IF($A995="","",[1]weekly_demand!I996)</f>
        <v/>
      </c>
      <c r="F995" s="61" t="str">
        <f>IF($A995="","",IF($A995&lt;&gt;$A994,IFERROR(INDEX([1]FG_Begin_Inventory!$B:$B,MATCH($A995,[1]FG_Begin_Inventory!$A:$A,0)),0),J994))</f>
        <v/>
      </c>
      <c r="G995" s="61" t="str">
        <f t="shared" si="108"/>
        <v/>
      </c>
      <c r="H995" s="62" t="str">
        <f t="shared" si="109"/>
        <v/>
      </c>
      <c r="I995" s="62" t="str">
        <f t="shared" si="110"/>
        <v/>
      </c>
      <c r="J995" s="62" t="str">
        <f t="shared" si="111"/>
        <v/>
      </c>
      <c r="K995" s="62" t="str">
        <f t="shared" si="112"/>
        <v/>
      </c>
      <c r="L995" s="62" t="str">
        <f t="shared" si="113"/>
        <v/>
      </c>
      <c r="M995" s="63" t="str">
        <f t="shared" si="114"/>
        <v/>
      </c>
      <c r="N995" s="64"/>
    </row>
    <row r="996" spans="1:14" x14ac:dyDescent="0.3">
      <c r="A996" s="58" t="str">
        <f>IF([1]weekly_demand!A997="","",[1]weekly_demand!A997)</f>
        <v/>
      </c>
      <c r="B996" s="59" t="str">
        <f>IF($A996="","",[1]weekly_demand!F997)</f>
        <v/>
      </c>
      <c r="C996" s="60" t="str">
        <f>IF($A996="","",[1]weekly_demand!H997)</f>
        <v/>
      </c>
      <c r="D996" s="61" t="str">
        <f>IF($A996="","",IF(SUMIFS([1]Fixture_Capacity_Input!$C:$C,[1]Fixture_Capacity_Input!$A:$A,$B996,[1]Fixture_Capacity_Input!$B:$B,$C996)&gt;0,SUMIFS([1]Fixture_Capacity_Input!$C:$C,[1]Fixture_Capacity_Input!$A:$A,$B996,[1]Fixture_Capacity_Input!$B:$B,$C996),[1]weekly_demand!G997))</f>
        <v/>
      </c>
      <c r="E996" s="62" t="str">
        <f>IF($A996="","",[1]weekly_demand!I997)</f>
        <v/>
      </c>
      <c r="F996" s="61" t="str">
        <f>IF($A996="","",IF($A996&lt;&gt;$A995,IFERROR(INDEX([1]FG_Begin_Inventory!$B:$B,MATCH($A996,[1]FG_Begin_Inventory!$A:$A,0)),0),J995))</f>
        <v/>
      </c>
      <c r="G996" s="61" t="str">
        <f t="shared" si="108"/>
        <v/>
      </c>
      <c r="H996" s="62" t="str">
        <f t="shared" si="109"/>
        <v/>
      </c>
      <c r="I996" s="62" t="str">
        <f t="shared" si="110"/>
        <v/>
      </c>
      <c r="J996" s="62" t="str">
        <f t="shared" si="111"/>
        <v/>
      </c>
      <c r="K996" s="62" t="str">
        <f t="shared" si="112"/>
        <v/>
      </c>
      <c r="L996" s="62" t="str">
        <f t="shared" si="113"/>
        <v/>
      </c>
      <c r="M996" s="63" t="str">
        <f t="shared" si="114"/>
        <v/>
      </c>
      <c r="N996" s="64"/>
    </row>
    <row r="997" spans="1:14" x14ac:dyDescent="0.3">
      <c r="A997" s="58" t="str">
        <f>IF([1]weekly_demand!A998="","",[1]weekly_demand!A998)</f>
        <v/>
      </c>
      <c r="B997" s="59" t="str">
        <f>IF($A997="","",[1]weekly_demand!F998)</f>
        <v/>
      </c>
      <c r="C997" s="60" t="str">
        <f>IF($A997="","",[1]weekly_demand!H998)</f>
        <v/>
      </c>
      <c r="D997" s="61" t="str">
        <f>IF($A997="","",IF(SUMIFS([1]Fixture_Capacity_Input!$C:$C,[1]Fixture_Capacity_Input!$A:$A,$B997,[1]Fixture_Capacity_Input!$B:$B,$C997)&gt;0,SUMIFS([1]Fixture_Capacity_Input!$C:$C,[1]Fixture_Capacity_Input!$A:$A,$B997,[1]Fixture_Capacity_Input!$B:$B,$C997),[1]weekly_demand!G998))</f>
        <v/>
      </c>
      <c r="E997" s="62" t="str">
        <f>IF($A997="","",[1]weekly_demand!I998)</f>
        <v/>
      </c>
      <c r="F997" s="61" t="str">
        <f>IF($A997="","",IF($A997&lt;&gt;$A996,IFERROR(INDEX([1]FG_Begin_Inventory!$B:$B,MATCH($A997,[1]FG_Begin_Inventory!$A:$A,0)),0),J996))</f>
        <v/>
      </c>
      <c r="G997" s="61" t="str">
        <f t="shared" si="108"/>
        <v/>
      </c>
      <c r="H997" s="62" t="str">
        <f t="shared" si="109"/>
        <v/>
      </c>
      <c r="I997" s="62" t="str">
        <f t="shared" si="110"/>
        <v/>
      </c>
      <c r="J997" s="62" t="str">
        <f t="shared" si="111"/>
        <v/>
      </c>
      <c r="K997" s="62" t="str">
        <f t="shared" si="112"/>
        <v/>
      </c>
      <c r="L997" s="62" t="str">
        <f t="shared" si="113"/>
        <v/>
      </c>
      <c r="M997" s="63" t="str">
        <f t="shared" si="114"/>
        <v/>
      </c>
      <c r="N997" s="64"/>
    </row>
    <row r="998" spans="1:14" x14ac:dyDescent="0.3">
      <c r="A998" s="58" t="str">
        <f>IF([1]weekly_demand!A999="","",[1]weekly_demand!A999)</f>
        <v/>
      </c>
      <c r="B998" s="59" t="str">
        <f>IF($A998="","",[1]weekly_demand!F999)</f>
        <v/>
      </c>
      <c r="C998" s="60" t="str">
        <f>IF($A998="","",[1]weekly_demand!H999)</f>
        <v/>
      </c>
      <c r="D998" s="61" t="str">
        <f>IF($A998="","",IF(SUMIFS([1]Fixture_Capacity_Input!$C:$C,[1]Fixture_Capacity_Input!$A:$A,$B998,[1]Fixture_Capacity_Input!$B:$B,$C998)&gt;0,SUMIFS([1]Fixture_Capacity_Input!$C:$C,[1]Fixture_Capacity_Input!$A:$A,$B998,[1]Fixture_Capacity_Input!$B:$B,$C998),[1]weekly_demand!G999))</f>
        <v/>
      </c>
      <c r="E998" s="62" t="str">
        <f>IF($A998="","",[1]weekly_demand!I999)</f>
        <v/>
      </c>
      <c r="F998" s="61" t="str">
        <f>IF($A998="","",IF($A998&lt;&gt;$A997,IFERROR(INDEX([1]FG_Begin_Inventory!$B:$B,MATCH($A998,[1]FG_Begin_Inventory!$A:$A,0)),0),J997))</f>
        <v/>
      </c>
      <c r="G998" s="61" t="str">
        <f t="shared" si="108"/>
        <v/>
      </c>
      <c r="H998" s="62" t="str">
        <f t="shared" si="109"/>
        <v/>
      </c>
      <c r="I998" s="62" t="str">
        <f t="shared" si="110"/>
        <v/>
      </c>
      <c r="J998" s="62" t="str">
        <f t="shared" si="111"/>
        <v/>
      </c>
      <c r="K998" s="62" t="str">
        <f t="shared" si="112"/>
        <v/>
      </c>
      <c r="L998" s="62" t="str">
        <f t="shared" si="113"/>
        <v/>
      </c>
      <c r="M998" s="63" t="str">
        <f t="shared" si="114"/>
        <v/>
      </c>
      <c r="N998" s="64"/>
    </row>
    <row r="999" spans="1:14" x14ac:dyDescent="0.3">
      <c r="A999" s="58" t="str">
        <f>IF([1]weekly_demand!A1000="","",[1]weekly_demand!A1000)</f>
        <v/>
      </c>
      <c r="B999" s="59" t="str">
        <f>IF($A999="","",[1]weekly_demand!F1000)</f>
        <v/>
      </c>
      <c r="C999" s="60" t="str">
        <f>IF($A999="","",[1]weekly_demand!H1000)</f>
        <v/>
      </c>
      <c r="D999" s="61" t="str">
        <f>IF($A999="","",IF(SUMIFS([1]Fixture_Capacity_Input!$C:$C,[1]Fixture_Capacity_Input!$A:$A,$B999,[1]Fixture_Capacity_Input!$B:$B,$C999)&gt;0,SUMIFS([1]Fixture_Capacity_Input!$C:$C,[1]Fixture_Capacity_Input!$A:$A,$B999,[1]Fixture_Capacity_Input!$B:$B,$C999),[1]weekly_demand!G1000))</f>
        <v/>
      </c>
      <c r="E999" s="62" t="str">
        <f>IF($A999="","",[1]weekly_demand!I1000)</f>
        <v/>
      </c>
      <c r="F999" s="61" t="str">
        <f>IF($A999="","",IF($A999&lt;&gt;$A998,IFERROR(INDEX([1]FG_Begin_Inventory!$B:$B,MATCH($A999,[1]FG_Begin_Inventory!$A:$A,0)),0),J998))</f>
        <v/>
      </c>
      <c r="G999" s="61" t="str">
        <f t="shared" si="108"/>
        <v/>
      </c>
      <c r="H999" s="61" t="str">
        <f t="shared" si="109"/>
        <v/>
      </c>
      <c r="I999" s="62" t="str">
        <f t="shared" si="110"/>
        <v/>
      </c>
      <c r="J999" s="61" t="str">
        <f t="shared" si="111"/>
        <v/>
      </c>
      <c r="K999" s="61" t="str">
        <f t="shared" si="112"/>
        <v/>
      </c>
      <c r="L999" s="61" t="str">
        <f t="shared" si="113"/>
        <v/>
      </c>
      <c r="M999" s="63" t="str">
        <f t="shared" si="114"/>
        <v/>
      </c>
      <c r="N999" s="64"/>
    </row>
    <row r="1000" spans="1:14" x14ac:dyDescent="0.3">
      <c r="A1000" s="58" t="str">
        <f>IF([1]weekly_demand!A1001="","",[1]weekly_demand!A1001)</f>
        <v/>
      </c>
      <c r="B1000" s="59" t="str">
        <f>IF($A1000="","",[1]weekly_demand!F1001)</f>
        <v/>
      </c>
      <c r="C1000" s="60" t="str">
        <f>IF($A1000="","",[1]weekly_demand!H1001)</f>
        <v/>
      </c>
      <c r="D1000" s="61" t="str">
        <f>IF($A1000="","",IF(SUMIFS([1]Fixture_Capacity_Input!$C:$C,[1]Fixture_Capacity_Input!$A:$A,$B1000,[1]Fixture_Capacity_Input!$B:$B,$C1000)&gt;0,SUMIFS([1]Fixture_Capacity_Input!$C:$C,[1]Fixture_Capacity_Input!$A:$A,$B1000,[1]Fixture_Capacity_Input!$B:$B,$C1000),[1]weekly_demand!G1001))</f>
        <v/>
      </c>
      <c r="E1000" s="62" t="str">
        <f>IF($A1000="","",[1]weekly_demand!I1001)</f>
        <v/>
      </c>
      <c r="F1000" s="61" t="str">
        <f>IF($A1000="","",IF($A1000&lt;&gt;$A999,IFERROR(INDEX([1]FG_Begin_Inventory!$B:$B,MATCH($A1000,[1]FG_Begin_Inventory!$A:$A,0)),0),J999))</f>
        <v/>
      </c>
      <c r="G1000" s="61" t="str">
        <f t="shared" si="108"/>
        <v/>
      </c>
      <c r="H1000" s="61" t="str">
        <f t="shared" si="109"/>
        <v/>
      </c>
      <c r="I1000" s="62" t="str">
        <f t="shared" si="110"/>
        <v/>
      </c>
      <c r="J1000" s="61" t="str">
        <f t="shared" si="111"/>
        <v/>
      </c>
      <c r="K1000" s="61" t="str">
        <f t="shared" si="112"/>
        <v/>
      </c>
      <c r="L1000" s="61" t="str">
        <f t="shared" si="113"/>
        <v/>
      </c>
      <c r="M1000" s="63" t="str">
        <f t="shared" si="114"/>
        <v/>
      </c>
      <c r="N1000" s="64"/>
    </row>
    <row r="1001" spans="1:14" x14ac:dyDescent="0.3">
      <c r="A1001" s="58" t="str">
        <f>IF([1]weekly_demand!A1002="","",[1]weekly_demand!A1002)</f>
        <v/>
      </c>
      <c r="B1001" s="59" t="str">
        <f>IF($A1001="","",[1]weekly_demand!F1002)</f>
        <v/>
      </c>
      <c r="C1001" s="60" t="str">
        <f>IF($A1001="","",[1]weekly_demand!H1002)</f>
        <v/>
      </c>
      <c r="D1001" s="61" t="str">
        <f>IF($A1001="","",IF(SUMIFS([1]Fixture_Capacity_Input!$C:$C,[1]Fixture_Capacity_Input!$A:$A,$B1001,[1]Fixture_Capacity_Input!$B:$B,$C1001)&gt;0,SUMIFS([1]Fixture_Capacity_Input!$C:$C,[1]Fixture_Capacity_Input!$A:$A,$B1001,[1]Fixture_Capacity_Input!$B:$B,$C1001),[1]weekly_demand!G1002))</f>
        <v/>
      </c>
      <c r="E1001" s="62" t="str">
        <f>IF($A1001="","",[1]weekly_demand!I1002)</f>
        <v/>
      </c>
      <c r="F1001" s="61" t="str">
        <f>IF($A1001="","",IF($A1001&lt;&gt;$A1000,IFERROR(INDEX([1]FG_Begin_Inventory!$B:$B,MATCH($A1001,[1]FG_Begin_Inventory!$A:$A,0)),0),J1000))</f>
        <v/>
      </c>
      <c r="G1001" s="61" t="str">
        <f t="shared" si="108"/>
        <v/>
      </c>
      <c r="H1001" s="61" t="str">
        <f t="shared" si="109"/>
        <v/>
      </c>
      <c r="I1001" s="62" t="str">
        <f t="shared" si="110"/>
        <v/>
      </c>
      <c r="J1001" s="61" t="str">
        <f t="shared" si="111"/>
        <v/>
      </c>
      <c r="K1001" s="61" t="str">
        <f t="shared" si="112"/>
        <v/>
      </c>
      <c r="L1001" s="61" t="str">
        <f t="shared" si="113"/>
        <v/>
      </c>
      <c r="M1001" s="63" t="str">
        <f t="shared" si="114"/>
        <v/>
      </c>
      <c r="N1001" s="64"/>
    </row>
    <row r="1002" spans="1:14" x14ac:dyDescent="0.3">
      <c r="A1002" s="58" t="str">
        <f>IF([1]weekly_demand!A1003="","",[1]weekly_demand!A1003)</f>
        <v/>
      </c>
      <c r="B1002" s="59" t="str">
        <f>IF($A1002="","",[1]weekly_demand!F1003)</f>
        <v/>
      </c>
      <c r="C1002" s="60" t="str">
        <f>IF($A1002="","",[1]weekly_demand!H1003)</f>
        <v/>
      </c>
      <c r="D1002" s="61" t="str">
        <f>IF($A1002="","",IF(SUMIFS([1]Fixture_Capacity_Input!$C:$C,[1]Fixture_Capacity_Input!$A:$A,$B1002,[1]Fixture_Capacity_Input!$B:$B,$C1002)&gt;0,SUMIFS([1]Fixture_Capacity_Input!$C:$C,[1]Fixture_Capacity_Input!$A:$A,$B1002,[1]Fixture_Capacity_Input!$B:$B,$C1002),[1]weekly_demand!G1003))</f>
        <v/>
      </c>
      <c r="E1002" s="62" t="str">
        <f>IF($A1002="","",[1]weekly_demand!I1003)</f>
        <v/>
      </c>
      <c r="F1002" s="61" t="str">
        <f>IF($A1002="","",IF($A1002&lt;&gt;$A1001,IFERROR(INDEX([1]FG_Begin_Inventory!$B:$B,MATCH($A1002,[1]FG_Begin_Inventory!$A:$A,0)),0),J1001))</f>
        <v/>
      </c>
      <c r="G1002" s="61" t="str">
        <f t="shared" si="108"/>
        <v/>
      </c>
      <c r="H1002" s="61" t="str">
        <f t="shared" si="109"/>
        <v/>
      </c>
      <c r="I1002" s="62" t="str">
        <f t="shared" si="110"/>
        <v/>
      </c>
      <c r="J1002" s="61" t="str">
        <f t="shared" si="111"/>
        <v/>
      </c>
      <c r="K1002" s="61" t="str">
        <f t="shared" si="112"/>
        <v/>
      </c>
      <c r="L1002" s="61" t="str">
        <f t="shared" si="113"/>
        <v/>
      </c>
      <c r="M1002" s="63" t="str">
        <f t="shared" si="114"/>
        <v/>
      </c>
      <c r="N1002" s="64"/>
    </row>
    <row r="1003" spans="1:14" x14ac:dyDescent="0.3">
      <c r="A1003" s="58" t="str">
        <f>IF([1]weekly_demand!A1004="","",[1]weekly_demand!A1004)</f>
        <v/>
      </c>
      <c r="B1003" s="59" t="str">
        <f>IF($A1003="","",[1]weekly_demand!F1004)</f>
        <v/>
      </c>
      <c r="C1003" s="60" t="str">
        <f>IF($A1003="","",[1]weekly_demand!H1004)</f>
        <v/>
      </c>
      <c r="D1003" s="61" t="str">
        <f>IF($A1003="","",IF(SUMIFS([1]Fixture_Capacity_Input!$C:$C,[1]Fixture_Capacity_Input!$A:$A,$B1003,[1]Fixture_Capacity_Input!$B:$B,$C1003)&gt;0,SUMIFS([1]Fixture_Capacity_Input!$C:$C,[1]Fixture_Capacity_Input!$A:$A,$B1003,[1]Fixture_Capacity_Input!$B:$B,$C1003),[1]weekly_demand!G1004))</f>
        <v/>
      </c>
      <c r="E1003" s="62" t="str">
        <f>IF($A1003="","",[1]weekly_demand!I1004)</f>
        <v/>
      </c>
      <c r="F1003" s="61" t="str">
        <f>IF($A1003="","",IF($A1003&lt;&gt;$A1002,IFERROR(INDEX([1]FG_Begin_Inventory!$B:$B,MATCH($A1003,[1]FG_Begin_Inventory!$A:$A,0)),0),J1002))</f>
        <v/>
      </c>
      <c r="G1003" s="61" t="str">
        <f t="shared" si="108"/>
        <v/>
      </c>
      <c r="H1003" s="61" t="str">
        <f t="shared" si="109"/>
        <v/>
      </c>
      <c r="I1003" s="62" t="str">
        <f t="shared" si="110"/>
        <v/>
      </c>
      <c r="J1003" s="61" t="str">
        <f t="shared" si="111"/>
        <v/>
      </c>
      <c r="K1003" s="61" t="str">
        <f t="shared" si="112"/>
        <v/>
      </c>
      <c r="L1003" s="61" t="str">
        <f t="shared" si="113"/>
        <v/>
      </c>
      <c r="M1003" s="63" t="str">
        <f t="shared" si="114"/>
        <v/>
      </c>
      <c r="N1003" s="64"/>
    </row>
    <row r="1004" spans="1:14" x14ac:dyDescent="0.3">
      <c r="A1004" s="58" t="str">
        <f>IF([1]weekly_demand!A1005="","",[1]weekly_demand!A1005)</f>
        <v/>
      </c>
      <c r="B1004" s="59" t="str">
        <f>IF($A1004="","",[1]weekly_demand!F1005)</f>
        <v/>
      </c>
      <c r="C1004" s="60" t="str">
        <f>IF($A1004="","",[1]weekly_demand!H1005)</f>
        <v/>
      </c>
      <c r="D1004" s="61" t="str">
        <f>IF($A1004="","",IF(SUMIFS([1]Fixture_Capacity_Input!$C:$C,[1]Fixture_Capacity_Input!$A:$A,$B1004,[1]Fixture_Capacity_Input!$B:$B,$C1004)&gt;0,SUMIFS([1]Fixture_Capacity_Input!$C:$C,[1]Fixture_Capacity_Input!$A:$A,$B1004,[1]Fixture_Capacity_Input!$B:$B,$C1004),[1]weekly_demand!G1005))</f>
        <v/>
      </c>
      <c r="E1004" s="62" t="str">
        <f>IF($A1004="","",[1]weekly_demand!I1005)</f>
        <v/>
      </c>
      <c r="F1004" s="61" t="str">
        <f>IF($A1004="","",IF($A1004&lt;&gt;$A1003,IFERROR(INDEX([1]FG_Begin_Inventory!$B:$B,MATCH($A1004,[1]FG_Begin_Inventory!$A:$A,0)),0),J1003))</f>
        <v/>
      </c>
      <c r="G1004" s="61" t="str">
        <f t="shared" si="108"/>
        <v/>
      </c>
      <c r="H1004" s="61" t="str">
        <f t="shared" si="109"/>
        <v/>
      </c>
      <c r="I1004" s="62" t="str">
        <f t="shared" si="110"/>
        <v/>
      </c>
      <c r="J1004" s="61" t="str">
        <f t="shared" si="111"/>
        <v/>
      </c>
      <c r="K1004" s="61" t="str">
        <f t="shared" si="112"/>
        <v/>
      </c>
      <c r="L1004" s="61" t="str">
        <f t="shared" si="113"/>
        <v/>
      </c>
      <c r="M1004" s="63" t="str">
        <f t="shared" si="114"/>
        <v/>
      </c>
      <c r="N1004" s="64"/>
    </row>
    <row r="1005" spans="1:14" x14ac:dyDescent="0.3">
      <c r="A1005" s="58" t="str">
        <f>IF([1]weekly_demand!A1006="","",[1]weekly_demand!A1006)</f>
        <v/>
      </c>
      <c r="B1005" s="59" t="str">
        <f>IF($A1005="","",[1]weekly_demand!F1006)</f>
        <v/>
      </c>
      <c r="C1005" s="60" t="str">
        <f>IF($A1005="","",[1]weekly_demand!H1006)</f>
        <v/>
      </c>
      <c r="D1005" s="61" t="str">
        <f>IF($A1005="","",IF(SUMIFS([1]Fixture_Capacity_Input!$C:$C,[1]Fixture_Capacity_Input!$A:$A,$B1005,[1]Fixture_Capacity_Input!$B:$B,$C1005)&gt;0,SUMIFS([1]Fixture_Capacity_Input!$C:$C,[1]Fixture_Capacity_Input!$A:$A,$B1005,[1]Fixture_Capacity_Input!$B:$B,$C1005),[1]weekly_demand!G1006))</f>
        <v/>
      </c>
      <c r="E1005" s="62" t="str">
        <f>IF($A1005="","",[1]weekly_demand!I1006)</f>
        <v/>
      </c>
      <c r="F1005" s="61" t="str">
        <f>IF($A1005="","",IF($A1005&lt;&gt;$A1004,IFERROR(INDEX([1]FG_Begin_Inventory!$B:$B,MATCH($A1005,[1]FG_Begin_Inventory!$A:$A,0)),0),J1004))</f>
        <v/>
      </c>
      <c r="G1005" s="61" t="str">
        <f t="shared" si="108"/>
        <v/>
      </c>
      <c r="H1005" s="61" t="str">
        <f t="shared" si="109"/>
        <v/>
      </c>
      <c r="I1005" s="62" t="str">
        <f t="shared" si="110"/>
        <v/>
      </c>
      <c r="J1005" s="61" t="str">
        <f t="shared" si="111"/>
        <v/>
      </c>
      <c r="K1005" s="61" t="str">
        <f t="shared" si="112"/>
        <v/>
      </c>
      <c r="L1005" s="61" t="str">
        <f t="shared" si="113"/>
        <v/>
      </c>
      <c r="M1005" s="63" t="str">
        <f t="shared" si="114"/>
        <v/>
      </c>
      <c r="N1005" s="64"/>
    </row>
    <row r="1006" spans="1:14" x14ac:dyDescent="0.3">
      <c r="A1006" s="58" t="str">
        <f>IF([1]weekly_demand!A1007="","",[1]weekly_demand!A1007)</f>
        <v/>
      </c>
      <c r="B1006" s="59" t="str">
        <f>IF($A1006="","",[1]weekly_demand!F1007)</f>
        <v/>
      </c>
      <c r="C1006" s="60" t="str">
        <f>IF($A1006="","",[1]weekly_demand!H1007)</f>
        <v/>
      </c>
      <c r="D1006" s="61" t="str">
        <f>IF($A1006="","",IF(SUMIFS([1]Fixture_Capacity_Input!$C:$C,[1]Fixture_Capacity_Input!$A:$A,$B1006,[1]Fixture_Capacity_Input!$B:$B,$C1006)&gt;0,SUMIFS([1]Fixture_Capacity_Input!$C:$C,[1]Fixture_Capacity_Input!$A:$A,$B1006,[1]Fixture_Capacity_Input!$B:$B,$C1006),[1]weekly_demand!G1007))</f>
        <v/>
      </c>
      <c r="E1006" s="62" t="str">
        <f>IF($A1006="","",[1]weekly_demand!I1007)</f>
        <v/>
      </c>
      <c r="F1006" s="61" t="str">
        <f>IF($A1006="","",IF($A1006&lt;&gt;$A1005,IFERROR(INDEX([1]FG_Begin_Inventory!$B:$B,MATCH($A1006,[1]FG_Begin_Inventory!$A:$A,0)),0),J1005))</f>
        <v/>
      </c>
      <c r="G1006" s="61" t="str">
        <f t="shared" si="108"/>
        <v/>
      </c>
      <c r="H1006" s="61" t="str">
        <f t="shared" si="109"/>
        <v/>
      </c>
      <c r="I1006" s="62" t="str">
        <f t="shared" si="110"/>
        <v/>
      </c>
      <c r="J1006" s="61" t="str">
        <f t="shared" si="111"/>
        <v/>
      </c>
      <c r="K1006" s="61" t="str">
        <f t="shared" si="112"/>
        <v/>
      </c>
      <c r="L1006" s="61" t="str">
        <f t="shared" si="113"/>
        <v/>
      </c>
      <c r="M1006" s="63" t="str">
        <f t="shared" si="114"/>
        <v/>
      </c>
      <c r="N1006" s="64"/>
    </row>
    <row r="1007" spans="1:14" x14ac:dyDescent="0.3">
      <c r="A1007" s="58" t="str">
        <f>IF([1]weekly_demand!A1008="","",[1]weekly_demand!A1008)</f>
        <v/>
      </c>
      <c r="B1007" s="59" t="str">
        <f>IF($A1007="","",[1]weekly_demand!F1008)</f>
        <v/>
      </c>
      <c r="C1007" s="60" t="str">
        <f>IF($A1007="","",[1]weekly_demand!H1008)</f>
        <v/>
      </c>
      <c r="D1007" s="61" t="str">
        <f>IF($A1007="","",IF(SUMIFS([1]Fixture_Capacity_Input!$C:$C,[1]Fixture_Capacity_Input!$A:$A,$B1007,[1]Fixture_Capacity_Input!$B:$B,$C1007)&gt;0,SUMIFS([1]Fixture_Capacity_Input!$C:$C,[1]Fixture_Capacity_Input!$A:$A,$B1007,[1]Fixture_Capacity_Input!$B:$B,$C1007),[1]weekly_demand!G1008))</f>
        <v/>
      </c>
      <c r="E1007" s="62" t="str">
        <f>IF($A1007="","",[1]weekly_demand!I1008)</f>
        <v/>
      </c>
      <c r="F1007" s="61" t="str">
        <f>IF($A1007="","",IF($A1007&lt;&gt;$A1006,IFERROR(INDEX([1]FG_Begin_Inventory!$B:$B,MATCH($A1007,[1]FG_Begin_Inventory!$A:$A,0)),0),J1006))</f>
        <v/>
      </c>
      <c r="G1007" s="61" t="str">
        <f t="shared" si="108"/>
        <v/>
      </c>
      <c r="H1007" s="61" t="str">
        <f t="shared" si="109"/>
        <v/>
      </c>
      <c r="I1007" s="62" t="str">
        <f t="shared" si="110"/>
        <v/>
      </c>
      <c r="J1007" s="61" t="str">
        <f t="shared" si="111"/>
        <v/>
      </c>
      <c r="K1007" s="61" t="str">
        <f t="shared" si="112"/>
        <v/>
      </c>
      <c r="L1007" s="61" t="str">
        <f t="shared" si="113"/>
        <v/>
      </c>
      <c r="M1007" s="63" t="str">
        <f t="shared" si="114"/>
        <v/>
      </c>
      <c r="N1007" s="64"/>
    </row>
    <row r="1008" spans="1:14" x14ac:dyDescent="0.3">
      <c r="A1008" s="58" t="str">
        <f>IF([1]weekly_demand!A1009="","",[1]weekly_demand!A1009)</f>
        <v/>
      </c>
      <c r="B1008" s="59" t="str">
        <f>IF($A1008="","",[1]weekly_demand!F1009)</f>
        <v/>
      </c>
      <c r="C1008" s="60" t="str">
        <f>IF($A1008="","",[1]weekly_demand!H1009)</f>
        <v/>
      </c>
      <c r="D1008" s="61" t="str">
        <f>IF($A1008="","",IF(SUMIFS([1]Fixture_Capacity_Input!$C:$C,[1]Fixture_Capacity_Input!$A:$A,$B1008,[1]Fixture_Capacity_Input!$B:$B,$C1008)&gt;0,SUMIFS([1]Fixture_Capacity_Input!$C:$C,[1]Fixture_Capacity_Input!$A:$A,$B1008,[1]Fixture_Capacity_Input!$B:$B,$C1008),[1]weekly_demand!G1009))</f>
        <v/>
      </c>
      <c r="E1008" s="62" t="str">
        <f>IF($A1008="","",[1]weekly_demand!I1009)</f>
        <v/>
      </c>
      <c r="F1008" s="61" t="str">
        <f>IF($A1008="","",IF($A1008&lt;&gt;$A1007,IFERROR(INDEX([1]FG_Begin_Inventory!$B:$B,MATCH($A1008,[1]FG_Begin_Inventory!$A:$A,0)),0),J1007))</f>
        <v/>
      </c>
      <c r="G1008" s="61" t="str">
        <f t="shared" si="108"/>
        <v/>
      </c>
      <c r="H1008" s="61" t="str">
        <f t="shared" si="109"/>
        <v/>
      </c>
      <c r="I1008" s="62" t="str">
        <f t="shared" si="110"/>
        <v/>
      </c>
      <c r="J1008" s="61" t="str">
        <f t="shared" si="111"/>
        <v/>
      </c>
      <c r="K1008" s="61" t="str">
        <f t="shared" si="112"/>
        <v/>
      </c>
      <c r="L1008" s="61" t="str">
        <f t="shared" si="113"/>
        <v/>
      </c>
      <c r="M1008" s="63" t="str">
        <f t="shared" si="114"/>
        <v/>
      </c>
      <c r="N1008" s="64"/>
    </row>
    <row r="1009" spans="1:14" x14ac:dyDescent="0.3">
      <c r="A1009" s="58" t="str">
        <f>IF([1]weekly_demand!A1010="","",[1]weekly_demand!A1010)</f>
        <v/>
      </c>
      <c r="B1009" s="59" t="str">
        <f>IF($A1009="","",[1]weekly_demand!F1010)</f>
        <v/>
      </c>
      <c r="C1009" s="60" t="str">
        <f>IF($A1009="","",[1]weekly_demand!H1010)</f>
        <v/>
      </c>
      <c r="D1009" s="61" t="str">
        <f>IF($A1009="","",IF(SUMIFS([1]Fixture_Capacity_Input!$C:$C,[1]Fixture_Capacity_Input!$A:$A,$B1009,[1]Fixture_Capacity_Input!$B:$B,$C1009)&gt;0,SUMIFS([1]Fixture_Capacity_Input!$C:$C,[1]Fixture_Capacity_Input!$A:$A,$B1009,[1]Fixture_Capacity_Input!$B:$B,$C1009),[1]weekly_demand!G1010))</f>
        <v/>
      </c>
      <c r="E1009" s="62" t="str">
        <f>IF($A1009="","",[1]weekly_demand!I1010)</f>
        <v/>
      </c>
      <c r="F1009" s="61" t="str">
        <f>IF($A1009="","",IF($A1009&lt;&gt;$A1008,IFERROR(INDEX([1]FG_Begin_Inventory!$B:$B,MATCH($A1009,[1]FG_Begin_Inventory!$A:$A,0)),0),J1008))</f>
        <v/>
      </c>
      <c r="G1009" s="61" t="str">
        <f t="shared" si="108"/>
        <v/>
      </c>
      <c r="H1009" s="61" t="str">
        <f t="shared" si="109"/>
        <v/>
      </c>
      <c r="I1009" s="62" t="str">
        <f t="shared" si="110"/>
        <v/>
      </c>
      <c r="J1009" s="61" t="str">
        <f t="shared" si="111"/>
        <v/>
      </c>
      <c r="K1009" s="61" t="str">
        <f t="shared" si="112"/>
        <v/>
      </c>
      <c r="L1009" s="61" t="str">
        <f t="shared" si="113"/>
        <v/>
      </c>
      <c r="M1009" s="63" t="str">
        <f t="shared" si="114"/>
        <v/>
      </c>
      <c r="N1009" s="64"/>
    </row>
    <row r="1010" spans="1:14" x14ac:dyDescent="0.3">
      <c r="A1010" s="58" t="str">
        <f>IF([1]weekly_demand!A1011="","",[1]weekly_demand!A1011)</f>
        <v/>
      </c>
      <c r="B1010" s="59" t="str">
        <f>IF($A1010="","",[1]weekly_demand!F1011)</f>
        <v/>
      </c>
      <c r="C1010" s="60" t="str">
        <f>IF($A1010="","",[1]weekly_demand!H1011)</f>
        <v/>
      </c>
      <c r="D1010" s="61" t="str">
        <f>IF($A1010="","",IF(SUMIFS([1]Fixture_Capacity_Input!$C:$C,[1]Fixture_Capacity_Input!$A:$A,$B1010,[1]Fixture_Capacity_Input!$B:$B,$C1010)&gt;0,SUMIFS([1]Fixture_Capacity_Input!$C:$C,[1]Fixture_Capacity_Input!$A:$A,$B1010,[1]Fixture_Capacity_Input!$B:$B,$C1010),[1]weekly_demand!G1011))</f>
        <v/>
      </c>
      <c r="E1010" s="62" t="str">
        <f>IF($A1010="","",[1]weekly_demand!I1011)</f>
        <v/>
      </c>
      <c r="F1010" s="61" t="str">
        <f>IF($A1010="","",IF($A1010&lt;&gt;$A1009,IFERROR(INDEX([1]FG_Begin_Inventory!$B:$B,MATCH($A1010,[1]FG_Begin_Inventory!$A:$A,0)),0),J1009))</f>
        <v/>
      </c>
      <c r="G1010" s="61" t="str">
        <f t="shared" si="108"/>
        <v/>
      </c>
      <c r="H1010" s="61" t="str">
        <f t="shared" si="109"/>
        <v/>
      </c>
      <c r="I1010" s="62" t="str">
        <f t="shared" si="110"/>
        <v/>
      </c>
      <c r="J1010" s="61" t="str">
        <f t="shared" si="111"/>
        <v/>
      </c>
      <c r="K1010" s="61" t="str">
        <f t="shared" si="112"/>
        <v/>
      </c>
      <c r="L1010" s="61" t="str">
        <f t="shared" si="113"/>
        <v/>
      </c>
      <c r="M1010" s="63" t="str">
        <f t="shared" si="114"/>
        <v/>
      </c>
      <c r="N1010" s="64"/>
    </row>
    <row r="1011" spans="1:14" x14ac:dyDescent="0.3">
      <c r="A1011" s="58" t="str">
        <f>IF([1]weekly_demand!A1012="","",[1]weekly_demand!A1012)</f>
        <v/>
      </c>
      <c r="B1011" s="59" t="str">
        <f>IF($A1011="","",[1]weekly_demand!F1012)</f>
        <v/>
      </c>
      <c r="C1011" s="60" t="str">
        <f>IF($A1011="","",[1]weekly_demand!H1012)</f>
        <v/>
      </c>
      <c r="D1011" s="61" t="str">
        <f>IF($A1011="","",IF(SUMIFS([1]Fixture_Capacity_Input!$C:$C,[1]Fixture_Capacity_Input!$A:$A,$B1011,[1]Fixture_Capacity_Input!$B:$B,$C1011)&gt;0,SUMIFS([1]Fixture_Capacity_Input!$C:$C,[1]Fixture_Capacity_Input!$A:$A,$B1011,[1]Fixture_Capacity_Input!$B:$B,$C1011),[1]weekly_demand!G1012))</f>
        <v/>
      </c>
      <c r="E1011" s="62" t="str">
        <f>IF($A1011="","",[1]weekly_demand!I1012)</f>
        <v/>
      </c>
      <c r="F1011" s="61" t="str">
        <f>IF($A1011="","",IF($A1011&lt;&gt;$A1010,IFERROR(INDEX([1]FG_Begin_Inventory!$B:$B,MATCH($A1011,[1]FG_Begin_Inventory!$A:$A,0)),0),J1010))</f>
        <v/>
      </c>
      <c r="G1011" s="61" t="str">
        <f t="shared" ref="G1011:G1074" si="115">IF($A1011="","",IF($A1011&lt;&gt;$A1012,0,MAX(0,G1012+E1012-D1012)))</f>
        <v/>
      </c>
      <c r="H1011" s="61" t="str">
        <f t="shared" si="109"/>
        <v/>
      </c>
      <c r="I1011" s="62" t="str">
        <f t="shared" si="110"/>
        <v/>
      </c>
      <c r="J1011" s="61" t="str">
        <f t="shared" si="111"/>
        <v/>
      </c>
      <c r="K1011" s="61" t="str">
        <f t="shared" si="112"/>
        <v/>
      </c>
      <c r="L1011" s="61" t="str">
        <f t="shared" si="113"/>
        <v/>
      </c>
      <c r="M1011" s="63" t="str">
        <f t="shared" si="114"/>
        <v/>
      </c>
      <c r="N1011" s="64"/>
    </row>
    <row r="1012" spans="1:14" x14ac:dyDescent="0.3">
      <c r="A1012" s="58" t="str">
        <f>IF([1]weekly_demand!A1013="","",[1]weekly_demand!A1013)</f>
        <v/>
      </c>
      <c r="B1012" s="59" t="str">
        <f>IF($A1012="","",[1]weekly_demand!F1013)</f>
        <v/>
      </c>
      <c r="C1012" s="60" t="str">
        <f>IF($A1012="","",[1]weekly_demand!H1013)</f>
        <v/>
      </c>
      <c r="D1012" s="61" t="str">
        <f>IF($A1012="","",IF(SUMIFS([1]Fixture_Capacity_Input!$C:$C,[1]Fixture_Capacity_Input!$A:$A,$B1012,[1]Fixture_Capacity_Input!$B:$B,$C1012)&gt;0,SUMIFS([1]Fixture_Capacity_Input!$C:$C,[1]Fixture_Capacity_Input!$A:$A,$B1012,[1]Fixture_Capacity_Input!$B:$B,$C1012),[1]weekly_demand!G1013))</f>
        <v/>
      </c>
      <c r="E1012" s="62" t="str">
        <f>IF($A1012="","",[1]weekly_demand!I1013)</f>
        <v/>
      </c>
      <c r="F1012" s="61" t="str">
        <f>IF($A1012="","",IF($A1012&lt;&gt;$A1011,IFERROR(INDEX([1]FG_Begin_Inventory!$B:$B,MATCH($A1012,[1]FG_Begin_Inventory!$A:$A,0)),0),J1011))</f>
        <v/>
      </c>
      <c r="G1012" s="61" t="str">
        <f t="shared" si="115"/>
        <v/>
      </c>
      <c r="H1012" s="61" t="str">
        <f t="shared" si="109"/>
        <v/>
      </c>
      <c r="I1012" s="62" t="str">
        <f t="shared" si="110"/>
        <v/>
      </c>
      <c r="J1012" s="61" t="str">
        <f t="shared" si="111"/>
        <v/>
      </c>
      <c r="K1012" s="61" t="str">
        <f t="shared" si="112"/>
        <v/>
      </c>
      <c r="L1012" s="61" t="str">
        <f t="shared" si="113"/>
        <v/>
      </c>
      <c r="M1012" s="63" t="str">
        <f t="shared" si="114"/>
        <v/>
      </c>
      <c r="N1012" s="64"/>
    </row>
    <row r="1013" spans="1:14" x14ac:dyDescent="0.3">
      <c r="A1013" s="58" t="str">
        <f>IF([1]weekly_demand!A1014="","",[1]weekly_demand!A1014)</f>
        <v/>
      </c>
      <c r="B1013" s="59" t="str">
        <f>IF($A1013="","",[1]weekly_demand!F1014)</f>
        <v/>
      </c>
      <c r="C1013" s="60" t="str">
        <f>IF($A1013="","",[1]weekly_demand!H1014)</f>
        <v/>
      </c>
      <c r="D1013" s="61" t="str">
        <f>IF($A1013="","",IF(SUMIFS([1]Fixture_Capacity_Input!$C:$C,[1]Fixture_Capacity_Input!$A:$A,$B1013,[1]Fixture_Capacity_Input!$B:$B,$C1013)&gt;0,SUMIFS([1]Fixture_Capacity_Input!$C:$C,[1]Fixture_Capacity_Input!$A:$A,$B1013,[1]Fixture_Capacity_Input!$B:$B,$C1013),[1]weekly_demand!G1014))</f>
        <v/>
      </c>
      <c r="E1013" s="62" t="str">
        <f>IF($A1013="","",[1]weekly_demand!I1014)</f>
        <v/>
      </c>
      <c r="F1013" s="61" t="str">
        <f>IF($A1013="","",IF($A1013&lt;&gt;$A1012,IFERROR(INDEX([1]FG_Begin_Inventory!$B:$B,MATCH($A1013,[1]FG_Begin_Inventory!$A:$A,0)),0),J1012))</f>
        <v/>
      </c>
      <c r="G1013" s="61" t="str">
        <f t="shared" si="115"/>
        <v/>
      </c>
      <c r="H1013" s="61" t="str">
        <f t="shared" si="109"/>
        <v/>
      </c>
      <c r="I1013" s="62" t="str">
        <f t="shared" si="110"/>
        <v/>
      </c>
      <c r="J1013" s="61" t="str">
        <f t="shared" si="111"/>
        <v/>
      </c>
      <c r="K1013" s="61" t="str">
        <f t="shared" si="112"/>
        <v/>
      </c>
      <c r="L1013" s="61" t="str">
        <f t="shared" si="113"/>
        <v/>
      </c>
      <c r="M1013" s="63" t="str">
        <f t="shared" si="114"/>
        <v/>
      </c>
      <c r="N1013" s="64"/>
    </row>
    <row r="1014" spans="1:14" x14ac:dyDescent="0.3">
      <c r="A1014" s="58" t="str">
        <f>IF([1]weekly_demand!A1015="","",[1]weekly_demand!A1015)</f>
        <v/>
      </c>
      <c r="B1014" s="59" t="str">
        <f>IF($A1014="","",[1]weekly_demand!F1015)</f>
        <v/>
      </c>
      <c r="C1014" s="60" t="str">
        <f>IF($A1014="","",[1]weekly_demand!H1015)</f>
        <v/>
      </c>
      <c r="D1014" s="61" t="str">
        <f>IF($A1014="","",IF(SUMIFS([1]Fixture_Capacity_Input!$C:$C,[1]Fixture_Capacity_Input!$A:$A,$B1014,[1]Fixture_Capacity_Input!$B:$B,$C1014)&gt;0,SUMIFS([1]Fixture_Capacity_Input!$C:$C,[1]Fixture_Capacity_Input!$A:$A,$B1014,[1]Fixture_Capacity_Input!$B:$B,$C1014),[1]weekly_demand!G1015))</f>
        <v/>
      </c>
      <c r="E1014" s="62" t="str">
        <f>IF($A1014="","",[1]weekly_demand!I1015)</f>
        <v/>
      </c>
      <c r="F1014" s="61" t="str">
        <f>IF($A1014="","",IF($A1014&lt;&gt;$A1013,IFERROR(INDEX([1]FG_Begin_Inventory!$B:$B,MATCH($A1014,[1]FG_Begin_Inventory!$A:$A,0)),0),J1013))</f>
        <v/>
      </c>
      <c r="G1014" s="61" t="str">
        <f t="shared" si="115"/>
        <v/>
      </c>
      <c r="H1014" s="61" t="str">
        <f t="shared" si="109"/>
        <v/>
      </c>
      <c r="I1014" s="62" t="str">
        <f t="shared" si="110"/>
        <v/>
      </c>
      <c r="J1014" s="61" t="str">
        <f t="shared" si="111"/>
        <v/>
      </c>
      <c r="K1014" s="61" t="str">
        <f t="shared" si="112"/>
        <v/>
      </c>
      <c r="L1014" s="61" t="str">
        <f t="shared" si="113"/>
        <v/>
      </c>
      <c r="M1014" s="63" t="str">
        <f t="shared" si="114"/>
        <v/>
      </c>
      <c r="N1014" s="64"/>
    </row>
    <row r="1015" spans="1:14" x14ac:dyDescent="0.3">
      <c r="A1015" s="58" t="str">
        <f>IF([1]weekly_demand!A1016="","",[1]weekly_demand!A1016)</f>
        <v/>
      </c>
      <c r="B1015" s="59" t="str">
        <f>IF($A1015="","",[1]weekly_demand!F1016)</f>
        <v/>
      </c>
      <c r="C1015" s="60" t="str">
        <f>IF($A1015="","",[1]weekly_demand!H1016)</f>
        <v/>
      </c>
      <c r="D1015" s="61" t="str">
        <f>IF($A1015="","",IF(SUMIFS([1]Fixture_Capacity_Input!$C:$C,[1]Fixture_Capacity_Input!$A:$A,$B1015,[1]Fixture_Capacity_Input!$B:$B,$C1015)&gt;0,SUMIFS([1]Fixture_Capacity_Input!$C:$C,[1]Fixture_Capacity_Input!$A:$A,$B1015,[1]Fixture_Capacity_Input!$B:$B,$C1015),[1]weekly_demand!G1016))</f>
        <v/>
      </c>
      <c r="E1015" s="62" t="str">
        <f>IF($A1015="","",[1]weekly_demand!I1016)</f>
        <v/>
      </c>
      <c r="F1015" s="61" t="str">
        <f>IF($A1015="","",IF($A1015&lt;&gt;$A1014,IFERROR(INDEX([1]FG_Begin_Inventory!$B:$B,MATCH($A1015,[1]FG_Begin_Inventory!$A:$A,0)),0),J1014))</f>
        <v/>
      </c>
      <c r="G1015" s="61" t="str">
        <f t="shared" si="115"/>
        <v/>
      </c>
      <c r="H1015" s="61" t="str">
        <f t="shared" si="109"/>
        <v/>
      </c>
      <c r="I1015" s="62" t="str">
        <f t="shared" si="110"/>
        <v/>
      </c>
      <c r="J1015" s="61" t="str">
        <f t="shared" si="111"/>
        <v/>
      </c>
      <c r="K1015" s="61" t="str">
        <f t="shared" si="112"/>
        <v/>
      </c>
      <c r="L1015" s="61" t="str">
        <f t="shared" si="113"/>
        <v/>
      </c>
      <c r="M1015" s="63" t="str">
        <f t="shared" si="114"/>
        <v/>
      </c>
      <c r="N1015" s="64"/>
    </row>
    <row r="1016" spans="1:14" x14ac:dyDescent="0.3">
      <c r="A1016" s="58" t="str">
        <f>IF([1]weekly_demand!A1017="","",[1]weekly_demand!A1017)</f>
        <v/>
      </c>
      <c r="B1016" s="59" t="str">
        <f>IF($A1016="","",[1]weekly_demand!F1017)</f>
        <v/>
      </c>
      <c r="C1016" s="60" t="str">
        <f>IF($A1016="","",[1]weekly_demand!H1017)</f>
        <v/>
      </c>
      <c r="D1016" s="61" t="str">
        <f>IF($A1016="","",IF(SUMIFS([1]Fixture_Capacity_Input!$C:$C,[1]Fixture_Capacity_Input!$A:$A,$B1016,[1]Fixture_Capacity_Input!$B:$B,$C1016)&gt;0,SUMIFS([1]Fixture_Capacity_Input!$C:$C,[1]Fixture_Capacity_Input!$A:$A,$B1016,[1]Fixture_Capacity_Input!$B:$B,$C1016),[1]weekly_demand!G1017))</f>
        <v/>
      </c>
      <c r="E1016" s="62" t="str">
        <f>IF($A1016="","",[1]weekly_demand!I1017)</f>
        <v/>
      </c>
      <c r="F1016" s="61" t="str">
        <f>IF($A1016="","",IF($A1016&lt;&gt;$A1015,IFERROR(INDEX([1]FG_Begin_Inventory!$B:$B,MATCH($A1016,[1]FG_Begin_Inventory!$A:$A,0)),0),J1015))</f>
        <v/>
      </c>
      <c r="G1016" s="61" t="str">
        <f t="shared" si="115"/>
        <v/>
      </c>
      <c r="H1016" s="61" t="str">
        <f t="shared" si="109"/>
        <v/>
      </c>
      <c r="I1016" s="62" t="str">
        <f t="shared" si="110"/>
        <v/>
      </c>
      <c r="J1016" s="61" t="str">
        <f t="shared" si="111"/>
        <v/>
      </c>
      <c r="K1016" s="61" t="str">
        <f t="shared" si="112"/>
        <v/>
      </c>
      <c r="L1016" s="61" t="str">
        <f t="shared" si="113"/>
        <v/>
      </c>
      <c r="M1016" s="63" t="str">
        <f t="shared" si="114"/>
        <v/>
      </c>
      <c r="N1016" s="64"/>
    </row>
    <row r="1017" spans="1:14" x14ac:dyDescent="0.3">
      <c r="A1017" s="58" t="str">
        <f>IF([1]weekly_demand!A1018="","",[1]weekly_demand!A1018)</f>
        <v/>
      </c>
      <c r="B1017" s="59" t="str">
        <f>IF($A1017="","",[1]weekly_demand!F1018)</f>
        <v/>
      </c>
      <c r="C1017" s="60" t="str">
        <f>IF($A1017="","",[1]weekly_demand!H1018)</f>
        <v/>
      </c>
      <c r="D1017" s="61" t="str">
        <f>IF($A1017="","",IF(SUMIFS([1]Fixture_Capacity_Input!$C:$C,[1]Fixture_Capacity_Input!$A:$A,$B1017,[1]Fixture_Capacity_Input!$B:$B,$C1017)&gt;0,SUMIFS([1]Fixture_Capacity_Input!$C:$C,[1]Fixture_Capacity_Input!$A:$A,$B1017,[1]Fixture_Capacity_Input!$B:$B,$C1017),[1]weekly_demand!G1018))</f>
        <v/>
      </c>
      <c r="E1017" s="62" t="str">
        <f>IF($A1017="","",[1]weekly_demand!I1018)</f>
        <v/>
      </c>
      <c r="F1017" s="61" t="str">
        <f>IF($A1017="","",IF($A1017&lt;&gt;$A1016,IFERROR(INDEX([1]FG_Begin_Inventory!$B:$B,MATCH($A1017,[1]FG_Begin_Inventory!$A:$A,0)),0),J1016))</f>
        <v/>
      </c>
      <c r="G1017" s="61" t="str">
        <f t="shared" si="115"/>
        <v/>
      </c>
      <c r="H1017" s="61" t="str">
        <f t="shared" si="109"/>
        <v/>
      </c>
      <c r="I1017" s="62" t="str">
        <f t="shared" si="110"/>
        <v/>
      </c>
      <c r="J1017" s="61" t="str">
        <f t="shared" si="111"/>
        <v/>
      </c>
      <c r="K1017" s="61" t="str">
        <f t="shared" si="112"/>
        <v/>
      </c>
      <c r="L1017" s="61" t="str">
        <f t="shared" si="113"/>
        <v/>
      </c>
      <c r="M1017" s="63" t="str">
        <f t="shared" si="114"/>
        <v/>
      </c>
      <c r="N1017" s="64"/>
    </row>
    <row r="1018" spans="1:14" x14ac:dyDescent="0.3">
      <c r="A1018" s="58" t="str">
        <f>IF([1]weekly_demand!A1019="","",[1]weekly_demand!A1019)</f>
        <v/>
      </c>
      <c r="B1018" s="59" t="str">
        <f>IF($A1018="","",[1]weekly_demand!F1019)</f>
        <v/>
      </c>
      <c r="C1018" s="60" t="str">
        <f>IF($A1018="","",[1]weekly_demand!H1019)</f>
        <v/>
      </c>
      <c r="D1018" s="61" t="str">
        <f>IF($A1018="","",IF(SUMIFS([1]Fixture_Capacity_Input!$C:$C,[1]Fixture_Capacity_Input!$A:$A,$B1018,[1]Fixture_Capacity_Input!$B:$B,$C1018)&gt;0,SUMIFS([1]Fixture_Capacity_Input!$C:$C,[1]Fixture_Capacity_Input!$A:$A,$B1018,[1]Fixture_Capacity_Input!$B:$B,$C1018),[1]weekly_demand!G1019))</f>
        <v/>
      </c>
      <c r="E1018" s="62" t="str">
        <f>IF($A1018="","",[1]weekly_demand!I1019)</f>
        <v/>
      </c>
      <c r="F1018" s="61" t="str">
        <f>IF($A1018="","",IF($A1018&lt;&gt;$A1017,IFERROR(INDEX([1]FG_Begin_Inventory!$B:$B,MATCH($A1018,[1]FG_Begin_Inventory!$A:$A,0)),0),J1017))</f>
        <v/>
      </c>
      <c r="G1018" s="61" t="str">
        <f t="shared" si="115"/>
        <v/>
      </c>
      <c r="H1018" s="61" t="str">
        <f t="shared" si="109"/>
        <v/>
      </c>
      <c r="I1018" s="62" t="str">
        <f t="shared" si="110"/>
        <v/>
      </c>
      <c r="J1018" s="61" t="str">
        <f t="shared" si="111"/>
        <v/>
      </c>
      <c r="K1018" s="61" t="str">
        <f t="shared" si="112"/>
        <v/>
      </c>
      <c r="L1018" s="61" t="str">
        <f t="shared" si="113"/>
        <v/>
      </c>
      <c r="M1018" s="63" t="str">
        <f t="shared" si="114"/>
        <v/>
      </c>
      <c r="N1018" s="64"/>
    </row>
    <row r="1019" spans="1:14" x14ac:dyDescent="0.3">
      <c r="A1019" s="58" t="str">
        <f>IF([1]weekly_demand!A1020="","",[1]weekly_demand!A1020)</f>
        <v/>
      </c>
      <c r="B1019" s="59" t="str">
        <f>IF($A1019="","",[1]weekly_demand!F1020)</f>
        <v/>
      </c>
      <c r="C1019" s="60" t="str">
        <f>IF($A1019="","",[1]weekly_demand!H1020)</f>
        <v/>
      </c>
      <c r="D1019" s="61" t="str">
        <f>IF($A1019="","",IF(SUMIFS([1]Fixture_Capacity_Input!$C:$C,[1]Fixture_Capacity_Input!$A:$A,$B1019,[1]Fixture_Capacity_Input!$B:$B,$C1019)&gt;0,SUMIFS([1]Fixture_Capacity_Input!$C:$C,[1]Fixture_Capacity_Input!$A:$A,$B1019,[1]Fixture_Capacity_Input!$B:$B,$C1019),[1]weekly_demand!G1020))</f>
        <v/>
      </c>
      <c r="E1019" s="62" t="str">
        <f>IF($A1019="","",[1]weekly_demand!I1020)</f>
        <v/>
      </c>
      <c r="F1019" s="61" t="str">
        <f>IF($A1019="","",IF($A1019&lt;&gt;$A1018,IFERROR(INDEX([1]FG_Begin_Inventory!$B:$B,MATCH($A1019,[1]FG_Begin_Inventory!$A:$A,0)),0),J1018))</f>
        <v/>
      </c>
      <c r="G1019" s="61" t="str">
        <f t="shared" si="115"/>
        <v/>
      </c>
      <c r="H1019" s="61" t="str">
        <f t="shared" si="109"/>
        <v/>
      </c>
      <c r="I1019" s="62" t="str">
        <f t="shared" si="110"/>
        <v/>
      </c>
      <c r="J1019" s="61" t="str">
        <f t="shared" si="111"/>
        <v/>
      </c>
      <c r="K1019" s="61" t="str">
        <f t="shared" si="112"/>
        <v/>
      </c>
      <c r="L1019" s="61" t="str">
        <f t="shared" si="113"/>
        <v/>
      </c>
      <c r="M1019" s="63" t="str">
        <f t="shared" si="114"/>
        <v/>
      </c>
      <c r="N1019" s="64"/>
    </row>
    <row r="1020" spans="1:14" x14ac:dyDescent="0.3">
      <c r="A1020" s="58" t="str">
        <f>IF([1]weekly_demand!A1021="","",[1]weekly_demand!A1021)</f>
        <v/>
      </c>
      <c r="B1020" s="59" t="str">
        <f>IF($A1020="","",[1]weekly_demand!F1021)</f>
        <v/>
      </c>
      <c r="C1020" s="60" t="str">
        <f>IF($A1020="","",[1]weekly_demand!H1021)</f>
        <v/>
      </c>
      <c r="D1020" s="61" t="str">
        <f>IF($A1020="","",IF(SUMIFS([1]Fixture_Capacity_Input!$C:$C,[1]Fixture_Capacity_Input!$A:$A,$B1020,[1]Fixture_Capacity_Input!$B:$B,$C1020)&gt;0,SUMIFS([1]Fixture_Capacity_Input!$C:$C,[1]Fixture_Capacity_Input!$A:$A,$B1020,[1]Fixture_Capacity_Input!$B:$B,$C1020),[1]weekly_demand!G1021))</f>
        <v/>
      </c>
      <c r="E1020" s="62" t="str">
        <f>IF($A1020="","",[1]weekly_demand!I1021)</f>
        <v/>
      </c>
      <c r="F1020" s="61" t="str">
        <f>IF($A1020="","",IF($A1020&lt;&gt;$A1019,IFERROR(INDEX([1]FG_Begin_Inventory!$B:$B,MATCH($A1020,[1]FG_Begin_Inventory!$A:$A,0)),0),J1019))</f>
        <v/>
      </c>
      <c r="G1020" s="61" t="str">
        <f t="shared" si="115"/>
        <v/>
      </c>
      <c r="H1020" s="61" t="str">
        <f t="shared" si="109"/>
        <v/>
      </c>
      <c r="I1020" s="62" t="str">
        <f t="shared" si="110"/>
        <v/>
      </c>
      <c r="J1020" s="61" t="str">
        <f t="shared" si="111"/>
        <v/>
      </c>
      <c r="K1020" s="61" t="str">
        <f t="shared" si="112"/>
        <v/>
      </c>
      <c r="L1020" s="61" t="str">
        <f t="shared" si="113"/>
        <v/>
      </c>
      <c r="M1020" s="63" t="str">
        <f t="shared" si="114"/>
        <v/>
      </c>
      <c r="N1020" s="64"/>
    </row>
    <row r="1021" spans="1:14" x14ac:dyDescent="0.3">
      <c r="A1021" s="58" t="str">
        <f>IF([1]weekly_demand!A1022="","",[1]weekly_demand!A1022)</f>
        <v/>
      </c>
      <c r="B1021" s="59" t="str">
        <f>IF($A1021="","",[1]weekly_demand!F1022)</f>
        <v/>
      </c>
      <c r="C1021" s="60" t="str">
        <f>IF($A1021="","",[1]weekly_demand!H1022)</f>
        <v/>
      </c>
      <c r="D1021" s="61" t="str">
        <f>IF($A1021="","",IF(SUMIFS([1]Fixture_Capacity_Input!$C:$C,[1]Fixture_Capacity_Input!$A:$A,$B1021,[1]Fixture_Capacity_Input!$B:$B,$C1021)&gt;0,SUMIFS([1]Fixture_Capacity_Input!$C:$C,[1]Fixture_Capacity_Input!$A:$A,$B1021,[1]Fixture_Capacity_Input!$B:$B,$C1021),[1]weekly_demand!G1022))</f>
        <v/>
      </c>
      <c r="E1021" s="62" t="str">
        <f>IF($A1021="","",[1]weekly_demand!I1022)</f>
        <v/>
      </c>
      <c r="F1021" s="61" t="str">
        <f>IF($A1021="","",IF($A1021&lt;&gt;$A1020,IFERROR(INDEX([1]FG_Begin_Inventory!$B:$B,MATCH($A1021,[1]FG_Begin_Inventory!$A:$A,0)),0),J1020))</f>
        <v/>
      </c>
      <c r="G1021" s="61" t="str">
        <f t="shared" si="115"/>
        <v/>
      </c>
      <c r="H1021" s="61" t="str">
        <f t="shared" si="109"/>
        <v/>
      </c>
      <c r="I1021" s="62" t="str">
        <f t="shared" si="110"/>
        <v/>
      </c>
      <c r="J1021" s="61" t="str">
        <f t="shared" si="111"/>
        <v/>
      </c>
      <c r="K1021" s="61" t="str">
        <f t="shared" si="112"/>
        <v/>
      </c>
      <c r="L1021" s="61" t="str">
        <f t="shared" si="113"/>
        <v/>
      </c>
      <c r="M1021" s="63" t="str">
        <f t="shared" si="114"/>
        <v/>
      </c>
      <c r="N1021" s="64"/>
    </row>
    <row r="1022" spans="1:14" x14ac:dyDescent="0.3">
      <c r="A1022" s="58" t="str">
        <f>IF([1]weekly_demand!A1023="","",[1]weekly_demand!A1023)</f>
        <v/>
      </c>
      <c r="B1022" s="59" t="str">
        <f>IF($A1022="","",[1]weekly_demand!F1023)</f>
        <v/>
      </c>
      <c r="C1022" s="60" t="str">
        <f>IF($A1022="","",[1]weekly_demand!H1023)</f>
        <v/>
      </c>
      <c r="D1022" s="61" t="str">
        <f>IF($A1022="","",IF(SUMIFS([1]Fixture_Capacity_Input!$C:$C,[1]Fixture_Capacity_Input!$A:$A,$B1022,[1]Fixture_Capacity_Input!$B:$B,$C1022)&gt;0,SUMIFS([1]Fixture_Capacity_Input!$C:$C,[1]Fixture_Capacity_Input!$A:$A,$B1022,[1]Fixture_Capacity_Input!$B:$B,$C1022),[1]weekly_demand!G1023))</f>
        <v/>
      </c>
      <c r="E1022" s="62" t="str">
        <f>IF($A1022="","",[1]weekly_demand!I1023)</f>
        <v/>
      </c>
      <c r="F1022" s="61" t="str">
        <f>IF($A1022="","",IF($A1022&lt;&gt;$A1021,IFERROR(INDEX([1]FG_Begin_Inventory!$B:$B,MATCH($A1022,[1]FG_Begin_Inventory!$A:$A,0)),0),J1021))</f>
        <v/>
      </c>
      <c r="G1022" s="61" t="str">
        <f t="shared" si="115"/>
        <v/>
      </c>
      <c r="H1022" s="61" t="str">
        <f t="shared" si="109"/>
        <v/>
      </c>
      <c r="I1022" s="62" t="str">
        <f t="shared" si="110"/>
        <v/>
      </c>
      <c r="J1022" s="61" t="str">
        <f t="shared" si="111"/>
        <v/>
      </c>
      <c r="K1022" s="61" t="str">
        <f t="shared" si="112"/>
        <v/>
      </c>
      <c r="L1022" s="61" t="str">
        <f t="shared" si="113"/>
        <v/>
      </c>
      <c r="M1022" s="63" t="str">
        <f t="shared" si="114"/>
        <v/>
      </c>
      <c r="N1022" s="64"/>
    </row>
    <row r="1023" spans="1:14" x14ac:dyDescent="0.3">
      <c r="A1023" s="58" t="str">
        <f>IF([1]weekly_demand!A1024="","",[1]weekly_demand!A1024)</f>
        <v/>
      </c>
      <c r="B1023" s="59" t="str">
        <f>IF($A1023="","",[1]weekly_demand!F1024)</f>
        <v/>
      </c>
      <c r="C1023" s="60" t="str">
        <f>IF($A1023="","",[1]weekly_demand!H1024)</f>
        <v/>
      </c>
      <c r="D1023" s="61" t="str">
        <f>IF($A1023="","",IF(SUMIFS([1]Fixture_Capacity_Input!$C:$C,[1]Fixture_Capacity_Input!$A:$A,$B1023,[1]Fixture_Capacity_Input!$B:$B,$C1023)&gt;0,SUMIFS([1]Fixture_Capacity_Input!$C:$C,[1]Fixture_Capacity_Input!$A:$A,$B1023,[1]Fixture_Capacity_Input!$B:$B,$C1023),[1]weekly_demand!G1024))</f>
        <v/>
      </c>
      <c r="E1023" s="62" t="str">
        <f>IF($A1023="","",[1]weekly_demand!I1024)</f>
        <v/>
      </c>
      <c r="F1023" s="61" t="str">
        <f>IF($A1023="","",IF($A1023&lt;&gt;$A1022,IFERROR(INDEX([1]FG_Begin_Inventory!$B:$B,MATCH($A1023,[1]FG_Begin_Inventory!$A:$A,0)),0),J1022))</f>
        <v/>
      </c>
      <c r="G1023" s="61" t="str">
        <f t="shared" si="115"/>
        <v/>
      </c>
      <c r="H1023" s="61" t="str">
        <f t="shared" si="109"/>
        <v/>
      </c>
      <c r="I1023" s="62" t="str">
        <f t="shared" si="110"/>
        <v/>
      </c>
      <c r="J1023" s="61" t="str">
        <f t="shared" si="111"/>
        <v/>
      </c>
      <c r="K1023" s="61" t="str">
        <f t="shared" si="112"/>
        <v/>
      </c>
      <c r="L1023" s="61" t="str">
        <f t="shared" si="113"/>
        <v/>
      </c>
      <c r="M1023" s="63" t="str">
        <f t="shared" si="114"/>
        <v/>
      </c>
      <c r="N1023" s="64"/>
    </row>
    <row r="1024" spans="1:14" x14ac:dyDescent="0.3">
      <c r="A1024" s="58" t="str">
        <f>IF([1]weekly_demand!A1025="","",[1]weekly_demand!A1025)</f>
        <v/>
      </c>
      <c r="B1024" s="59" t="str">
        <f>IF($A1024="","",[1]weekly_demand!F1025)</f>
        <v/>
      </c>
      <c r="C1024" s="60" t="str">
        <f>IF($A1024="","",[1]weekly_demand!H1025)</f>
        <v/>
      </c>
      <c r="D1024" s="61" t="str">
        <f>IF($A1024="","",IF(SUMIFS([1]Fixture_Capacity_Input!$C:$C,[1]Fixture_Capacity_Input!$A:$A,$B1024,[1]Fixture_Capacity_Input!$B:$B,$C1024)&gt;0,SUMIFS([1]Fixture_Capacity_Input!$C:$C,[1]Fixture_Capacity_Input!$A:$A,$B1024,[1]Fixture_Capacity_Input!$B:$B,$C1024),[1]weekly_demand!G1025))</f>
        <v/>
      </c>
      <c r="E1024" s="62" t="str">
        <f>IF($A1024="","",[1]weekly_demand!I1025)</f>
        <v/>
      </c>
      <c r="F1024" s="61" t="str">
        <f>IF($A1024="","",IF($A1024&lt;&gt;$A1023,IFERROR(INDEX([1]FG_Begin_Inventory!$B:$B,MATCH($A1024,[1]FG_Begin_Inventory!$A:$A,0)),0),J1023))</f>
        <v/>
      </c>
      <c r="G1024" s="61" t="str">
        <f t="shared" si="115"/>
        <v/>
      </c>
      <c r="H1024" s="61" t="str">
        <f t="shared" si="109"/>
        <v/>
      </c>
      <c r="I1024" s="62" t="str">
        <f t="shared" si="110"/>
        <v/>
      </c>
      <c r="J1024" s="61" t="str">
        <f t="shared" si="111"/>
        <v/>
      </c>
      <c r="K1024" s="61" t="str">
        <f t="shared" si="112"/>
        <v/>
      </c>
      <c r="L1024" s="61" t="str">
        <f t="shared" si="113"/>
        <v/>
      </c>
      <c r="M1024" s="63" t="str">
        <f t="shared" si="114"/>
        <v/>
      </c>
      <c r="N1024" s="64"/>
    </row>
    <row r="1025" spans="1:14" x14ac:dyDescent="0.3">
      <c r="A1025" s="58" t="str">
        <f>IF([1]weekly_demand!A1026="","",[1]weekly_demand!A1026)</f>
        <v/>
      </c>
      <c r="B1025" s="59" t="str">
        <f>IF($A1025="","",[1]weekly_demand!F1026)</f>
        <v/>
      </c>
      <c r="C1025" s="60" t="str">
        <f>IF($A1025="","",[1]weekly_demand!H1026)</f>
        <v/>
      </c>
      <c r="D1025" s="61" t="str">
        <f>IF($A1025="","",IF(SUMIFS([1]Fixture_Capacity_Input!$C:$C,[1]Fixture_Capacity_Input!$A:$A,$B1025,[1]Fixture_Capacity_Input!$B:$B,$C1025)&gt;0,SUMIFS([1]Fixture_Capacity_Input!$C:$C,[1]Fixture_Capacity_Input!$A:$A,$B1025,[1]Fixture_Capacity_Input!$B:$B,$C1025),[1]weekly_demand!G1026))</f>
        <v/>
      </c>
      <c r="E1025" s="62" t="str">
        <f>IF($A1025="","",[1]weekly_demand!I1026)</f>
        <v/>
      </c>
      <c r="F1025" s="61" t="str">
        <f>IF($A1025="","",IF($A1025&lt;&gt;$A1024,IFERROR(INDEX([1]FG_Begin_Inventory!$B:$B,MATCH($A1025,[1]FG_Begin_Inventory!$A:$A,0)),0),J1024))</f>
        <v/>
      </c>
      <c r="G1025" s="61" t="str">
        <f t="shared" si="115"/>
        <v/>
      </c>
      <c r="H1025" s="61" t="str">
        <f t="shared" si="109"/>
        <v/>
      </c>
      <c r="I1025" s="62" t="str">
        <f t="shared" si="110"/>
        <v/>
      </c>
      <c r="J1025" s="61" t="str">
        <f t="shared" si="111"/>
        <v/>
      </c>
      <c r="K1025" s="61" t="str">
        <f t="shared" si="112"/>
        <v/>
      </c>
      <c r="L1025" s="61" t="str">
        <f t="shared" si="113"/>
        <v/>
      </c>
      <c r="M1025" s="63" t="str">
        <f t="shared" si="114"/>
        <v/>
      </c>
      <c r="N1025" s="64"/>
    </row>
    <row r="1026" spans="1:14" x14ac:dyDescent="0.3">
      <c r="A1026" s="58" t="str">
        <f>IF([1]weekly_demand!A1027="","",[1]weekly_demand!A1027)</f>
        <v/>
      </c>
      <c r="B1026" s="59" t="str">
        <f>IF($A1026="","",[1]weekly_demand!F1027)</f>
        <v/>
      </c>
      <c r="C1026" s="60" t="str">
        <f>IF($A1026="","",[1]weekly_demand!H1027)</f>
        <v/>
      </c>
      <c r="D1026" s="61" t="str">
        <f>IF($A1026="","",IF(SUMIFS([1]Fixture_Capacity_Input!$C:$C,[1]Fixture_Capacity_Input!$A:$A,$B1026,[1]Fixture_Capacity_Input!$B:$B,$C1026)&gt;0,SUMIFS([1]Fixture_Capacity_Input!$C:$C,[1]Fixture_Capacity_Input!$A:$A,$B1026,[1]Fixture_Capacity_Input!$B:$B,$C1026),[1]weekly_demand!G1027))</f>
        <v/>
      </c>
      <c r="E1026" s="62" t="str">
        <f>IF($A1026="","",[1]weekly_demand!I1027)</f>
        <v/>
      </c>
      <c r="F1026" s="61" t="str">
        <f>IF($A1026="","",IF($A1026&lt;&gt;$A1025,IFERROR(INDEX([1]FG_Begin_Inventory!$B:$B,MATCH($A1026,[1]FG_Begin_Inventory!$A:$A,0)),0),J1025))</f>
        <v/>
      </c>
      <c r="G1026" s="61" t="str">
        <f t="shared" si="115"/>
        <v/>
      </c>
      <c r="H1026" s="61" t="str">
        <f t="shared" ref="H1026:H1089" si="116">IF($A1026="","",MAX(0,E1026+G1026-F1026))</f>
        <v/>
      </c>
      <c r="I1026" s="62" t="str">
        <f t="shared" ref="I1026:I1089" si="117">IF($A1026="","",MIN(D1026,H1026))</f>
        <v/>
      </c>
      <c r="J1026" s="61" t="str">
        <f t="shared" ref="J1026:J1089" si="118">IF($A1026="","",MAX(0,F1026+I1026-E1026))</f>
        <v/>
      </c>
      <c r="K1026" s="61" t="str">
        <f t="shared" ref="K1026:K1089" si="119">IF($A1026="","",MAX(0,E1026-F1026-I1026))</f>
        <v/>
      </c>
      <c r="L1026" s="61" t="str">
        <f t="shared" ref="L1026:L1089" si="120">IF($A1026="","",MAX(0,F1026+I1026-E1026))</f>
        <v/>
      </c>
      <c r="M1026" s="63" t="str">
        <f t="shared" ref="M1026:M1089" si="121">IF($A1026="","",IFERROR(I1026/D1026,0))</f>
        <v/>
      </c>
      <c r="N1026" s="64"/>
    </row>
    <row r="1027" spans="1:14" x14ac:dyDescent="0.3">
      <c r="A1027" s="58" t="str">
        <f>IF([1]weekly_demand!A1028="","",[1]weekly_demand!A1028)</f>
        <v/>
      </c>
      <c r="B1027" s="59" t="str">
        <f>IF($A1027="","",[1]weekly_demand!F1028)</f>
        <v/>
      </c>
      <c r="C1027" s="60" t="str">
        <f>IF($A1027="","",[1]weekly_demand!H1028)</f>
        <v/>
      </c>
      <c r="D1027" s="61" t="str">
        <f>IF($A1027="","",IF(SUMIFS([1]Fixture_Capacity_Input!$C:$C,[1]Fixture_Capacity_Input!$A:$A,$B1027,[1]Fixture_Capacity_Input!$B:$B,$C1027)&gt;0,SUMIFS([1]Fixture_Capacity_Input!$C:$C,[1]Fixture_Capacity_Input!$A:$A,$B1027,[1]Fixture_Capacity_Input!$B:$B,$C1027),[1]weekly_demand!G1028))</f>
        <v/>
      </c>
      <c r="E1027" s="62" t="str">
        <f>IF($A1027="","",[1]weekly_demand!I1028)</f>
        <v/>
      </c>
      <c r="F1027" s="61" t="str">
        <f>IF($A1027="","",IF($A1027&lt;&gt;$A1026,IFERROR(INDEX([1]FG_Begin_Inventory!$B:$B,MATCH($A1027,[1]FG_Begin_Inventory!$A:$A,0)),0),J1026))</f>
        <v/>
      </c>
      <c r="G1027" s="61" t="str">
        <f t="shared" si="115"/>
        <v/>
      </c>
      <c r="H1027" s="61" t="str">
        <f t="shared" si="116"/>
        <v/>
      </c>
      <c r="I1027" s="62" t="str">
        <f t="shared" si="117"/>
        <v/>
      </c>
      <c r="J1027" s="61" t="str">
        <f t="shared" si="118"/>
        <v/>
      </c>
      <c r="K1027" s="61" t="str">
        <f t="shared" si="119"/>
        <v/>
      </c>
      <c r="L1027" s="61" t="str">
        <f t="shared" si="120"/>
        <v/>
      </c>
      <c r="M1027" s="63" t="str">
        <f t="shared" si="121"/>
        <v/>
      </c>
      <c r="N1027" s="64"/>
    </row>
    <row r="1028" spans="1:14" x14ac:dyDescent="0.3">
      <c r="A1028" s="58" t="str">
        <f>IF([1]weekly_demand!A1029="","",[1]weekly_demand!A1029)</f>
        <v/>
      </c>
      <c r="B1028" s="59" t="str">
        <f>IF($A1028="","",[1]weekly_demand!F1029)</f>
        <v/>
      </c>
      <c r="C1028" s="60" t="str">
        <f>IF($A1028="","",[1]weekly_demand!H1029)</f>
        <v/>
      </c>
      <c r="D1028" s="61" t="str">
        <f>IF($A1028="","",IF(SUMIFS([1]Fixture_Capacity_Input!$C:$C,[1]Fixture_Capacity_Input!$A:$A,$B1028,[1]Fixture_Capacity_Input!$B:$B,$C1028)&gt;0,SUMIFS([1]Fixture_Capacity_Input!$C:$C,[1]Fixture_Capacity_Input!$A:$A,$B1028,[1]Fixture_Capacity_Input!$B:$B,$C1028),[1]weekly_demand!G1029))</f>
        <v/>
      </c>
      <c r="E1028" s="62" t="str">
        <f>IF($A1028="","",[1]weekly_demand!I1029)</f>
        <v/>
      </c>
      <c r="F1028" s="61" t="str">
        <f>IF($A1028="","",IF($A1028&lt;&gt;$A1027,IFERROR(INDEX([1]FG_Begin_Inventory!$B:$B,MATCH($A1028,[1]FG_Begin_Inventory!$A:$A,0)),0),J1027))</f>
        <v/>
      </c>
      <c r="G1028" s="61" t="str">
        <f t="shared" si="115"/>
        <v/>
      </c>
      <c r="H1028" s="61" t="str">
        <f t="shared" si="116"/>
        <v/>
      </c>
      <c r="I1028" s="62" t="str">
        <f t="shared" si="117"/>
        <v/>
      </c>
      <c r="J1028" s="61" t="str">
        <f t="shared" si="118"/>
        <v/>
      </c>
      <c r="K1028" s="61" t="str">
        <f t="shared" si="119"/>
        <v/>
      </c>
      <c r="L1028" s="61" t="str">
        <f t="shared" si="120"/>
        <v/>
      </c>
      <c r="M1028" s="63" t="str">
        <f t="shared" si="121"/>
        <v/>
      </c>
      <c r="N1028" s="64"/>
    </row>
    <row r="1029" spans="1:14" x14ac:dyDescent="0.3">
      <c r="A1029" s="58" t="str">
        <f>IF([1]weekly_demand!A1030="","",[1]weekly_demand!A1030)</f>
        <v/>
      </c>
      <c r="B1029" s="59" t="str">
        <f>IF($A1029="","",[1]weekly_demand!F1030)</f>
        <v/>
      </c>
      <c r="C1029" s="60" t="str">
        <f>IF($A1029="","",[1]weekly_demand!H1030)</f>
        <v/>
      </c>
      <c r="D1029" s="61" t="str">
        <f>IF($A1029="","",IF(SUMIFS([1]Fixture_Capacity_Input!$C:$C,[1]Fixture_Capacity_Input!$A:$A,$B1029,[1]Fixture_Capacity_Input!$B:$B,$C1029)&gt;0,SUMIFS([1]Fixture_Capacity_Input!$C:$C,[1]Fixture_Capacity_Input!$A:$A,$B1029,[1]Fixture_Capacity_Input!$B:$B,$C1029),[1]weekly_demand!G1030))</f>
        <v/>
      </c>
      <c r="E1029" s="62" t="str">
        <f>IF($A1029="","",[1]weekly_demand!I1030)</f>
        <v/>
      </c>
      <c r="F1029" s="61" t="str">
        <f>IF($A1029="","",IF($A1029&lt;&gt;$A1028,IFERROR(INDEX([1]FG_Begin_Inventory!$B:$B,MATCH($A1029,[1]FG_Begin_Inventory!$A:$A,0)),0),J1028))</f>
        <v/>
      </c>
      <c r="G1029" s="61" t="str">
        <f t="shared" si="115"/>
        <v/>
      </c>
      <c r="H1029" s="61" t="str">
        <f t="shared" si="116"/>
        <v/>
      </c>
      <c r="I1029" s="62" t="str">
        <f t="shared" si="117"/>
        <v/>
      </c>
      <c r="J1029" s="61" t="str">
        <f t="shared" si="118"/>
        <v/>
      </c>
      <c r="K1029" s="61" t="str">
        <f t="shared" si="119"/>
        <v/>
      </c>
      <c r="L1029" s="61" t="str">
        <f t="shared" si="120"/>
        <v/>
      </c>
      <c r="M1029" s="63" t="str">
        <f t="shared" si="121"/>
        <v/>
      </c>
      <c r="N1029" s="64"/>
    </row>
    <row r="1030" spans="1:14" x14ac:dyDescent="0.3">
      <c r="A1030" s="58" t="str">
        <f>IF([1]weekly_demand!A1031="","",[1]weekly_demand!A1031)</f>
        <v/>
      </c>
      <c r="B1030" s="59" t="str">
        <f>IF($A1030="","",[1]weekly_demand!F1031)</f>
        <v/>
      </c>
      <c r="C1030" s="60" t="str">
        <f>IF($A1030="","",[1]weekly_demand!H1031)</f>
        <v/>
      </c>
      <c r="D1030" s="61" t="str">
        <f>IF($A1030="","",IF(SUMIFS([1]Fixture_Capacity_Input!$C:$C,[1]Fixture_Capacity_Input!$A:$A,$B1030,[1]Fixture_Capacity_Input!$B:$B,$C1030)&gt;0,SUMIFS([1]Fixture_Capacity_Input!$C:$C,[1]Fixture_Capacity_Input!$A:$A,$B1030,[1]Fixture_Capacity_Input!$B:$B,$C1030),[1]weekly_demand!G1031))</f>
        <v/>
      </c>
      <c r="E1030" s="62" t="str">
        <f>IF($A1030="","",[1]weekly_demand!I1031)</f>
        <v/>
      </c>
      <c r="F1030" s="61" t="str">
        <f>IF($A1030="","",IF($A1030&lt;&gt;$A1029,IFERROR(INDEX([1]FG_Begin_Inventory!$B:$B,MATCH($A1030,[1]FG_Begin_Inventory!$A:$A,0)),0),J1029))</f>
        <v/>
      </c>
      <c r="G1030" s="61" t="str">
        <f t="shared" si="115"/>
        <v/>
      </c>
      <c r="H1030" s="61" t="str">
        <f t="shared" si="116"/>
        <v/>
      </c>
      <c r="I1030" s="62" t="str">
        <f t="shared" si="117"/>
        <v/>
      </c>
      <c r="J1030" s="61" t="str">
        <f t="shared" si="118"/>
        <v/>
      </c>
      <c r="K1030" s="61" t="str">
        <f t="shared" si="119"/>
        <v/>
      </c>
      <c r="L1030" s="61" t="str">
        <f t="shared" si="120"/>
        <v/>
      </c>
      <c r="M1030" s="63" t="str">
        <f t="shared" si="121"/>
        <v/>
      </c>
      <c r="N1030" s="64"/>
    </row>
    <row r="1031" spans="1:14" x14ac:dyDescent="0.3">
      <c r="A1031" s="58" t="str">
        <f>IF([1]weekly_demand!A1032="","",[1]weekly_demand!A1032)</f>
        <v/>
      </c>
      <c r="B1031" s="59" t="str">
        <f>IF($A1031="","",[1]weekly_demand!F1032)</f>
        <v/>
      </c>
      <c r="C1031" s="60" t="str">
        <f>IF($A1031="","",[1]weekly_demand!H1032)</f>
        <v/>
      </c>
      <c r="D1031" s="61" t="str">
        <f>IF($A1031="","",IF(SUMIFS([1]Fixture_Capacity_Input!$C:$C,[1]Fixture_Capacity_Input!$A:$A,$B1031,[1]Fixture_Capacity_Input!$B:$B,$C1031)&gt;0,SUMIFS([1]Fixture_Capacity_Input!$C:$C,[1]Fixture_Capacity_Input!$A:$A,$B1031,[1]Fixture_Capacity_Input!$B:$B,$C1031),[1]weekly_demand!G1032))</f>
        <v/>
      </c>
      <c r="E1031" s="62" t="str">
        <f>IF($A1031="","",[1]weekly_demand!I1032)</f>
        <v/>
      </c>
      <c r="F1031" s="61" t="str">
        <f>IF($A1031="","",IF($A1031&lt;&gt;$A1030,IFERROR(INDEX([1]FG_Begin_Inventory!$B:$B,MATCH($A1031,[1]FG_Begin_Inventory!$A:$A,0)),0),J1030))</f>
        <v/>
      </c>
      <c r="G1031" s="61" t="str">
        <f t="shared" si="115"/>
        <v/>
      </c>
      <c r="H1031" s="61" t="str">
        <f t="shared" si="116"/>
        <v/>
      </c>
      <c r="I1031" s="62" t="str">
        <f t="shared" si="117"/>
        <v/>
      </c>
      <c r="J1031" s="61" t="str">
        <f t="shared" si="118"/>
        <v/>
      </c>
      <c r="K1031" s="61" t="str">
        <f t="shared" si="119"/>
        <v/>
      </c>
      <c r="L1031" s="61" t="str">
        <f t="shared" si="120"/>
        <v/>
      </c>
      <c r="M1031" s="63" t="str">
        <f t="shared" si="121"/>
        <v/>
      </c>
      <c r="N1031" s="64"/>
    </row>
    <row r="1032" spans="1:14" x14ac:dyDescent="0.3">
      <c r="A1032" s="58" t="str">
        <f>IF([1]weekly_demand!A1033="","",[1]weekly_demand!A1033)</f>
        <v/>
      </c>
      <c r="B1032" s="59" t="str">
        <f>IF($A1032="","",[1]weekly_demand!F1033)</f>
        <v/>
      </c>
      <c r="C1032" s="60" t="str">
        <f>IF($A1032="","",[1]weekly_demand!H1033)</f>
        <v/>
      </c>
      <c r="D1032" s="61" t="str">
        <f>IF($A1032="","",IF(SUMIFS([1]Fixture_Capacity_Input!$C:$C,[1]Fixture_Capacity_Input!$A:$A,$B1032,[1]Fixture_Capacity_Input!$B:$B,$C1032)&gt;0,SUMIFS([1]Fixture_Capacity_Input!$C:$C,[1]Fixture_Capacity_Input!$A:$A,$B1032,[1]Fixture_Capacity_Input!$B:$B,$C1032),[1]weekly_demand!G1033))</f>
        <v/>
      </c>
      <c r="E1032" s="62" t="str">
        <f>IF($A1032="","",[1]weekly_demand!I1033)</f>
        <v/>
      </c>
      <c r="F1032" s="61" t="str">
        <f>IF($A1032="","",IF($A1032&lt;&gt;$A1031,IFERROR(INDEX([1]FG_Begin_Inventory!$B:$B,MATCH($A1032,[1]FG_Begin_Inventory!$A:$A,0)),0),J1031))</f>
        <v/>
      </c>
      <c r="G1032" s="61" t="str">
        <f t="shared" si="115"/>
        <v/>
      </c>
      <c r="H1032" s="61" t="str">
        <f t="shared" si="116"/>
        <v/>
      </c>
      <c r="I1032" s="62" t="str">
        <f t="shared" si="117"/>
        <v/>
      </c>
      <c r="J1032" s="61" t="str">
        <f t="shared" si="118"/>
        <v/>
      </c>
      <c r="K1032" s="61" t="str">
        <f t="shared" si="119"/>
        <v/>
      </c>
      <c r="L1032" s="61" t="str">
        <f t="shared" si="120"/>
        <v/>
      </c>
      <c r="M1032" s="63" t="str">
        <f t="shared" si="121"/>
        <v/>
      </c>
      <c r="N1032" s="64"/>
    </row>
    <row r="1033" spans="1:14" x14ac:dyDescent="0.3">
      <c r="A1033" s="58" t="str">
        <f>IF([1]weekly_demand!A1034="","",[1]weekly_demand!A1034)</f>
        <v/>
      </c>
      <c r="B1033" s="59" t="str">
        <f>IF($A1033="","",[1]weekly_demand!F1034)</f>
        <v/>
      </c>
      <c r="C1033" s="60" t="str">
        <f>IF($A1033="","",[1]weekly_demand!H1034)</f>
        <v/>
      </c>
      <c r="D1033" s="61" t="str">
        <f>IF($A1033="","",IF(SUMIFS([1]Fixture_Capacity_Input!$C:$C,[1]Fixture_Capacity_Input!$A:$A,$B1033,[1]Fixture_Capacity_Input!$B:$B,$C1033)&gt;0,SUMIFS([1]Fixture_Capacity_Input!$C:$C,[1]Fixture_Capacity_Input!$A:$A,$B1033,[1]Fixture_Capacity_Input!$B:$B,$C1033),[1]weekly_demand!G1034))</f>
        <v/>
      </c>
      <c r="E1033" s="62" t="str">
        <f>IF($A1033="","",[1]weekly_demand!I1034)</f>
        <v/>
      </c>
      <c r="F1033" s="61" t="str">
        <f>IF($A1033="","",IF($A1033&lt;&gt;$A1032,IFERROR(INDEX([1]FG_Begin_Inventory!$B:$B,MATCH($A1033,[1]FG_Begin_Inventory!$A:$A,0)),0),J1032))</f>
        <v/>
      </c>
      <c r="G1033" s="61" t="str">
        <f t="shared" si="115"/>
        <v/>
      </c>
      <c r="H1033" s="61" t="str">
        <f t="shared" si="116"/>
        <v/>
      </c>
      <c r="I1033" s="62" t="str">
        <f t="shared" si="117"/>
        <v/>
      </c>
      <c r="J1033" s="61" t="str">
        <f t="shared" si="118"/>
        <v/>
      </c>
      <c r="K1033" s="61" t="str">
        <f t="shared" si="119"/>
        <v/>
      </c>
      <c r="L1033" s="61" t="str">
        <f t="shared" si="120"/>
        <v/>
      </c>
      <c r="M1033" s="63" t="str">
        <f t="shared" si="121"/>
        <v/>
      </c>
      <c r="N1033" s="64"/>
    </row>
    <row r="1034" spans="1:14" x14ac:dyDescent="0.3">
      <c r="A1034" s="58" t="str">
        <f>IF([1]weekly_demand!A1035="","",[1]weekly_demand!A1035)</f>
        <v/>
      </c>
      <c r="B1034" s="59" t="str">
        <f>IF($A1034="","",[1]weekly_demand!F1035)</f>
        <v/>
      </c>
      <c r="C1034" s="60" t="str">
        <f>IF($A1034="","",[1]weekly_demand!H1035)</f>
        <v/>
      </c>
      <c r="D1034" s="61" t="str">
        <f>IF($A1034="","",IF(SUMIFS([1]Fixture_Capacity_Input!$C:$C,[1]Fixture_Capacity_Input!$A:$A,$B1034,[1]Fixture_Capacity_Input!$B:$B,$C1034)&gt;0,SUMIFS([1]Fixture_Capacity_Input!$C:$C,[1]Fixture_Capacity_Input!$A:$A,$B1034,[1]Fixture_Capacity_Input!$B:$B,$C1034),[1]weekly_demand!G1035))</f>
        <v/>
      </c>
      <c r="E1034" s="62" t="str">
        <f>IF($A1034="","",[1]weekly_demand!I1035)</f>
        <v/>
      </c>
      <c r="F1034" s="61" t="str">
        <f>IF($A1034="","",IF($A1034&lt;&gt;$A1033,IFERROR(INDEX([1]FG_Begin_Inventory!$B:$B,MATCH($A1034,[1]FG_Begin_Inventory!$A:$A,0)),0),J1033))</f>
        <v/>
      </c>
      <c r="G1034" s="61" t="str">
        <f t="shared" si="115"/>
        <v/>
      </c>
      <c r="H1034" s="61" t="str">
        <f t="shared" si="116"/>
        <v/>
      </c>
      <c r="I1034" s="62" t="str">
        <f t="shared" si="117"/>
        <v/>
      </c>
      <c r="J1034" s="61" t="str">
        <f t="shared" si="118"/>
        <v/>
      </c>
      <c r="K1034" s="61" t="str">
        <f t="shared" si="119"/>
        <v/>
      </c>
      <c r="L1034" s="61" t="str">
        <f t="shared" si="120"/>
        <v/>
      </c>
      <c r="M1034" s="63" t="str">
        <f t="shared" si="121"/>
        <v/>
      </c>
      <c r="N1034" s="64"/>
    </row>
    <row r="1035" spans="1:14" x14ac:dyDescent="0.3">
      <c r="A1035" s="58" t="str">
        <f>IF([1]weekly_demand!A1036="","",[1]weekly_demand!A1036)</f>
        <v/>
      </c>
      <c r="B1035" s="59" t="str">
        <f>IF($A1035="","",[1]weekly_demand!F1036)</f>
        <v/>
      </c>
      <c r="C1035" s="60" t="str">
        <f>IF($A1035="","",[1]weekly_demand!H1036)</f>
        <v/>
      </c>
      <c r="D1035" s="61" t="str">
        <f>IF($A1035="","",IF(SUMIFS([1]Fixture_Capacity_Input!$C:$C,[1]Fixture_Capacity_Input!$A:$A,$B1035,[1]Fixture_Capacity_Input!$B:$B,$C1035)&gt;0,SUMIFS([1]Fixture_Capacity_Input!$C:$C,[1]Fixture_Capacity_Input!$A:$A,$B1035,[1]Fixture_Capacity_Input!$B:$B,$C1035),[1]weekly_demand!G1036))</f>
        <v/>
      </c>
      <c r="E1035" s="62" t="str">
        <f>IF($A1035="","",[1]weekly_demand!I1036)</f>
        <v/>
      </c>
      <c r="F1035" s="61" t="str">
        <f>IF($A1035="","",IF($A1035&lt;&gt;$A1034,IFERROR(INDEX([1]FG_Begin_Inventory!$B:$B,MATCH($A1035,[1]FG_Begin_Inventory!$A:$A,0)),0),J1034))</f>
        <v/>
      </c>
      <c r="G1035" s="61" t="str">
        <f t="shared" si="115"/>
        <v/>
      </c>
      <c r="H1035" s="61" t="str">
        <f t="shared" si="116"/>
        <v/>
      </c>
      <c r="I1035" s="62" t="str">
        <f t="shared" si="117"/>
        <v/>
      </c>
      <c r="J1035" s="61" t="str">
        <f t="shared" si="118"/>
        <v/>
      </c>
      <c r="K1035" s="61" t="str">
        <f t="shared" si="119"/>
        <v/>
      </c>
      <c r="L1035" s="61" t="str">
        <f t="shared" si="120"/>
        <v/>
      </c>
      <c r="M1035" s="63" t="str">
        <f t="shared" si="121"/>
        <v/>
      </c>
      <c r="N1035" s="64"/>
    </row>
    <row r="1036" spans="1:14" x14ac:dyDescent="0.3">
      <c r="A1036" s="58" t="str">
        <f>IF([1]weekly_demand!A1037="","",[1]weekly_demand!A1037)</f>
        <v/>
      </c>
      <c r="B1036" s="59" t="str">
        <f>IF($A1036="","",[1]weekly_demand!F1037)</f>
        <v/>
      </c>
      <c r="C1036" s="60" t="str">
        <f>IF($A1036="","",[1]weekly_demand!H1037)</f>
        <v/>
      </c>
      <c r="D1036" s="61" t="str">
        <f>IF($A1036="","",IF(SUMIFS([1]Fixture_Capacity_Input!$C:$C,[1]Fixture_Capacity_Input!$A:$A,$B1036,[1]Fixture_Capacity_Input!$B:$B,$C1036)&gt;0,SUMIFS([1]Fixture_Capacity_Input!$C:$C,[1]Fixture_Capacity_Input!$A:$A,$B1036,[1]Fixture_Capacity_Input!$B:$B,$C1036),[1]weekly_demand!G1037))</f>
        <v/>
      </c>
      <c r="E1036" s="62" t="str">
        <f>IF($A1036="","",[1]weekly_demand!I1037)</f>
        <v/>
      </c>
      <c r="F1036" s="61" t="str">
        <f>IF($A1036="","",IF($A1036&lt;&gt;$A1035,IFERROR(INDEX([1]FG_Begin_Inventory!$B:$B,MATCH($A1036,[1]FG_Begin_Inventory!$A:$A,0)),0),J1035))</f>
        <v/>
      </c>
      <c r="G1036" s="61" t="str">
        <f t="shared" si="115"/>
        <v/>
      </c>
      <c r="H1036" s="61" t="str">
        <f t="shared" si="116"/>
        <v/>
      </c>
      <c r="I1036" s="62" t="str">
        <f t="shared" si="117"/>
        <v/>
      </c>
      <c r="J1036" s="61" t="str">
        <f t="shared" si="118"/>
        <v/>
      </c>
      <c r="K1036" s="61" t="str">
        <f t="shared" si="119"/>
        <v/>
      </c>
      <c r="L1036" s="61" t="str">
        <f t="shared" si="120"/>
        <v/>
      </c>
      <c r="M1036" s="63" t="str">
        <f t="shared" si="121"/>
        <v/>
      </c>
      <c r="N1036" s="64"/>
    </row>
    <row r="1037" spans="1:14" x14ac:dyDescent="0.3">
      <c r="A1037" s="58" t="str">
        <f>IF([1]weekly_demand!A1038="","",[1]weekly_demand!A1038)</f>
        <v/>
      </c>
      <c r="B1037" s="59" t="str">
        <f>IF($A1037="","",[1]weekly_demand!F1038)</f>
        <v/>
      </c>
      <c r="C1037" s="60" t="str">
        <f>IF($A1037="","",[1]weekly_demand!H1038)</f>
        <v/>
      </c>
      <c r="D1037" s="61" t="str">
        <f>IF($A1037="","",IF(SUMIFS([1]Fixture_Capacity_Input!$C:$C,[1]Fixture_Capacity_Input!$A:$A,$B1037,[1]Fixture_Capacity_Input!$B:$B,$C1037)&gt;0,SUMIFS([1]Fixture_Capacity_Input!$C:$C,[1]Fixture_Capacity_Input!$A:$A,$B1037,[1]Fixture_Capacity_Input!$B:$B,$C1037),[1]weekly_demand!G1038))</f>
        <v/>
      </c>
      <c r="E1037" s="62" t="str">
        <f>IF($A1037="","",[1]weekly_demand!I1038)</f>
        <v/>
      </c>
      <c r="F1037" s="61" t="str">
        <f>IF($A1037="","",IF($A1037&lt;&gt;$A1036,IFERROR(INDEX([1]FG_Begin_Inventory!$B:$B,MATCH($A1037,[1]FG_Begin_Inventory!$A:$A,0)),0),J1036))</f>
        <v/>
      </c>
      <c r="G1037" s="61" t="str">
        <f t="shared" si="115"/>
        <v/>
      </c>
      <c r="H1037" s="61" t="str">
        <f t="shared" si="116"/>
        <v/>
      </c>
      <c r="I1037" s="62" t="str">
        <f t="shared" si="117"/>
        <v/>
      </c>
      <c r="J1037" s="61" t="str">
        <f t="shared" si="118"/>
        <v/>
      </c>
      <c r="K1037" s="61" t="str">
        <f t="shared" si="119"/>
        <v/>
      </c>
      <c r="L1037" s="61" t="str">
        <f t="shared" si="120"/>
        <v/>
      </c>
      <c r="M1037" s="63" t="str">
        <f t="shared" si="121"/>
        <v/>
      </c>
      <c r="N1037" s="64"/>
    </row>
    <row r="1038" spans="1:14" x14ac:dyDescent="0.3">
      <c r="A1038" s="58" t="str">
        <f>IF([1]weekly_demand!A1039="","",[1]weekly_demand!A1039)</f>
        <v/>
      </c>
      <c r="B1038" s="59" t="str">
        <f>IF($A1038="","",[1]weekly_demand!F1039)</f>
        <v/>
      </c>
      <c r="C1038" s="60" t="str">
        <f>IF($A1038="","",[1]weekly_demand!H1039)</f>
        <v/>
      </c>
      <c r="D1038" s="61" t="str">
        <f>IF($A1038="","",IF(SUMIFS([1]Fixture_Capacity_Input!$C:$C,[1]Fixture_Capacity_Input!$A:$A,$B1038,[1]Fixture_Capacity_Input!$B:$B,$C1038)&gt;0,SUMIFS([1]Fixture_Capacity_Input!$C:$C,[1]Fixture_Capacity_Input!$A:$A,$B1038,[1]Fixture_Capacity_Input!$B:$B,$C1038),[1]weekly_demand!G1039))</f>
        <v/>
      </c>
      <c r="E1038" s="62" t="str">
        <f>IF($A1038="","",[1]weekly_demand!I1039)</f>
        <v/>
      </c>
      <c r="F1038" s="61" t="str">
        <f>IF($A1038="","",IF($A1038&lt;&gt;$A1037,IFERROR(INDEX([1]FG_Begin_Inventory!$B:$B,MATCH($A1038,[1]FG_Begin_Inventory!$A:$A,0)),0),J1037))</f>
        <v/>
      </c>
      <c r="G1038" s="61" t="str">
        <f t="shared" si="115"/>
        <v/>
      </c>
      <c r="H1038" s="61" t="str">
        <f t="shared" si="116"/>
        <v/>
      </c>
      <c r="I1038" s="62" t="str">
        <f t="shared" si="117"/>
        <v/>
      </c>
      <c r="J1038" s="61" t="str">
        <f t="shared" si="118"/>
        <v/>
      </c>
      <c r="K1038" s="61" t="str">
        <f t="shared" si="119"/>
        <v/>
      </c>
      <c r="L1038" s="61" t="str">
        <f t="shared" si="120"/>
        <v/>
      </c>
      <c r="M1038" s="63" t="str">
        <f t="shared" si="121"/>
        <v/>
      </c>
      <c r="N1038" s="64"/>
    </row>
    <row r="1039" spans="1:14" x14ac:dyDescent="0.3">
      <c r="A1039" s="58" t="str">
        <f>IF([1]weekly_demand!A1040="","",[1]weekly_demand!A1040)</f>
        <v/>
      </c>
      <c r="B1039" s="59" t="str">
        <f>IF($A1039="","",[1]weekly_demand!F1040)</f>
        <v/>
      </c>
      <c r="C1039" s="60" t="str">
        <f>IF($A1039="","",[1]weekly_demand!H1040)</f>
        <v/>
      </c>
      <c r="D1039" s="61" t="str">
        <f>IF($A1039="","",IF(SUMIFS([1]Fixture_Capacity_Input!$C:$C,[1]Fixture_Capacity_Input!$A:$A,$B1039,[1]Fixture_Capacity_Input!$B:$B,$C1039)&gt;0,SUMIFS([1]Fixture_Capacity_Input!$C:$C,[1]Fixture_Capacity_Input!$A:$A,$B1039,[1]Fixture_Capacity_Input!$B:$B,$C1039),[1]weekly_demand!G1040))</f>
        <v/>
      </c>
      <c r="E1039" s="62" t="str">
        <f>IF($A1039="","",[1]weekly_demand!I1040)</f>
        <v/>
      </c>
      <c r="F1039" s="61" t="str">
        <f>IF($A1039="","",IF($A1039&lt;&gt;$A1038,IFERROR(INDEX([1]FG_Begin_Inventory!$B:$B,MATCH($A1039,[1]FG_Begin_Inventory!$A:$A,0)),0),J1038))</f>
        <v/>
      </c>
      <c r="G1039" s="61" t="str">
        <f t="shared" si="115"/>
        <v/>
      </c>
      <c r="H1039" s="61" t="str">
        <f t="shared" si="116"/>
        <v/>
      </c>
      <c r="I1039" s="62" t="str">
        <f t="shared" si="117"/>
        <v/>
      </c>
      <c r="J1039" s="61" t="str">
        <f t="shared" si="118"/>
        <v/>
      </c>
      <c r="K1039" s="61" t="str">
        <f t="shared" si="119"/>
        <v/>
      </c>
      <c r="L1039" s="61" t="str">
        <f t="shared" si="120"/>
        <v/>
      </c>
      <c r="M1039" s="63" t="str">
        <f t="shared" si="121"/>
        <v/>
      </c>
      <c r="N1039" s="64"/>
    </row>
    <row r="1040" spans="1:14" x14ac:dyDescent="0.3">
      <c r="A1040" s="58" t="str">
        <f>IF([1]weekly_demand!A1041="","",[1]weekly_demand!A1041)</f>
        <v/>
      </c>
      <c r="B1040" s="59" t="str">
        <f>IF($A1040="","",[1]weekly_demand!F1041)</f>
        <v/>
      </c>
      <c r="C1040" s="60" t="str">
        <f>IF($A1040="","",[1]weekly_demand!H1041)</f>
        <v/>
      </c>
      <c r="D1040" s="61" t="str">
        <f>IF($A1040="","",IF(SUMIFS([1]Fixture_Capacity_Input!$C:$C,[1]Fixture_Capacity_Input!$A:$A,$B1040,[1]Fixture_Capacity_Input!$B:$B,$C1040)&gt;0,SUMIFS([1]Fixture_Capacity_Input!$C:$C,[1]Fixture_Capacity_Input!$A:$A,$B1040,[1]Fixture_Capacity_Input!$B:$B,$C1040),[1]weekly_demand!G1041))</f>
        <v/>
      </c>
      <c r="E1040" s="62" t="str">
        <f>IF($A1040="","",[1]weekly_demand!I1041)</f>
        <v/>
      </c>
      <c r="F1040" s="61" t="str">
        <f>IF($A1040="","",IF($A1040&lt;&gt;$A1039,IFERROR(INDEX([1]FG_Begin_Inventory!$B:$B,MATCH($A1040,[1]FG_Begin_Inventory!$A:$A,0)),0),J1039))</f>
        <v/>
      </c>
      <c r="G1040" s="61" t="str">
        <f t="shared" si="115"/>
        <v/>
      </c>
      <c r="H1040" s="61" t="str">
        <f t="shared" si="116"/>
        <v/>
      </c>
      <c r="I1040" s="62" t="str">
        <f t="shared" si="117"/>
        <v/>
      </c>
      <c r="J1040" s="61" t="str">
        <f t="shared" si="118"/>
        <v/>
      </c>
      <c r="K1040" s="61" t="str">
        <f t="shared" si="119"/>
        <v/>
      </c>
      <c r="L1040" s="61" t="str">
        <f t="shared" si="120"/>
        <v/>
      </c>
      <c r="M1040" s="63" t="str">
        <f t="shared" si="121"/>
        <v/>
      </c>
      <c r="N1040" s="64"/>
    </row>
    <row r="1041" spans="1:14" x14ac:dyDescent="0.3">
      <c r="A1041" s="58" t="str">
        <f>IF([1]weekly_demand!A1042="","",[1]weekly_demand!A1042)</f>
        <v/>
      </c>
      <c r="B1041" s="59" t="str">
        <f>IF($A1041="","",[1]weekly_demand!F1042)</f>
        <v/>
      </c>
      <c r="C1041" s="60" t="str">
        <f>IF($A1041="","",[1]weekly_demand!H1042)</f>
        <v/>
      </c>
      <c r="D1041" s="61" t="str">
        <f>IF($A1041="","",IF(SUMIFS([1]Fixture_Capacity_Input!$C:$C,[1]Fixture_Capacity_Input!$A:$A,$B1041,[1]Fixture_Capacity_Input!$B:$B,$C1041)&gt;0,SUMIFS([1]Fixture_Capacity_Input!$C:$C,[1]Fixture_Capacity_Input!$A:$A,$B1041,[1]Fixture_Capacity_Input!$B:$B,$C1041),[1]weekly_demand!G1042))</f>
        <v/>
      </c>
      <c r="E1041" s="62" t="str">
        <f>IF($A1041="","",[1]weekly_demand!I1042)</f>
        <v/>
      </c>
      <c r="F1041" s="61" t="str">
        <f>IF($A1041="","",IF($A1041&lt;&gt;$A1040,IFERROR(INDEX([1]FG_Begin_Inventory!$B:$B,MATCH($A1041,[1]FG_Begin_Inventory!$A:$A,0)),0),J1040))</f>
        <v/>
      </c>
      <c r="G1041" s="61" t="str">
        <f t="shared" si="115"/>
        <v/>
      </c>
      <c r="H1041" s="61" t="str">
        <f t="shared" si="116"/>
        <v/>
      </c>
      <c r="I1041" s="62" t="str">
        <f t="shared" si="117"/>
        <v/>
      </c>
      <c r="J1041" s="61" t="str">
        <f t="shared" si="118"/>
        <v/>
      </c>
      <c r="K1041" s="61" t="str">
        <f t="shared" si="119"/>
        <v/>
      </c>
      <c r="L1041" s="61" t="str">
        <f t="shared" si="120"/>
        <v/>
      </c>
      <c r="M1041" s="63" t="str">
        <f t="shared" si="121"/>
        <v/>
      </c>
      <c r="N1041" s="64"/>
    </row>
    <row r="1042" spans="1:14" x14ac:dyDescent="0.3">
      <c r="A1042" s="58" t="str">
        <f>IF([1]weekly_demand!A1043="","",[1]weekly_demand!A1043)</f>
        <v/>
      </c>
      <c r="B1042" s="59" t="str">
        <f>IF($A1042="","",[1]weekly_demand!F1043)</f>
        <v/>
      </c>
      <c r="C1042" s="60" t="str">
        <f>IF($A1042="","",[1]weekly_demand!H1043)</f>
        <v/>
      </c>
      <c r="D1042" s="61" t="str">
        <f>IF($A1042="","",IF(SUMIFS([1]Fixture_Capacity_Input!$C:$C,[1]Fixture_Capacity_Input!$A:$A,$B1042,[1]Fixture_Capacity_Input!$B:$B,$C1042)&gt;0,SUMIFS([1]Fixture_Capacity_Input!$C:$C,[1]Fixture_Capacity_Input!$A:$A,$B1042,[1]Fixture_Capacity_Input!$B:$B,$C1042),[1]weekly_demand!G1043))</f>
        <v/>
      </c>
      <c r="E1042" s="62" t="str">
        <f>IF($A1042="","",[1]weekly_demand!I1043)</f>
        <v/>
      </c>
      <c r="F1042" s="61" t="str">
        <f>IF($A1042="","",IF($A1042&lt;&gt;$A1041,IFERROR(INDEX([1]FG_Begin_Inventory!$B:$B,MATCH($A1042,[1]FG_Begin_Inventory!$A:$A,0)),0),J1041))</f>
        <v/>
      </c>
      <c r="G1042" s="61" t="str">
        <f t="shared" si="115"/>
        <v/>
      </c>
      <c r="H1042" s="61" t="str">
        <f t="shared" si="116"/>
        <v/>
      </c>
      <c r="I1042" s="62" t="str">
        <f t="shared" si="117"/>
        <v/>
      </c>
      <c r="J1042" s="61" t="str">
        <f t="shared" si="118"/>
        <v/>
      </c>
      <c r="K1042" s="61" t="str">
        <f t="shared" si="119"/>
        <v/>
      </c>
      <c r="L1042" s="61" t="str">
        <f t="shared" si="120"/>
        <v/>
      </c>
      <c r="M1042" s="63" t="str">
        <f t="shared" si="121"/>
        <v/>
      </c>
      <c r="N1042" s="64"/>
    </row>
    <row r="1043" spans="1:14" x14ac:dyDescent="0.3">
      <c r="A1043" s="58" t="str">
        <f>IF([1]weekly_demand!A1044="","",[1]weekly_demand!A1044)</f>
        <v/>
      </c>
      <c r="B1043" s="59" t="str">
        <f>IF($A1043="","",[1]weekly_demand!F1044)</f>
        <v/>
      </c>
      <c r="C1043" s="60" t="str">
        <f>IF($A1043="","",[1]weekly_demand!H1044)</f>
        <v/>
      </c>
      <c r="D1043" s="61" t="str">
        <f>IF($A1043="","",IF(SUMIFS([1]Fixture_Capacity_Input!$C:$C,[1]Fixture_Capacity_Input!$A:$A,$B1043,[1]Fixture_Capacity_Input!$B:$B,$C1043)&gt;0,SUMIFS([1]Fixture_Capacity_Input!$C:$C,[1]Fixture_Capacity_Input!$A:$A,$B1043,[1]Fixture_Capacity_Input!$B:$B,$C1043),[1]weekly_demand!G1044))</f>
        <v/>
      </c>
      <c r="E1043" s="62" t="str">
        <f>IF($A1043="","",[1]weekly_demand!I1044)</f>
        <v/>
      </c>
      <c r="F1043" s="61" t="str">
        <f>IF($A1043="","",IF($A1043&lt;&gt;$A1042,IFERROR(INDEX([1]FG_Begin_Inventory!$B:$B,MATCH($A1043,[1]FG_Begin_Inventory!$A:$A,0)),0),J1042))</f>
        <v/>
      </c>
      <c r="G1043" s="61" t="str">
        <f t="shared" si="115"/>
        <v/>
      </c>
      <c r="H1043" s="61" t="str">
        <f t="shared" si="116"/>
        <v/>
      </c>
      <c r="I1043" s="62" t="str">
        <f t="shared" si="117"/>
        <v/>
      </c>
      <c r="J1043" s="61" t="str">
        <f t="shared" si="118"/>
        <v/>
      </c>
      <c r="K1043" s="61" t="str">
        <f t="shared" si="119"/>
        <v/>
      </c>
      <c r="L1043" s="61" t="str">
        <f t="shared" si="120"/>
        <v/>
      </c>
      <c r="M1043" s="63" t="str">
        <f t="shared" si="121"/>
        <v/>
      </c>
      <c r="N1043" s="64"/>
    </row>
    <row r="1044" spans="1:14" x14ac:dyDescent="0.3">
      <c r="A1044" s="58" t="str">
        <f>IF([1]weekly_demand!A1045="","",[1]weekly_demand!A1045)</f>
        <v/>
      </c>
      <c r="B1044" s="59" t="str">
        <f>IF($A1044="","",[1]weekly_demand!F1045)</f>
        <v/>
      </c>
      <c r="C1044" s="60" t="str">
        <f>IF($A1044="","",[1]weekly_demand!H1045)</f>
        <v/>
      </c>
      <c r="D1044" s="61" t="str">
        <f>IF($A1044="","",IF(SUMIFS([1]Fixture_Capacity_Input!$C:$C,[1]Fixture_Capacity_Input!$A:$A,$B1044,[1]Fixture_Capacity_Input!$B:$B,$C1044)&gt;0,SUMIFS([1]Fixture_Capacity_Input!$C:$C,[1]Fixture_Capacity_Input!$A:$A,$B1044,[1]Fixture_Capacity_Input!$B:$B,$C1044),[1]weekly_demand!G1045))</f>
        <v/>
      </c>
      <c r="E1044" s="62" t="str">
        <f>IF($A1044="","",[1]weekly_demand!I1045)</f>
        <v/>
      </c>
      <c r="F1044" s="61" t="str">
        <f>IF($A1044="","",IF($A1044&lt;&gt;$A1043,IFERROR(INDEX([1]FG_Begin_Inventory!$B:$B,MATCH($A1044,[1]FG_Begin_Inventory!$A:$A,0)),0),J1043))</f>
        <v/>
      </c>
      <c r="G1044" s="61" t="str">
        <f t="shared" si="115"/>
        <v/>
      </c>
      <c r="H1044" s="61" t="str">
        <f t="shared" si="116"/>
        <v/>
      </c>
      <c r="I1044" s="62" t="str">
        <f t="shared" si="117"/>
        <v/>
      </c>
      <c r="J1044" s="61" t="str">
        <f t="shared" si="118"/>
        <v/>
      </c>
      <c r="K1044" s="61" t="str">
        <f t="shared" si="119"/>
        <v/>
      </c>
      <c r="L1044" s="61" t="str">
        <f t="shared" si="120"/>
        <v/>
      </c>
      <c r="M1044" s="63" t="str">
        <f t="shared" si="121"/>
        <v/>
      </c>
      <c r="N1044" s="64"/>
    </row>
    <row r="1045" spans="1:14" x14ac:dyDescent="0.3">
      <c r="A1045" s="58" t="str">
        <f>IF([1]weekly_demand!A1046="","",[1]weekly_demand!A1046)</f>
        <v/>
      </c>
      <c r="B1045" s="59" t="str">
        <f>IF($A1045="","",[1]weekly_demand!F1046)</f>
        <v/>
      </c>
      <c r="C1045" s="60" t="str">
        <f>IF($A1045="","",[1]weekly_demand!H1046)</f>
        <v/>
      </c>
      <c r="D1045" s="61" t="str">
        <f>IF($A1045="","",IF(SUMIFS([1]Fixture_Capacity_Input!$C:$C,[1]Fixture_Capacity_Input!$A:$A,$B1045,[1]Fixture_Capacity_Input!$B:$B,$C1045)&gt;0,SUMIFS([1]Fixture_Capacity_Input!$C:$C,[1]Fixture_Capacity_Input!$A:$A,$B1045,[1]Fixture_Capacity_Input!$B:$B,$C1045),[1]weekly_demand!G1046))</f>
        <v/>
      </c>
      <c r="E1045" s="62" t="str">
        <f>IF($A1045="","",[1]weekly_demand!I1046)</f>
        <v/>
      </c>
      <c r="F1045" s="61" t="str">
        <f>IF($A1045="","",IF($A1045&lt;&gt;$A1044,IFERROR(INDEX([1]FG_Begin_Inventory!$B:$B,MATCH($A1045,[1]FG_Begin_Inventory!$A:$A,0)),0),J1044))</f>
        <v/>
      </c>
      <c r="G1045" s="61" t="str">
        <f t="shared" si="115"/>
        <v/>
      </c>
      <c r="H1045" s="61" t="str">
        <f t="shared" si="116"/>
        <v/>
      </c>
      <c r="I1045" s="62" t="str">
        <f t="shared" si="117"/>
        <v/>
      </c>
      <c r="J1045" s="61" t="str">
        <f t="shared" si="118"/>
        <v/>
      </c>
      <c r="K1045" s="61" t="str">
        <f t="shared" si="119"/>
        <v/>
      </c>
      <c r="L1045" s="61" t="str">
        <f t="shared" si="120"/>
        <v/>
      </c>
      <c r="M1045" s="63" t="str">
        <f t="shared" si="121"/>
        <v/>
      </c>
      <c r="N1045" s="64"/>
    </row>
    <row r="1046" spans="1:14" x14ac:dyDescent="0.3">
      <c r="A1046" s="58" t="str">
        <f>IF([1]weekly_demand!A1047="","",[1]weekly_demand!A1047)</f>
        <v/>
      </c>
      <c r="B1046" s="59" t="str">
        <f>IF($A1046="","",[1]weekly_demand!F1047)</f>
        <v/>
      </c>
      <c r="C1046" s="60" t="str">
        <f>IF($A1046="","",[1]weekly_demand!H1047)</f>
        <v/>
      </c>
      <c r="D1046" s="61" t="str">
        <f>IF($A1046="","",IF(SUMIFS([1]Fixture_Capacity_Input!$C:$C,[1]Fixture_Capacity_Input!$A:$A,$B1046,[1]Fixture_Capacity_Input!$B:$B,$C1046)&gt;0,SUMIFS([1]Fixture_Capacity_Input!$C:$C,[1]Fixture_Capacity_Input!$A:$A,$B1046,[1]Fixture_Capacity_Input!$B:$B,$C1046),[1]weekly_demand!G1047))</f>
        <v/>
      </c>
      <c r="E1046" s="62" t="str">
        <f>IF($A1046="","",[1]weekly_demand!I1047)</f>
        <v/>
      </c>
      <c r="F1046" s="61" t="str">
        <f>IF($A1046="","",IF($A1046&lt;&gt;$A1045,IFERROR(INDEX([1]FG_Begin_Inventory!$B:$B,MATCH($A1046,[1]FG_Begin_Inventory!$A:$A,0)),0),J1045))</f>
        <v/>
      </c>
      <c r="G1046" s="61" t="str">
        <f t="shared" si="115"/>
        <v/>
      </c>
      <c r="H1046" s="61" t="str">
        <f t="shared" si="116"/>
        <v/>
      </c>
      <c r="I1046" s="62" t="str">
        <f t="shared" si="117"/>
        <v/>
      </c>
      <c r="J1046" s="61" t="str">
        <f t="shared" si="118"/>
        <v/>
      </c>
      <c r="K1046" s="61" t="str">
        <f t="shared" si="119"/>
        <v/>
      </c>
      <c r="L1046" s="61" t="str">
        <f t="shared" si="120"/>
        <v/>
      </c>
      <c r="M1046" s="63" t="str">
        <f t="shared" si="121"/>
        <v/>
      </c>
      <c r="N1046" s="64"/>
    </row>
    <row r="1047" spans="1:14" x14ac:dyDescent="0.3">
      <c r="A1047" s="58" t="str">
        <f>IF([1]weekly_demand!A1048="","",[1]weekly_demand!A1048)</f>
        <v/>
      </c>
      <c r="B1047" s="59" t="str">
        <f>IF($A1047="","",[1]weekly_demand!F1048)</f>
        <v/>
      </c>
      <c r="C1047" s="60" t="str">
        <f>IF($A1047="","",[1]weekly_demand!H1048)</f>
        <v/>
      </c>
      <c r="D1047" s="61" t="str">
        <f>IF($A1047="","",IF(SUMIFS([1]Fixture_Capacity_Input!$C:$C,[1]Fixture_Capacity_Input!$A:$A,$B1047,[1]Fixture_Capacity_Input!$B:$B,$C1047)&gt;0,SUMIFS([1]Fixture_Capacity_Input!$C:$C,[1]Fixture_Capacity_Input!$A:$A,$B1047,[1]Fixture_Capacity_Input!$B:$B,$C1047),[1]weekly_demand!G1048))</f>
        <v/>
      </c>
      <c r="E1047" s="62" t="str">
        <f>IF($A1047="","",[1]weekly_demand!I1048)</f>
        <v/>
      </c>
      <c r="F1047" s="61" t="str">
        <f>IF($A1047="","",IF($A1047&lt;&gt;$A1046,IFERROR(INDEX([1]FG_Begin_Inventory!$B:$B,MATCH($A1047,[1]FG_Begin_Inventory!$A:$A,0)),0),J1046))</f>
        <v/>
      </c>
      <c r="G1047" s="61" t="str">
        <f t="shared" si="115"/>
        <v/>
      </c>
      <c r="H1047" s="61" t="str">
        <f t="shared" si="116"/>
        <v/>
      </c>
      <c r="I1047" s="62" t="str">
        <f t="shared" si="117"/>
        <v/>
      </c>
      <c r="J1047" s="61" t="str">
        <f t="shared" si="118"/>
        <v/>
      </c>
      <c r="K1047" s="61" t="str">
        <f t="shared" si="119"/>
        <v/>
      </c>
      <c r="L1047" s="61" t="str">
        <f t="shared" si="120"/>
        <v/>
      </c>
      <c r="M1047" s="63" t="str">
        <f t="shared" si="121"/>
        <v/>
      </c>
      <c r="N1047" s="64"/>
    </row>
    <row r="1048" spans="1:14" x14ac:dyDescent="0.3">
      <c r="A1048" s="58" t="str">
        <f>IF([1]weekly_demand!A1049="","",[1]weekly_demand!A1049)</f>
        <v/>
      </c>
      <c r="B1048" s="59" t="str">
        <f>IF($A1048="","",[1]weekly_demand!F1049)</f>
        <v/>
      </c>
      <c r="C1048" s="60" t="str">
        <f>IF($A1048="","",[1]weekly_demand!H1049)</f>
        <v/>
      </c>
      <c r="D1048" s="61" t="str">
        <f>IF($A1048="","",IF(SUMIFS([1]Fixture_Capacity_Input!$C:$C,[1]Fixture_Capacity_Input!$A:$A,$B1048,[1]Fixture_Capacity_Input!$B:$B,$C1048)&gt;0,SUMIFS([1]Fixture_Capacity_Input!$C:$C,[1]Fixture_Capacity_Input!$A:$A,$B1048,[1]Fixture_Capacity_Input!$B:$B,$C1048),[1]weekly_demand!G1049))</f>
        <v/>
      </c>
      <c r="E1048" s="62" t="str">
        <f>IF($A1048="","",[1]weekly_demand!I1049)</f>
        <v/>
      </c>
      <c r="F1048" s="61" t="str">
        <f>IF($A1048="","",IF($A1048&lt;&gt;$A1047,IFERROR(INDEX([1]FG_Begin_Inventory!$B:$B,MATCH($A1048,[1]FG_Begin_Inventory!$A:$A,0)),0),J1047))</f>
        <v/>
      </c>
      <c r="G1048" s="61" t="str">
        <f t="shared" si="115"/>
        <v/>
      </c>
      <c r="H1048" s="61" t="str">
        <f t="shared" si="116"/>
        <v/>
      </c>
      <c r="I1048" s="62" t="str">
        <f t="shared" si="117"/>
        <v/>
      </c>
      <c r="J1048" s="61" t="str">
        <f t="shared" si="118"/>
        <v/>
      </c>
      <c r="K1048" s="61" t="str">
        <f t="shared" si="119"/>
        <v/>
      </c>
      <c r="L1048" s="61" t="str">
        <f t="shared" si="120"/>
        <v/>
      </c>
      <c r="M1048" s="63" t="str">
        <f t="shared" si="121"/>
        <v/>
      </c>
      <c r="N1048" s="64"/>
    </row>
    <row r="1049" spans="1:14" x14ac:dyDescent="0.3">
      <c r="A1049" s="58" t="str">
        <f>IF([1]weekly_demand!A1050="","",[1]weekly_demand!A1050)</f>
        <v/>
      </c>
      <c r="B1049" s="59" t="str">
        <f>IF($A1049="","",[1]weekly_demand!F1050)</f>
        <v/>
      </c>
      <c r="C1049" s="60" t="str">
        <f>IF($A1049="","",[1]weekly_demand!H1050)</f>
        <v/>
      </c>
      <c r="D1049" s="61" t="str">
        <f>IF($A1049="","",IF(SUMIFS([1]Fixture_Capacity_Input!$C:$C,[1]Fixture_Capacity_Input!$A:$A,$B1049,[1]Fixture_Capacity_Input!$B:$B,$C1049)&gt;0,SUMIFS([1]Fixture_Capacity_Input!$C:$C,[1]Fixture_Capacity_Input!$A:$A,$B1049,[1]Fixture_Capacity_Input!$B:$B,$C1049),[1]weekly_demand!G1050))</f>
        <v/>
      </c>
      <c r="E1049" s="62" t="str">
        <f>IF($A1049="","",[1]weekly_demand!I1050)</f>
        <v/>
      </c>
      <c r="F1049" s="61" t="str">
        <f>IF($A1049="","",IF($A1049&lt;&gt;$A1048,IFERROR(INDEX([1]FG_Begin_Inventory!$B:$B,MATCH($A1049,[1]FG_Begin_Inventory!$A:$A,0)),0),J1048))</f>
        <v/>
      </c>
      <c r="G1049" s="61" t="str">
        <f t="shared" si="115"/>
        <v/>
      </c>
      <c r="H1049" s="61" t="str">
        <f t="shared" si="116"/>
        <v/>
      </c>
      <c r="I1049" s="62" t="str">
        <f t="shared" si="117"/>
        <v/>
      </c>
      <c r="J1049" s="61" t="str">
        <f t="shared" si="118"/>
        <v/>
      </c>
      <c r="K1049" s="61" t="str">
        <f t="shared" si="119"/>
        <v/>
      </c>
      <c r="L1049" s="61" t="str">
        <f t="shared" si="120"/>
        <v/>
      </c>
      <c r="M1049" s="63" t="str">
        <f t="shared" si="121"/>
        <v/>
      </c>
      <c r="N1049" s="64"/>
    </row>
    <row r="1050" spans="1:14" x14ac:dyDescent="0.3">
      <c r="A1050" s="58" t="str">
        <f>IF([1]weekly_demand!A1051="","",[1]weekly_demand!A1051)</f>
        <v/>
      </c>
      <c r="B1050" s="59" t="str">
        <f>IF($A1050="","",[1]weekly_demand!F1051)</f>
        <v/>
      </c>
      <c r="C1050" s="60" t="str">
        <f>IF($A1050="","",[1]weekly_demand!H1051)</f>
        <v/>
      </c>
      <c r="D1050" s="61" t="str">
        <f>IF($A1050="","",IF(SUMIFS([1]Fixture_Capacity_Input!$C:$C,[1]Fixture_Capacity_Input!$A:$A,$B1050,[1]Fixture_Capacity_Input!$B:$B,$C1050)&gt;0,SUMIFS([1]Fixture_Capacity_Input!$C:$C,[1]Fixture_Capacity_Input!$A:$A,$B1050,[1]Fixture_Capacity_Input!$B:$B,$C1050),[1]weekly_demand!G1051))</f>
        <v/>
      </c>
      <c r="E1050" s="62" t="str">
        <f>IF($A1050="","",[1]weekly_demand!I1051)</f>
        <v/>
      </c>
      <c r="F1050" s="61" t="str">
        <f>IF($A1050="","",IF($A1050&lt;&gt;$A1049,IFERROR(INDEX([1]FG_Begin_Inventory!$B:$B,MATCH($A1050,[1]FG_Begin_Inventory!$A:$A,0)),0),J1049))</f>
        <v/>
      </c>
      <c r="G1050" s="61" t="str">
        <f t="shared" si="115"/>
        <v/>
      </c>
      <c r="H1050" s="61" t="str">
        <f t="shared" si="116"/>
        <v/>
      </c>
      <c r="I1050" s="62" t="str">
        <f t="shared" si="117"/>
        <v/>
      </c>
      <c r="J1050" s="61" t="str">
        <f t="shared" si="118"/>
        <v/>
      </c>
      <c r="K1050" s="61" t="str">
        <f t="shared" si="119"/>
        <v/>
      </c>
      <c r="L1050" s="61" t="str">
        <f t="shared" si="120"/>
        <v/>
      </c>
      <c r="M1050" s="63" t="str">
        <f t="shared" si="121"/>
        <v/>
      </c>
      <c r="N1050" s="64"/>
    </row>
    <row r="1051" spans="1:14" x14ac:dyDescent="0.3">
      <c r="A1051" s="58" t="str">
        <f>IF([1]weekly_demand!A1052="","",[1]weekly_demand!A1052)</f>
        <v/>
      </c>
      <c r="B1051" s="59" t="str">
        <f>IF($A1051="","",[1]weekly_demand!F1052)</f>
        <v/>
      </c>
      <c r="C1051" s="60" t="str">
        <f>IF($A1051="","",[1]weekly_demand!H1052)</f>
        <v/>
      </c>
      <c r="D1051" s="61" t="str">
        <f>IF($A1051="","",IF(SUMIFS([1]Fixture_Capacity_Input!$C:$C,[1]Fixture_Capacity_Input!$A:$A,$B1051,[1]Fixture_Capacity_Input!$B:$B,$C1051)&gt;0,SUMIFS([1]Fixture_Capacity_Input!$C:$C,[1]Fixture_Capacity_Input!$A:$A,$B1051,[1]Fixture_Capacity_Input!$B:$B,$C1051),[1]weekly_demand!G1052))</f>
        <v/>
      </c>
      <c r="E1051" s="62" t="str">
        <f>IF($A1051="","",[1]weekly_demand!I1052)</f>
        <v/>
      </c>
      <c r="F1051" s="61" t="str">
        <f>IF($A1051="","",IF($A1051&lt;&gt;$A1050,IFERROR(INDEX([1]FG_Begin_Inventory!$B:$B,MATCH($A1051,[1]FG_Begin_Inventory!$A:$A,0)),0),J1050))</f>
        <v/>
      </c>
      <c r="G1051" s="61" t="str">
        <f t="shared" si="115"/>
        <v/>
      </c>
      <c r="H1051" s="61" t="str">
        <f t="shared" si="116"/>
        <v/>
      </c>
      <c r="I1051" s="62" t="str">
        <f t="shared" si="117"/>
        <v/>
      </c>
      <c r="J1051" s="61" t="str">
        <f t="shared" si="118"/>
        <v/>
      </c>
      <c r="K1051" s="61" t="str">
        <f t="shared" si="119"/>
        <v/>
      </c>
      <c r="L1051" s="61" t="str">
        <f t="shared" si="120"/>
        <v/>
      </c>
      <c r="M1051" s="63" t="str">
        <f t="shared" si="121"/>
        <v/>
      </c>
      <c r="N1051" s="64"/>
    </row>
    <row r="1052" spans="1:14" x14ac:dyDescent="0.3">
      <c r="A1052" s="58" t="str">
        <f>IF([1]weekly_demand!A1053="","",[1]weekly_demand!A1053)</f>
        <v/>
      </c>
      <c r="B1052" s="59" t="str">
        <f>IF($A1052="","",[1]weekly_demand!F1053)</f>
        <v/>
      </c>
      <c r="C1052" s="60" t="str">
        <f>IF($A1052="","",[1]weekly_demand!H1053)</f>
        <v/>
      </c>
      <c r="D1052" s="61" t="str">
        <f>IF($A1052="","",IF(SUMIFS([1]Fixture_Capacity_Input!$C:$C,[1]Fixture_Capacity_Input!$A:$A,$B1052,[1]Fixture_Capacity_Input!$B:$B,$C1052)&gt;0,SUMIFS([1]Fixture_Capacity_Input!$C:$C,[1]Fixture_Capacity_Input!$A:$A,$B1052,[1]Fixture_Capacity_Input!$B:$B,$C1052),[1]weekly_demand!G1053))</f>
        <v/>
      </c>
      <c r="E1052" s="62" t="str">
        <f>IF($A1052="","",[1]weekly_demand!I1053)</f>
        <v/>
      </c>
      <c r="F1052" s="61" t="str">
        <f>IF($A1052="","",IF($A1052&lt;&gt;$A1051,IFERROR(INDEX([1]FG_Begin_Inventory!$B:$B,MATCH($A1052,[1]FG_Begin_Inventory!$A:$A,0)),0),J1051))</f>
        <v/>
      </c>
      <c r="G1052" s="61" t="str">
        <f t="shared" si="115"/>
        <v/>
      </c>
      <c r="H1052" s="61" t="str">
        <f t="shared" si="116"/>
        <v/>
      </c>
      <c r="I1052" s="62" t="str">
        <f t="shared" si="117"/>
        <v/>
      </c>
      <c r="J1052" s="61" t="str">
        <f t="shared" si="118"/>
        <v/>
      </c>
      <c r="K1052" s="61" t="str">
        <f t="shared" si="119"/>
        <v/>
      </c>
      <c r="L1052" s="61" t="str">
        <f t="shared" si="120"/>
        <v/>
      </c>
      <c r="M1052" s="63" t="str">
        <f t="shared" si="121"/>
        <v/>
      </c>
      <c r="N1052" s="64"/>
    </row>
    <row r="1053" spans="1:14" x14ac:dyDescent="0.3">
      <c r="A1053" s="58" t="str">
        <f>IF([1]weekly_demand!A1054="","",[1]weekly_demand!A1054)</f>
        <v/>
      </c>
      <c r="B1053" s="59" t="str">
        <f>IF($A1053="","",[1]weekly_demand!F1054)</f>
        <v/>
      </c>
      <c r="C1053" s="60" t="str">
        <f>IF($A1053="","",[1]weekly_demand!H1054)</f>
        <v/>
      </c>
      <c r="D1053" s="61" t="str">
        <f>IF($A1053="","",IF(SUMIFS([1]Fixture_Capacity_Input!$C:$C,[1]Fixture_Capacity_Input!$A:$A,$B1053,[1]Fixture_Capacity_Input!$B:$B,$C1053)&gt;0,SUMIFS([1]Fixture_Capacity_Input!$C:$C,[1]Fixture_Capacity_Input!$A:$A,$B1053,[1]Fixture_Capacity_Input!$B:$B,$C1053),[1]weekly_demand!G1054))</f>
        <v/>
      </c>
      <c r="E1053" s="62" t="str">
        <f>IF($A1053="","",[1]weekly_demand!I1054)</f>
        <v/>
      </c>
      <c r="F1053" s="61" t="str">
        <f>IF($A1053="","",IF($A1053&lt;&gt;$A1052,IFERROR(INDEX([1]FG_Begin_Inventory!$B:$B,MATCH($A1053,[1]FG_Begin_Inventory!$A:$A,0)),0),J1052))</f>
        <v/>
      </c>
      <c r="G1053" s="61" t="str">
        <f t="shared" si="115"/>
        <v/>
      </c>
      <c r="H1053" s="61" t="str">
        <f t="shared" si="116"/>
        <v/>
      </c>
      <c r="I1053" s="62" t="str">
        <f t="shared" si="117"/>
        <v/>
      </c>
      <c r="J1053" s="61" t="str">
        <f t="shared" si="118"/>
        <v/>
      </c>
      <c r="K1053" s="61" t="str">
        <f t="shared" si="119"/>
        <v/>
      </c>
      <c r="L1053" s="61" t="str">
        <f t="shared" si="120"/>
        <v/>
      </c>
      <c r="M1053" s="63" t="str">
        <f t="shared" si="121"/>
        <v/>
      </c>
      <c r="N1053" s="64"/>
    </row>
    <row r="1054" spans="1:14" x14ac:dyDescent="0.3">
      <c r="A1054" s="58" t="str">
        <f>IF([1]weekly_demand!A1055="","",[1]weekly_demand!A1055)</f>
        <v/>
      </c>
      <c r="B1054" s="59" t="str">
        <f>IF($A1054="","",[1]weekly_demand!F1055)</f>
        <v/>
      </c>
      <c r="C1054" s="60" t="str">
        <f>IF($A1054="","",[1]weekly_demand!H1055)</f>
        <v/>
      </c>
      <c r="D1054" s="61" t="str">
        <f>IF($A1054="","",IF(SUMIFS([1]Fixture_Capacity_Input!$C:$C,[1]Fixture_Capacity_Input!$A:$A,$B1054,[1]Fixture_Capacity_Input!$B:$B,$C1054)&gt;0,SUMIFS([1]Fixture_Capacity_Input!$C:$C,[1]Fixture_Capacity_Input!$A:$A,$B1054,[1]Fixture_Capacity_Input!$B:$B,$C1054),[1]weekly_demand!G1055))</f>
        <v/>
      </c>
      <c r="E1054" s="62" t="str">
        <f>IF($A1054="","",[1]weekly_demand!I1055)</f>
        <v/>
      </c>
      <c r="F1054" s="61" t="str">
        <f>IF($A1054="","",IF($A1054&lt;&gt;$A1053,IFERROR(INDEX([1]FG_Begin_Inventory!$B:$B,MATCH($A1054,[1]FG_Begin_Inventory!$A:$A,0)),0),J1053))</f>
        <v/>
      </c>
      <c r="G1054" s="61" t="str">
        <f t="shared" si="115"/>
        <v/>
      </c>
      <c r="H1054" s="61" t="str">
        <f t="shared" si="116"/>
        <v/>
      </c>
      <c r="I1054" s="62" t="str">
        <f t="shared" si="117"/>
        <v/>
      </c>
      <c r="J1054" s="61" t="str">
        <f t="shared" si="118"/>
        <v/>
      </c>
      <c r="K1054" s="61" t="str">
        <f t="shared" si="119"/>
        <v/>
      </c>
      <c r="L1054" s="61" t="str">
        <f t="shared" si="120"/>
        <v/>
      </c>
      <c r="M1054" s="63" t="str">
        <f t="shared" si="121"/>
        <v/>
      </c>
      <c r="N1054" s="64"/>
    </row>
    <row r="1055" spans="1:14" x14ac:dyDescent="0.3">
      <c r="A1055" s="58" t="str">
        <f>IF([1]weekly_demand!A1056="","",[1]weekly_demand!A1056)</f>
        <v/>
      </c>
      <c r="B1055" s="59" t="str">
        <f>IF($A1055="","",[1]weekly_demand!F1056)</f>
        <v/>
      </c>
      <c r="C1055" s="60" t="str">
        <f>IF($A1055="","",[1]weekly_demand!H1056)</f>
        <v/>
      </c>
      <c r="D1055" s="61" t="str">
        <f>IF($A1055="","",IF(SUMIFS([1]Fixture_Capacity_Input!$C:$C,[1]Fixture_Capacity_Input!$A:$A,$B1055,[1]Fixture_Capacity_Input!$B:$B,$C1055)&gt;0,SUMIFS([1]Fixture_Capacity_Input!$C:$C,[1]Fixture_Capacity_Input!$A:$A,$B1055,[1]Fixture_Capacity_Input!$B:$B,$C1055),[1]weekly_demand!G1056))</f>
        <v/>
      </c>
      <c r="E1055" s="62" t="str">
        <f>IF($A1055="","",[1]weekly_demand!I1056)</f>
        <v/>
      </c>
      <c r="F1055" s="61" t="str">
        <f>IF($A1055="","",IF($A1055&lt;&gt;$A1054,IFERROR(INDEX([1]FG_Begin_Inventory!$B:$B,MATCH($A1055,[1]FG_Begin_Inventory!$A:$A,0)),0),J1054))</f>
        <v/>
      </c>
      <c r="G1055" s="61" t="str">
        <f t="shared" si="115"/>
        <v/>
      </c>
      <c r="H1055" s="61" t="str">
        <f t="shared" si="116"/>
        <v/>
      </c>
      <c r="I1055" s="62" t="str">
        <f t="shared" si="117"/>
        <v/>
      </c>
      <c r="J1055" s="61" t="str">
        <f t="shared" si="118"/>
        <v/>
      </c>
      <c r="K1055" s="61" t="str">
        <f t="shared" si="119"/>
        <v/>
      </c>
      <c r="L1055" s="61" t="str">
        <f t="shared" si="120"/>
        <v/>
      </c>
      <c r="M1055" s="63" t="str">
        <f t="shared" si="121"/>
        <v/>
      </c>
      <c r="N1055" s="64"/>
    </row>
    <row r="1056" spans="1:14" x14ac:dyDescent="0.3">
      <c r="A1056" s="58" t="str">
        <f>IF([1]weekly_demand!A1057="","",[1]weekly_demand!A1057)</f>
        <v/>
      </c>
      <c r="B1056" s="59" t="str">
        <f>IF($A1056="","",[1]weekly_demand!F1057)</f>
        <v/>
      </c>
      <c r="C1056" s="60" t="str">
        <f>IF($A1056="","",[1]weekly_demand!H1057)</f>
        <v/>
      </c>
      <c r="D1056" s="61" t="str">
        <f>IF($A1056="","",IF(SUMIFS([1]Fixture_Capacity_Input!$C:$C,[1]Fixture_Capacity_Input!$A:$A,$B1056,[1]Fixture_Capacity_Input!$B:$B,$C1056)&gt;0,SUMIFS([1]Fixture_Capacity_Input!$C:$C,[1]Fixture_Capacity_Input!$A:$A,$B1056,[1]Fixture_Capacity_Input!$B:$B,$C1056),[1]weekly_demand!G1057))</f>
        <v/>
      </c>
      <c r="E1056" s="62" t="str">
        <f>IF($A1056="","",[1]weekly_demand!I1057)</f>
        <v/>
      </c>
      <c r="F1056" s="61" t="str">
        <f>IF($A1056="","",IF($A1056&lt;&gt;$A1055,IFERROR(INDEX([1]FG_Begin_Inventory!$B:$B,MATCH($A1056,[1]FG_Begin_Inventory!$A:$A,0)),0),J1055))</f>
        <v/>
      </c>
      <c r="G1056" s="61" t="str">
        <f t="shared" si="115"/>
        <v/>
      </c>
      <c r="H1056" s="61" t="str">
        <f t="shared" si="116"/>
        <v/>
      </c>
      <c r="I1056" s="62" t="str">
        <f t="shared" si="117"/>
        <v/>
      </c>
      <c r="J1056" s="61" t="str">
        <f t="shared" si="118"/>
        <v/>
      </c>
      <c r="K1056" s="61" t="str">
        <f t="shared" si="119"/>
        <v/>
      </c>
      <c r="L1056" s="61" t="str">
        <f t="shared" si="120"/>
        <v/>
      </c>
      <c r="M1056" s="63" t="str">
        <f t="shared" si="121"/>
        <v/>
      </c>
      <c r="N1056" s="64"/>
    </row>
    <row r="1057" spans="1:14" x14ac:dyDescent="0.3">
      <c r="A1057" s="58" t="str">
        <f>IF([1]weekly_demand!A1058="","",[1]weekly_demand!A1058)</f>
        <v/>
      </c>
      <c r="B1057" s="59" t="str">
        <f>IF($A1057="","",[1]weekly_demand!F1058)</f>
        <v/>
      </c>
      <c r="C1057" s="60" t="str">
        <f>IF($A1057="","",[1]weekly_demand!H1058)</f>
        <v/>
      </c>
      <c r="D1057" s="61" t="str">
        <f>IF($A1057="","",IF(SUMIFS([1]Fixture_Capacity_Input!$C:$C,[1]Fixture_Capacity_Input!$A:$A,$B1057,[1]Fixture_Capacity_Input!$B:$B,$C1057)&gt;0,SUMIFS([1]Fixture_Capacity_Input!$C:$C,[1]Fixture_Capacity_Input!$A:$A,$B1057,[1]Fixture_Capacity_Input!$B:$B,$C1057),[1]weekly_demand!G1058))</f>
        <v/>
      </c>
      <c r="E1057" s="62" t="str">
        <f>IF($A1057="","",[1]weekly_demand!I1058)</f>
        <v/>
      </c>
      <c r="F1057" s="61" t="str">
        <f>IF($A1057="","",IF($A1057&lt;&gt;$A1056,IFERROR(INDEX([1]FG_Begin_Inventory!$B:$B,MATCH($A1057,[1]FG_Begin_Inventory!$A:$A,0)),0),J1056))</f>
        <v/>
      </c>
      <c r="G1057" s="61" t="str">
        <f t="shared" si="115"/>
        <v/>
      </c>
      <c r="H1057" s="61" t="str">
        <f t="shared" si="116"/>
        <v/>
      </c>
      <c r="I1057" s="62" t="str">
        <f t="shared" si="117"/>
        <v/>
      </c>
      <c r="J1057" s="61" t="str">
        <f t="shared" si="118"/>
        <v/>
      </c>
      <c r="K1057" s="61" t="str">
        <f t="shared" si="119"/>
        <v/>
      </c>
      <c r="L1057" s="61" t="str">
        <f t="shared" si="120"/>
        <v/>
      </c>
      <c r="M1057" s="63" t="str">
        <f t="shared" si="121"/>
        <v/>
      </c>
      <c r="N1057" s="64"/>
    </row>
    <row r="1058" spans="1:14" x14ac:dyDescent="0.3">
      <c r="A1058" s="58" t="str">
        <f>IF([1]weekly_demand!A1059="","",[1]weekly_demand!A1059)</f>
        <v/>
      </c>
      <c r="B1058" s="59" t="str">
        <f>IF($A1058="","",[1]weekly_demand!F1059)</f>
        <v/>
      </c>
      <c r="C1058" s="60" t="str">
        <f>IF($A1058="","",[1]weekly_demand!H1059)</f>
        <v/>
      </c>
      <c r="D1058" s="61" t="str">
        <f>IF($A1058="","",IF(SUMIFS([1]Fixture_Capacity_Input!$C:$C,[1]Fixture_Capacity_Input!$A:$A,$B1058,[1]Fixture_Capacity_Input!$B:$B,$C1058)&gt;0,SUMIFS([1]Fixture_Capacity_Input!$C:$C,[1]Fixture_Capacity_Input!$A:$A,$B1058,[1]Fixture_Capacity_Input!$B:$B,$C1058),[1]weekly_demand!G1059))</f>
        <v/>
      </c>
      <c r="E1058" s="62" t="str">
        <f>IF($A1058="","",[1]weekly_demand!I1059)</f>
        <v/>
      </c>
      <c r="F1058" s="61" t="str">
        <f>IF($A1058="","",IF($A1058&lt;&gt;$A1057,IFERROR(INDEX([1]FG_Begin_Inventory!$B:$B,MATCH($A1058,[1]FG_Begin_Inventory!$A:$A,0)),0),J1057))</f>
        <v/>
      </c>
      <c r="G1058" s="61" t="str">
        <f t="shared" si="115"/>
        <v/>
      </c>
      <c r="H1058" s="61" t="str">
        <f t="shared" si="116"/>
        <v/>
      </c>
      <c r="I1058" s="62" t="str">
        <f t="shared" si="117"/>
        <v/>
      </c>
      <c r="J1058" s="61" t="str">
        <f t="shared" si="118"/>
        <v/>
      </c>
      <c r="K1058" s="61" t="str">
        <f t="shared" si="119"/>
        <v/>
      </c>
      <c r="L1058" s="61" t="str">
        <f t="shared" si="120"/>
        <v/>
      </c>
      <c r="M1058" s="63" t="str">
        <f t="shared" si="121"/>
        <v/>
      </c>
      <c r="N1058" s="64"/>
    </row>
    <row r="1059" spans="1:14" x14ac:dyDescent="0.3">
      <c r="A1059" s="58" t="str">
        <f>IF([1]weekly_demand!A1060="","",[1]weekly_demand!A1060)</f>
        <v/>
      </c>
      <c r="B1059" s="59" t="str">
        <f>IF($A1059="","",[1]weekly_demand!F1060)</f>
        <v/>
      </c>
      <c r="C1059" s="60" t="str">
        <f>IF($A1059="","",[1]weekly_demand!H1060)</f>
        <v/>
      </c>
      <c r="D1059" s="61" t="str">
        <f>IF($A1059="","",IF(SUMIFS([1]Fixture_Capacity_Input!$C:$C,[1]Fixture_Capacity_Input!$A:$A,$B1059,[1]Fixture_Capacity_Input!$B:$B,$C1059)&gt;0,SUMIFS([1]Fixture_Capacity_Input!$C:$C,[1]Fixture_Capacity_Input!$A:$A,$B1059,[1]Fixture_Capacity_Input!$B:$B,$C1059),[1]weekly_demand!G1060))</f>
        <v/>
      </c>
      <c r="E1059" s="62" t="str">
        <f>IF($A1059="","",[1]weekly_demand!I1060)</f>
        <v/>
      </c>
      <c r="F1059" s="61" t="str">
        <f>IF($A1059="","",IF($A1059&lt;&gt;$A1058,IFERROR(INDEX([1]FG_Begin_Inventory!$B:$B,MATCH($A1059,[1]FG_Begin_Inventory!$A:$A,0)),0),J1058))</f>
        <v/>
      </c>
      <c r="G1059" s="61" t="str">
        <f t="shared" si="115"/>
        <v/>
      </c>
      <c r="H1059" s="61" t="str">
        <f t="shared" si="116"/>
        <v/>
      </c>
      <c r="I1059" s="62" t="str">
        <f t="shared" si="117"/>
        <v/>
      </c>
      <c r="J1059" s="61" t="str">
        <f t="shared" si="118"/>
        <v/>
      </c>
      <c r="K1059" s="61" t="str">
        <f t="shared" si="119"/>
        <v/>
      </c>
      <c r="L1059" s="61" t="str">
        <f t="shared" si="120"/>
        <v/>
      </c>
      <c r="M1059" s="63" t="str">
        <f t="shared" si="121"/>
        <v/>
      </c>
      <c r="N1059" s="64"/>
    </row>
    <row r="1060" spans="1:14" x14ac:dyDescent="0.3">
      <c r="A1060" s="58" t="str">
        <f>IF([1]weekly_demand!A1061="","",[1]weekly_demand!A1061)</f>
        <v/>
      </c>
      <c r="B1060" s="59" t="str">
        <f>IF($A1060="","",[1]weekly_demand!F1061)</f>
        <v/>
      </c>
      <c r="C1060" s="60" t="str">
        <f>IF($A1060="","",[1]weekly_demand!H1061)</f>
        <v/>
      </c>
      <c r="D1060" s="61" t="str">
        <f>IF($A1060="","",IF(SUMIFS([1]Fixture_Capacity_Input!$C:$C,[1]Fixture_Capacity_Input!$A:$A,$B1060,[1]Fixture_Capacity_Input!$B:$B,$C1060)&gt;0,SUMIFS([1]Fixture_Capacity_Input!$C:$C,[1]Fixture_Capacity_Input!$A:$A,$B1060,[1]Fixture_Capacity_Input!$B:$B,$C1060),[1]weekly_demand!G1061))</f>
        <v/>
      </c>
      <c r="E1060" s="62" t="str">
        <f>IF($A1060="","",[1]weekly_demand!I1061)</f>
        <v/>
      </c>
      <c r="F1060" s="61" t="str">
        <f>IF($A1060="","",IF($A1060&lt;&gt;$A1059,IFERROR(INDEX([1]FG_Begin_Inventory!$B:$B,MATCH($A1060,[1]FG_Begin_Inventory!$A:$A,0)),0),J1059))</f>
        <v/>
      </c>
      <c r="G1060" s="61" t="str">
        <f t="shared" si="115"/>
        <v/>
      </c>
      <c r="H1060" s="61" t="str">
        <f t="shared" si="116"/>
        <v/>
      </c>
      <c r="I1060" s="62" t="str">
        <f t="shared" si="117"/>
        <v/>
      </c>
      <c r="J1060" s="61" t="str">
        <f t="shared" si="118"/>
        <v/>
      </c>
      <c r="K1060" s="61" t="str">
        <f t="shared" si="119"/>
        <v/>
      </c>
      <c r="L1060" s="61" t="str">
        <f t="shared" si="120"/>
        <v/>
      </c>
      <c r="M1060" s="63" t="str">
        <f t="shared" si="121"/>
        <v/>
      </c>
      <c r="N1060" s="64"/>
    </row>
    <row r="1061" spans="1:14" x14ac:dyDescent="0.3">
      <c r="A1061" s="58" t="str">
        <f>IF([1]weekly_demand!A1062="","",[1]weekly_demand!A1062)</f>
        <v/>
      </c>
      <c r="B1061" s="59" t="str">
        <f>IF($A1061="","",[1]weekly_demand!F1062)</f>
        <v/>
      </c>
      <c r="C1061" s="60" t="str">
        <f>IF($A1061="","",[1]weekly_demand!H1062)</f>
        <v/>
      </c>
      <c r="D1061" s="61" t="str">
        <f>IF($A1061="","",IF(SUMIFS([1]Fixture_Capacity_Input!$C:$C,[1]Fixture_Capacity_Input!$A:$A,$B1061,[1]Fixture_Capacity_Input!$B:$B,$C1061)&gt;0,SUMIFS([1]Fixture_Capacity_Input!$C:$C,[1]Fixture_Capacity_Input!$A:$A,$B1061,[1]Fixture_Capacity_Input!$B:$B,$C1061),[1]weekly_demand!G1062))</f>
        <v/>
      </c>
      <c r="E1061" s="62" t="str">
        <f>IF($A1061="","",[1]weekly_demand!I1062)</f>
        <v/>
      </c>
      <c r="F1061" s="61" t="str">
        <f>IF($A1061="","",IF($A1061&lt;&gt;$A1060,IFERROR(INDEX([1]FG_Begin_Inventory!$B:$B,MATCH($A1061,[1]FG_Begin_Inventory!$A:$A,0)),0),J1060))</f>
        <v/>
      </c>
      <c r="G1061" s="61" t="str">
        <f t="shared" si="115"/>
        <v/>
      </c>
      <c r="H1061" s="61" t="str">
        <f t="shared" si="116"/>
        <v/>
      </c>
      <c r="I1061" s="62" t="str">
        <f t="shared" si="117"/>
        <v/>
      </c>
      <c r="J1061" s="61" t="str">
        <f t="shared" si="118"/>
        <v/>
      </c>
      <c r="K1061" s="61" t="str">
        <f t="shared" si="119"/>
        <v/>
      </c>
      <c r="L1061" s="61" t="str">
        <f t="shared" si="120"/>
        <v/>
      </c>
      <c r="M1061" s="63" t="str">
        <f t="shared" si="121"/>
        <v/>
      </c>
      <c r="N1061" s="64"/>
    </row>
    <row r="1062" spans="1:14" x14ac:dyDescent="0.3">
      <c r="A1062" s="58" t="str">
        <f>IF([1]weekly_demand!A1063="","",[1]weekly_demand!A1063)</f>
        <v/>
      </c>
      <c r="B1062" s="59" t="str">
        <f>IF($A1062="","",[1]weekly_demand!F1063)</f>
        <v/>
      </c>
      <c r="C1062" s="60" t="str">
        <f>IF($A1062="","",[1]weekly_demand!H1063)</f>
        <v/>
      </c>
      <c r="D1062" s="61" t="str">
        <f>IF($A1062="","",IF(SUMIFS([1]Fixture_Capacity_Input!$C:$C,[1]Fixture_Capacity_Input!$A:$A,$B1062,[1]Fixture_Capacity_Input!$B:$B,$C1062)&gt;0,SUMIFS([1]Fixture_Capacity_Input!$C:$C,[1]Fixture_Capacity_Input!$A:$A,$B1062,[1]Fixture_Capacity_Input!$B:$B,$C1062),[1]weekly_demand!G1063))</f>
        <v/>
      </c>
      <c r="E1062" s="62" t="str">
        <f>IF($A1062="","",[1]weekly_demand!I1063)</f>
        <v/>
      </c>
      <c r="F1062" s="61" t="str">
        <f>IF($A1062="","",IF($A1062&lt;&gt;$A1061,IFERROR(INDEX([1]FG_Begin_Inventory!$B:$B,MATCH($A1062,[1]FG_Begin_Inventory!$A:$A,0)),0),J1061))</f>
        <v/>
      </c>
      <c r="G1062" s="61" t="str">
        <f t="shared" si="115"/>
        <v/>
      </c>
      <c r="H1062" s="61" t="str">
        <f t="shared" si="116"/>
        <v/>
      </c>
      <c r="I1062" s="62" t="str">
        <f t="shared" si="117"/>
        <v/>
      </c>
      <c r="J1062" s="61" t="str">
        <f t="shared" si="118"/>
        <v/>
      </c>
      <c r="K1062" s="61" t="str">
        <f t="shared" si="119"/>
        <v/>
      </c>
      <c r="L1062" s="61" t="str">
        <f t="shared" si="120"/>
        <v/>
      </c>
      <c r="M1062" s="63" t="str">
        <f t="shared" si="121"/>
        <v/>
      </c>
      <c r="N1062" s="64"/>
    </row>
    <row r="1063" spans="1:14" x14ac:dyDescent="0.3">
      <c r="A1063" s="58" t="str">
        <f>IF([1]weekly_demand!A1064="","",[1]weekly_demand!A1064)</f>
        <v/>
      </c>
      <c r="B1063" s="59" t="str">
        <f>IF($A1063="","",[1]weekly_demand!F1064)</f>
        <v/>
      </c>
      <c r="C1063" s="60" t="str">
        <f>IF($A1063="","",[1]weekly_demand!H1064)</f>
        <v/>
      </c>
      <c r="D1063" s="61" t="str">
        <f>IF($A1063="","",IF(SUMIFS([1]Fixture_Capacity_Input!$C:$C,[1]Fixture_Capacity_Input!$A:$A,$B1063,[1]Fixture_Capacity_Input!$B:$B,$C1063)&gt;0,SUMIFS([1]Fixture_Capacity_Input!$C:$C,[1]Fixture_Capacity_Input!$A:$A,$B1063,[1]Fixture_Capacity_Input!$B:$B,$C1063),[1]weekly_demand!G1064))</f>
        <v/>
      </c>
      <c r="E1063" s="62" t="str">
        <f>IF($A1063="","",[1]weekly_demand!I1064)</f>
        <v/>
      </c>
      <c r="F1063" s="61" t="str">
        <f>IF($A1063="","",IF($A1063&lt;&gt;$A1062,IFERROR(INDEX([1]FG_Begin_Inventory!$B:$B,MATCH($A1063,[1]FG_Begin_Inventory!$A:$A,0)),0),J1062))</f>
        <v/>
      </c>
      <c r="G1063" s="61" t="str">
        <f t="shared" si="115"/>
        <v/>
      </c>
      <c r="H1063" s="61" t="str">
        <f t="shared" si="116"/>
        <v/>
      </c>
      <c r="I1063" s="62" t="str">
        <f t="shared" si="117"/>
        <v/>
      </c>
      <c r="J1063" s="61" t="str">
        <f t="shared" si="118"/>
        <v/>
      </c>
      <c r="K1063" s="61" t="str">
        <f t="shared" si="119"/>
        <v/>
      </c>
      <c r="L1063" s="61" t="str">
        <f t="shared" si="120"/>
        <v/>
      </c>
      <c r="M1063" s="63" t="str">
        <f t="shared" si="121"/>
        <v/>
      </c>
      <c r="N1063" s="64"/>
    </row>
    <row r="1064" spans="1:14" x14ac:dyDescent="0.3">
      <c r="A1064" s="58" t="str">
        <f>IF([1]weekly_demand!A1065="","",[1]weekly_demand!A1065)</f>
        <v/>
      </c>
      <c r="B1064" s="59" t="str">
        <f>IF($A1064="","",[1]weekly_demand!F1065)</f>
        <v/>
      </c>
      <c r="C1064" s="60" t="str">
        <f>IF($A1064="","",[1]weekly_demand!H1065)</f>
        <v/>
      </c>
      <c r="D1064" s="61" t="str">
        <f>IF($A1064="","",IF(SUMIFS([1]Fixture_Capacity_Input!$C:$C,[1]Fixture_Capacity_Input!$A:$A,$B1064,[1]Fixture_Capacity_Input!$B:$B,$C1064)&gt;0,SUMIFS([1]Fixture_Capacity_Input!$C:$C,[1]Fixture_Capacity_Input!$A:$A,$B1064,[1]Fixture_Capacity_Input!$B:$B,$C1064),[1]weekly_demand!G1065))</f>
        <v/>
      </c>
      <c r="E1064" s="62" t="str">
        <f>IF($A1064="","",[1]weekly_demand!I1065)</f>
        <v/>
      </c>
      <c r="F1064" s="61" t="str">
        <f>IF($A1064="","",IF($A1064&lt;&gt;$A1063,IFERROR(INDEX([1]FG_Begin_Inventory!$B:$B,MATCH($A1064,[1]FG_Begin_Inventory!$A:$A,0)),0),J1063))</f>
        <v/>
      </c>
      <c r="G1064" s="61" t="str">
        <f t="shared" si="115"/>
        <v/>
      </c>
      <c r="H1064" s="61" t="str">
        <f t="shared" si="116"/>
        <v/>
      </c>
      <c r="I1064" s="62" t="str">
        <f t="shared" si="117"/>
        <v/>
      </c>
      <c r="J1064" s="61" t="str">
        <f t="shared" si="118"/>
        <v/>
      </c>
      <c r="K1064" s="61" t="str">
        <f t="shared" si="119"/>
        <v/>
      </c>
      <c r="L1064" s="61" t="str">
        <f t="shared" si="120"/>
        <v/>
      </c>
      <c r="M1064" s="63" t="str">
        <f t="shared" si="121"/>
        <v/>
      </c>
      <c r="N1064" s="64"/>
    </row>
    <row r="1065" spans="1:14" x14ac:dyDescent="0.3">
      <c r="A1065" s="58" t="str">
        <f>IF([1]weekly_demand!A1066="","",[1]weekly_demand!A1066)</f>
        <v/>
      </c>
      <c r="B1065" s="59" t="str">
        <f>IF($A1065="","",[1]weekly_demand!F1066)</f>
        <v/>
      </c>
      <c r="C1065" s="60" t="str">
        <f>IF($A1065="","",[1]weekly_demand!H1066)</f>
        <v/>
      </c>
      <c r="D1065" s="61" t="str">
        <f>IF($A1065="","",IF(SUMIFS([1]Fixture_Capacity_Input!$C:$C,[1]Fixture_Capacity_Input!$A:$A,$B1065,[1]Fixture_Capacity_Input!$B:$B,$C1065)&gt;0,SUMIFS([1]Fixture_Capacity_Input!$C:$C,[1]Fixture_Capacity_Input!$A:$A,$B1065,[1]Fixture_Capacity_Input!$B:$B,$C1065),[1]weekly_demand!G1066))</f>
        <v/>
      </c>
      <c r="E1065" s="62" t="str">
        <f>IF($A1065="","",[1]weekly_demand!I1066)</f>
        <v/>
      </c>
      <c r="F1065" s="61" t="str">
        <f>IF($A1065="","",IF($A1065&lt;&gt;$A1064,IFERROR(INDEX([1]FG_Begin_Inventory!$B:$B,MATCH($A1065,[1]FG_Begin_Inventory!$A:$A,0)),0),J1064))</f>
        <v/>
      </c>
      <c r="G1065" s="61" t="str">
        <f t="shared" si="115"/>
        <v/>
      </c>
      <c r="H1065" s="61" t="str">
        <f t="shared" si="116"/>
        <v/>
      </c>
      <c r="I1065" s="62" t="str">
        <f t="shared" si="117"/>
        <v/>
      </c>
      <c r="J1065" s="61" t="str">
        <f t="shared" si="118"/>
        <v/>
      </c>
      <c r="K1065" s="61" t="str">
        <f t="shared" si="119"/>
        <v/>
      </c>
      <c r="L1065" s="61" t="str">
        <f t="shared" si="120"/>
        <v/>
      </c>
      <c r="M1065" s="63" t="str">
        <f t="shared" si="121"/>
        <v/>
      </c>
      <c r="N1065" s="64"/>
    </row>
    <row r="1066" spans="1:14" x14ac:dyDescent="0.3">
      <c r="A1066" s="58" t="str">
        <f>IF([1]weekly_demand!A1067="","",[1]weekly_demand!A1067)</f>
        <v/>
      </c>
      <c r="B1066" s="59" t="str">
        <f>IF($A1066="","",[1]weekly_demand!F1067)</f>
        <v/>
      </c>
      <c r="C1066" s="60" t="str">
        <f>IF($A1066="","",[1]weekly_demand!H1067)</f>
        <v/>
      </c>
      <c r="D1066" s="61" t="str">
        <f>IF($A1066="","",IF(SUMIFS([1]Fixture_Capacity_Input!$C:$C,[1]Fixture_Capacity_Input!$A:$A,$B1066,[1]Fixture_Capacity_Input!$B:$B,$C1066)&gt;0,SUMIFS([1]Fixture_Capacity_Input!$C:$C,[1]Fixture_Capacity_Input!$A:$A,$B1066,[1]Fixture_Capacity_Input!$B:$B,$C1066),[1]weekly_demand!G1067))</f>
        <v/>
      </c>
      <c r="E1066" s="62" t="str">
        <f>IF($A1066="","",[1]weekly_demand!I1067)</f>
        <v/>
      </c>
      <c r="F1066" s="61" t="str">
        <f>IF($A1066="","",IF($A1066&lt;&gt;$A1065,IFERROR(INDEX([1]FG_Begin_Inventory!$B:$B,MATCH($A1066,[1]FG_Begin_Inventory!$A:$A,0)),0),J1065))</f>
        <v/>
      </c>
      <c r="G1066" s="61" t="str">
        <f t="shared" si="115"/>
        <v/>
      </c>
      <c r="H1066" s="61" t="str">
        <f t="shared" si="116"/>
        <v/>
      </c>
      <c r="I1066" s="62" t="str">
        <f t="shared" si="117"/>
        <v/>
      </c>
      <c r="J1066" s="61" t="str">
        <f t="shared" si="118"/>
        <v/>
      </c>
      <c r="K1066" s="61" t="str">
        <f t="shared" si="119"/>
        <v/>
      </c>
      <c r="L1066" s="61" t="str">
        <f t="shared" si="120"/>
        <v/>
      </c>
      <c r="M1066" s="63" t="str">
        <f t="shared" si="121"/>
        <v/>
      </c>
      <c r="N1066" s="64"/>
    </row>
    <row r="1067" spans="1:14" x14ac:dyDescent="0.3">
      <c r="A1067" s="58" t="str">
        <f>IF([1]weekly_demand!A1068="","",[1]weekly_demand!A1068)</f>
        <v/>
      </c>
      <c r="B1067" s="59" t="str">
        <f>IF($A1067="","",[1]weekly_demand!F1068)</f>
        <v/>
      </c>
      <c r="C1067" s="60" t="str">
        <f>IF($A1067="","",[1]weekly_demand!H1068)</f>
        <v/>
      </c>
      <c r="D1067" s="61" t="str">
        <f>IF($A1067="","",IF(SUMIFS([1]Fixture_Capacity_Input!$C:$C,[1]Fixture_Capacity_Input!$A:$A,$B1067,[1]Fixture_Capacity_Input!$B:$B,$C1067)&gt;0,SUMIFS([1]Fixture_Capacity_Input!$C:$C,[1]Fixture_Capacity_Input!$A:$A,$B1067,[1]Fixture_Capacity_Input!$B:$B,$C1067),[1]weekly_demand!G1068))</f>
        <v/>
      </c>
      <c r="E1067" s="62" t="str">
        <f>IF($A1067="","",[1]weekly_demand!I1068)</f>
        <v/>
      </c>
      <c r="F1067" s="61" t="str">
        <f>IF($A1067="","",IF($A1067&lt;&gt;$A1066,IFERROR(INDEX([1]FG_Begin_Inventory!$B:$B,MATCH($A1067,[1]FG_Begin_Inventory!$A:$A,0)),0),J1066))</f>
        <v/>
      </c>
      <c r="G1067" s="61" t="str">
        <f t="shared" si="115"/>
        <v/>
      </c>
      <c r="H1067" s="61" t="str">
        <f t="shared" si="116"/>
        <v/>
      </c>
      <c r="I1067" s="62" t="str">
        <f t="shared" si="117"/>
        <v/>
      </c>
      <c r="J1067" s="61" t="str">
        <f t="shared" si="118"/>
        <v/>
      </c>
      <c r="K1067" s="61" t="str">
        <f t="shared" si="119"/>
        <v/>
      </c>
      <c r="L1067" s="61" t="str">
        <f t="shared" si="120"/>
        <v/>
      </c>
      <c r="M1067" s="63" t="str">
        <f t="shared" si="121"/>
        <v/>
      </c>
      <c r="N1067" s="64"/>
    </row>
    <row r="1068" spans="1:14" x14ac:dyDescent="0.3">
      <c r="A1068" s="58" t="str">
        <f>IF([1]weekly_demand!A1069="","",[1]weekly_demand!A1069)</f>
        <v/>
      </c>
      <c r="B1068" s="59" t="str">
        <f>IF($A1068="","",[1]weekly_demand!F1069)</f>
        <v/>
      </c>
      <c r="C1068" s="60" t="str">
        <f>IF($A1068="","",[1]weekly_demand!H1069)</f>
        <v/>
      </c>
      <c r="D1068" s="61" t="str">
        <f>IF($A1068="","",IF(SUMIFS([1]Fixture_Capacity_Input!$C:$C,[1]Fixture_Capacity_Input!$A:$A,$B1068,[1]Fixture_Capacity_Input!$B:$B,$C1068)&gt;0,SUMIFS([1]Fixture_Capacity_Input!$C:$C,[1]Fixture_Capacity_Input!$A:$A,$B1068,[1]Fixture_Capacity_Input!$B:$B,$C1068),[1]weekly_demand!G1069))</f>
        <v/>
      </c>
      <c r="E1068" s="62" t="str">
        <f>IF($A1068="","",[1]weekly_demand!I1069)</f>
        <v/>
      </c>
      <c r="F1068" s="61" t="str">
        <f>IF($A1068="","",IF($A1068&lt;&gt;$A1067,IFERROR(INDEX([1]FG_Begin_Inventory!$B:$B,MATCH($A1068,[1]FG_Begin_Inventory!$A:$A,0)),0),J1067))</f>
        <v/>
      </c>
      <c r="G1068" s="61" t="str">
        <f t="shared" si="115"/>
        <v/>
      </c>
      <c r="H1068" s="61" t="str">
        <f t="shared" si="116"/>
        <v/>
      </c>
      <c r="I1068" s="62" t="str">
        <f t="shared" si="117"/>
        <v/>
      </c>
      <c r="J1068" s="61" t="str">
        <f t="shared" si="118"/>
        <v/>
      </c>
      <c r="K1068" s="61" t="str">
        <f t="shared" si="119"/>
        <v/>
      </c>
      <c r="L1068" s="61" t="str">
        <f t="shared" si="120"/>
        <v/>
      </c>
      <c r="M1068" s="63" t="str">
        <f t="shared" si="121"/>
        <v/>
      </c>
      <c r="N1068" s="64"/>
    </row>
    <row r="1069" spans="1:14" x14ac:dyDescent="0.3">
      <c r="A1069" s="58" t="str">
        <f>IF([1]weekly_demand!A1070="","",[1]weekly_demand!A1070)</f>
        <v/>
      </c>
      <c r="B1069" s="59" t="str">
        <f>IF($A1069="","",[1]weekly_demand!F1070)</f>
        <v/>
      </c>
      <c r="C1069" s="60" t="str">
        <f>IF($A1069="","",[1]weekly_demand!H1070)</f>
        <v/>
      </c>
      <c r="D1069" s="61" t="str">
        <f>IF($A1069="","",IF(SUMIFS([1]Fixture_Capacity_Input!$C:$C,[1]Fixture_Capacity_Input!$A:$A,$B1069,[1]Fixture_Capacity_Input!$B:$B,$C1069)&gt;0,SUMIFS([1]Fixture_Capacity_Input!$C:$C,[1]Fixture_Capacity_Input!$A:$A,$B1069,[1]Fixture_Capacity_Input!$B:$B,$C1069),[1]weekly_demand!G1070))</f>
        <v/>
      </c>
      <c r="E1069" s="62" t="str">
        <f>IF($A1069="","",[1]weekly_demand!I1070)</f>
        <v/>
      </c>
      <c r="F1069" s="61" t="str">
        <f>IF($A1069="","",IF($A1069&lt;&gt;$A1068,IFERROR(INDEX([1]FG_Begin_Inventory!$B:$B,MATCH($A1069,[1]FG_Begin_Inventory!$A:$A,0)),0),J1068))</f>
        <v/>
      </c>
      <c r="G1069" s="61" t="str">
        <f t="shared" si="115"/>
        <v/>
      </c>
      <c r="H1069" s="61" t="str">
        <f t="shared" si="116"/>
        <v/>
      </c>
      <c r="I1069" s="62" t="str">
        <f t="shared" si="117"/>
        <v/>
      </c>
      <c r="J1069" s="61" t="str">
        <f t="shared" si="118"/>
        <v/>
      </c>
      <c r="K1069" s="61" t="str">
        <f t="shared" si="119"/>
        <v/>
      </c>
      <c r="L1069" s="61" t="str">
        <f t="shared" si="120"/>
        <v/>
      </c>
      <c r="M1069" s="63" t="str">
        <f t="shared" si="121"/>
        <v/>
      </c>
      <c r="N1069" s="64"/>
    </row>
    <row r="1070" spans="1:14" x14ac:dyDescent="0.3">
      <c r="A1070" s="58" t="str">
        <f>IF([1]weekly_demand!A1071="","",[1]weekly_demand!A1071)</f>
        <v/>
      </c>
      <c r="B1070" s="59" t="str">
        <f>IF($A1070="","",[1]weekly_demand!F1071)</f>
        <v/>
      </c>
      <c r="C1070" s="60" t="str">
        <f>IF($A1070="","",[1]weekly_demand!H1071)</f>
        <v/>
      </c>
      <c r="D1070" s="61" t="str">
        <f>IF($A1070="","",IF(SUMIFS([1]Fixture_Capacity_Input!$C:$C,[1]Fixture_Capacity_Input!$A:$A,$B1070,[1]Fixture_Capacity_Input!$B:$B,$C1070)&gt;0,SUMIFS([1]Fixture_Capacity_Input!$C:$C,[1]Fixture_Capacity_Input!$A:$A,$B1070,[1]Fixture_Capacity_Input!$B:$B,$C1070),[1]weekly_demand!G1071))</f>
        <v/>
      </c>
      <c r="E1070" s="62" t="str">
        <f>IF($A1070="","",[1]weekly_demand!I1071)</f>
        <v/>
      </c>
      <c r="F1070" s="61" t="str">
        <f>IF($A1070="","",IF($A1070&lt;&gt;$A1069,IFERROR(INDEX([1]FG_Begin_Inventory!$B:$B,MATCH($A1070,[1]FG_Begin_Inventory!$A:$A,0)),0),J1069))</f>
        <v/>
      </c>
      <c r="G1070" s="61" t="str">
        <f t="shared" si="115"/>
        <v/>
      </c>
      <c r="H1070" s="61" t="str">
        <f t="shared" si="116"/>
        <v/>
      </c>
      <c r="I1070" s="62" t="str">
        <f t="shared" si="117"/>
        <v/>
      </c>
      <c r="J1070" s="61" t="str">
        <f t="shared" si="118"/>
        <v/>
      </c>
      <c r="K1070" s="61" t="str">
        <f t="shared" si="119"/>
        <v/>
      </c>
      <c r="L1070" s="61" t="str">
        <f t="shared" si="120"/>
        <v/>
      </c>
      <c r="M1070" s="63" t="str">
        <f t="shared" si="121"/>
        <v/>
      </c>
      <c r="N1070" s="64"/>
    </row>
    <row r="1071" spans="1:14" x14ac:dyDescent="0.3">
      <c r="A1071" s="58" t="str">
        <f>IF([1]weekly_demand!A1072="","",[1]weekly_demand!A1072)</f>
        <v/>
      </c>
      <c r="B1071" s="59" t="str">
        <f>IF($A1071="","",[1]weekly_demand!F1072)</f>
        <v/>
      </c>
      <c r="C1071" s="60" t="str">
        <f>IF($A1071="","",[1]weekly_demand!H1072)</f>
        <v/>
      </c>
      <c r="D1071" s="61" t="str">
        <f>IF($A1071="","",IF(SUMIFS([1]Fixture_Capacity_Input!$C:$C,[1]Fixture_Capacity_Input!$A:$A,$B1071,[1]Fixture_Capacity_Input!$B:$B,$C1071)&gt;0,SUMIFS([1]Fixture_Capacity_Input!$C:$C,[1]Fixture_Capacity_Input!$A:$A,$B1071,[1]Fixture_Capacity_Input!$B:$B,$C1071),[1]weekly_demand!G1072))</f>
        <v/>
      </c>
      <c r="E1071" s="62" t="str">
        <f>IF($A1071="","",[1]weekly_demand!I1072)</f>
        <v/>
      </c>
      <c r="F1071" s="61" t="str">
        <f>IF($A1071="","",IF($A1071&lt;&gt;$A1070,IFERROR(INDEX([1]FG_Begin_Inventory!$B:$B,MATCH($A1071,[1]FG_Begin_Inventory!$A:$A,0)),0),J1070))</f>
        <v/>
      </c>
      <c r="G1071" s="61" t="str">
        <f t="shared" si="115"/>
        <v/>
      </c>
      <c r="H1071" s="61" t="str">
        <f t="shared" si="116"/>
        <v/>
      </c>
      <c r="I1071" s="62" t="str">
        <f t="shared" si="117"/>
        <v/>
      </c>
      <c r="J1071" s="61" t="str">
        <f t="shared" si="118"/>
        <v/>
      </c>
      <c r="K1071" s="61" t="str">
        <f t="shared" si="119"/>
        <v/>
      </c>
      <c r="L1071" s="61" t="str">
        <f t="shared" si="120"/>
        <v/>
      </c>
      <c r="M1071" s="63" t="str">
        <f t="shared" si="121"/>
        <v/>
      </c>
      <c r="N1071" s="64"/>
    </row>
    <row r="1072" spans="1:14" x14ac:dyDescent="0.3">
      <c r="A1072" s="58" t="str">
        <f>IF([1]weekly_demand!A1073="","",[1]weekly_demand!A1073)</f>
        <v/>
      </c>
      <c r="B1072" s="59" t="str">
        <f>IF($A1072="","",[1]weekly_demand!F1073)</f>
        <v/>
      </c>
      <c r="C1072" s="60" t="str">
        <f>IF($A1072="","",[1]weekly_demand!H1073)</f>
        <v/>
      </c>
      <c r="D1072" s="61" t="str">
        <f>IF($A1072="","",IF(SUMIFS([1]Fixture_Capacity_Input!$C:$C,[1]Fixture_Capacity_Input!$A:$A,$B1072,[1]Fixture_Capacity_Input!$B:$B,$C1072)&gt;0,SUMIFS([1]Fixture_Capacity_Input!$C:$C,[1]Fixture_Capacity_Input!$A:$A,$B1072,[1]Fixture_Capacity_Input!$B:$B,$C1072),[1]weekly_demand!G1073))</f>
        <v/>
      </c>
      <c r="E1072" s="62" t="str">
        <f>IF($A1072="","",[1]weekly_demand!I1073)</f>
        <v/>
      </c>
      <c r="F1072" s="61" t="str">
        <f>IF($A1072="","",IF($A1072&lt;&gt;$A1071,IFERROR(INDEX([1]FG_Begin_Inventory!$B:$B,MATCH($A1072,[1]FG_Begin_Inventory!$A:$A,0)),0),J1071))</f>
        <v/>
      </c>
      <c r="G1072" s="61" t="str">
        <f t="shared" si="115"/>
        <v/>
      </c>
      <c r="H1072" s="61" t="str">
        <f t="shared" si="116"/>
        <v/>
      </c>
      <c r="I1072" s="62" t="str">
        <f t="shared" si="117"/>
        <v/>
      </c>
      <c r="J1072" s="61" t="str">
        <f t="shared" si="118"/>
        <v/>
      </c>
      <c r="K1072" s="61" t="str">
        <f t="shared" si="119"/>
        <v/>
      </c>
      <c r="L1072" s="61" t="str">
        <f t="shared" si="120"/>
        <v/>
      </c>
      <c r="M1072" s="63" t="str">
        <f t="shared" si="121"/>
        <v/>
      </c>
      <c r="N1072" s="64"/>
    </row>
    <row r="1073" spans="1:14" x14ac:dyDescent="0.3">
      <c r="A1073" s="58" t="str">
        <f>IF([1]weekly_demand!A1074="","",[1]weekly_demand!A1074)</f>
        <v/>
      </c>
      <c r="B1073" s="59" t="str">
        <f>IF($A1073="","",[1]weekly_demand!F1074)</f>
        <v/>
      </c>
      <c r="C1073" s="60" t="str">
        <f>IF($A1073="","",[1]weekly_demand!H1074)</f>
        <v/>
      </c>
      <c r="D1073" s="61" t="str">
        <f>IF($A1073="","",IF(SUMIFS([1]Fixture_Capacity_Input!$C:$C,[1]Fixture_Capacity_Input!$A:$A,$B1073,[1]Fixture_Capacity_Input!$B:$B,$C1073)&gt;0,SUMIFS([1]Fixture_Capacity_Input!$C:$C,[1]Fixture_Capacity_Input!$A:$A,$B1073,[1]Fixture_Capacity_Input!$B:$B,$C1073),[1]weekly_demand!G1074))</f>
        <v/>
      </c>
      <c r="E1073" s="62" t="str">
        <f>IF($A1073="","",[1]weekly_demand!I1074)</f>
        <v/>
      </c>
      <c r="F1073" s="61" t="str">
        <f>IF($A1073="","",IF($A1073&lt;&gt;$A1072,IFERROR(INDEX([1]FG_Begin_Inventory!$B:$B,MATCH($A1073,[1]FG_Begin_Inventory!$A:$A,0)),0),J1072))</f>
        <v/>
      </c>
      <c r="G1073" s="61" t="str">
        <f t="shared" si="115"/>
        <v/>
      </c>
      <c r="H1073" s="61" t="str">
        <f t="shared" si="116"/>
        <v/>
      </c>
      <c r="I1073" s="62" t="str">
        <f t="shared" si="117"/>
        <v/>
      </c>
      <c r="J1073" s="61" t="str">
        <f t="shared" si="118"/>
        <v/>
      </c>
      <c r="K1073" s="61" t="str">
        <f t="shared" si="119"/>
        <v/>
      </c>
      <c r="L1073" s="61" t="str">
        <f t="shared" si="120"/>
        <v/>
      </c>
      <c r="M1073" s="63" t="str">
        <f t="shared" si="121"/>
        <v/>
      </c>
      <c r="N1073" s="64"/>
    </row>
    <row r="1074" spans="1:14" x14ac:dyDescent="0.3">
      <c r="A1074" s="58" t="str">
        <f>IF([1]weekly_demand!A1075="","",[1]weekly_demand!A1075)</f>
        <v/>
      </c>
      <c r="B1074" s="59" t="str">
        <f>IF($A1074="","",[1]weekly_demand!F1075)</f>
        <v/>
      </c>
      <c r="C1074" s="60" t="str">
        <f>IF($A1074="","",[1]weekly_demand!H1075)</f>
        <v/>
      </c>
      <c r="D1074" s="61" t="str">
        <f>IF($A1074="","",IF(SUMIFS([1]Fixture_Capacity_Input!$C:$C,[1]Fixture_Capacity_Input!$A:$A,$B1074,[1]Fixture_Capacity_Input!$B:$B,$C1074)&gt;0,SUMIFS([1]Fixture_Capacity_Input!$C:$C,[1]Fixture_Capacity_Input!$A:$A,$B1074,[1]Fixture_Capacity_Input!$B:$B,$C1074),[1]weekly_demand!G1075))</f>
        <v/>
      </c>
      <c r="E1074" s="62" t="str">
        <f>IF($A1074="","",[1]weekly_demand!I1075)</f>
        <v/>
      </c>
      <c r="F1074" s="61" t="str">
        <f>IF($A1074="","",IF($A1074&lt;&gt;$A1073,IFERROR(INDEX([1]FG_Begin_Inventory!$B:$B,MATCH($A1074,[1]FG_Begin_Inventory!$A:$A,0)),0),J1073))</f>
        <v/>
      </c>
      <c r="G1074" s="61" t="str">
        <f t="shared" si="115"/>
        <v/>
      </c>
      <c r="H1074" s="61" t="str">
        <f t="shared" si="116"/>
        <v/>
      </c>
      <c r="I1074" s="62" t="str">
        <f t="shared" si="117"/>
        <v/>
      </c>
      <c r="J1074" s="61" t="str">
        <f t="shared" si="118"/>
        <v/>
      </c>
      <c r="K1074" s="61" t="str">
        <f t="shared" si="119"/>
        <v/>
      </c>
      <c r="L1074" s="61" t="str">
        <f t="shared" si="120"/>
        <v/>
      </c>
      <c r="M1074" s="63" t="str">
        <f t="shared" si="121"/>
        <v/>
      </c>
      <c r="N1074" s="64"/>
    </row>
    <row r="1075" spans="1:14" x14ac:dyDescent="0.3">
      <c r="A1075" s="58" t="str">
        <f>IF([1]weekly_demand!A1076="","",[1]weekly_demand!A1076)</f>
        <v/>
      </c>
      <c r="B1075" s="59" t="str">
        <f>IF($A1075="","",[1]weekly_demand!F1076)</f>
        <v/>
      </c>
      <c r="C1075" s="60" t="str">
        <f>IF($A1075="","",[1]weekly_demand!H1076)</f>
        <v/>
      </c>
      <c r="D1075" s="61" t="str">
        <f>IF($A1075="","",IF(SUMIFS([1]Fixture_Capacity_Input!$C:$C,[1]Fixture_Capacity_Input!$A:$A,$B1075,[1]Fixture_Capacity_Input!$B:$B,$C1075)&gt;0,SUMIFS([1]Fixture_Capacity_Input!$C:$C,[1]Fixture_Capacity_Input!$A:$A,$B1075,[1]Fixture_Capacity_Input!$B:$B,$C1075),[1]weekly_demand!G1076))</f>
        <v/>
      </c>
      <c r="E1075" s="62" t="str">
        <f>IF($A1075="","",[1]weekly_demand!I1076)</f>
        <v/>
      </c>
      <c r="F1075" s="61" t="str">
        <f>IF($A1075="","",IF($A1075&lt;&gt;$A1074,IFERROR(INDEX([1]FG_Begin_Inventory!$B:$B,MATCH($A1075,[1]FG_Begin_Inventory!$A:$A,0)),0),J1074))</f>
        <v/>
      </c>
      <c r="G1075" s="61" t="str">
        <f t="shared" ref="G1075:G1138" si="122">IF($A1075="","",IF($A1075&lt;&gt;$A1076,0,MAX(0,G1076+E1076-D1076)))</f>
        <v/>
      </c>
      <c r="H1075" s="61" t="str">
        <f t="shared" si="116"/>
        <v/>
      </c>
      <c r="I1075" s="62" t="str">
        <f t="shared" si="117"/>
        <v/>
      </c>
      <c r="J1075" s="61" t="str">
        <f t="shared" si="118"/>
        <v/>
      </c>
      <c r="K1075" s="61" t="str">
        <f t="shared" si="119"/>
        <v/>
      </c>
      <c r="L1075" s="61" t="str">
        <f t="shared" si="120"/>
        <v/>
      </c>
      <c r="M1075" s="63" t="str">
        <f t="shared" si="121"/>
        <v/>
      </c>
      <c r="N1075" s="64"/>
    </row>
    <row r="1076" spans="1:14" x14ac:dyDescent="0.3">
      <c r="A1076" s="58" t="str">
        <f>IF([1]weekly_demand!A1077="","",[1]weekly_demand!A1077)</f>
        <v/>
      </c>
      <c r="B1076" s="59" t="str">
        <f>IF($A1076="","",[1]weekly_demand!F1077)</f>
        <v/>
      </c>
      <c r="C1076" s="60" t="str">
        <f>IF($A1076="","",[1]weekly_demand!H1077)</f>
        <v/>
      </c>
      <c r="D1076" s="61" t="str">
        <f>IF($A1076="","",IF(SUMIFS([1]Fixture_Capacity_Input!$C:$C,[1]Fixture_Capacity_Input!$A:$A,$B1076,[1]Fixture_Capacity_Input!$B:$B,$C1076)&gt;0,SUMIFS([1]Fixture_Capacity_Input!$C:$C,[1]Fixture_Capacity_Input!$A:$A,$B1076,[1]Fixture_Capacity_Input!$B:$B,$C1076),[1]weekly_demand!G1077))</f>
        <v/>
      </c>
      <c r="E1076" s="62" t="str">
        <f>IF($A1076="","",[1]weekly_demand!I1077)</f>
        <v/>
      </c>
      <c r="F1076" s="61" t="str">
        <f>IF($A1076="","",IF($A1076&lt;&gt;$A1075,IFERROR(INDEX([1]FG_Begin_Inventory!$B:$B,MATCH($A1076,[1]FG_Begin_Inventory!$A:$A,0)),0),J1075))</f>
        <v/>
      </c>
      <c r="G1076" s="61" t="str">
        <f t="shared" si="122"/>
        <v/>
      </c>
      <c r="H1076" s="61" t="str">
        <f t="shared" si="116"/>
        <v/>
      </c>
      <c r="I1076" s="62" t="str">
        <f t="shared" si="117"/>
        <v/>
      </c>
      <c r="J1076" s="61" t="str">
        <f t="shared" si="118"/>
        <v/>
      </c>
      <c r="K1076" s="61" t="str">
        <f t="shared" si="119"/>
        <v/>
      </c>
      <c r="L1076" s="61" t="str">
        <f t="shared" si="120"/>
        <v/>
      </c>
      <c r="M1076" s="63" t="str">
        <f t="shared" si="121"/>
        <v/>
      </c>
      <c r="N1076" s="64"/>
    </row>
    <row r="1077" spans="1:14" x14ac:dyDescent="0.3">
      <c r="A1077" s="58" t="str">
        <f>IF([1]weekly_demand!A1078="","",[1]weekly_demand!A1078)</f>
        <v/>
      </c>
      <c r="B1077" s="59" t="str">
        <f>IF($A1077="","",[1]weekly_demand!F1078)</f>
        <v/>
      </c>
      <c r="C1077" s="60" t="str">
        <f>IF($A1077="","",[1]weekly_demand!H1078)</f>
        <v/>
      </c>
      <c r="D1077" s="61" t="str">
        <f>IF($A1077="","",IF(SUMIFS([1]Fixture_Capacity_Input!$C:$C,[1]Fixture_Capacity_Input!$A:$A,$B1077,[1]Fixture_Capacity_Input!$B:$B,$C1077)&gt;0,SUMIFS([1]Fixture_Capacity_Input!$C:$C,[1]Fixture_Capacity_Input!$A:$A,$B1077,[1]Fixture_Capacity_Input!$B:$B,$C1077),[1]weekly_demand!G1078))</f>
        <v/>
      </c>
      <c r="E1077" s="62" t="str">
        <f>IF($A1077="","",[1]weekly_demand!I1078)</f>
        <v/>
      </c>
      <c r="F1077" s="61" t="str">
        <f>IF($A1077="","",IF($A1077&lt;&gt;$A1076,IFERROR(INDEX([1]FG_Begin_Inventory!$B:$B,MATCH($A1077,[1]FG_Begin_Inventory!$A:$A,0)),0),J1076))</f>
        <v/>
      </c>
      <c r="G1077" s="61" t="str">
        <f t="shared" si="122"/>
        <v/>
      </c>
      <c r="H1077" s="61" t="str">
        <f t="shared" si="116"/>
        <v/>
      </c>
      <c r="I1077" s="62" t="str">
        <f t="shared" si="117"/>
        <v/>
      </c>
      <c r="J1077" s="61" t="str">
        <f t="shared" si="118"/>
        <v/>
      </c>
      <c r="K1077" s="61" t="str">
        <f t="shared" si="119"/>
        <v/>
      </c>
      <c r="L1077" s="61" t="str">
        <f t="shared" si="120"/>
        <v/>
      </c>
      <c r="M1077" s="63" t="str">
        <f t="shared" si="121"/>
        <v/>
      </c>
      <c r="N1077" s="64"/>
    </row>
    <row r="1078" spans="1:14" x14ac:dyDescent="0.3">
      <c r="A1078" s="58" t="str">
        <f>IF([1]weekly_demand!A1079="","",[1]weekly_demand!A1079)</f>
        <v/>
      </c>
      <c r="B1078" s="59" t="str">
        <f>IF($A1078="","",[1]weekly_demand!F1079)</f>
        <v/>
      </c>
      <c r="C1078" s="60" t="str">
        <f>IF($A1078="","",[1]weekly_demand!H1079)</f>
        <v/>
      </c>
      <c r="D1078" s="61" t="str">
        <f>IF($A1078="","",IF(SUMIFS([1]Fixture_Capacity_Input!$C:$C,[1]Fixture_Capacity_Input!$A:$A,$B1078,[1]Fixture_Capacity_Input!$B:$B,$C1078)&gt;0,SUMIFS([1]Fixture_Capacity_Input!$C:$C,[1]Fixture_Capacity_Input!$A:$A,$B1078,[1]Fixture_Capacity_Input!$B:$B,$C1078),[1]weekly_demand!G1079))</f>
        <v/>
      </c>
      <c r="E1078" s="62" t="str">
        <f>IF($A1078="","",[1]weekly_demand!I1079)</f>
        <v/>
      </c>
      <c r="F1078" s="61" t="str">
        <f>IF($A1078="","",IF($A1078&lt;&gt;$A1077,IFERROR(INDEX([1]FG_Begin_Inventory!$B:$B,MATCH($A1078,[1]FG_Begin_Inventory!$A:$A,0)),0),J1077))</f>
        <v/>
      </c>
      <c r="G1078" s="61" t="str">
        <f t="shared" si="122"/>
        <v/>
      </c>
      <c r="H1078" s="61" t="str">
        <f t="shared" si="116"/>
        <v/>
      </c>
      <c r="I1078" s="62" t="str">
        <f t="shared" si="117"/>
        <v/>
      </c>
      <c r="J1078" s="61" t="str">
        <f t="shared" si="118"/>
        <v/>
      </c>
      <c r="K1078" s="61" t="str">
        <f t="shared" si="119"/>
        <v/>
      </c>
      <c r="L1078" s="61" t="str">
        <f t="shared" si="120"/>
        <v/>
      </c>
      <c r="M1078" s="63" t="str">
        <f t="shared" si="121"/>
        <v/>
      </c>
      <c r="N1078" s="64"/>
    </row>
    <row r="1079" spans="1:14" x14ac:dyDescent="0.3">
      <c r="A1079" s="58" t="str">
        <f>IF([1]weekly_demand!A1080="","",[1]weekly_demand!A1080)</f>
        <v/>
      </c>
      <c r="B1079" s="59" t="str">
        <f>IF($A1079="","",[1]weekly_demand!F1080)</f>
        <v/>
      </c>
      <c r="C1079" s="60" t="str">
        <f>IF($A1079="","",[1]weekly_demand!H1080)</f>
        <v/>
      </c>
      <c r="D1079" s="61" t="str">
        <f>IF($A1079="","",IF(SUMIFS([1]Fixture_Capacity_Input!$C:$C,[1]Fixture_Capacity_Input!$A:$A,$B1079,[1]Fixture_Capacity_Input!$B:$B,$C1079)&gt;0,SUMIFS([1]Fixture_Capacity_Input!$C:$C,[1]Fixture_Capacity_Input!$A:$A,$B1079,[1]Fixture_Capacity_Input!$B:$B,$C1079),[1]weekly_demand!G1080))</f>
        <v/>
      </c>
      <c r="E1079" s="62" t="str">
        <f>IF($A1079="","",[1]weekly_demand!I1080)</f>
        <v/>
      </c>
      <c r="F1079" s="61" t="str">
        <f>IF($A1079="","",IF($A1079&lt;&gt;$A1078,IFERROR(INDEX([1]FG_Begin_Inventory!$B:$B,MATCH($A1079,[1]FG_Begin_Inventory!$A:$A,0)),0),J1078))</f>
        <v/>
      </c>
      <c r="G1079" s="61" t="str">
        <f t="shared" si="122"/>
        <v/>
      </c>
      <c r="H1079" s="61" t="str">
        <f t="shared" si="116"/>
        <v/>
      </c>
      <c r="I1079" s="62" t="str">
        <f t="shared" si="117"/>
        <v/>
      </c>
      <c r="J1079" s="61" t="str">
        <f t="shared" si="118"/>
        <v/>
      </c>
      <c r="K1079" s="61" t="str">
        <f t="shared" si="119"/>
        <v/>
      </c>
      <c r="L1079" s="61" t="str">
        <f t="shared" si="120"/>
        <v/>
      </c>
      <c r="M1079" s="63" t="str">
        <f t="shared" si="121"/>
        <v/>
      </c>
      <c r="N1079" s="64"/>
    </row>
    <row r="1080" spans="1:14" x14ac:dyDescent="0.3">
      <c r="A1080" s="58" t="str">
        <f>IF([1]weekly_demand!A1081="","",[1]weekly_demand!A1081)</f>
        <v/>
      </c>
      <c r="B1080" s="59" t="str">
        <f>IF($A1080="","",[1]weekly_demand!F1081)</f>
        <v/>
      </c>
      <c r="C1080" s="60" t="str">
        <f>IF($A1080="","",[1]weekly_demand!H1081)</f>
        <v/>
      </c>
      <c r="D1080" s="61" t="str">
        <f>IF($A1080="","",IF(SUMIFS([1]Fixture_Capacity_Input!$C:$C,[1]Fixture_Capacity_Input!$A:$A,$B1080,[1]Fixture_Capacity_Input!$B:$B,$C1080)&gt;0,SUMIFS([1]Fixture_Capacity_Input!$C:$C,[1]Fixture_Capacity_Input!$A:$A,$B1080,[1]Fixture_Capacity_Input!$B:$B,$C1080),[1]weekly_demand!G1081))</f>
        <v/>
      </c>
      <c r="E1080" s="62" t="str">
        <f>IF($A1080="","",[1]weekly_demand!I1081)</f>
        <v/>
      </c>
      <c r="F1080" s="61" t="str">
        <f>IF($A1080="","",IF($A1080&lt;&gt;$A1079,IFERROR(INDEX([1]FG_Begin_Inventory!$B:$B,MATCH($A1080,[1]FG_Begin_Inventory!$A:$A,0)),0),J1079))</f>
        <v/>
      </c>
      <c r="G1080" s="61" t="str">
        <f t="shared" si="122"/>
        <v/>
      </c>
      <c r="H1080" s="61" t="str">
        <f t="shared" si="116"/>
        <v/>
      </c>
      <c r="I1080" s="62" t="str">
        <f t="shared" si="117"/>
        <v/>
      </c>
      <c r="J1080" s="61" t="str">
        <f t="shared" si="118"/>
        <v/>
      </c>
      <c r="K1080" s="61" t="str">
        <f t="shared" si="119"/>
        <v/>
      </c>
      <c r="L1080" s="61" t="str">
        <f t="shared" si="120"/>
        <v/>
      </c>
      <c r="M1080" s="63" t="str">
        <f t="shared" si="121"/>
        <v/>
      </c>
      <c r="N1080" s="64"/>
    </row>
    <row r="1081" spans="1:14" x14ac:dyDescent="0.3">
      <c r="A1081" s="58" t="str">
        <f>IF([1]weekly_demand!A1082="","",[1]weekly_demand!A1082)</f>
        <v/>
      </c>
      <c r="B1081" s="59" t="str">
        <f>IF($A1081="","",[1]weekly_demand!F1082)</f>
        <v/>
      </c>
      <c r="C1081" s="60" t="str">
        <f>IF($A1081="","",[1]weekly_demand!H1082)</f>
        <v/>
      </c>
      <c r="D1081" s="61" t="str">
        <f>IF($A1081="","",IF(SUMIFS([1]Fixture_Capacity_Input!$C:$C,[1]Fixture_Capacity_Input!$A:$A,$B1081,[1]Fixture_Capacity_Input!$B:$B,$C1081)&gt;0,SUMIFS([1]Fixture_Capacity_Input!$C:$C,[1]Fixture_Capacity_Input!$A:$A,$B1081,[1]Fixture_Capacity_Input!$B:$B,$C1081),[1]weekly_demand!G1082))</f>
        <v/>
      </c>
      <c r="E1081" s="62" t="str">
        <f>IF($A1081="","",[1]weekly_demand!I1082)</f>
        <v/>
      </c>
      <c r="F1081" s="61" t="str">
        <f>IF($A1081="","",IF($A1081&lt;&gt;$A1080,IFERROR(INDEX([1]FG_Begin_Inventory!$B:$B,MATCH($A1081,[1]FG_Begin_Inventory!$A:$A,0)),0),J1080))</f>
        <v/>
      </c>
      <c r="G1081" s="61" t="str">
        <f t="shared" si="122"/>
        <v/>
      </c>
      <c r="H1081" s="61" t="str">
        <f t="shared" si="116"/>
        <v/>
      </c>
      <c r="I1081" s="62" t="str">
        <f t="shared" si="117"/>
        <v/>
      </c>
      <c r="J1081" s="61" t="str">
        <f t="shared" si="118"/>
        <v/>
      </c>
      <c r="K1081" s="61" t="str">
        <f t="shared" si="119"/>
        <v/>
      </c>
      <c r="L1081" s="61" t="str">
        <f t="shared" si="120"/>
        <v/>
      </c>
      <c r="M1081" s="63" t="str">
        <f t="shared" si="121"/>
        <v/>
      </c>
      <c r="N1081" s="64"/>
    </row>
    <row r="1082" spans="1:14" x14ac:dyDescent="0.3">
      <c r="A1082" s="58" t="str">
        <f>IF([1]weekly_demand!A1083="","",[1]weekly_demand!A1083)</f>
        <v/>
      </c>
      <c r="B1082" s="59" t="str">
        <f>IF($A1082="","",[1]weekly_demand!F1083)</f>
        <v/>
      </c>
      <c r="C1082" s="60" t="str">
        <f>IF($A1082="","",[1]weekly_demand!H1083)</f>
        <v/>
      </c>
      <c r="D1082" s="61" t="str">
        <f>IF($A1082="","",IF(SUMIFS([1]Fixture_Capacity_Input!$C:$C,[1]Fixture_Capacity_Input!$A:$A,$B1082,[1]Fixture_Capacity_Input!$B:$B,$C1082)&gt;0,SUMIFS([1]Fixture_Capacity_Input!$C:$C,[1]Fixture_Capacity_Input!$A:$A,$B1082,[1]Fixture_Capacity_Input!$B:$B,$C1082),[1]weekly_demand!G1083))</f>
        <v/>
      </c>
      <c r="E1082" s="62" t="str">
        <f>IF($A1082="","",[1]weekly_demand!I1083)</f>
        <v/>
      </c>
      <c r="F1082" s="61" t="str">
        <f>IF($A1082="","",IF($A1082&lt;&gt;$A1081,IFERROR(INDEX([1]FG_Begin_Inventory!$B:$B,MATCH($A1082,[1]FG_Begin_Inventory!$A:$A,0)),0),J1081))</f>
        <v/>
      </c>
      <c r="G1082" s="61" t="str">
        <f t="shared" si="122"/>
        <v/>
      </c>
      <c r="H1082" s="61" t="str">
        <f t="shared" si="116"/>
        <v/>
      </c>
      <c r="I1082" s="62" t="str">
        <f t="shared" si="117"/>
        <v/>
      </c>
      <c r="J1082" s="61" t="str">
        <f t="shared" si="118"/>
        <v/>
      </c>
      <c r="K1082" s="61" t="str">
        <f t="shared" si="119"/>
        <v/>
      </c>
      <c r="L1082" s="61" t="str">
        <f t="shared" si="120"/>
        <v/>
      </c>
      <c r="M1082" s="63" t="str">
        <f t="shared" si="121"/>
        <v/>
      </c>
      <c r="N1082" s="64"/>
    </row>
    <row r="1083" spans="1:14" x14ac:dyDescent="0.3">
      <c r="A1083" s="58" t="str">
        <f>IF([1]weekly_demand!A1084="","",[1]weekly_demand!A1084)</f>
        <v/>
      </c>
      <c r="B1083" s="59" t="str">
        <f>IF($A1083="","",[1]weekly_demand!F1084)</f>
        <v/>
      </c>
      <c r="C1083" s="60" t="str">
        <f>IF($A1083="","",[1]weekly_demand!H1084)</f>
        <v/>
      </c>
      <c r="D1083" s="61" t="str">
        <f>IF($A1083="","",IF(SUMIFS([1]Fixture_Capacity_Input!$C:$C,[1]Fixture_Capacity_Input!$A:$A,$B1083,[1]Fixture_Capacity_Input!$B:$B,$C1083)&gt;0,SUMIFS([1]Fixture_Capacity_Input!$C:$C,[1]Fixture_Capacity_Input!$A:$A,$B1083,[1]Fixture_Capacity_Input!$B:$B,$C1083),[1]weekly_demand!G1084))</f>
        <v/>
      </c>
      <c r="E1083" s="62" t="str">
        <f>IF($A1083="","",[1]weekly_demand!I1084)</f>
        <v/>
      </c>
      <c r="F1083" s="61" t="str">
        <f>IF($A1083="","",IF($A1083&lt;&gt;$A1082,IFERROR(INDEX([1]FG_Begin_Inventory!$B:$B,MATCH($A1083,[1]FG_Begin_Inventory!$A:$A,0)),0),J1082))</f>
        <v/>
      </c>
      <c r="G1083" s="61" t="str">
        <f t="shared" si="122"/>
        <v/>
      </c>
      <c r="H1083" s="61" t="str">
        <f t="shared" si="116"/>
        <v/>
      </c>
      <c r="I1083" s="62" t="str">
        <f t="shared" si="117"/>
        <v/>
      </c>
      <c r="J1083" s="61" t="str">
        <f t="shared" si="118"/>
        <v/>
      </c>
      <c r="K1083" s="61" t="str">
        <f t="shared" si="119"/>
        <v/>
      </c>
      <c r="L1083" s="61" t="str">
        <f t="shared" si="120"/>
        <v/>
      </c>
      <c r="M1083" s="63" t="str">
        <f t="shared" si="121"/>
        <v/>
      </c>
      <c r="N1083" s="64"/>
    </row>
    <row r="1084" spans="1:14" x14ac:dyDescent="0.3">
      <c r="A1084" s="58" t="str">
        <f>IF([1]weekly_demand!A1085="","",[1]weekly_demand!A1085)</f>
        <v/>
      </c>
      <c r="B1084" s="59" t="str">
        <f>IF($A1084="","",[1]weekly_demand!F1085)</f>
        <v/>
      </c>
      <c r="C1084" s="60" t="str">
        <f>IF($A1084="","",[1]weekly_demand!H1085)</f>
        <v/>
      </c>
      <c r="D1084" s="61" t="str">
        <f>IF($A1084="","",IF(SUMIFS([1]Fixture_Capacity_Input!$C:$C,[1]Fixture_Capacity_Input!$A:$A,$B1084,[1]Fixture_Capacity_Input!$B:$B,$C1084)&gt;0,SUMIFS([1]Fixture_Capacity_Input!$C:$C,[1]Fixture_Capacity_Input!$A:$A,$B1084,[1]Fixture_Capacity_Input!$B:$B,$C1084),[1]weekly_demand!G1085))</f>
        <v/>
      </c>
      <c r="E1084" s="62" t="str">
        <f>IF($A1084="","",[1]weekly_demand!I1085)</f>
        <v/>
      </c>
      <c r="F1084" s="61" t="str">
        <f>IF($A1084="","",IF($A1084&lt;&gt;$A1083,IFERROR(INDEX([1]FG_Begin_Inventory!$B:$B,MATCH($A1084,[1]FG_Begin_Inventory!$A:$A,0)),0),J1083))</f>
        <v/>
      </c>
      <c r="G1084" s="61" t="str">
        <f t="shared" si="122"/>
        <v/>
      </c>
      <c r="H1084" s="61" t="str">
        <f t="shared" si="116"/>
        <v/>
      </c>
      <c r="I1084" s="62" t="str">
        <f t="shared" si="117"/>
        <v/>
      </c>
      <c r="J1084" s="61" t="str">
        <f t="shared" si="118"/>
        <v/>
      </c>
      <c r="K1084" s="61" t="str">
        <f t="shared" si="119"/>
        <v/>
      </c>
      <c r="L1084" s="61" t="str">
        <f t="shared" si="120"/>
        <v/>
      </c>
      <c r="M1084" s="63" t="str">
        <f t="shared" si="121"/>
        <v/>
      </c>
      <c r="N1084" s="64"/>
    </row>
    <row r="1085" spans="1:14" x14ac:dyDescent="0.3">
      <c r="A1085" s="58" t="str">
        <f>IF([1]weekly_demand!A1086="","",[1]weekly_demand!A1086)</f>
        <v/>
      </c>
      <c r="B1085" s="59" t="str">
        <f>IF($A1085="","",[1]weekly_demand!F1086)</f>
        <v/>
      </c>
      <c r="C1085" s="60" t="str">
        <f>IF($A1085="","",[1]weekly_demand!H1086)</f>
        <v/>
      </c>
      <c r="D1085" s="61" t="str">
        <f>IF($A1085="","",IF(SUMIFS([1]Fixture_Capacity_Input!$C:$C,[1]Fixture_Capacity_Input!$A:$A,$B1085,[1]Fixture_Capacity_Input!$B:$B,$C1085)&gt;0,SUMIFS([1]Fixture_Capacity_Input!$C:$C,[1]Fixture_Capacity_Input!$A:$A,$B1085,[1]Fixture_Capacity_Input!$B:$B,$C1085),[1]weekly_demand!G1086))</f>
        <v/>
      </c>
      <c r="E1085" s="62" t="str">
        <f>IF($A1085="","",[1]weekly_demand!I1086)</f>
        <v/>
      </c>
      <c r="F1085" s="61" t="str">
        <f>IF($A1085="","",IF($A1085&lt;&gt;$A1084,IFERROR(INDEX([1]FG_Begin_Inventory!$B:$B,MATCH($A1085,[1]FG_Begin_Inventory!$A:$A,0)),0),J1084))</f>
        <v/>
      </c>
      <c r="G1085" s="61" t="str">
        <f t="shared" si="122"/>
        <v/>
      </c>
      <c r="H1085" s="61" t="str">
        <f t="shared" si="116"/>
        <v/>
      </c>
      <c r="I1085" s="62" t="str">
        <f t="shared" si="117"/>
        <v/>
      </c>
      <c r="J1085" s="61" t="str">
        <f t="shared" si="118"/>
        <v/>
      </c>
      <c r="K1085" s="61" t="str">
        <f t="shared" si="119"/>
        <v/>
      </c>
      <c r="L1085" s="61" t="str">
        <f t="shared" si="120"/>
        <v/>
      </c>
      <c r="M1085" s="63" t="str">
        <f t="shared" si="121"/>
        <v/>
      </c>
      <c r="N1085" s="64"/>
    </row>
    <row r="1086" spans="1:14" x14ac:dyDescent="0.3">
      <c r="A1086" s="58" t="str">
        <f>IF([1]weekly_demand!A1087="","",[1]weekly_demand!A1087)</f>
        <v/>
      </c>
      <c r="B1086" s="59" t="str">
        <f>IF($A1086="","",[1]weekly_demand!F1087)</f>
        <v/>
      </c>
      <c r="C1086" s="60" t="str">
        <f>IF($A1086="","",[1]weekly_demand!H1087)</f>
        <v/>
      </c>
      <c r="D1086" s="61" t="str">
        <f>IF($A1086="","",IF(SUMIFS([1]Fixture_Capacity_Input!$C:$C,[1]Fixture_Capacity_Input!$A:$A,$B1086,[1]Fixture_Capacity_Input!$B:$B,$C1086)&gt;0,SUMIFS([1]Fixture_Capacity_Input!$C:$C,[1]Fixture_Capacity_Input!$A:$A,$B1086,[1]Fixture_Capacity_Input!$B:$B,$C1086),[1]weekly_demand!G1087))</f>
        <v/>
      </c>
      <c r="E1086" s="62" t="str">
        <f>IF($A1086="","",[1]weekly_demand!I1087)</f>
        <v/>
      </c>
      <c r="F1086" s="61" t="str">
        <f>IF($A1086="","",IF($A1086&lt;&gt;$A1085,IFERROR(INDEX([1]FG_Begin_Inventory!$B:$B,MATCH($A1086,[1]FG_Begin_Inventory!$A:$A,0)),0),J1085))</f>
        <v/>
      </c>
      <c r="G1086" s="61" t="str">
        <f t="shared" si="122"/>
        <v/>
      </c>
      <c r="H1086" s="61" t="str">
        <f t="shared" si="116"/>
        <v/>
      </c>
      <c r="I1086" s="62" t="str">
        <f t="shared" si="117"/>
        <v/>
      </c>
      <c r="J1086" s="61" t="str">
        <f t="shared" si="118"/>
        <v/>
      </c>
      <c r="K1086" s="61" t="str">
        <f t="shared" si="119"/>
        <v/>
      </c>
      <c r="L1086" s="61" t="str">
        <f t="shared" si="120"/>
        <v/>
      </c>
      <c r="M1086" s="63" t="str">
        <f t="shared" si="121"/>
        <v/>
      </c>
      <c r="N1086" s="64"/>
    </row>
    <row r="1087" spans="1:14" x14ac:dyDescent="0.3">
      <c r="A1087" s="58" t="str">
        <f>IF([1]weekly_demand!A1088="","",[1]weekly_demand!A1088)</f>
        <v/>
      </c>
      <c r="B1087" s="59" t="str">
        <f>IF($A1087="","",[1]weekly_demand!F1088)</f>
        <v/>
      </c>
      <c r="C1087" s="60" t="str">
        <f>IF($A1087="","",[1]weekly_demand!H1088)</f>
        <v/>
      </c>
      <c r="D1087" s="61" t="str">
        <f>IF($A1087="","",IF(SUMIFS([1]Fixture_Capacity_Input!$C:$C,[1]Fixture_Capacity_Input!$A:$A,$B1087,[1]Fixture_Capacity_Input!$B:$B,$C1087)&gt;0,SUMIFS([1]Fixture_Capacity_Input!$C:$C,[1]Fixture_Capacity_Input!$A:$A,$B1087,[1]Fixture_Capacity_Input!$B:$B,$C1087),[1]weekly_demand!G1088))</f>
        <v/>
      </c>
      <c r="E1087" s="62" t="str">
        <f>IF($A1087="","",[1]weekly_demand!I1088)</f>
        <v/>
      </c>
      <c r="F1087" s="61" t="str">
        <f>IF($A1087="","",IF($A1087&lt;&gt;$A1086,IFERROR(INDEX([1]FG_Begin_Inventory!$B:$B,MATCH($A1087,[1]FG_Begin_Inventory!$A:$A,0)),0),J1086))</f>
        <v/>
      </c>
      <c r="G1087" s="61" t="str">
        <f t="shared" si="122"/>
        <v/>
      </c>
      <c r="H1087" s="61" t="str">
        <f t="shared" si="116"/>
        <v/>
      </c>
      <c r="I1087" s="62" t="str">
        <f t="shared" si="117"/>
        <v/>
      </c>
      <c r="J1087" s="61" t="str">
        <f t="shared" si="118"/>
        <v/>
      </c>
      <c r="K1087" s="61" t="str">
        <f t="shared" si="119"/>
        <v/>
      </c>
      <c r="L1087" s="61" t="str">
        <f t="shared" si="120"/>
        <v/>
      </c>
      <c r="M1087" s="63" t="str">
        <f t="shared" si="121"/>
        <v/>
      </c>
      <c r="N1087" s="64"/>
    </row>
    <row r="1088" spans="1:14" x14ac:dyDescent="0.3">
      <c r="A1088" s="58" t="str">
        <f>IF([1]weekly_demand!A1089="","",[1]weekly_demand!A1089)</f>
        <v/>
      </c>
      <c r="B1088" s="59" t="str">
        <f>IF($A1088="","",[1]weekly_demand!F1089)</f>
        <v/>
      </c>
      <c r="C1088" s="60" t="str">
        <f>IF($A1088="","",[1]weekly_demand!H1089)</f>
        <v/>
      </c>
      <c r="D1088" s="61" t="str">
        <f>IF($A1088="","",IF(SUMIFS([1]Fixture_Capacity_Input!$C:$C,[1]Fixture_Capacity_Input!$A:$A,$B1088,[1]Fixture_Capacity_Input!$B:$B,$C1088)&gt;0,SUMIFS([1]Fixture_Capacity_Input!$C:$C,[1]Fixture_Capacity_Input!$A:$A,$B1088,[1]Fixture_Capacity_Input!$B:$B,$C1088),[1]weekly_demand!G1089))</f>
        <v/>
      </c>
      <c r="E1088" s="62" t="str">
        <f>IF($A1088="","",[1]weekly_demand!I1089)</f>
        <v/>
      </c>
      <c r="F1088" s="61" t="str">
        <f>IF($A1088="","",IF($A1088&lt;&gt;$A1087,IFERROR(INDEX([1]FG_Begin_Inventory!$B:$B,MATCH($A1088,[1]FG_Begin_Inventory!$A:$A,0)),0),J1087))</f>
        <v/>
      </c>
      <c r="G1088" s="61" t="str">
        <f t="shared" si="122"/>
        <v/>
      </c>
      <c r="H1088" s="61" t="str">
        <f t="shared" si="116"/>
        <v/>
      </c>
      <c r="I1088" s="62" t="str">
        <f t="shared" si="117"/>
        <v/>
      </c>
      <c r="J1088" s="61" t="str">
        <f t="shared" si="118"/>
        <v/>
      </c>
      <c r="K1088" s="61" t="str">
        <f t="shared" si="119"/>
        <v/>
      </c>
      <c r="L1088" s="61" t="str">
        <f t="shared" si="120"/>
        <v/>
      </c>
      <c r="M1088" s="63" t="str">
        <f t="shared" si="121"/>
        <v/>
      </c>
      <c r="N1088" s="64"/>
    </row>
    <row r="1089" spans="1:14" x14ac:dyDescent="0.3">
      <c r="A1089" s="58" t="str">
        <f>IF([1]weekly_demand!A1090="","",[1]weekly_demand!A1090)</f>
        <v/>
      </c>
      <c r="B1089" s="59" t="str">
        <f>IF($A1089="","",[1]weekly_demand!F1090)</f>
        <v/>
      </c>
      <c r="C1089" s="60" t="str">
        <f>IF($A1089="","",[1]weekly_demand!H1090)</f>
        <v/>
      </c>
      <c r="D1089" s="61" t="str">
        <f>IF($A1089="","",IF(SUMIFS([1]Fixture_Capacity_Input!$C:$C,[1]Fixture_Capacity_Input!$A:$A,$B1089,[1]Fixture_Capacity_Input!$B:$B,$C1089)&gt;0,SUMIFS([1]Fixture_Capacity_Input!$C:$C,[1]Fixture_Capacity_Input!$A:$A,$B1089,[1]Fixture_Capacity_Input!$B:$B,$C1089),[1]weekly_demand!G1090))</f>
        <v/>
      </c>
      <c r="E1089" s="62" t="str">
        <f>IF($A1089="","",[1]weekly_demand!I1090)</f>
        <v/>
      </c>
      <c r="F1089" s="61" t="str">
        <f>IF($A1089="","",IF($A1089&lt;&gt;$A1088,IFERROR(INDEX([1]FG_Begin_Inventory!$B:$B,MATCH($A1089,[1]FG_Begin_Inventory!$A:$A,0)),0),J1088))</f>
        <v/>
      </c>
      <c r="G1089" s="61" t="str">
        <f t="shared" si="122"/>
        <v/>
      </c>
      <c r="H1089" s="61" t="str">
        <f t="shared" si="116"/>
        <v/>
      </c>
      <c r="I1089" s="62" t="str">
        <f t="shared" si="117"/>
        <v/>
      </c>
      <c r="J1089" s="61" t="str">
        <f t="shared" si="118"/>
        <v/>
      </c>
      <c r="K1089" s="61" t="str">
        <f t="shared" si="119"/>
        <v/>
      </c>
      <c r="L1089" s="61" t="str">
        <f t="shared" si="120"/>
        <v/>
      </c>
      <c r="M1089" s="63" t="str">
        <f t="shared" si="121"/>
        <v/>
      </c>
      <c r="N1089" s="64"/>
    </row>
    <row r="1090" spans="1:14" x14ac:dyDescent="0.3">
      <c r="A1090" s="58" t="str">
        <f>IF([1]weekly_demand!A1091="","",[1]weekly_demand!A1091)</f>
        <v/>
      </c>
      <c r="B1090" s="59" t="str">
        <f>IF($A1090="","",[1]weekly_demand!F1091)</f>
        <v/>
      </c>
      <c r="C1090" s="60" t="str">
        <f>IF($A1090="","",[1]weekly_demand!H1091)</f>
        <v/>
      </c>
      <c r="D1090" s="61" t="str">
        <f>IF($A1090="","",IF(SUMIFS([1]Fixture_Capacity_Input!$C:$C,[1]Fixture_Capacity_Input!$A:$A,$B1090,[1]Fixture_Capacity_Input!$B:$B,$C1090)&gt;0,SUMIFS([1]Fixture_Capacity_Input!$C:$C,[1]Fixture_Capacity_Input!$A:$A,$B1090,[1]Fixture_Capacity_Input!$B:$B,$C1090),[1]weekly_demand!G1091))</f>
        <v/>
      </c>
      <c r="E1090" s="62" t="str">
        <f>IF($A1090="","",[1]weekly_demand!I1091)</f>
        <v/>
      </c>
      <c r="F1090" s="61" t="str">
        <f>IF($A1090="","",IF($A1090&lt;&gt;$A1089,IFERROR(INDEX([1]FG_Begin_Inventory!$B:$B,MATCH($A1090,[1]FG_Begin_Inventory!$A:$A,0)),0),J1089))</f>
        <v/>
      </c>
      <c r="G1090" s="61" t="str">
        <f t="shared" si="122"/>
        <v/>
      </c>
      <c r="H1090" s="61" t="str">
        <f t="shared" ref="H1090:H1153" si="123">IF($A1090="","",MAX(0,E1090+G1090-F1090))</f>
        <v/>
      </c>
      <c r="I1090" s="62" t="str">
        <f t="shared" ref="I1090:I1153" si="124">IF($A1090="","",MIN(D1090,H1090))</f>
        <v/>
      </c>
      <c r="J1090" s="61" t="str">
        <f t="shared" ref="J1090:J1153" si="125">IF($A1090="","",MAX(0,F1090+I1090-E1090))</f>
        <v/>
      </c>
      <c r="K1090" s="61" t="str">
        <f t="shared" ref="K1090:K1153" si="126">IF($A1090="","",MAX(0,E1090-F1090-I1090))</f>
        <v/>
      </c>
      <c r="L1090" s="61" t="str">
        <f t="shared" ref="L1090:L1153" si="127">IF($A1090="","",MAX(0,F1090+I1090-E1090))</f>
        <v/>
      </c>
      <c r="M1090" s="63" t="str">
        <f t="shared" ref="M1090:M1153" si="128">IF($A1090="","",IFERROR(I1090/D1090,0))</f>
        <v/>
      </c>
      <c r="N1090" s="64"/>
    </row>
    <row r="1091" spans="1:14" x14ac:dyDescent="0.3">
      <c r="A1091" s="58" t="str">
        <f>IF([1]weekly_demand!A1092="","",[1]weekly_demand!A1092)</f>
        <v/>
      </c>
      <c r="B1091" s="59" t="str">
        <f>IF($A1091="","",[1]weekly_demand!F1092)</f>
        <v/>
      </c>
      <c r="C1091" s="60" t="str">
        <f>IF($A1091="","",[1]weekly_demand!H1092)</f>
        <v/>
      </c>
      <c r="D1091" s="61" t="str">
        <f>IF($A1091="","",IF(SUMIFS([1]Fixture_Capacity_Input!$C:$C,[1]Fixture_Capacity_Input!$A:$A,$B1091,[1]Fixture_Capacity_Input!$B:$B,$C1091)&gt;0,SUMIFS([1]Fixture_Capacity_Input!$C:$C,[1]Fixture_Capacity_Input!$A:$A,$B1091,[1]Fixture_Capacity_Input!$B:$B,$C1091),[1]weekly_demand!G1092))</f>
        <v/>
      </c>
      <c r="E1091" s="62" t="str">
        <f>IF($A1091="","",[1]weekly_demand!I1092)</f>
        <v/>
      </c>
      <c r="F1091" s="61" t="str">
        <f>IF($A1091="","",IF($A1091&lt;&gt;$A1090,IFERROR(INDEX([1]FG_Begin_Inventory!$B:$B,MATCH($A1091,[1]FG_Begin_Inventory!$A:$A,0)),0),J1090))</f>
        <v/>
      </c>
      <c r="G1091" s="61" t="str">
        <f t="shared" si="122"/>
        <v/>
      </c>
      <c r="H1091" s="61" t="str">
        <f t="shared" si="123"/>
        <v/>
      </c>
      <c r="I1091" s="62" t="str">
        <f t="shared" si="124"/>
        <v/>
      </c>
      <c r="J1091" s="61" t="str">
        <f t="shared" si="125"/>
        <v/>
      </c>
      <c r="K1091" s="61" t="str">
        <f t="shared" si="126"/>
        <v/>
      </c>
      <c r="L1091" s="61" t="str">
        <f t="shared" si="127"/>
        <v/>
      </c>
      <c r="M1091" s="63" t="str">
        <f t="shared" si="128"/>
        <v/>
      </c>
      <c r="N1091" s="64"/>
    </row>
    <row r="1092" spans="1:14" x14ac:dyDescent="0.3">
      <c r="A1092" s="58" t="str">
        <f>IF([1]weekly_demand!A1093="","",[1]weekly_demand!A1093)</f>
        <v/>
      </c>
      <c r="B1092" s="59" t="str">
        <f>IF($A1092="","",[1]weekly_demand!F1093)</f>
        <v/>
      </c>
      <c r="C1092" s="60" t="str">
        <f>IF($A1092="","",[1]weekly_demand!H1093)</f>
        <v/>
      </c>
      <c r="D1092" s="61" t="str">
        <f>IF($A1092="","",IF(SUMIFS([1]Fixture_Capacity_Input!$C:$C,[1]Fixture_Capacity_Input!$A:$A,$B1092,[1]Fixture_Capacity_Input!$B:$B,$C1092)&gt;0,SUMIFS([1]Fixture_Capacity_Input!$C:$C,[1]Fixture_Capacity_Input!$A:$A,$B1092,[1]Fixture_Capacity_Input!$B:$B,$C1092),[1]weekly_demand!G1093))</f>
        <v/>
      </c>
      <c r="E1092" s="62" t="str">
        <f>IF($A1092="","",[1]weekly_demand!I1093)</f>
        <v/>
      </c>
      <c r="F1092" s="61" t="str">
        <f>IF($A1092="","",IF($A1092&lt;&gt;$A1091,IFERROR(INDEX([1]FG_Begin_Inventory!$B:$B,MATCH($A1092,[1]FG_Begin_Inventory!$A:$A,0)),0),J1091))</f>
        <v/>
      </c>
      <c r="G1092" s="61" t="str">
        <f t="shared" si="122"/>
        <v/>
      </c>
      <c r="H1092" s="61" t="str">
        <f t="shared" si="123"/>
        <v/>
      </c>
      <c r="I1092" s="62" t="str">
        <f t="shared" si="124"/>
        <v/>
      </c>
      <c r="J1092" s="61" t="str">
        <f t="shared" si="125"/>
        <v/>
      </c>
      <c r="K1092" s="61" t="str">
        <f t="shared" si="126"/>
        <v/>
      </c>
      <c r="L1092" s="61" t="str">
        <f t="shared" si="127"/>
        <v/>
      </c>
      <c r="M1092" s="63" t="str">
        <f t="shared" si="128"/>
        <v/>
      </c>
      <c r="N1092" s="64"/>
    </row>
    <row r="1093" spans="1:14" x14ac:dyDescent="0.3">
      <c r="A1093" s="58" t="str">
        <f>IF([1]weekly_demand!A1094="","",[1]weekly_demand!A1094)</f>
        <v/>
      </c>
      <c r="B1093" s="59" t="str">
        <f>IF($A1093="","",[1]weekly_demand!F1094)</f>
        <v/>
      </c>
      <c r="C1093" s="60" t="str">
        <f>IF($A1093="","",[1]weekly_demand!H1094)</f>
        <v/>
      </c>
      <c r="D1093" s="61" t="str">
        <f>IF($A1093="","",IF(SUMIFS([1]Fixture_Capacity_Input!$C:$C,[1]Fixture_Capacity_Input!$A:$A,$B1093,[1]Fixture_Capacity_Input!$B:$B,$C1093)&gt;0,SUMIFS([1]Fixture_Capacity_Input!$C:$C,[1]Fixture_Capacity_Input!$A:$A,$B1093,[1]Fixture_Capacity_Input!$B:$B,$C1093),[1]weekly_demand!G1094))</f>
        <v/>
      </c>
      <c r="E1093" s="62" t="str">
        <f>IF($A1093="","",[1]weekly_demand!I1094)</f>
        <v/>
      </c>
      <c r="F1093" s="61" t="str">
        <f>IF($A1093="","",IF($A1093&lt;&gt;$A1092,IFERROR(INDEX([1]FG_Begin_Inventory!$B:$B,MATCH($A1093,[1]FG_Begin_Inventory!$A:$A,0)),0),J1092))</f>
        <v/>
      </c>
      <c r="G1093" s="61" t="str">
        <f t="shared" si="122"/>
        <v/>
      </c>
      <c r="H1093" s="61" t="str">
        <f t="shared" si="123"/>
        <v/>
      </c>
      <c r="I1093" s="62" t="str">
        <f t="shared" si="124"/>
        <v/>
      </c>
      <c r="J1093" s="61" t="str">
        <f t="shared" si="125"/>
        <v/>
      </c>
      <c r="K1093" s="61" t="str">
        <f t="shared" si="126"/>
        <v/>
      </c>
      <c r="L1093" s="61" t="str">
        <f t="shared" si="127"/>
        <v/>
      </c>
      <c r="M1093" s="63" t="str">
        <f t="shared" si="128"/>
        <v/>
      </c>
      <c r="N1093" s="64"/>
    </row>
    <row r="1094" spans="1:14" x14ac:dyDescent="0.3">
      <c r="A1094" s="58" t="str">
        <f>IF([1]weekly_demand!A1095="","",[1]weekly_demand!A1095)</f>
        <v/>
      </c>
      <c r="B1094" s="59" t="str">
        <f>IF($A1094="","",[1]weekly_demand!F1095)</f>
        <v/>
      </c>
      <c r="C1094" s="60" t="str">
        <f>IF($A1094="","",[1]weekly_demand!H1095)</f>
        <v/>
      </c>
      <c r="D1094" s="61" t="str">
        <f>IF($A1094="","",IF(SUMIFS([1]Fixture_Capacity_Input!$C:$C,[1]Fixture_Capacity_Input!$A:$A,$B1094,[1]Fixture_Capacity_Input!$B:$B,$C1094)&gt;0,SUMIFS([1]Fixture_Capacity_Input!$C:$C,[1]Fixture_Capacity_Input!$A:$A,$B1094,[1]Fixture_Capacity_Input!$B:$B,$C1094),[1]weekly_demand!G1095))</f>
        <v/>
      </c>
      <c r="E1094" s="62" t="str">
        <f>IF($A1094="","",[1]weekly_demand!I1095)</f>
        <v/>
      </c>
      <c r="F1094" s="61" t="str">
        <f>IF($A1094="","",IF($A1094&lt;&gt;$A1093,IFERROR(INDEX([1]FG_Begin_Inventory!$B:$B,MATCH($A1094,[1]FG_Begin_Inventory!$A:$A,0)),0),J1093))</f>
        <v/>
      </c>
      <c r="G1094" s="61" t="str">
        <f t="shared" si="122"/>
        <v/>
      </c>
      <c r="H1094" s="61" t="str">
        <f t="shared" si="123"/>
        <v/>
      </c>
      <c r="I1094" s="62" t="str">
        <f t="shared" si="124"/>
        <v/>
      </c>
      <c r="J1094" s="61" t="str">
        <f t="shared" si="125"/>
        <v/>
      </c>
      <c r="K1094" s="61" t="str">
        <f t="shared" si="126"/>
        <v/>
      </c>
      <c r="L1094" s="61" t="str">
        <f t="shared" si="127"/>
        <v/>
      </c>
      <c r="M1094" s="63" t="str">
        <f t="shared" si="128"/>
        <v/>
      </c>
      <c r="N1094" s="64"/>
    </row>
    <row r="1095" spans="1:14" x14ac:dyDescent="0.3">
      <c r="A1095" s="58" t="str">
        <f>IF([1]weekly_demand!A1096="","",[1]weekly_demand!A1096)</f>
        <v/>
      </c>
      <c r="B1095" s="59" t="str">
        <f>IF($A1095="","",[1]weekly_demand!F1096)</f>
        <v/>
      </c>
      <c r="C1095" s="60" t="str">
        <f>IF($A1095="","",[1]weekly_demand!H1096)</f>
        <v/>
      </c>
      <c r="D1095" s="61" t="str">
        <f>IF($A1095="","",IF(SUMIFS([1]Fixture_Capacity_Input!$C:$C,[1]Fixture_Capacity_Input!$A:$A,$B1095,[1]Fixture_Capacity_Input!$B:$B,$C1095)&gt;0,SUMIFS([1]Fixture_Capacity_Input!$C:$C,[1]Fixture_Capacity_Input!$A:$A,$B1095,[1]Fixture_Capacity_Input!$B:$B,$C1095),[1]weekly_demand!G1096))</f>
        <v/>
      </c>
      <c r="E1095" s="62" t="str">
        <f>IF($A1095="","",[1]weekly_demand!I1096)</f>
        <v/>
      </c>
      <c r="F1095" s="61" t="str">
        <f>IF($A1095="","",IF($A1095&lt;&gt;$A1094,IFERROR(INDEX([1]FG_Begin_Inventory!$B:$B,MATCH($A1095,[1]FG_Begin_Inventory!$A:$A,0)),0),J1094))</f>
        <v/>
      </c>
      <c r="G1095" s="61" t="str">
        <f t="shared" si="122"/>
        <v/>
      </c>
      <c r="H1095" s="61" t="str">
        <f t="shared" si="123"/>
        <v/>
      </c>
      <c r="I1095" s="62" t="str">
        <f t="shared" si="124"/>
        <v/>
      </c>
      <c r="J1095" s="61" t="str">
        <f t="shared" si="125"/>
        <v/>
      </c>
      <c r="K1095" s="61" t="str">
        <f t="shared" si="126"/>
        <v/>
      </c>
      <c r="L1095" s="61" t="str">
        <f t="shared" si="127"/>
        <v/>
      </c>
      <c r="M1095" s="63" t="str">
        <f t="shared" si="128"/>
        <v/>
      </c>
      <c r="N1095" s="64"/>
    </row>
    <row r="1096" spans="1:14" x14ac:dyDescent="0.3">
      <c r="A1096" s="58" t="str">
        <f>IF([1]weekly_demand!A1097="","",[1]weekly_demand!A1097)</f>
        <v/>
      </c>
      <c r="B1096" s="59" t="str">
        <f>IF($A1096="","",[1]weekly_demand!F1097)</f>
        <v/>
      </c>
      <c r="C1096" s="60" t="str">
        <f>IF($A1096="","",[1]weekly_demand!H1097)</f>
        <v/>
      </c>
      <c r="D1096" s="61" t="str">
        <f>IF($A1096="","",IF(SUMIFS([1]Fixture_Capacity_Input!$C:$C,[1]Fixture_Capacity_Input!$A:$A,$B1096,[1]Fixture_Capacity_Input!$B:$B,$C1096)&gt;0,SUMIFS([1]Fixture_Capacity_Input!$C:$C,[1]Fixture_Capacity_Input!$A:$A,$B1096,[1]Fixture_Capacity_Input!$B:$B,$C1096),[1]weekly_demand!G1097))</f>
        <v/>
      </c>
      <c r="E1096" s="62" t="str">
        <f>IF($A1096="","",[1]weekly_demand!I1097)</f>
        <v/>
      </c>
      <c r="F1096" s="61" t="str">
        <f>IF($A1096="","",IF($A1096&lt;&gt;$A1095,IFERROR(INDEX([1]FG_Begin_Inventory!$B:$B,MATCH($A1096,[1]FG_Begin_Inventory!$A:$A,0)),0),J1095))</f>
        <v/>
      </c>
      <c r="G1096" s="61" t="str">
        <f t="shared" si="122"/>
        <v/>
      </c>
      <c r="H1096" s="61" t="str">
        <f t="shared" si="123"/>
        <v/>
      </c>
      <c r="I1096" s="62" t="str">
        <f t="shared" si="124"/>
        <v/>
      </c>
      <c r="J1096" s="61" t="str">
        <f t="shared" si="125"/>
        <v/>
      </c>
      <c r="K1096" s="61" t="str">
        <f t="shared" si="126"/>
        <v/>
      </c>
      <c r="L1096" s="61" t="str">
        <f t="shared" si="127"/>
        <v/>
      </c>
      <c r="M1096" s="63" t="str">
        <f t="shared" si="128"/>
        <v/>
      </c>
      <c r="N1096" s="64"/>
    </row>
    <row r="1097" spans="1:14" x14ac:dyDescent="0.3">
      <c r="A1097" s="58" t="str">
        <f>IF([1]weekly_demand!A1098="","",[1]weekly_demand!A1098)</f>
        <v/>
      </c>
      <c r="B1097" s="59" t="str">
        <f>IF($A1097="","",[1]weekly_demand!F1098)</f>
        <v/>
      </c>
      <c r="C1097" s="60" t="str">
        <f>IF($A1097="","",[1]weekly_demand!H1098)</f>
        <v/>
      </c>
      <c r="D1097" s="61" t="str">
        <f>IF($A1097="","",IF(SUMIFS([1]Fixture_Capacity_Input!$C:$C,[1]Fixture_Capacity_Input!$A:$A,$B1097,[1]Fixture_Capacity_Input!$B:$B,$C1097)&gt;0,SUMIFS([1]Fixture_Capacity_Input!$C:$C,[1]Fixture_Capacity_Input!$A:$A,$B1097,[1]Fixture_Capacity_Input!$B:$B,$C1097),[1]weekly_demand!G1098))</f>
        <v/>
      </c>
      <c r="E1097" s="62" t="str">
        <f>IF($A1097="","",[1]weekly_demand!I1098)</f>
        <v/>
      </c>
      <c r="F1097" s="61" t="str">
        <f>IF($A1097="","",IF($A1097&lt;&gt;$A1096,IFERROR(INDEX([1]FG_Begin_Inventory!$B:$B,MATCH($A1097,[1]FG_Begin_Inventory!$A:$A,0)),0),J1096))</f>
        <v/>
      </c>
      <c r="G1097" s="61" t="str">
        <f t="shared" si="122"/>
        <v/>
      </c>
      <c r="H1097" s="61" t="str">
        <f t="shared" si="123"/>
        <v/>
      </c>
      <c r="I1097" s="62" t="str">
        <f t="shared" si="124"/>
        <v/>
      </c>
      <c r="J1097" s="61" t="str">
        <f t="shared" si="125"/>
        <v/>
      </c>
      <c r="K1097" s="61" t="str">
        <f t="shared" si="126"/>
        <v/>
      </c>
      <c r="L1097" s="61" t="str">
        <f t="shared" si="127"/>
        <v/>
      </c>
      <c r="M1097" s="63" t="str">
        <f t="shared" si="128"/>
        <v/>
      </c>
      <c r="N1097" s="64"/>
    </row>
    <row r="1098" spans="1:14" x14ac:dyDescent="0.3">
      <c r="A1098" s="58" t="str">
        <f>IF([1]weekly_demand!A1099="","",[1]weekly_demand!A1099)</f>
        <v/>
      </c>
      <c r="B1098" s="59" t="str">
        <f>IF($A1098="","",[1]weekly_demand!F1099)</f>
        <v/>
      </c>
      <c r="C1098" s="60" t="str">
        <f>IF($A1098="","",[1]weekly_demand!H1099)</f>
        <v/>
      </c>
      <c r="D1098" s="61" t="str">
        <f>IF($A1098="","",IF(SUMIFS([1]Fixture_Capacity_Input!$C:$C,[1]Fixture_Capacity_Input!$A:$A,$B1098,[1]Fixture_Capacity_Input!$B:$B,$C1098)&gt;0,SUMIFS([1]Fixture_Capacity_Input!$C:$C,[1]Fixture_Capacity_Input!$A:$A,$B1098,[1]Fixture_Capacity_Input!$B:$B,$C1098),[1]weekly_demand!G1099))</f>
        <v/>
      </c>
      <c r="E1098" s="62" t="str">
        <f>IF($A1098="","",[1]weekly_demand!I1099)</f>
        <v/>
      </c>
      <c r="F1098" s="61" t="str">
        <f>IF($A1098="","",IF($A1098&lt;&gt;$A1097,IFERROR(INDEX([1]FG_Begin_Inventory!$B:$B,MATCH($A1098,[1]FG_Begin_Inventory!$A:$A,0)),0),J1097))</f>
        <v/>
      </c>
      <c r="G1098" s="61" t="str">
        <f t="shared" si="122"/>
        <v/>
      </c>
      <c r="H1098" s="61" t="str">
        <f t="shared" si="123"/>
        <v/>
      </c>
      <c r="I1098" s="62" t="str">
        <f t="shared" si="124"/>
        <v/>
      </c>
      <c r="J1098" s="61" t="str">
        <f t="shared" si="125"/>
        <v/>
      </c>
      <c r="K1098" s="61" t="str">
        <f t="shared" si="126"/>
        <v/>
      </c>
      <c r="L1098" s="61" t="str">
        <f t="shared" si="127"/>
        <v/>
      </c>
      <c r="M1098" s="63" t="str">
        <f t="shared" si="128"/>
        <v/>
      </c>
      <c r="N1098" s="64"/>
    </row>
    <row r="1099" spans="1:14" x14ac:dyDescent="0.3">
      <c r="A1099" s="58" t="str">
        <f>IF([1]weekly_demand!A1100="","",[1]weekly_demand!A1100)</f>
        <v/>
      </c>
      <c r="B1099" s="59" t="str">
        <f>IF($A1099="","",[1]weekly_demand!F1100)</f>
        <v/>
      </c>
      <c r="C1099" s="60" t="str">
        <f>IF($A1099="","",[1]weekly_demand!H1100)</f>
        <v/>
      </c>
      <c r="D1099" s="61" t="str">
        <f>IF($A1099="","",IF(SUMIFS([1]Fixture_Capacity_Input!$C:$C,[1]Fixture_Capacity_Input!$A:$A,$B1099,[1]Fixture_Capacity_Input!$B:$B,$C1099)&gt;0,SUMIFS([1]Fixture_Capacity_Input!$C:$C,[1]Fixture_Capacity_Input!$A:$A,$B1099,[1]Fixture_Capacity_Input!$B:$B,$C1099),[1]weekly_demand!G1100))</f>
        <v/>
      </c>
      <c r="E1099" s="62" t="str">
        <f>IF($A1099="","",[1]weekly_demand!I1100)</f>
        <v/>
      </c>
      <c r="F1099" s="61" t="str">
        <f>IF($A1099="","",IF($A1099&lt;&gt;$A1098,IFERROR(INDEX([1]FG_Begin_Inventory!$B:$B,MATCH($A1099,[1]FG_Begin_Inventory!$A:$A,0)),0),J1098))</f>
        <v/>
      </c>
      <c r="G1099" s="61" t="str">
        <f t="shared" si="122"/>
        <v/>
      </c>
      <c r="H1099" s="61" t="str">
        <f t="shared" si="123"/>
        <v/>
      </c>
      <c r="I1099" s="62" t="str">
        <f t="shared" si="124"/>
        <v/>
      </c>
      <c r="J1099" s="61" t="str">
        <f t="shared" si="125"/>
        <v/>
      </c>
      <c r="K1099" s="61" t="str">
        <f t="shared" si="126"/>
        <v/>
      </c>
      <c r="L1099" s="61" t="str">
        <f t="shared" si="127"/>
        <v/>
      </c>
      <c r="M1099" s="63" t="str">
        <f t="shared" si="128"/>
        <v/>
      </c>
      <c r="N1099" s="64"/>
    </row>
    <row r="1100" spans="1:14" x14ac:dyDescent="0.3">
      <c r="A1100" s="58" t="str">
        <f>IF([1]weekly_demand!A1101="","",[1]weekly_demand!A1101)</f>
        <v/>
      </c>
      <c r="B1100" s="59" t="str">
        <f>IF($A1100="","",[1]weekly_demand!F1101)</f>
        <v/>
      </c>
      <c r="C1100" s="60" t="str">
        <f>IF($A1100="","",[1]weekly_demand!H1101)</f>
        <v/>
      </c>
      <c r="D1100" s="61" t="str">
        <f>IF($A1100="","",IF(SUMIFS([1]Fixture_Capacity_Input!$C:$C,[1]Fixture_Capacity_Input!$A:$A,$B1100,[1]Fixture_Capacity_Input!$B:$B,$C1100)&gt;0,SUMIFS([1]Fixture_Capacity_Input!$C:$C,[1]Fixture_Capacity_Input!$A:$A,$B1100,[1]Fixture_Capacity_Input!$B:$B,$C1100),[1]weekly_demand!G1101))</f>
        <v/>
      </c>
      <c r="E1100" s="62" t="str">
        <f>IF($A1100="","",[1]weekly_demand!I1101)</f>
        <v/>
      </c>
      <c r="F1100" s="61" t="str">
        <f>IF($A1100="","",IF($A1100&lt;&gt;$A1099,IFERROR(INDEX([1]FG_Begin_Inventory!$B:$B,MATCH($A1100,[1]FG_Begin_Inventory!$A:$A,0)),0),J1099))</f>
        <v/>
      </c>
      <c r="G1100" s="61" t="str">
        <f t="shared" si="122"/>
        <v/>
      </c>
      <c r="H1100" s="61" t="str">
        <f t="shared" si="123"/>
        <v/>
      </c>
      <c r="I1100" s="62" t="str">
        <f t="shared" si="124"/>
        <v/>
      </c>
      <c r="J1100" s="61" t="str">
        <f t="shared" si="125"/>
        <v/>
      </c>
      <c r="K1100" s="61" t="str">
        <f t="shared" si="126"/>
        <v/>
      </c>
      <c r="L1100" s="61" t="str">
        <f t="shared" si="127"/>
        <v/>
      </c>
      <c r="M1100" s="63" t="str">
        <f t="shared" si="128"/>
        <v/>
      </c>
      <c r="N1100" s="64"/>
    </row>
    <row r="1101" spans="1:14" x14ac:dyDescent="0.3">
      <c r="A1101" s="58" t="str">
        <f>IF([1]weekly_demand!A1102="","",[1]weekly_demand!A1102)</f>
        <v/>
      </c>
      <c r="B1101" s="59" t="str">
        <f>IF($A1101="","",[1]weekly_demand!F1102)</f>
        <v/>
      </c>
      <c r="C1101" s="60" t="str">
        <f>IF($A1101="","",[1]weekly_demand!H1102)</f>
        <v/>
      </c>
      <c r="D1101" s="61" t="str">
        <f>IF($A1101="","",IF(SUMIFS([1]Fixture_Capacity_Input!$C:$C,[1]Fixture_Capacity_Input!$A:$A,$B1101,[1]Fixture_Capacity_Input!$B:$B,$C1101)&gt;0,SUMIFS([1]Fixture_Capacity_Input!$C:$C,[1]Fixture_Capacity_Input!$A:$A,$B1101,[1]Fixture_Capacity_Input!$B:$B,$C1101),[1]weekly_demand!G1102))</f>
        <v/>
      </c>
      <c r="E1101" s="62" t="str">
        <f>IF($A1101="","",[1]weekly_demand!I1102)</f>
        <v/>
      </c>
      <c r="F1101" s="61" t="str">
        <f>IF($A1101="","",IF($A1101&lt;&gt;$A1100,IFERROR(INDEX([1]FG_Begin_Inventory!$B:$B,MATCH($A1101,[1]FG_Begin_Inventory!$A:$A,0)),0),J1100))</f>
        <v/>
      </c>
      <c r="G1101" s="61" t="str">
        <f t="shared" si="122"/>
        <v/>
      </c>
      <c r="H1101" s="61" t="str">
        <f t="shared" si="123"/>
        <v/>
      </c>
      <c r="I1101" s="62" t="str">
        <f t="shared" si="124"/>
        <v/>
      </c>
      <c r="J1101" s="61" t="str">
        <f t="shared" si="125"/>
        <v/>
      </c>
      <c r="K1101" s="61" t="str">
        <f t="shared" si="126"/>
        <v/>
      </c>
      <c r="L1101" s="61" t="str">
        <f t="shared" si="127"/>
        <v/>
      </c>
      <c r="M1101" s="63" t="str">
        <f t="shared" si="128"/>
        <v/>
      </c>
      <c r="N1101" s="64"/>
    </row>
    <row r="1102" spans="1:14" x14ac:dyDescent="0.3">
      <c r="A1102" s="58" t="str">
        <f>IF([1]weekly_demand!A1103="","",[1]weekly_demand!A1103)</f>
        <v/>
      </c>
      <c r="B1102" s="59" t="str">
        <f>IF($A1102="","",[1]weekly_demand!F1103)</f>
        <v/>
      </c>
      <c r="C1102" s="60" t="str">
        <f>IF($A1102="","",[1]weekly_demand!H1103)</f>
        <v/>
      </c>
      <c r="D1102" s="61" t="str">
        <f>IF($A1102="","",IF(SUMIFS([1]Fixture_Capacity_Input!$C:$C,[1]Fixture_Capacity_Input!$A:$A,$B1102,[1]Fixture_Capacity_Input!$B:$B,$C1102)&gt;0,SUMIFS([1]Fixture_Capacity_Input!$C:$C,[1]Fixture_Capacity_Input!$A:$A,$B1102,[1]Fixture_Capacity_Input!$B:$B,$C1102),[1]weekly_demand!G1103))</f>
        <v/>
      </c>
      <c r="E1102" s="62" t="str">
        <f>IF($A1102="","",[1]weekly_demand!I1103)</f>
        <v/>
      </c>
      <c r="F1102" s="61" t="str">
        <f>IF($A1102="","",IF($A1102&lt;&gt;$A1101,IFERROR(INDEX([1]FG_Begin_Inventory!$B:$B,MATCH($A1102,[1]FG_Begin_Inventory!$A:$A,0)),0),J1101))</f>
        <v/>
      </c>
      <c r="G1102" s="61" t="str">
        <f t="shared" si="122"/>
        <v/>
      </c>
      <c r="H1102" s="61" t="str">
        <f t="shared" si="123"/>
        <v/>
      </c>
      <c r="I1102" s="62" t="str">
        <f t="shared" si="124"/>
        <v/>
      </c>
      <c r="J1102" s="61" t="str">
        <f t="shared" si="125"/>
        <v/>
      </c>
      <c r="K1102" s="61" t="str">
        <f t="shared" si="126"/>
        <v/>
      </c>
      <c r="L1102" s="61" t="str">
        <f t="shared" si="127"/>
        <v/>
      </c>
      <c r="M1102" s="63" t="str">
        <f t="shared" si="128"/>
        <v/>
      </c>
      <c r="N1102" s="64"/>
    </row>
    <row r="1103" spans="1:14" x14ac:dyDescent="0.3">
      <c r="A1103" s="58" t="str">
        <f>IF([1]weekly_demand!A1104="","",[1]weekly_demand!A1104)</f>
        <v/>
      </c>
      <c r="B1103" s="59" t="str">
        <f>IF($A1103="","",[1]weekly_demand!F1104)</f>
        <v/>
      </c>
      <c r="C1103" s="60" t="str">
        <f>IF($A1103="","",[1]weekly_demand!H1104)</f>
        <v/>
      </c>
      <c r="D1103" s="61" t="str">
        <f>IF($A1103="","",IF(SUMIFS([1]Fixture_Capacity_Input!$C:$C,[1]Fixture_Capacity_Input!$A:$A,$B1103,[1]Fixture_Capacity_Input!$B:$B,$C1103)&gt;0,SUMIFS([1]Fixture_Capacity_Input!$C:$C,[1]Fixture_Capacity_Input!$A:$A,$B1103,[1]Fixture_Capacity_Input!$B:$B,$C1103),[1]weekly_demand!G1104))</f>
        <v/>
      </c>
      <c r="E1103" s="62" t="str">
        <f>IF($A1103="","",[1]weekly_demand!I1104)</f>
        <v/>
      </c>
      <c r="F1103" s="61" t="str">
        <f>IF($A1103="","",IF($A1103&lt;&gt;$A1102,IFERROR(INDEX([1]FG_Begin_Inventory!$B:$B,MATCH($A1103,[1]FG_Begin_Inventory!$A:$A,0)),0),J1102))</f>
        <v/>
      </c>
      <c r="G1103" s="61" t="str">
        <f t="shared" si="122"/>
        <v/>
      </c>
      <c r="H1103" s="61" t="str">
        <f t="shared" si="123"/>
        <v/>
      </c>
      <c r="I1103" s="62" t="str">
        <f t="shared" si="124"/>
        <v/>
      </c>
      <c r="J1103" s="61" t="str">
        <f t="shared" si="125"/>
        <v/>
      </c>
      <c r="K1103" s="61" t="str">
        <f t="shared" si="126"/>
        <v/>
      </c>
      <c r="L1103" s="61" t="str">
        <f t="shared" si="127"/>
        <v/>
      </c>
      <c r="M1103" s="63" t="str">
        <f t="shared" si="128"/>
        <v/>
      </c>
      <c r="N1103" s="64"/>
    </row>
    <row r="1104" spans="1:14" x14ac:dyDescent="0.3">
      <c r="A1104" s="58" t="str">
        <f>IF([1]weekly_demand!A1105="","",[1]weekly_demand!A1105)</f>
        <v/>
      </c>
      <c r="B1104" s="59" t="str">
        <f>IF($A1104="","",[1]weekly_demand!F1105)</f>
        <v/>
      </c>
      <c r="C1104" s="60" t="str">
        <f>IF($A1104="","",[1]weekly_demand!H1105)</f>
        <v/>
      </c>
      <c r="D1104" s="61" t="str">
        <f>IF($A1104="","",IF(SUMIFS([1]Fixture_Capacity_Input!$C:$C,[1]Fixture_Capacity_Input!$A:$A,$B1104,[1]Fixture_Capacity_Input!$B:$B,$C1104)&gt;0,SUMIFS([1]Fixture_Capacity_Input!$C:$C,[1]Fixture_Capacity_Input!$A:$A,$B1104,[1]Fixture_Capacity_Input!$B:$B,$C1104),[1]weekly_demand!G1105))</f>
        <v/>
      </c>
      <c r="E1104" s="62" t="str">
        <f>IF($A1104="","",[1]weekly_demand!I1105)</f>
        <v/>
      </c>
      <c r="F1104" s="61" t="str">
        <f>IF($A1104="","",IF($A1104&lt;&gt;$A1103,IFERROR(INDEX([1]FG_Begin_Inventory!$B:$B,MATCH($A1104,[1]FG_Begin_Inventory!$A:$A,0)),0),J1103))</f>
        <v/>
      </c>
      <c r="G1104" s="61" t="str">
        <f t="shared" si="122"/>
        <v/>
      </c>
      <c r="H1104" s="61" t="str">
        <f t="shared" si="123"/>
        <v/>
      </c>
      <c r="I1104" s="62" t="str">
        <f t="shared" si="124"/>
        <v/>
      </c>
      <c r="J1104" s="61" t="str">
        <f t="shared" si="125"/>
        <v/>
      </c>
      <c r="K1104" s="61" t="str">
        <f t="shared" si="126"/>
        <v/>
      </c>
      <c r="L1104" s="61" t="str">
        <f t="shared" si="127"/>
        <v/>
      </c>
      <c r="M1104" s="63" t="str">
        <f t="shared" si="128"/>
        <v/>
      </c>
      <c r="N1104" s="64"/>
    </row>
    <row r="1105" spans="1:14" x14ac:dyDescent="0.3">
      <c r="A1105" s="58" t="str">
        <f>IF([1]weekly_demand!A1106="","",[1]weekly_demand!A1106)</f>
        <v/>
      </c>
      <c r="B1105" s="59" t="str">
        <f>IF($A1105="","",[1]weekly_demand!F1106)</f>
        <v/>
      </c>
      <c r="C1105" s="60" t="str">
        <f>IF($A1105="","",[1]weekly_demand!H1106)</f>
        <v/>
      </c>
      <c r="D1105" s="61" t="str">
        <f>IF($A1105="","",IF(SUMIFS([1]Fixture_Capacity_Input!$C:$C,[1]Fixture_Capacity_Input!$A:$A,$B1105,[1]Fixture_Capacity_Input!$B:$B,$C1105)&gt;0,SUMIFS([1]Fixture_Capacity_Input!$C:$C,[1]Fixture_Capacity_Input!$A:$A,$B1105,[1]Fixture_Capacity_Input!$B:$B,$C1105),[1]weekly_demand!G1106))</f>
        <v/>
      </c>
      <c r="E1105" s="62" t="str">
        <f>IF($A1105="","",[1]weekly_demand!I1106)</f>
        <v/>
      </c>
      <c r="F1105" s="61" t="str">
        <f>IF($A1105="","",IF($A1105&lt;&gt;$A1104,IFERROR(INDEX([1]FG_Begin_Inventory!$B:$B,MATCH($A1105,[1]FG_Begin_Inventory!$A:$A,0)),0),J1104))</f>
        <v/>
      </c>
      <c r="G1105" s="61" t="str">
        <f t="shared" si="122"/>
        <v/>
      </c>
      <c r="H1105" s="61" t="str">
        <f t="shared" si="123"/>
        <v/>
      </c>
      <c r="I1105" s="62" t="str">
        <f t="shared" si="124"/>
        <v/>
      </c>
      <c r="J1105" s="61" t="str">
        <f t="shared" si="125"/>
        <v/>
      </c>
      <c r="K1105" s="61" t="str">
        <f t="shared" si="126"/>
        <v/>
      </c>
      <c r="L1105" s="61" t="str">
        <f t="shared" si="127"/>
        <v/>
      </c>
      <c r="M1105" s="63" t="str">
        <f t="shared" si="128"/>
        <v/>
      </c>
      <c r="N1105" s="64"/>
    </row>
    <row r="1106" spans="1:14" x14ac:dyDescent="0.3">
      <c r="A1106" s="58" t="str">
        <f>IF([1]weekly_demand!A1107="","",[1]weekly_demand!A1107)</f>
        <v/>
      </c>
      <c r="B1106" s="59" t="str">
        <f>IF($A1106="","",[1]weekly_demand!F1107)</f>
        <v/>
      </c>
      <c r="C1106" s="60" t="str">
        <f>IF($A1106="","",[1]weekly_demand!H1107)</f>
        <v/>
      </c>
      <c r="D1106" s="61" t="str">
        <f>IF($A1106="","",IF(SUMIFS([1]Fixture_Capacity_Input!$C:$C,[1]Fixture_Capacity_Input!$A:$A,$B1106,[1]Fixture_Capacity_Input!$B:$B,$C1106)&gt;0,SUMIFS([1]Fixture_Capacity_Input!$C:$C,[1]Fixture_Capacity_Input!$A:$A,$B1106,[1]Fixture_Capacity_Input!$B:$B,$C1106),[1]weekly_demand!G1107))</f>
        <v/>
      </c>
      <c r="E1106" s="62" t="str">
        <f>IF($A1106="","",[1]weekly_demand!I1107)</f>
        <v/>
      </c>
      <c r="F1106" s="61" t="str">
        <f>IF($A1106="","",IF($A1106&lt;&gt;$A1105,IFERROR(INDEX([1]FG_Begin_Inventory!$B:$B,MATCH($A1106,[1]FG_Begin_Inventory!$A:$A,0)),0),J1105))</f>
        <v/>
      </c>
      <c r="G1106" s="61" t="str">
        <f t="shared" si="122"/>
        <v/>
      </c>
      <c r="H1106" s="61" t="str">
        <f t="shared" si="123"/>
        <v/>
      </c>
      <c r="I1106" s="62" t="str">
        <f t="shared" si="124"/>
        <v/>
      </c>
      <c r="J1106" s="61" t="str">
        <f t="shared" si="125"/>
        <v/>
      </c>
      <c r="K1106" s="61" t="str">
        <f t="shared" si="126"/>
        <v/>
      </c>
      <c r="L1106" s="61" t="str">
        <f t="shared" si="127"/>
        <v/>
      </c>
      <c r="M1106" s="63" t="str">
        <f t="shared" si="128"/>
        <v/>
      </c>
      <c r="N1106" s="64"/>
    </row>
    <row r="1107" spans="1:14" x14ac:dyDescent="0.3">
      <c r="A1107" s="58" t="str">
        <f>IF([1]weekly_demand!A1108="","",[1]weekly_demand!A1108)</f>
        <v/>
      </c>
      <c r="B1107" s="59" t="str">
        <f>IF($A1107="","",[1]weekly_demand!F1108)</f>
        <v/>
      </c>
      <c r="C1107" s="60" t="str">
        <f>IF($A1107="","",[1]weekly_demand!H1108)</f>
        <v/>
      </c>
      <c r="D1107" s="61" t="str">
        <f>IF($A1107="","",IF(SUMIFS([1]Fixture_Capacity_Input!$C:$C,[1]Fixture_Capacity_Input!$A:$A,$B1107,[1]Fixture_Capacity_Input!$B:$B,$C1107)&gt;0,SUMIFS([1]Fixture_Capacity_Input!$C:$C,[1]Fixture_Capacity_Input!$A:$A,$B1107,[1]Fixture_Capacity_Input!$B:$B,$C1107),[1]weekly_demand!G1108))</f>
        <v/>
      </c>
      <c r="E1107" s="62" t="str">
        <f>IF($A1107="","",[1]weekly_demand!I1108)</f>
        <v/>
      </c>
      <c r="F1107" s="61" t="str">
        <f>IF($A1107="","",IF($A1107&lt;&gt;$A1106,IFERROR(INDEX([1]FG_Begin_Inventory!$B:$B,MATCH($A1107,[1]FG_Begin_Inventory!$A:$A,0)),0),J1106))</f>
        <v/>
      </c>
      <c r="G1107" s="61" t="str">
        <f t="shared" si="122"/>
        <v/>
      </c>
      <c r="H1107" s="61" t="str">
        <f t="shared" si="123"/>
        <v/>
      </c>
      <c r="I1107" s="62" t="str">
        <f t="shared" si="124"/>
        <v/>
      </c>
      <c r="J1107" s="61" t="str">
        <f t="shared" si="125"/>
        <v/>
      </c>
      <c r="K1107" s="61" t="str">
        <f t="shared" si="126"/>
        <v/>
      </c>
      <c r="L1107" s="61" t="str">
        <f t="shared" si="127"/>
        <v/>
      </c>
      <c r="M1107" s="63" t="str">
        <f t="shared" si="128"/>
        <v/>
      </c>
      <c r="N1107" s="64"/>
    </row>
    <row r="1108" spans="1:14" x14ac:dyDescent="0.3">
      <c r="A1108" s="58" t="str">
        <f>IF([1]weekly_demand!A1109="","",[1]weekly_demand!A1109)</f>
        <v/>
      </c>
      <c r="B1108" s="59" t="str">
        <f>IF($A1108="","",[1]weekly_demand!F1109)</f>
        <v/>
      </c>
      <c r="C1108" s="60" t="str">
        <f>IF($A1108="","",[1]weekly_demand!H1109)</f>
        <v/>
      </c>
      <c r="D1108" s="61" t="str">
        <f>IF($A1108="","",IF(SUMIFS([1]Fixture_Capacity_Input!$C:$C,[1]Fixture_Capacity_Input!$A:$A,$B1108,[1]Fixture_Capacity_Input!$B:$B,$C1108)&gt;0,SUMIFS([1]Fixture_Capacity_Input!$C:$C,[1]Fixture_Capacity_Input!$A:$A,$B1108,[1]Fixture_Capacity_Input!$B:$B,$C1108),[1]weekly_demand!G1109))</f>
        <v/>
      </c>
      <c r="E1108" s="62" t="str">
        <f>IF($A1108="","",[1]weekly_demand!I1109)</f>
        <v/>
      </c>
      <c r="F1108" s="61" t="str">
        <f>IF($A1108="","",IF($A1108&lt;&gt;$A1107,IFERROR(INDEX([1]FG_Begin_Inventory!$B:$B,MATCH($A1108,[1]FG_Begin_Inventory!$A:$A,0)),0),J1107))</f>
        <v/>
      </c>
      <c r="G1108" s="61" t="str">
        <f t="shared" si="122"/>
        <v/>
      </c>
      <c r="H1108" s="61" t="str">
        <f t="shared" si="123"/>
        <v/>
      </c>
      <c r="I1108" s="62" t="str">
        <f t="shared" si="124"/>
        <v/>
      </c>
      <c r="J1108" s="61" t="str">
        <f t="shared" si="125"/>
        <v/>
      </c>
      <c r="K1108" s="61" t="str">
        <f t="shared" si="126"/>
        <v/>
      </c>
      <c r="L1108" s="61" t="str">
        <f t="shared" si="127"/>
        <v/>
      </c>
      <c r="M1108" s="63" t="str">
        <f t="shared" si="128"/>
        <v/>
      </c>
      <c r="N1108" s="64"/>
    </row>
    <row r="1109" spans="1:14" x14ac:dyDescent="0.3">
      <c r="A1109" s="58" t="str">
        <f>IF([1]weekly_demand!A1110="","",[1]weekly_demand!A1110)</f>
        <v/>
      </c>
      <c r="B1109" s="59" t="str">
        <f>IF($A1109="","",[1]weekly_demand!F1110)</f>
        <v/>
      </c>
      <c r="C1109" s="60" t="str">
        <f>IF($A1109="","",[1]weekly_demand!H1110)</f>
        <v/>
      </c>
      <c r="D1109" s="61" t="str">
        <f>IF($A1109="","",IF(SUMIFS([1]Fixture_Capacity_Input!$C:$C,[1]Fixture_Capacity_Input!$A:$A,$B1109,[1]Fixture_Capacity_Input!$B:$B,$C1109)&gt;0,SUMIFS([1]Fixture_Capacity_Input!$C:$C,[1]Fixture_Capacity_Input!$A:$A,$B1109,[1]Fixture_Capacity_Input!$B:$B,$C1109),[1]weekly_demand!G1110))</f>
        <v/>
      </c>
      <c r="E1109" s="62" t="str">
        <f>IF($A1109="","",[1]weekly_demand!I1110)</f>
        <v/>
      </c>
      <c r="F1109" s="61" t="str">
        <f>IF($A1109="","",IF($A1109&lt;&gt;$A1108,IFERROR(INDEX([1]FG_Begin_Inventory!$B:$B,MATCH($A1109,[1]FG_Begin_Inventory!$A:$A,0)),0),J1108))</f>
        <v/>
      </c>
      <c r="G1109" s="61" t="str">
        <f t="shared" si="122"/>
        <v/>
      </c>
      <c r="H1109" s="61" t="str">
        <f t="shared" si="123"/>
        <v/>
      </c>
      <c r="I1109" s="62" t="str">
        <f t="shared" si="124"/>
        <v/>
      </c>
      <c r="J1109" s="61" t="str">
        <f t="shared" si="125"/>
        <v/>
      </c>
      <c r="K1109" s="61" t="str">
        <f t="shared" si="126"/>
        <v/>
      </c>
      <c r="L1109" s="61" t="str">
        <f t="shared" si="127"/>
        <v/>
      </c>
      <c r="M1109" s="63" t="str">
        <f t="shared" si="128"/>
        <v/>
      </c>
      <c r="N1109" s="64"/>
    </row>
    <row r="1110" spans="1:14" x14ac:dyDescent="0.3">
      <c r="A1110" s="58" t="str">
        <f>IF([1]weekly_demand!A1111="","",[1]weekly_demand!A1111)</f>
        <v/>
      </c>
      <c r="B1110" s="59" t="str">
        <f>IF($A1110="","",[1]weekly_demand!F1111)</f>
        <v/>
      </c>
      <c r="C1110" s="60" t="str">
        <f>IF($A1110="","",[1]weekly_demand!H1111)</f>
        <v/>
      </c>
      <c r="D1110" s="61" t="str">
        <f>IF($A1110="","",IF(SUMIFS([1]Fixture_Capacity_Input!$C:$C,[1]Fixture_Capacity_Input!$A:$A,$B1110,[1]Fixture_Capacity_Input!$B:$B,$C1110)&gt;0,SUMIFS([1]Fixture_Capacity_Input!$C:$C,[1]Fixture_Capacity_Input!$A:$A,$B1110,[1]Fixture_Capacity_Input!$B:$B,$C1110),[1]weekly_demand!G1111))</f>
        <v/>
      </c>
      <c r="E1110" s="62" t="str">
        <f>IF($A1110="","",[1]weekly_demand!I1111)</f>
        <v/>
      </c>
      <c r="F1110" s="61" t="str">
        <f>IF($A1110="","",IF($A1110&lt;&gt;$A1109,IFERROR(INDEX([1]FG_Begin_Inventory!$B:$B,MATCH($A1110,[1]FG_Begin_Inventory!$A:$A,0)),0),J1109))</f>
        <v/>
      </c>
      <c r="G1110" s="61" t="str">
        <f t="shared" si="122"/>
        <v/>
      </c>
      <c r="H1110" s="61" t="str">
        <f t="shared" si="123"/>
        <v/>
      </c>
      <c r="I1110" s="62" t="str">
        <f t="shared" si="124"/>
        <v/>
      </c>
      <c r="J1110" s="61" t="str">
        <f t="shared" si="125"/>
        <v/>
      </c>
      <c r="K1110" s="61" t="str">
        <f t="shared" si="126"/>
        <v/>
      </c>
      <c r="L1110" s="61" t="str">
        <f t="shared" si="127"/>
        <v/>
      </c>
      <c r="M1110" s="63" t="str">
        <f t="shared" si="128"/>
        <v/>
      </c>
      <c r="N1110" s="64"/>
    </row>
    <row r="1111" spans="1:14" x14ac:dyDescent="0.3">
      <c r="A1111" s="58" t="str">
        <f>IF([1]weekly_demand!A1112="","",[1]weekly_demand!A1112)</f>
        <v/>
      </c>
      <c r="B1111" s="59" t="str">
        <f>IF($A1111="","",[1]weekly_demand!F1112)</f>
        <v/>
      </c>
      <c r="C1111" s="60" t="str">
        <f>IF($A1111="","",[1]weekly_demand!H1112)</f>
        <v/>
      </c>
      <c r="D1111" s="61" t="str">
        <f>IF($A1111="","",IF(SUMIFS([1]Fixture_Capacity_Input!$C:$C,[1]Fixture_Capacity_Input!$A:$A,$B1111,[1]Fixture_Capacity_Input!$B:$B,$C1111)&gt;0,SUMIFS([1]Fixture_Capacity_Input!$C:$C,[1]Fixture_Capacity_Input!$A:$A,$B1111,[1]Fixture_Capacity_Input!$B:$B,$C1111),[1]weekly_demand!G1112))</f>
        <v/>
      </c>
      <c r="E1111" s="62" t="str">
        <f>IF($A1111="","",[1]weekly_demand!I1112)</f>
        <v/>
      </c>
      <c r="F1111" s="61" t="str">
        <f>IF($A1111="","",IF($A1111&lt;&gt;$A1110,IFERROR(INDEX([1]FG_Begin_Inventory!$B:$B,MATCH($A1111,[1]FG_Begin_Inventory!$A:$A,0)),0),J1110))</f>
        <v/>
      </c>
      <c r="G1111" s="61" t="str">
        <f t="shared" si="122"/>
        <v/>
      </c>
      <c r="H1111" s="61" t="str">
        <f t="shared" si="123"/>
        <v/>
      </c>
      <c r="I1111" s="62" t="str">
        <f t="shared" si="124"/>
        <v/>
      </c>
      <c r="J1111" s="61" t="str">
        <f t="shared" si="125"/>
        <v/>
      </c>
      <c r="K1111" s="61" t="str">
        <f t="shared" si="126"/>
        <v/>
      </c>
      <c r="L1111" s="61" t="str">
        <f t="shared" si="127"/>
        <v/>
      </c>
      <c r="M1111" s="63" t="str">
        <f t="shared" si="128"/>
        <v/>
      </c>
      <c r="N1111" s="64"/>
    </row>
    <row r="1112" spans="1:14" x14ac:dyDescent="0.3">
      <c r="A1112" s="58" t="str">
        <f>IF([1]weekly_demand!A1113="","",[1]weekly_demand!A1113)</f>
        <v/>
      </c>
      <c r="B1112" s="59" t="str">
        <f>IF($A1112="","",[1]weekly_demand!F1113)</f>
        <v/>
      </c>
      <c r="C1112" s="60" t="str">
        <f>IF($A1112="","",[1]weekly_demand!H1113)</f>
        <v/>
      </c>
      <c r="D1112" s="61" t="str">
        <f>IF($A1112="","",IF(SUMIFS([1]Fixture_Capacity_Input!$C:$C,[1]Fixture_Capacity_Input!$A:$A,$B1112,[1]Fixture_Capacity_Input!$B:$B,$C1112)&gt;0,SUMIFS([1]Fixture_Capacity_Input!$C:$C,[1]Fixture_Capacity_Input!$A:$A,$B1112,[1]Fixture_Capacity_Input!$B:$B,$C1112),[1]weekly_demand!G1113))</f>
        <v/>
      </c>
      <c r="E1112" s="62" t="str">
        <f>IF($A1112="","",[1]weekly_demand!I1113)</f>
        <v/>
      </c>
      <c r="F1112" s="61" t="str">
        <f>IF($A1112="","",IF($A1112&lt;&gt;$A1111,IFERROR(INDEX([1]FG_Begin_Inventory!$B:$B,MATCH($A1112,[1]FG_Begin_Inventory!$A:$A,0)),0),J1111))</f>
        <v/>
      </c>
      <c r="G1112" s="61" t="str">
        <f t="shared" si="122"/>
        <v/>
      </c>
      <c r="H1112" s="61" t="str">
        <f t="shared" si="123"/>
        <v/>
      </c>
      <c r="I1112" s="62" t="str">
        <f t="shared" si="124"/>
        <v/>
      </c>
      <c r="J1112" s="61" t="str">
        <f t="shared" si="125"/>
        <v/>
      </c>
      <c r="K1112" s="61" t="str">
        <f t="shared" si="126"/>
        <v/>
      </c>
      <c r="L1112" s="61" t="str">
        <f t="shared" si="127"/>
        <v/>
      </c>
      <c r="M1112" s="63" t="str">
        <f t="shared" si="128"/>
        <v/>
      </c>
      <c r="N1112" s="64"/>
    </row>
    <row r="1113" spans="1:14" x14ac:dyDescent="0.3">
      <c r="A1113" s="58" t="str">
        <f>IF([1]weekly_demand!A1114="","",[1]weekly_demand!A1114)</f>
        <v/>
      </c>
      <c r="B1113" s="59" t="str">
        <f>IF($A1113="","",[1]weekly_demand!F1114)</f>
        <v/>
      </c>
      <c r="C1113" s="60" t="str">
        <f>IF($A1113="","",[1]weekly_demand!H1114)</f>
        <v/>
      </c>
      <c r="D1113" s="61" t="str">
        <f>IF($A1113="","",IF(SUMIFS([1]Fixture_Capacity_Input!$C:$C,[1]Fixture_Capacity_Input!$A:$A,$B1113,[1]Fixture_Capacity_Input!$B:$B,$C1113)&gt;0,SUMIFS([1]Fixture_Capacity_Input!$C:$C,[1]Fixture_Capacity_Input!$A:$A,$B1113,[1]Fixture_Capacity_Input!$B:$B,$C1113),[1]weekly_demand!G1114))</f>
        <v/>
      </c>
      <c r="E1113" s="62" t="str">
        <f>IF($A1113="","",[1]weekly_demand!I1114)</f>
        <v/>
      </c>
      <c r="F1113" s="61" t="str">
        <f>IF($A1113="","",IF($A1113&lt;&gt;$A1112,IFERROR(INDEX([1]FG_Begin_Inventory!$B:$B,MATCH($A1113,[1]FG_Begin_Inventory!$A:$A,0)),0),J1112))</f>
        <v/>
      </c>
      <c r="G1113" s="61" t="str">
        <f t="shared" si="122"/>
        <v/>
      </c>
      <c r="H1113" s="61" t="str">
        <f t="shared" si="123"/>
        <v/>
      </c>
      <c r="I1113" s="62" t="str">
        <f t="shared" si="124"/>
        <v/>
      </c>
      <c r="J1113" s="61" t="str">
        <f t="shared" si="125"/>
        <v/>
      </c>
      <c r="K1113" s="61" t="str">
        <f t="shared" si="126"/>
        <v/>
      </c>
      <c r="L1113" s="61" t="str">
        <f t="shared" si="127"/>
        <v/>
      </c>
      <c r="M1113" s="63" t="str">
        <f t="shared" si="128"/>
        <v/>
      </c>
      <c r="N1113" s="64"/>
    </row>
    <row r="1114" spans="1:14" x14ac:dyDescent="0.3">
      <c r="A1114" s="58" t="str">
        <f>IF([1]weekly_demand!A1115="","",[1]weekly_demand!A1115)</f>
        <v/>
      </c>
      <c r="B1114" s="59" t="str">
        <f>IF($A1114="","",[1]weekly_demand!F1115)</f>
        <v/>
      </c>
      <c r="C1114" s="60" t="str">
        <f>IF($A1114="","",[1]weekly_demand!H1115)</f>
        <v/>
      </c>
      <c r="D1114" s="61" t="str">
        <f>IF($A1114="","",IF(SUMIFS([1]Fixture_Capacity_Input!$C:$C,[1]Fixture_Capacity_Input!$A:$A,$B1114,[1]Fixture_Capacity_Input!$B:$B,$C1114)&gt;0,SUMIFS([1]Fixture_Capacity_Input!$C:$C,[1]Fixture_Capacity_Input!$A:$A,$B1114,[1]Fixture_Capacity_Input!$B:$B,$C1114),[1]weekly_demand!G1115))</f>
        <v/>
      </c>
      <c r="E1114" s="62" t="str">
        <f>IF($A1114="","",[1]weekly_demand!I1115)</f>
        <v/>
      </c>
      <c r="F1114" s="61" t="str">
        <f>IF($A1114="","",IF($A1114&lt;&gt;$A1113,IFERROR(INDEX([1]FG_Begin_Inventory!$B:$B,MATCH($A1114,[1]FG_Begin_Inventory!$A:$A,0)),0),J1113))</f>
        <v/>
      </c>
      <c r="G1114" s="61" t="str">
        <f t="shared" si="122"/>
        <v/>
      </c>
      <c r="H1114" s="61" t="str">
        <f t="shared" si="123"/>
        <v/>
      </c>
      <c r="I1114" s="62" t="str">
        <f t="shared" si="124"/>
        <v/>
      </c>
      <c r="J1114" s="61" t="str">
        <f t="shared" si="125"/>
        <v/>
      </c>
      <c r="K1114" s="61" t="str">
        <f t="shared" si="126"/>
        <v/>
      </c>
      <c r="L1114" s="61" t="str">
        <f t="shared" si="127"/>
        <v/>
      </c>
      <c r="M1114" s="63" t="str">
        <f t="shared" si="128"/>
        <v/>
      </c>
      <c r="N1114" s="64"/>
    </row>
    <row r="1115" spans="1:14" x14ac:dyDescent="0.3">
      <c r="A1115" s="58" t="str">
        <f>IF([1]weekly_demand!A1116="","",[1]weekly_demand!A1116)</f>
        <v/>
      </c>
      <c r="B1115" s="59" t="str">
        <f>IF($A1115="","",[1]weekly_demand!F1116)</f>
        <v/>
      </c>
      <c r="C1115" s="60" t="str">
        <f>IF($A1115="","",[1]weekly_demand!H1116)</f>
        <v/>
      </c>
      <c r="D1115" s="61" t="str">
        <f>IF($A1115="","",IF(SUMIFS([1]Fixture_Capacity_Input!$C:$C,[1]Fixture_Capacity_Input!$A:$A,$B1115,[1]Fixture_Capacity_Input!$B:$B,$C1115)&gt;0,SUMIFS([1]Fixture_Capacity_Input!$C:$C,[1]Fixture_Capacity_Input!$A:$A,$B1115,[1]Fixture_Capacity_Input!$B:$B,$C1115),[1]weekly_demand!G1116))</f>
        <v/>
      </c>
      <c r="E1115" s="62" t="str">
        <f>IF($A1115="","",[1]weekly_demand!I1116)</f>
        <v/>
      </c>
      <c r="F1115" s="61" t="str">
        <f>IF($A1115="","",IF($A1115&lt;&gt;$A1114,IFERROR(INDEX([1]FG_Begin_Inventory!$B:$B,MATCH($A1115,[1]FG_Begin_Inventory!$A:$A,0)),0),J1114))</f>
        <v/>
      </c>
      <c r="G1115" s="61" t="str">
        <f t="shared" si="122"/>
        <v/>
      </c>
      <c r="H1115" s="61" t="str">
        <f t="shared" si="123"/>
        <v/>
      </c>
      <c r="I1115" s="62" t="str">
        <f t="shared" si="124"/>
        <v/>
      </c>
      <c r="J1115" s="61" t="str">
        <f t="shared" si="125"/>
        <v/>
      </c>
      <c r="K1115" s="61" t="str">
        <f t="shared" si="126"/>
        <v/>
      </c>
      <c r="L1115" s="61" t="str">
        <f t="shared" si="127"/>
        <v/>
      </c>
      <c r="M1115" s="63" t="str">
        <f t="shared" si="128"/>
        <v/>
      </c>
      <c r="N1115" s="64"/>
    </row>
    <row r="1116" spans="1:14" x14ac:dyDescent="0.3">
      <c r="A1116" s="58" t="str">
        <f>IF([1]weekly_demand!A1117="","",[1]weekly_demand!A1117)</f>
        <v/>
      </c>
      <c r="B1116" s="59" t="str">
        <f>IF($A1116="","",[1]weekly_demand!F1117)</f>
        <v/>
      </c>
      <c r="C1116" s="60" t="str">
        <f>IF($A1116="","",[1]weekly_demand!H1117)</f>
        <v/>
      </c>
      <c r="D1116" s="61" t="str">
        <f>IF($A1116="","",IF(SUMIFS([1]Fixture_Capacity_Input!$C:$C,[1]Fixture_Capacity_Input!$A:$A,$B1116,[1]Fixture_Capacity_Input!$B:$B,$C1116)&gt;0,SUMIFS([1]Fixture_Capacity_Input!$C:$C,[1]Fixture_Capacity_Input!$A:$A,$B1116,[1]Fixture_Capacity_Input!$B:$B,$C1116),[1]weekly_demand!G1117))</f>
        <v/>
      </c>
      <c r="E1116" s="62" t="str">
        <f>IF($A1116="","",[1]weekly_demand!I1117)</f>
        <v/>
      </c>
      <c r="F1116" s="61" t="str">
        <f>IF($A1116="","",IF($A1116&lt;&gt;$A1115,IFERROR(INDEX([1]FG_Begin_Inventory!$B:$B,MATCH($A1116,[1]FG_Begin_Inventory!$A:$A,0)),0),J1115))</f>
        <v/>
      </c>
      <c r="G1116" s="61" t="str">
        <f t="shared" si="122"/>
        <v/>
      </c>
      <c r="H1116" s="61" t="str">
        <f t="shared" si="123"/>
        <v/>
      </c>
      <c r="I1116" s="62" t="str">
        <f t="shared" si="124"/>
        <v/>
      </c>
      <c r="J1116" s="61" t="str">
        <f t="shared" si="125"/>
        <v/>
      </c>
      <c r="K1116" s="61" t="str">
        <f t="shared" si="126"/>
        <v/>
      </c>
      <c r="L1116" s="61" t="str">
        <f t="shared" si="127"/>
        <v/>
      </c>
      <c r="M1116" s="63" t="str">
        <f t="shared" si="128"/>
        <v/>
      </c>
      <c r="N1116" s="64"/>
    </row>
    <row r="1117" spans="1:14" x14ac:dyDescent="0.3">
      <c r="A1117" s="58" t="str">
        <f>IF([1]weekly_demand!A1118="","",[1]weekly_demand!A1118)</f>
        <v/>
      </c>
      <c r="B1117" s="59" t="str">
        <f>IF($A1117="","",[1]weekly_demand!F1118)</f>
        <v/>
      </c>
      <c r="C1117" s="60" t="str">
        <f>IF($A1117="","",[1]weekly_demand!H1118)</f>
        <v/>
      </c>
      <c r="D1117" s="61" t="str">
        <f>IF($A1117="","",IF(SUMIFS([1]Fixture_Capacity_Input!$C:$C,[1]Fixture_Capacity_Input!$A:$A,$B1117,[1]Fixture_Capacity_Input!$B:$B,$C1117)&gt;0,SUMIFS([1]Fixture_Capacity_Input!$C:$C,[1]Fixture_Capacity_Input!$A:$A,$B1117,[1]Fixture_Capacity_Input!$B:$B,$C1117),[1]weekly_demand!G1118))</f>
        <v/>
      </c>
      <c r="E1117" s="62" t="str">
        <f>IF($A1117="","",[1]weekly_demand!I1118)</f>
        <v/>
      </c>
      <c r="F1117" s="61" t="str">
        <f>IF($A1117="","",IF($A1117&lt;&gt;$A1116,IFERROR(INDEX([1]FG_Begin_Inventory!$B:$B,MATCH($A1117,[1]FG_Begin_Inventory!$A:$A,0)),0),J1116))</f>
        <v/>
      </c>
      <c r="G1117" s="61" t="str">
        <f t="shared" si="122"/>
        <v/>
      </c>
      <c r="H1117" s="61" t="str">
        <f t="shared" si="123"/>
        <v/>
      </c>
      <c r="I1117" s="62" t="str">
        <f t="shared" si="124"/>
        <v/>
      </c>
      <c r="J1117" s="61" t="str">
        <f t="shared" si="125"/>
        <v/>
      </c>
      <c r="K1117" s="61" t="str">
        <f t="shared" si="126"/>
        <v/>
      </c>
      <c r="L1117" s="61" t="str">
        <f t="shared" si="127"/>
        <v/>
      </c>
      <c r="M1117" s="63" t="str">
        <f t="shared" si="128"/>
        <v/>
      </c>
      <c r="N1117" s="64"/>
    </row>
    <row r="1118" spans="1:14" x14ac:dyDescent="0.3">
      <c r="A1118" s="58" t="str">
        <f>IF([1]weekly_demand!A1119="","",[1]weekly_demand!A1119)</f>
        <v/>
      </c>
      <c r="B1118" s="59" t="str">
        <f>IF($A1118="","",[1]weekly_demand!F1119)</f>
        <v/>
      </c>
      <c r="C1118" s="60" t="str">
        <f>IF($A1118="","",[1]weekly_demand!H1119)</f>
        <v/>
      </c>
      <c r="D1118" s="61" t="str">
        <f>IF($A1118="","",IF(SUMIFS([1]Fixture_Capacity_Input!$C:$C,[1]Fixture_Capacity_Input!$A:$A,$B1118,[1]Fixture_Capacity_Input!$B:$B,$C1118)&gt;0,SUMIFS([1]Fixture_Capacity_Input!$C:$C,[1]Fixture_Capacity_Input!$A:$A,$B1118,[1]Fixture_Capacity_Input!$B:$B,$C1118),[1]weekly_demand!G1119))</f>
        <v/>
      </c>
      <c r="E1118" s="62" t="str">
        <f>IF($A1118="","",[1]weekly_demand!I1119)</f>
        <v/>
      </c>
      <c r="F1118" s="61" t="str">
        <f>IF($A1118="","",IF($A1118&lt;&gt;$A1117,IFERROR(INDEX([1]FG_Begin_Inventory!$B:$B,MATCH($A1118,[1]FG_Begin_Inventory!$A:$A,0)),0),J1117))</f>
        <v/>
      </c>
      <c r="G1118" s="61" t="str">
        <f t="shared" si="122"/>
        <v/>
      </c>
      <c r="H1118" s="61" t="str">
        <f t="shared" si="123"/>
        <v/>
      </c>
      <c r="I1118" s="62" t="str">
        <f t="shared" si="124"/>
        <v/>
      </c>
      <c r="J1118" s="61" t="str">
        <f t="shared" si="125"/>
        <v/>
      </c>
      <c r="K1118" s="61" t="str">
        <f t="shared" si="126"/>
        <v/>
      </c>
      <c r="L1118" s="61" t="str">
        <f t="shared" si="127"/>
        <v/>
      </c>
      <c r="M1118" s="63" t="str">
        <f t="shared" si="128"/>
        <v/>
      </c>
      <c r="N1118" s="64"/>
    </row>
    <row r="1119" spans="1:14" x14ac:dyDescent="0.3">
      <c r="A1119" s="58" t="str">
        <f>IF([1]weekly_demand!A1120="","",[1]weekly_demand!A1120)</f>
        <v/>
      </c>
      <c r="B1119" s="59" t="str">
        <f>IF($A1119="","",[1]weekly_demand!F1120)</f>
        <v/>
      </c>
      <c r="C1119" s="60" t="str">
        <f>IF($A1119="","",[1]weekly_demand!H1120)</f>
        <v/>
      </c>
      <c r="D1119" s="61" t="str">
        <f>IF($A1119="","",IF(SUMIFS([1]Fixture_Capacity_Input!$C:$C,[1]Fixture_Capacity_Input!$A:$A,$B1119,[1]Fixture_Capacity_Input!$B:$B,$C1119)&gt;0,SUMIFS([1]Fixture_Capacity_Input!$C:$C,[1]Fixture_Capacity_Input!$A:$A,$B1119,[1]Fixture_Capacity_Input!$B:$B,$C1119),[1]weekly_demand!G1120))</f>
        <v/>
      </c>
      <c r="E1119" s="62" t="str">
        <f>IF($A1119="","",[1]weekly_demand!I1120)</f>
        <v/>
      </c>
      <c r="F1119" s="61" t="str">
        <f>IF($A1119="","",IF($A1119&lt;&gt;$A1118,IFERROR(INDEX([1]FG_Begin_Inventory!$B:$B,MATCH($A1119,[1]FG_Begin_Inventory!$A:$A,0)),0),J1118))</f>
        <v/>
      </c>
      <c r="G1119" s="61" t="str">
        <f t="shared" si="122"/>
        <v/>
      </c>
      <c r="H1119" s="61" t="str">
        <f t="shared" si="123"/>
        <v/>
      </c>
      <c r="I1119" s="62" t="str">
        <f t="shared" si="124"/>
        <v/>
      </c>
      <c r="J1119" s="61" t="str">
        <f t="shared" si="125"/>
        <v/>
      </c>
      <c r="K1119" s="61" t="str">
        <f t="shared" si="126"/>
        <v/>
      </c>
      <c r="L1119" s="61" t="str">
        <f t="shared" si="127"/>
        <v/>
      </c>
      <c r="M1119" s="63" t="str">
        <f t="shared" si="128"/>
        <v/>
      </c>
      <c r="N1119" s="64"/>
    </row>
    <row r="1120" spans="1:14" x14ac:dyDescent="0.3">
      <c r="A1120" s="58" t="str">
        <f>IF([1]weekly_demand!A1121="","",[1]weekly_demand!A1121)</f>
        <v/>
      </c>
      <c r="B1120" s="59" t="str">
        <f>IF($A1120="","",[1]weekly_demand!F1121)</f>
        <v/>
      </c>
      <c r="C1120" s="60" t="str">
        <f>IF($A1120="","",[1]weekly_demand!H1121)</f>
        <v/>
      </c>
      <c r="D1120" s="61" t="str">
        <f>IF($A1120="","",IF(SUMIFS([1]Fixture_Capacity_Input!$C:$C,[1]Fixture_Capacity_Input!$A:$A,$B1120,[1]Fixture_Capacity_Input!$B:$B,$C1120)&gt;0,SUMIFS([1]Fixture_Capacity_Input!$C:$C,[1]Fixture_Capacity_Input!$A:$A,$B1120,[1]Fixture_Capacity_Input!$B:$B,$C1120),[1]weekly_demand!G1121))</f>
        <v/>
      </c>
      <c r="E1120" s="62" t="str">
        <f>IF($A1120="","",[1]weekly_demand!I1121)</f>
        <v/>
      </c>
      <c r="F1120" s="61" t="str">
        <f>IF($A1120="","",IF($A1120&lt;&gt;$A1119,IFERROR(INDEX([1]FG_Begin_Inventory!$B:$B,MATCH($A1120,[1]FG_Begin_Inventory!$A:$A,0)),0),J1119))</f>
        <v/>
      </c>
      <c r="G1120" s="61" t="str">
        <f t="shared" si="122"/>
        <v/>
      </c>
      <c r="H1120" s="61" t="str">
        <f t="shared" si="123"/>
        <v/>
      </c>
      <c r="I1120" s="62" t="str">
        <f t="shared" si="124"/>
        <v/>
      </c>
      <c r="J1120" s="61" t="str">
        <f t="shared" si="125"/>
        <v/>
      </c>
      <c r="K1120" s="61" t="str">
        <f t="shared" si="126"/>
        <v/>
      </c>
      <c r="L1120" s="61" t="str">
        <f t="shared" si="127"/>
        <v/>
      </c>
      <c r="M1120" s="63" t="str">
        <f t="shared" si="128"/>
        <v/>
      </c>
      <c r="N1120" s="64"/>
    </row>
    <row r="1121" spans="1:14" x14ac:dyDescent="0.3">
      <c r="A1121" s="58" t="str">
        <f>IF([1]weekly_demand!A1122="","",[1]weekly_demand!A1122)</f>
        <v/>
      </c>
      <c r="B1121" s="59" t="str">
        <f>IF($A1121="","",[1]weekly_demand!F1122)</f>
        <v/>
      </c>
      <c r="C1121" s="60" t="str">
        <f>IF($A1121="","",[1]weekly_demand!H1122)</f>
        <v/>
      </c>
      <c r="D1121" s="61" t="str">
        <f>IF($A1121="","",IF(SUMIFS([1]Fixture_Capacity_Input!$C:$C,[1]Fixture_Capacity_Input!$A:$A,$B1121,[1]Fixture_Capacity_Input!$B:$B,$C1121)&gt;0,SUMIFS([1]Fixture_Capacity_Input!$C:$C,[1]Fixture_Capacity_Input!$A:$A,$B1121,[1]Fixture_Capacity_Input!$B:$B,$C1121),[1]weekly_demand!G1122))</f>
        <v/>
      </c>
      <c r="E1121" s="62" t="str">
        <f>IF($A1121="","",[1]weekly_demand!I1122)</f>
        <v/>
      </c>
      <c r="F1121" s="61" t="str">
        <f>IF($A1121="","",IF($A1121&lt;&gt;$A1120,IFERROR(INDEX([1]FG_Begin_Inventory!$B:$B,MATCH($A1121,[1]FG_Begin_Inventory!$A:$A,0)),0),J1120))</f>
        <v/>
      </c>
      <c r="G1121" s="61" t="str">
        <f t="shared" si="122"/>
        <v/>
      </c>
      <c r="H1121" s="61" t="str">
        <f t="shared" si="123"/>
        <v/>
      </c>
      <c r="I1121" s="62" t="str">
        <f t="shared" si="124"/>
        <v/>
      </c>
      <c r="J1121" s="61" t="str">
        <f t="shared" si="125"/>
        <v/>
      </c>
      <c r="K1121" s="61" t="str">
        <f t="shared" si="126"/>
        <v/>
      </c>
      <c r="L1121" s="61" t="str">
        <f t="shared" si="127"/>
        <v/>
      </c>
      <c r="M1121" s="63" t="str">
        <f t="shared" si="128"/>
        <v/>
      </c>
      <c r="N1121" s="64"/>
    </row>
    <row r="1122" spans="1:14" x14ac:dyDescent="0.3">
      <c r="A1122" s="58" t="str">
        <f>IF([1]weekly_demand!A1123="","",[1]weekly_demand!A1123)</f>
        <v/>
      </c>
      <c r="B1122" s="59" t="str">
        <f>IF($A1122="","",[1]weekly_demand!F1123)</f>
        <v/>
      </c>
      <c r="C1122" s="60" t="str">
        <f>IF($A1122="","",[1]weekly_demand!H1123)</f>
        <v/>
      </c>
      <c r="D1122" s="61" t="str">
        <f>IF($A1122="","",IF(SUMIFS([1]Fixture_Capacity_Input!$C:$C,[1]Fixture_Capacity_Input!$A:$A,$B1122,[1]Fixture_Capacity_Input!$B:$B,$C1122)&gt;0,SUMIFS([1]Fixture_Capacity_Input!$C:$C,[1]Fixture_Capacity_Input!$A:$A,$B1122,[1]Fixture_Capacity_Input!$B:$B,$C1122),[1]weekly_demand!G1123))</f>
        <v/>
      </c>
      <c r="E1122" s="62" t="str">
        <f>IF($A1122="","",[1]weekly_demand!I1123)</f>
        <v/>
      </c>
      <c r="F1122" s="61" t="str">
        <f>IF($A1122="","",IF($A1122&lt;&gt;$A1121,IFERROR(INDEX([1]FG_Begin_Inventory!$B:$B,MATCH($A1122,[1]FG_Begin_Inventory!$A:$A,0)),0),J1121))</f>
        <v/>
      </c>
      <c r="G1122" s="61" t="str">
        <f t="shared" si="122"/>
        <v/>
      </c>
      <c r="H1122" s="61" t="str">
        <f t="shared" si="123"/>
        <v/>
      </c>
      <c r="I1122" s="62" t="str">
        <f t="shared" si="124"/>
        <v/>
      </c>
      <c r="J1122" s="61" t="str">
        <f t="shared" si="125"/>
        <v/>
      </c>
      <c r="K1122" s="61" t="str">
        <f t="shared" si="126"/>
        <v/>
      </c>
      <c r="L1122" s="61" t="str">
        <f t="shared" si="127"/>
        <v/>
      </c>
      <c r="M1122" s="63" t="str">
        <f t="shared" si="128"/>
        <v/>
      </c>
      <c r="N1122" s="64"/>
    </row>
    <row r="1123" spans="1:14" x14ac:dyDescent="0.3">
      <c r="A1123" s="58" t="str">
        <f>IF([1]weekly_demand!A1124="","",[1]weekly_demand!A1124)</f>
        <v/>
      </c>
      <c r="B1123" s="59" t="str">
        <f>IF($A1123="","",[1]weekly_demand!F1124)</f>
        <v/>
      </c>
      <c r="C1123" s="60" t="str">
        <f>IF($A1123="","",[1]weekly_demand!H1124)</f>
        <v/>
      </c>
      <c r="D1123" s="61" t="str">
        <f>IF($A1123="","",IF(SUMIFS([1]Fixture_Capacity_Input!$C:$C,[1]Fixture_Capacity_Input!$A:$A,$B1123,[1]Fixture_Capacity_Input!$B:$B,$C1123)&gt;0,SUMIFS([1]Fixture_Capacity_Input!$C:$C,[1]Fixture_Capacity_Input!$A:$A,$B1123,[1]Fixture_Capacity_Input!$B:$B,$C1123),[1]weekly_demand!G1124))</f>
        <v/>
      </c>
      <c r="E1123" s="62" t="str">
        <f>IF($A1123="","",[1]weekly_demand!I1124)</f>
        <v/>
      </c>
      <c r="F1123" s="61" t="str">
        <f>IF($A1123="","",IF($A1123&lt;&gt;$A1122,IFERROR(INDEX([1]FG_Begin_Inventory!$B:$B,MATCH($A1123,[1]FG_Begin_Inventory!$A:$A,0)),0),J1122))</f>
        <v/>
      </c>
      <c r="G1123" s="61" t="str">
        <f t="shared" si="122"/>
        <v/>
      </c>
      <c r="H1123" s="61" t="str">
        <f t="shared" si="123"/>
        <v/>
      </c>
      <c r="I1123" s="62" t="str">
        <f t="shared" si="124"/>
        <v/>
      </c>
      <c r="J1123" s="61" t="str">
        <f t="shared" si="125"/>
        <v/>
      </c>
      <c r="K1123" s="61" t="str">
        <f t="shared" si="126"/>
        <v/>
      </c>
      <c r="L1123" s="61" t="str">
        <f t="shared" si="127"/>
        <v/>
      </c>
      <c r="M1123" s="63" t="str">
        <f t="shared" si="128"/>
        <v/>
      </c>
      <c r="N1123" s="64"/>
    </row>
    <row r="1124" spans="1:14" x14ac:dyDescent="0.3">
      <c r="A1124" s="58" t="str">
        <f>IF([1]weekly_demand!A1125="","",[1]weekly_demand!A1125)</f>
        <v/>
      </c>
      <c r="B1124" s="59" t="str">
        <f>IF($A1124="","",[1]weekly_demand!F1125)</f>
        <v/>
      </c>
      <c r="C1124" s="60" t="str">
        <f>IF($A1124="","",[1]weekly_demand!H1125)</f>
        <v/>
      </c>
      <c r="D1124" s="61" t="str">
        <f>IF($A1124="","",IF(SUMIFS([1]Fixture_Capacity_Input!$C:$C,[1]Fixture_Capacity_Input!$A:$A,$B1124,[1]Fixture_Capacity_Input!$B:$B,$C1124)&gt;0,SUMIFS([1]Fixture_Capacity_Input!$C:$C,[1]Fixture_Capacity_Input!$A:$A,$B1124,[1]Fixture_Capacity_Input!$B:$B,$C1124),[1]weekly_demand!G1125))</f>
        <v/>
      </c>
      <c r="E1124" s="62" t="str">
        <f>IF($A1124="","",[1]weekly_demand!I1125)</f>
        <v/>
      </c>
      <c r="F1124" s="61" t="str">
        <f>IF($A1124="","",IF($A1124&lt;&gt;$A1123,IFERROR(INDEX([1]FG_Begin_Inventory!$B:$B,MATCH($A1124,[1]FG_Begin_Inventory!$A:$A,0)),0),J1123))</f>
        <v/>
      </c>
      <c r="G1124" s="61" t="str">
        <f t="shared" si="122"/>
        <v/>
      </c>
      <c r="H1124" s="61" t="str">
        <f t="shared" si="123"/>
        <v/>
      </c>
      <c r="I1124" s="62" t="str">
        <f t="shared" si="124"/>
        <v/>
      </c>
      <c r="J1124" s="61" t="str">
        <f t="shared" si="125"/>
        <v/>
      </c>
      <c r="K1124" s="61" t="str">
        <f t="shared" si="126"/>
        <v/>
      </c>
      <c r="L1124" s="61" t="str">
        <f t="shared" si="127"/>
        <v/>
      </c>
      <c r="M1124" s="63" t="str">
        <f t="shared" si="128"/>
        <v/>
      </c>
      <c r="N1124" s="64"/>
    </row>
    <row r="1125" spans="1:14" x14ac:dyDescent="0.3">
      <c r="A1125" s="58" t="str">
        <f>IF([1]weekly_demand!A1126="","",[1]weekly_demand!A1126)</f>
        <v/>
      </c>
      <c r="B1125" s="59" t="str">
        <f>IF($A1125="","",[1]weekly_demand!F1126)</f>
        <v/>
      </c>
      <c r="C1125" s="60" t="str">
        <f>IF($A1125="","",[1]weekly_demand!H1126)</f>
        <v/>
      </c>
      <c r="D1125" s="61" t="str">
        <f>IF($A1125="","",IF(SUMIFS([1]Fixture_Capacity_Input!$C:$C,[1]Fixture_Capacity_Input!$A:$A,$B1125,[1]Fixture_Capacity_Input!$B:$B,$C1125)&gt;0,SUMIFS([1]Fixture_Capacity_Input!$C:$C,[1]Fixture_Capacity_Input!$A:$A,$B1125,[1]Fixture_Capacity_Input!$B:$B,$C1125),[1]weekly_demand!G1126))</f>
        <v/>
      </c>
      <c r="E1125" s="62" t="str">
        <f>IF($A1125="","",[1]weekly_demand!I1126)</f>
        <v/>
      </c>
      <c r="F1125" s="61" t="str">
        <f>IF($A1125="","",IF($A1125&lt;&gt;$A1124,IFERROR(INDEX([1]FG_Begin_Inventory!$B:$B,MATCH($A1125,[1]FG_Begin_Inventory!$A:$A,0)),0),J1124))</f>
        <v/>
      </c>
      <c r="G1125" s="61" t="str">
        <f t="shared" si="122"/>
        <v/>
      </c>
      <c r="H1125" s="61" t="str">
        <f t="shared" si="123"/>
        <v/>
      </c>
      <c r="I1125" s="62" t="str">
        <f t="shared" si="124"/>
        <v/>
      </c>
      <c r="J1125" s="61" t="str">
        <f t="shared" si="125"/>
        <v/>
      </c>
      <c r="K1125" s="61" t="str">
        <f t="shared" si="126"/>
        <v/>
      </c>
      <c r="L1125" s="61" t="str">
        <f t="shared" si="127"/>
        <v/>
      </c>
      <c r="M1125" s="63" t="str">
        <f t="shared" si="128"/>
        <v/>
      </c>
      <c r="N1125" s="64"/>
    </row>
    <row r="1126" spans="1:14" x14ac:dyDescent="0.3">
      <c r="A1126" s="58" t="str">
        <f>IF([1]weekly_demand!A1127="","",[1]weekly_demand!A1127)</f>
        <v/>
      </c>
      <c r="B1126" s="59" t="str">
        <f>IF($A1126="","",[1]weekly_demand!F1127)</f>
        <v/>
      </c>
      <c r="C1126" s="60" t="str">
        <f>IF($A1126="","",[1]weekly_demand!H1127)</f>
        <v/>
      </c>
      <c r="D1126" s="61" t="str">
        <f>IF($A1126="","",IF(SUMIFS([1]Fixture_Capacity_Input!$C:$C,[1]Fixture_Capacity_Input!$A:$A,$B1126,[1]Fixture_Capacity_Input!$B:$B,$C1126)&gt;0,SUMIFS([1]Fixture_Capacity_Input!$C:$C,[1]Fixture_Capacity_Input!$A:$A,$B1126,[1]Fixture_Capacity_Input!$B:$B,$C1126),[1]weekly_demand!G1127))</f>
        <v/>
      </c>
      <c r="E1126" s="62" t="str">
        <f>IF($A1126="","",[1]weekly_demand!I1127)</f>
        <v/>
      </c>
      <c r="F1126" s="61" t="str">
        <f>IF($A1126="","",IF($A1126&lt;&gt;$A1125,IFERROR(INDEX([1]FG_Begin_Inventory!$B:$B,MATCH($A1126,[1]FG_Begin_Inventory!$A:$A,0)),0),J1125))</f>
        <v/>
      </c>
      <c r="G1126" s="61" t="str">
        <f t="shared" si="122"/>
        <v/>
      </c>
      <c r="H1126" s="61" t="str">
        <f t="shared" si="123"/>
        <v/>
      </c>
      <c r="I1126" s="62" t="str">
        <f t="shared" si="124"/>
        <v/>
      </c>
      <c r="J1126" s="61" t="str">
        <f t="shared" si="125"/>
        <v/>
      </c>
      <c r="K1126" s="61" t="str">
        <f t="shared" si="126"/>
        <v/>
      </c>
      <c r="L1126" s="61" t="str">
        <f t="shared" si="127"/>
        <v/>
      </c>
      <c r="M1126" s="63" t="str">
        <f t="shared" si="128"/>
        <v/>
      </c>
      <c r="N1126" s="64"/>
    </row>
    <row r="1127" spans="1:14" x14ac:dyDescent="0.3">
      <c r="A1127" s="58" t="str">
        <f>IF([1]weekly_demand!A1128="","",[1]weekly_demand!A1128)</f>
        <v/>
      </c>
      <c r="B1127" s="59" t="str">
        <f>IF($A1127="","",[1]weekly_demand!F1128)</f>
        <v/>
      </c>
      <c r="C1127" s="60" t="str">
        <f>IF($A1127="","",[1]weekly_demand!H1128)</f>
        <v/>
      </c>
      <c r="D1127" s="61" t="str">
        <f>IF($A1127="","",IF(SUMIFS([1]Fixture_Capacity_Input!$C:$C,[1]Fixture_Capacity_Input!$A:$A,$B1127,[1]Fixture_Capacity_Input!$B:$B,$C1127)&gt;0,SUMIFS([1]Fixture_Capacity_Input!$C:$C,[1]Fixture_Capacity_Input!$A:$A,$B1127,[1]Fixture_Capacity_Input!$B:$B,$C1127),[1]weekly_demand!G1128))</f>
        <v/>
      </c>
      <c r="E1127" s="62" t="str">
        <f>IF($A1127="","",[1]weekly_demand!I1128)</f>
        <v/>
      </c>
      <c r="F1127" s="61" t="str">
        <f>IF($A1127="","",IF($A1127&lt;&gt;$A1126,IFERROR(INDEX([1]FG_Begin_Inventory!$B:$B,MATCH($A1127,[1]FG_Begin_Inventory!$A:$A,0)),0),J1126))</f>
        <v/>
      </c>
      <c r="G1127" s="61" t="str">
        <f t="shared" si="122"/>
        <v/>
      </c>
      <c r="H1127" s="61" t="str">
        <f t="shared" si="123"/>
        <v/>
      </c>
      <c r="I1127" s="62" t="str">
        <f t="shared" si="124"/>
        <v/>
      </c>
      <c r="J1127" s="61" t="str">
        <f t="shared" si="125"/>
        <v/>
      </c>
      <c r="K1127" s="61" t="str">
        <f t="shared" si="126"/>
        <v/>
      </c>
      <c r="L1127" s="61" t="str">
        <f t="shared" si="127"/>
        <v/>
      </c>
      <c r="M1127" s="63" t="str">
        <f t="shared" si="128"/>
        <v/>
      </c>
      <c r="N1127" s="64"/>
    </row>
    <row r="1128" spans="1:14" x14ac:dyDescent="0.3">
      <c r="A1128" s="58" t="str">
        <f>IF([1]weekly_demand!A1129="","",[1]weekly_demand!A1129)</f>
        <v/>
      </c>
      <c r="B1128" s="59" t="str">
        <f>IF($A1128="","",[1]weekly_demand!F1129)</f>
        <v/>
      </c>
      <c r="C1128" s="60" t="str">
        <f>IF($A1128="","",[1]weekly_demand!H1129)</f>
        <v/>
      </c>
      <c r="D1128" s="61" t="str">
        <f>IF($A1128="","",IF(SUMIFS([1]Fixture_Capacity_Input!$C:$C,[1]Fixture_Capacity_Input!$A:$A,$B1128,[1]Fixture_Capacity_Input!$B:$B,$C1128)&gt;0,SUMIFS([1]Fixture_Capacity_Input!$C:$C,[1]Fixture_Capacity_Input!$A:$A,$B1128,[1]Fixture_Capacity_Input!$B:$B,$C1128),[1]weekly_demand!G1129))</f>
        <v/>
      </c>
      <c r="E1128" s="62" t="str">
        <f>IF($A1128="","",[1]weekly_demand!I1129)</f>
        <v/>
      </c>
      <c r="F1128" s="61" t="str">
        <f>IF($A1128="","",IF($A1128&lt;&gt;$A1127,IFERROR(INDEX([1]FG_Begin_Inventory!$B:$B,MATCH($A1128,[1]FG_Begin_Inventory!$A:$A,0)),0),J1127))</f>
        <v/>
      </c>
      <c r="G1128" s="61" t="str">
        <f t="shared" si="122"/>
        <v/>
      </c>
      <c r="H1128" s="61" t="str">
        <f t="shared" si="123"/>
        <v/>
      </c>
      <c r="I1128" s="62" t="str">
        <f t="shared" si="124"/>
        <v/>
      </c>
      <c r="J1128" s="61" t="str">
        <f t="shared" si="125"/>
        <v/>
      </c>
      <c r="K1128" s="61" t="str">
        <f t="shared" si="126"/>
        <v/>
      </c>
      <c r="L1128" s="61" t="str">
        <f t="shared" si="127"/>
        <v/>
      </c>
      <c r="M1128" s="63" t="str">
        <f t="shared" si="128"/>
        <v/>
      </c>
      <c r="N1128" s="64"/>
    </row>
    <row r="1129" spans="1:14" x14ac:dyDescent="0.3">
      <c r="A1129" s="58" t="str">
        <f>IF([1]weekly_demand!A1130="","",[1]weekly_demand!A1130)</f>
        <v/>
      </c>
      <c r="B1129" s="59" t="str">
        <f>IF($A1129="","",[1]weekly_demand!F1130)</f>
        <v/>
      </c>
      <c r="C1129" s="60" t="str">
        <f>IF($A1129="","",[1]weekly_demand!H1130)</f>
        <v/>
      </c>
      <c r="D1129" s="61" t="str">
        <f>IF($A1129="","",IF(SUMIFS([1]Fixture_Capacity_Input!$C:$C,[1]Fixture_Capacity_Input!$A:$A,$B1129,[1]Fixture_Capacity_Input!$B:$B,$C1129)&gt;0,SUMIFS([1]Fixture_Capacity_Input!$C:$C,[1]Fixture_Capacity_Input!$A:$A,$B1129,[1]Fixture_Capacity_Input!$B:$B,$C1129),[1]weekly_demand!G1130))</f>
        <v/>
      </c>
      <c r="E1129" s="62" t="str">
        <f>IF($A1129="","",[1]weekly_demand!I1130)</f>
        <v/>
      </c>
      <c r="F1129" s="61" t="str">
        <f>IF($A1129="","",IF($A1129&lt;&gt;$A1128,IFERROR(INDEX([1]FG_Begin_Inventory!$B:$B,MATCH($A1129,[1]FG_Begin_Inventory!$A:$A,0)),0),J1128))</f>
        <v/>
      </c>
      <c r="G1129" s="61" t="str">
        <f t="shared" si="122"/>
        <v/>
      </c>
      <c r="H1129" s="61" t="str">
        <f t="shared" si="123"/>
        <v/>
      </c>
      <c r="I1129" s="62" t="str">
        <f t="shared" si="124"/>
        <v/>
      </c>
      <c r="J1129" s="61" t="str">
        <f t="shared" si="125"/>
        <v/>
      </c>
      <c r="K1129" s="61" t="str">
        <f t="shared" si="126"/>
        <v/>
      </c>
      <c r="L1129" s="61" t="str">
        <f t="shared" si="127"/>
        <v/>
      </c>
      <c r="M1129" s="63" t="str">
        <f t="shared" si="128"/>
        <v/>
      </c>
      <c r="N1129" s="64"/>
    </row>
    <row r="1130" spans="1:14" x14ac:dyDescent="0.3">
      <c r="A1130" s="58" t="str">
        <f>IF([1]weekly_demand!A1131="","",[1]weekly_demand!A1131)</f>
        <v/>
      </c>
      <c r="B1130" s="59" t="str">
        <f>IF($A1130="","",[1]weekly_demand!F1131)</f>
        <v/>
      </c>
      <c r="C1130" s="60" t="str">
        <f>IF($A1130="","",[1]weekly_demand!H1131)</f>
        <v/>
      </c>
      <c r="D1130" s="61" t="str">
        <f>IF($A1130="","",IF(SUMIFS([1]Fixture_Capacity_Input!$C:$C,[1]Fixture_Capacity_Input!$A:$A,$B1130,[1]Fixture_Capacity_Input!$B:$B,$C1130)&gt;0,SUMIFS([1]Fixture_Capacity_Input!$C:$C,[1]Fixture_Capacity_Input!$A:$A,$B1130,[1]Fixture_Capacity_Input!$B:$B,$C1130),[1]weekly_demand!G1131))</f>
        <v/>
      </c>
      <c r="E1130" s="62" t="str">
        <f>IF($A1130="","",[1]weekly_demand!I1131)</f>
        <v/>
      </c>
      <c r="F1130" s="61" t="str">
        <f>IF($A1130="","",IF($A1130&lt;&gt;$A1129,IFERROR(INDEX([1]FG_Begin_Inventory!$B:$B,MATCH($A1130,[1]FG_Begin_Inventory!$A:$A,0)),0),J1129))</f>
        <v/>
      </c>
      <c r="G1130" s="61" t="str">
        <f t="shared" si="122"/>
        <v/>
      </c>
      <c r="H1130" s="61" t="str">
        <f t="shared" si="123"/>
        <v/>
      </c>
      <c r="I1130" s="62" t="str">
        <f t="shared" si="124"/>
        <v/>
      </c>
      <c r="J1130" s="61" t="str">
        <f t="shared" si="125"/>
        <v/>
      </c>
      <c r="K1130" s="61" t="str">
        <f t="shared" si="126"/>
        <v/>
      </c>
      <c r="L1130" s="61" t="str">
        <f t="shared" si="127"/>
        <v/>
      </c>
      <c r="M1130" s="63" t="str">
        <f t="shared" si="128"/>
        <v/>
      </c>
      <c r="N1130" s="64"/>
    </row>
    <row r="1131" spans="1:14" x14ac:dyDescent="0.3">
      <c r="A1131" s="58" t="str">
        <f>IF([1]weekly_demand!A1132="","",[1]weekly_demand!A1132)</f>
        <v/>
      </c>
      <c r="B1131" s="59" t="str">
        <f>IF($A1131="","",[1]weekly_demand!F1132)</f>
        <v/>
      </c>
      <c r="C1131" s="60" t="str">
        <f>IF($A1131="","",[1]weekly_demand!H1132)</f>
        <v/>
      </c>
      <c r="D1131" s="61" t="str">
        <f>IF($A1131="","",IF(SUMIFS([1]Fixture_Capacity_Input!$C:$C,[1]Fixture_Capacity_Input!$A:$A,$B1131,[1]Fixture_Capacity_Input!$B:$B,$C1131)&gt;0,SUMIFS([1]Fixture_Capacity_Input!$C:$C,[1]Fixture_Capacity_Input!$A:$A,$B1131,[1]Fixture_Capacity_Input!$B:$B,$C1131),[1]weekly_demand!G1132))</f>
        <v/>
      </c>
      <c r="E1131" s="62" t="str">
        <f>IF($A1131="","",[1]weekly_demand!I1132)</f>
        <v/>
      </c>
      <c r="F1131" s="61" t="str">
        <f>IF($A1131="","",IF($A1131&lt;&gt;$A1130,IFERROR(INDEX([1]FG_Begin_Inventory!$B:$B,MATCH($A1131,[1]FG_Begin_Inventory!$A:$A,0)),0),J1130))</f>
        <v/>
      </c>
      <c r="G1131" s="61" t="str">
        <f t="shared" si="122"/>
        <v/>
      </c>
      <c r="H1131" s="61" t="str">
        <f t="shared" si="123"/>
        <v/>
      </c>
      <c r="I1131" s="62" t="str">
        <f t="shared" si="124"/>
        <v/>
      </c>
      <c r="J1131" s="61" t="str">
        <f t="shared" si="125"/>
        <v/>
      </c>
      <c r="K1131" s="61" t="str">
        <f t="shared" si="126"/>
        <v/>
      </c>
      <c r="L1131" s="61" t="str">
        <f t="shared" si="127"/>
        <v/>
      </c>
      <c r="M1131" s="63" t="str">
        <f t="shared" si="128"/>
        <v/>
      </c>
      <c r="N1131" s="64"/>
    </row>
    <row r="1132" spans="1:14" x14ac:dyDescent="0.3">
      <c r="A1132" s="58" t="str">
        <f>IF([1]weekly_demand!A1133="","",[1]weekly_demand!A1133)</f>
        <v/>
      </c>
      <c r="B1132" s="59" t="str">
        <f>IF($A1132="","",[1]weekly_demand!F1133)</f>
        <v/>
      </c>
      <c r="C1132" s="60" t="str">
        <f>IF($A1132="","",[1]weekly_demand!H1133)</f>
        <v/>
      </c>
      <c r="D1132" s="61" t="str">
        <f>IF($A1132="","",IF(SUMIFS([1]Fixture_Capacity_Input!$C:$C,[1]Fixture_Capacity_Input!$A:$A,$B1132,[1]Fixture_Capacity_Input!$B:$B,$C1132)&gt;0,SUMIFS([1]Fixture_Capacity_Input!$C:$C,[1]Fixture_Capacity_Input!$A:$A,$B1132,[1]Fixture_Capacity_Input!$B:$B,$C1132),[1]weekly_demand!G1133))</f>
        <v/>
      </c>
      <c r="E1132" s="62" t="str">
        <f>IF($A1132="","",[1]weekly_demand!I1133)</f>
        <v/>
      </c>
      <c r="F1132" s="61" t="str">
        <f>IF($A1132="","",IF($A1132&lt;&gt;$A1131,IFERROR(INDEX([1]FG_Begin_Inventory!$B:$B,MATCH($A1132,[1]FG_Begin_Inventory!$A:$A,0)),0),J1131))</f>
        <v/>
      </c>
      <c r="G1132" s="61" t="str">
        <f t="shared" si="122"/>
        <v/>
      </c>
      <c r="H1132" s="61" t="str">
        <f t="shared" si="123"/>
        <v/>
      </c>
      <c r="I1132" s="62" t="str">
        <f t="shared" si="124"/>
        <v/>
      </c>
      <c r="J1132" s="61" t="str">
        <f t="shared" si="125"/>
        <v/>
      </c>
      <c r="K1132" s="61" t="str">
        <f t="shared" si="126"/>
        <v/>
      </c>
      <c r="L1132" s="61" t="str">
        <f t="shared" si="127"/>
        <v/>
      </c>
      <c r="M1132" s="63" t="str">
        <f t="shared" si="128"/>
        <v/>
      </c>
      <c r="N1132" s="64"/>
    </row>
    <row r="1133" spans="1:14" x14ac:dyDescent="0.3">
      <c r="A1133" s="58" t="str">
        <f>IF([1]weekly_demand!A1134="","",[1]weekly_demand!A1134)</f>
        <v/>
      </c>
      <c r="B1133" s="59" t="str">
        <f>IF($A1133="","",[1]weekly_demand!F1134)</f>
        <v/>
      </c>
      <c r="C1133" s="60" t="str">
        <f>IF($A1133="","",[1]weekly_demand!H1134)</f>
        <v/>
      </c>
      <c r="D1133" s="61" t="str">
        <f>IF($A1133="","",IF(SUMIFS([1]Fixture_Capacity_Input!$C:$C,[1]Fixture_Capacity_Input!$A:$A,$B1133,[1]Fixture_Capacity_Input!$B:$B,$C1133)&gt;0,SUMIFS([1]Fixture_Capacity_Input!$C:$C,[1]Fixture_Capacity_Input!$A:$A,$B1133,[1]Fixture_Capacity_Input!$B:$B,$C1133),[1]weekly_demand!G1134))</f>
        <v/>
      </c>
      <c r="E1133" s="62" t="str">
        <f>IF($A1133="","",[1]weekly_demand!I1134)</f>
        <v/>
      </c>
      <c r="F1133" s="61" t="str">
        <f>IF($A1133="","",IF($A1133&lt;&gt;$A1132,IFERROR(INDEX([1]FG_Begin_Inventory!$B:$B,MATCH($A1133,[1]FG_Begin_Inventory!$A:$A,0)),0),J1132))</f>
        <v/>
      </c>
      <c r="G1133" s="61" t="str">
        <f t="shared" si="122"/>
        <v/>
      </c>
      <c r="H1133" s="61" t="str">
        <f t="shared" si="123"/>
        <v/>
      </c>
      <c r="I1133" s="62" t="str">
        <f t="shared" si="124"/>
        <v/>
      </c>
      <c r="J1133" s="61" t="str">
        <f t="shared" si="125"/>
        <v/>
      </c>
      <c r="K1133" s="61" t="str">
        <f t="shared" si="126"/>
        <v/>
      </c>
      <c r="L1133" s="61" t="str">
        <f t="shared" si="127"/>
        <v/>
      </c>
      <c r="M1133" s="63" t="str">
        <f t="shared" si="128"/>
        <v/>
      </c>
      <c r="N1133" s="64"/>
    </row>
    <row r="1134" spans="1:14" x14ac:dyDescent="0.3">
      <c r="A1134" s="58" t="str">
        <f>IF([1]weekly_demand!A1135="","",[1]weekly_demand!A1135)</f>
        <v/>
      </c>
      <c r="B1134" s="59" t="str">
        <f>IF($A1134="","",[1]weekly_demand!F1135)</f>
        <v/>
      </c>
      <c r="C1134" s="60" t="str">
        <f>IF($A1134="","",[1]weekly_demand!H1135)</f>
        <v/>
      </c>
      <c r="D1134" s="61" t="str">
        <f>IF($A1134="","",IF(SUMIFS([1]Fixture_Capacity_Input!$C:$C,[1]Fixture_Capacity_Input!$A:$A,$B1134,[1]Fixture_Capacity_Input!$B:$B,$C1134)&gt;0,SUMIFS([1]Fixture_Capacity_Input!$C:$C,[1]Fixture_Capacity_Input!$A:$A,$B1134,[1]Fixture_Capacity_Input!$B:$B,$C1134),[1]weekly_demand!G1135))</f>
        <v/>
      </c>
      <c r="E1134" s="62" t="str">
        <f>IF($A1134="","",[1]weekly_demand!I1135)</f>
        <v/>
      </c>
      <c r="F1134" s="61" t="str">
        <f>IF($A1134="","",IF($A1134&lt;&gt;$A1133,IFERROR(INDEX([1]FG_Begin_Inventory!$B:$B,MATCH($A1134,[1]FG_Begin_Inventory!$A:$A,0)),0),J1133))</f>
        <v/>
      </c>
      <c r="G1134" s="61" t="str">
        <f t="shared" si="122"/>
        <v/>
      </c>
      <c r="H1134" s="61" t="str">
        <f t="shared" si="123"/>
        <v/>
      </c>
      <c r="I1134" s="62" t="str">
        <f t="shared" si="124"/>
        <v/>
      </c>
      <c r="J1134" s="61" t="str">
        <f t="shared" si="125"/>
        <v/>
      </c>
      <c r="K1134" s="61" t="str">
        <f t="shared" si="126"/>
        <v/>
      </c>
      <c r="L1134" s="61" t="str">
        <f t="shared" si="127"/>
        <v/>
      </c>
      <c r="M1134" s="63" t="str">
        <f t="shared" si="128"/>
        <v/>
      </c>
      <c r="N1134" s="64"/>
    </row>
    <row r="1135" spans="1:14" x14ac:dyDescent="0.3">
      <c r="A1135" s="58" t="str">
        <f>IF([1]weekly_demand!A1136="","",[1]weekly_demand!A1136)</f>
        <v/>
      </c>
      <c r="B1135" s="59" t="str">
        <f>IF($A1135="","",[1]weekly_demand!F1136)</f>
        <v/>
      </c>
      <c r="C1135" s="60" t="str">
        <f>IF($A1135="","",[1]weekly_demand!H1136)</f>
        <v/>
      </c>
      <c r="D1135" s="61" t="str">
        <f>IF($A1135="","",IF(SUMIFS([1]Fixture_Capacity_Input!$C:$C,[1]Fixture_Capacity_Input!$A:$A,$B1135,[1]Fixture_Capacity_Input!$B:$B,$C1135)&gt;0,SUMIFS([1]Fixture_Capacity_Input!$C:$C,[1]Fixture_Capacity_Input!$A:$A,$B1135,[1]Fixture_Capacity_Input!$B:$B,$C1135),[1]weekly_demand!G1136))</f>
        <v/>
      </c>
      <c r="E1135" s="62" t="str">
        <f>IF($A1135="","",[1]weekly_demand!I1136)</f>
        <v/>
      </c>
      <c r="F1135" s="61" t="str">
        <f>IF($A1135="","",IF($A1135&lt;&gt;$A1134,IFERROR(INDEX([1]FG_Begin_Inventory!$B:$B,MATCH($A1135,[1]FG_Begin_Inventory!$A:$A,0)),0),J1134))</f>
        <v/>
      </c>
      <c r="G1135" s="61" t="str">
        <f t="shared" si="122"/>
        <v/>
      </c>
      <c r="H1135" s="61" t="str">
        <f t="shared" si="123"/>
        <v/>
      </c>
      <c r="I1135" s="62" t="str">
        <f t="shared" si="124"/>
        <v/>
      </c>
      <c r="J1135" s="61" t="str">
        <f t="shared" si="125"/>
        <v/>
      </c>
      <c r="K1135" s="61" t="str">
        <f t="shared" si="126"/>
        <v/>
      </c>
      <c r="L1135" s="61" t="str">
        <f t="shared" si="127"/>
        <v/>
      </c>
      <c r="M1135" s="63" t="str">
        <f t="shared" si="128"/>
        <v/>
      </c>
      <c r="N1135" s="64"/>
    </row>
    <row r="1136" spans="1:14" x14ac:dyDescent="0.3">
      <c r="A1136" s="58" t="str">
        <f>IF([1]weekly_demand!A1137="","",[1]weekly_demand!A1137)</f>
        <v/>
      </c>
      <c r="B1136" s="59" t="str">
        <f>IF($A1136="","",[1]weekly_demand!F1137)</f>
        <v/>
      </c>
      <c r="C1136" s="60" t="str">
        <f>IF($A1136="","",[1]weekly_demand!H1137)</f>
        <v/>
      </c>
      <c r="D1136" s="61" t="str">
        <f>IF($A1136="","",IF(SUMIFS([1]Fixture_Capacity_Input!$C:$C,[1]Fixture_Capacity_Input!$A:$A,$B1136,[1]Fixture_Capacity_Input!$B:$B,$C1136)&gt;0,SUMIFS([1]Fixture_Capacity_Input!$C:$C,[1]Fixture_Capacity_Input!$A:$A,$B1136,[1]Fixture_Capacity_Input!$B:$B,$C1136),[1]weekly_demand!G1137))</f>
        <v/>
      </c>
      <c r="E1136" s="62" t="str">
        <f>IF($A1136="","",[1]weekly_demand!I1137)</f>
        <v/>
      </c>
      <c r="F1136" s="61" t="str">
        <f>IF($A1136="","",IF($A1136&lt;&gt;$A1135,IFERROR(INDEX([1]FG_Begin_Inventory!$B:$B,MATCH($A1136,[1]FG_Begin_Inventory!$A:$A,0)),0),J1135))</f>
        <v/>
      </c>
      <c r="G1136" s="61" t="str">
        <f t="shared" si="122"/>
        <v/>
      </c>
      <c r="H1136" s="61" t="str">
        <f t="shared" si="123"/>
        <v/>
      </c>
      <c r="I1136" s="62" t="str">
        <f t="shared" si="124"/>
        <v/>
      </c>
      <c r="J1136" s="61" t="str">
        <f t="shared" si="125"/>
        <v/>
      </c>
      <c r="K1136" s="61" t="str">
        <f t="shared" si="126"/>
        <v/>
      </c>
      <c r="L1136" s="61" t="str">
        <f t="shared" si="127"/>
        <v/>
      </c>
      <c r="M1136" s="63" t="str">
        <f t="shared" si="128"/>
        <v/>
      </c>
      <c r="N1136" s="64"/>
    </row>
    <row r="1137" spans="1:14" x14ac:dyDescent="0.3">
      <c r="A1137" s="58" t="str">
        <f>IF([1]weekly_demand!A1138="","",[1]weekly_demand!A1138)</f>
        <v/>
      </c>
      <c r="B1137" s="59" t="str">
        <f>IF($A1137="","",[1]weekly_demand!F1138)</f>
        <v/>
      </c>
      <c r="C1137" s="60" t="str">
        <f>IF($A1137="","",[1]weekly_demand!H1138)</f>
        <v/>
      </c>
      <c r="D1137" s="61" t="str">
        <f>IF($A1137="","",IF(SUMIFS([1]Fixture_Capacity_Input!$C:$C,[1]Fixture_Capacity_Input!$A:$A,$B1137,[1]Fixture_Capacity_Input!$B:$B,$C1137)&gt;0,SUMIFS([1]Fixture_Capacity_Input!$C:$C,[1]Fixture_Capacity_Input!$A:$A,$B1137,[1]Fixture_Capacity_Input!$B:$B,$C1137),[1]weekly_demand!G1138))</f>
        <v/>
      </c>
      <c r="E1137" s="62" t="str">
        <f>IF($A1137="","",[1]weekly_demand!I1138)</f>
        <v/>
      </c>
      <c r="F1137" s="61" t="str">
        <f>IF($A1137="","",IF($A1137&lt;&gt;$A1136,IFERROR(INDEX([1]FG_Begin_Inventory!$B:$B,MATCH($A1137,[1]FG_Begin_Inventory!$A:$A,0)),0),J1136))</f>
        <v/>
      </c>
      <c r="G1137" s="61" t="str">
        <f t="shared" si="122"/>
        <v/>
      </c>
      <c r="H1137" s="61" t="str">
        <f t="shared" si="123"/>
        <v/>
      </c>
      <c r="I1137" s="62" t="str">
        <f t="shared" si="124"/>
        <v/>
      </c>
      <c r="J1137" s="61" t="str">
        <f t="shared" si="125"/>
        <v/>
      </c>
      <c r="K1137" s="61" t="str">
        <f t="shared" si="126"/>
        <v/>
      </c>
      <c r="L1137" s="61" t="str">
        <f t="shared" si="127"/>
        <v/>
      </c>
      <c r="M1137" s="63" t="str">
        <f t="shared" si="128"/>
        <v/>
      </c>
      <c r="N1137" s="64"/>
    </row>
    <row r="1138" spans="1:14" x14ac:dyDescent="0.3">
      <c r="A1138" s="58" t="str">
        <f>IF([1]weekly_demand!A1139="","",[1]weekly_demand!A1139)</f>
        <v/>
      </c>
      <c r="B1138" s="59" t="str">
        <f>IF($A1138="","",[1]weekly_demand!F1139)</f>
        <v/>
      </c>
      <c r="C1138" s="60" t="str">
        <f>IF($A1138="","",[1]weekly_demand!H1139)</f>
        <v/>
      </c>
      <c r="D1138" s="61" t="str">
        <f>IF($A1138="","",IF(SUMIFS([1]Fixture_Capacity_Input!$C:$C,[1]Fixture_Capacity_Input!$A:$A,$B1138,[1]Fixture_Capacity_Input!$B:$B,$C1138)&gt;0,SUMIFS([1]Fixture_Capacity_Input!$C:$C,[1]Fixture_Capacity_Input!$A:$A,$B1138,[1]Fixture_Capacity_Input!$B:$B,$C1138),[1]weekly_demand!G1139))</f>
        <v/>
      </c>
      <c r="E1138" s="62" t="str">
        <f>IF($A1138="","",[1]weekly_demand!I1139)</f>
        <v/>
      </c>
      <c r="F1138" s="61" t="str">
        <f>IF($A1138="","",IF($A1138&lt;&gt;$A1137,IFERROR(INDEX([1]FG_Begin_Inventory!$B:$B,MATCH($A1138,[1]FG_Begin_Inventory!$A:$A,0)),0),J1137))</f>
        <v/>
      </c>
      <c r="G1138" s="61" t="str">
        <f t="shared" si="122"/>
        <v/>
      </c>
      <c r="H1138" s="61" t="str">
        <f t="shared" si="123"/>
        <v/>
      </c>
      <c r="I1138" s="62" t="str">
        <f t="shared" si="124"/>
        <v/>
      </c>
      <c r="J1138" s="61" t="str">
        <f t="shared" si="125"/>
        <v/>
      </c>
      <c r="K1138" s="61" t="str">
        <f t="shared" si="126"/>
        <v/>
      </c>
      <c r="L1138" s="61" t="str">
        <f t="shared" si="127"/>
        <v/>
      </c>
      <c r="M1138" s="63" t="str">
        <f t="shared" si="128"/>
        <v/>
      </c>
      <c r="N1138" s="64"/>
    </row>
    <row r="1139" spans="1:14" x14ac:dyDescent="0.3">
      <c r="A1139" s="58" t="str">
        <f>IF([1]weekly_demand!A1140="","",[1]weekly_demand!A1140)</f>
        <v/>
      </c>
      <c r="B1139" s="59" t="str">
        <f>IF($A1139="","",[1]weekly_demand!F1140)</f>
        <v/>
      </c>
      <c r="C1139" s="60" t="str">
        <f>IF($A1139="","",[1]weekly_demand!H1140)</f>
        <v/>
      </c>
      <c r="D1139" s="61" t="str">
        <f>IF($A1139="","",IF(SUMIFS([1]Fixture_Capacity_Input!$C:$C,[1]Fixture_Capacity_Input!$A:$A,$B1139,[1]Fixture_Capacity_Input!$B:$B,$C1139)&gt;0,SUMIFS([1]Fixture_Capacity_Input!$C:$C,[1]Fixture_Capacity_Input!$A:$A,$B1139,[1]Fixture_Capacity_Input!$B:$B,$C1139),[1]weekly_demand!G1140))</f>
        <v/>
      </c>
      <c r="E1139" s="62" t="str">
        <f>IF($A1139="","",[1]weekly_demand!I1140)</f>
        <v/>
      </c>
      <c r="F1139" s="61" t="str">
        <f>IF($A1139="","",IF($A1139&lt;&gt;$A1138,IFERROR(INDEX([1]FG_Begin_Inventory!$B:$B,MATCH($A1139,[1]FG_Begin_Inventory!$A:$A,0)),0),J1138))</f>
        <v/>
      </c>
      <c r="G1139" s="61" t="str">
        <f t="shared" ref="G1139:G1202" si="129">IF($A1139="","",IF($A1139&lt;&gt;$A1140,0,MAX(0,G1140+E1140-D1140)))</f>
        <v/>
      </c>
      <c r="H1139" s="61" t="str">
        <f t="shared" si="123"/>
        <v/>
      </c>
      <c r="I1139" s="62" t="str">
        <f t="shared" si="124"/>
        <v/>
      </c>
      <c r="J1139" s="61" t="str">
        <f t="shared" si="125"/>
        <v/>
      </c>
      <c r="K1139" s="61" t="str">
        <f t="shared" si="126"/>
        <v/>
      </c>
      <c r="L1139" s="61" t="str">
        <f t="shared" si="127"/>
        <v/>
      </c>
      <c r="M1139" s="63" t="str">
        <f t="shared" si="128"/>
        <v/>
      </c>
      <c r="N1139" s="64"/>
    </row>
    <row r="1140" spans="1:14" x14ac:dyDescent="0.3">
      <c r="A1140" s="58" t="str">
        <f>IF([1]weekly_demand!A1141="","",[1]weekly_demand!A1141)</f>
        <v/>
      </c>
      <c r="B1140" s="59" t="str">
        <f>IF($A1140="","",[1]weekly_demand!F1141)</f>
        <v/>
      </c>
      <c r="C1140" s="60" t="str">
        <f>IF($A1140="","",[1]weekly_demand!H1141)</f>
        <v/>
      </c>
      <c r="D1140" s="61" t="str">
        <f>IF($A1140="","",IF(SUMIFS([1]Fixture_Capacity_Input!$C:$C,[1]Fixture_Capacity_Input!$A:$A,$B1140,[1]Fixture_Capacity_Input!$B:$B,$C1140)&gt;0,SUMIFS([1]Fixture_Capacity_Input!$C:$C,[1]Fixture_Capacity_Input!$A:$A,$B1140,[1]Fixture_Capacity_Input!$B:$B,$C1140),[1]weekly_demand!G1141))</f>
        <v/>
      </c>
      <c r="E1140" s="62" t="str">
        <f>IF($A1140="","",[1]weekly_demand!I1141)</f>
        <v/>
      </c>
      <c r="F1140" s="61" t="str">
        <f>IF($A1140="","",IF($A1140&lt;&gt;$A1139,IFERROR(INDEX([1]FG_Begin_Inventory!$B:$B,MATCH($A1140,[1]FG_Begin_Inventory!$A:$A,0)),0),J1139))</f>
        <v/>
      </c>
      <c r="G1140" s="61" t="str">
        <f t="shared" si="129"/>
        <v/>
      </c>
      <c r="H1140" s="61" t="str">
        <f t="shared" si="123"/>
        <v/>
      </c>
      <c r="I1140" s="62" t="str">
        <f t="shared" si="124"/>
        <v/>
      </c>
      <c r="J1140" s="61" t="str">
        <f t="shared" si="125"/>
        <v/>
      </c>
      <c r="K1140" s="61" t="str">
        <f t="shared" si="126"/>
        <v/>
      </c>
      <c r="L1140" s="61" t="str">
        <f t="shared" si="127"/>
        <v/>
      </c>
      <c r="M1140" s="63" t="str">
        <f t="shared" si="128"/>
        <v/>
      </c>
      <c r="N1140" s="64"/>
    </row>
    <row r="1141" spans="1:14" x14ac:dyDescent="0.3">
      <c r="A1141" s="58" t="str">
        <f>IF([1]weekly_demand!A1142="","",[1]weekly_demand!A1142)</f>
        <v/>
      </c>
      <c r="B1141" s="59" t="str">
        <f>IF($A1141="","",[1]weekly_demand!F1142)</f>
        <v/>
      </c>
      <c r="C1141" s="60" t="str">
        <f>IF($A1141="","",[1]weekly_demand!H1142)</f>
        <v/>
      </c>
      <c r="D1141" s="61" t="str">
        <f>IF($A1141="","",IF(SUMIFS([1]Fixture_Capacity_Input!$C:$C,[1]Fixture_Capacity_Input!$A:$A,$B1141,[1]Fixture_Capacity_Input!$B:$B,$C1141)&gt;0,SUMIFS([1]Fixture_Capacity_Input!$C:$C,[1]Fixture_Capacity_Input!$A:$A,$B1141,[1]Fixture_Capacity_Input!$B:$B,$C1141),[1]weekly_demand!G1142))</f>
        <v/>
      </c>
      <c r="E1141" s="62" t="str">
        <f>IF($A1141="","",[1]weekly_demand!I1142)</f>
        <v/>
      </c>
      <c r="F1141" s="61" t="str">
        <f>IF($A1141="","",IF($A1141&lt;&gt;$A1140,IFERROR(INDEX([1]FG_Begin_Inventory!$B:$B,MATCH($A1141,[1]FG_Begin_Inventory!$A:$A,0)),0),J1140))</f>
        <v/>
      </c>
      <c r="G1141" s="61" t="str">
        <f t="shared" si="129"/>
        <v/>
      </c>
      <c r="H1141" s="61" t="str">
        <f t="shared" si="123"/>
        <v/>
      </c>
      <c r="I1141" s="62" t="str">
        <f t="shared" si="124"/>
        <v/>
      </c>
      <c r="J1141" s="61" t="str">
        <f t="shared" si="125"/>
        <v/>
      </c>
      <c r="K1141" s="61" t="str">
        <f t="shared" si="126"/>
        <v/>
      </c>
      <c r="L1141" s="61" t="str">
        <f t="shared" si="127"/>
        <v/>
      </c>
      <c r="M1141" s="63" t="str">
        <f t="shared" si="128"/>
        <v/>
      </c>
      <c r="N1141" s="64"/>
    </row>
    <row r="1142" spans="1:14" x14ac:dyDescent="0.3">
      <c r="A1142" s="58" t="str">
        <f>IF([1]weekly_demand!A1143="","",[1]weekly_demand!A1143)</f>
        <v/>
      </c>
      <c r="B1142" s="59" t="str">
        <f>IF($A1142="","",[1]weekly_demand!F1143)</f>
        <v/>
      </c>
      <c r="C1142" s="60" t="str">
        <f>IF($A1142="","",[1]weekly_demand!H1143)</f>
        <v/>
      </c>
      <c r="D1142" s="61" t="str">
        <f>IF($A1142="","",IF(SUMIFS([1]Fixture_Capacity_Input!$C:$C,[1]Fixture_Capacity_Input!$A:$A,$B1142,[1]Fixture_Capacity_Input!$B:$B,$C1142)&gt;0,SUMIFS([1]Fixture_Capacity_Input!$C:$C,[1]Fixture_Capacity_Input!$A:$A,$B1142,[1]Fixture_Capacity_Input!$B:$B,$C1142),[1]weekly_demand!G1143))</f>
        <v/>
      </c>
      <c r="E1142" s="62" t="str">
        <f>IF($A1142="","",[1]weekly_demand!I1143)</f>
        <v/>
      </c>
      <c r="F1142" s="61" t="str">
        <f>IF($A1142="","",IF($A1142&lt;&gt;$A1141,IFERROR(INDEX([1]FG_Begin_Inventory!$B:$B,MATCH($A1142,[1]FG_Begin_Inventory!$A:$A,0)),0),J1141))</f>
        <v/>
      </c>
      <c r="G1142" s="61" t="str">
        <f t="shared" si="129"/>
        <v/>
      </c>
      <c r="H1142" s="61" t="str">
        <f t="shared" si="123"/>
        <v/>
      </c>
      <c r="I1142" s="62" t="str">
        <f t="shared" si="124"/>
        <v/>
      </c>
      <c r="J1142" s="61" t="str">
        <f t="shared" si="125"/>
        <v/>
      </c>
      <c r="K1142" s="61" t="str">
        <f t="shared" si="126"/>
        <v/>
      </c>
      <c r="L1142" s="61" t="str">
        <f t="shared" si="127"/>
        <v/>
      </c>
      <c r="M1142" s="63" t="str">
        <f t="shared" si="128"/>
        <v/>
      </c>
      <c r="N1142" s="64"/>
    </row>
    <row r="1143" spans="1:14" x14ac:dyDescent="0.3">
      <c r="A1143" s="58" t="str">
        <f>IF([1]weekly_demand!A1144="","",[1]weekly_demand!A1144)</f>
        <v/>
      </c>
      <c r="B1143" s="59" t="str">
        <f>IF($A1143="","",[1]weekly_demand!F1144)</f>
        <v/>
      </c>
      <c r="C1143" s="60" t="str">
        <f>IF($A1143="","",[1]weekly_demand!H1144)</f>
        <v/>
      </c>
      <c r="D1143" s="61" t="str">
        <f>IF($A1143="","",IF(SUMIFS([1]Fixture_Capacity_Input!$C:$C,[1]Fixture_Capacity_Input!$A:$A,$B1143,[1]Fixture_Capacity_Input!$B:$B,$C1143)&gt;0,SUMIFS([1]Fixture_Capacity_Input!$C:$C,[1]Fixture_Capacity_Input!$A:$A,$B1143,[1]Fixture_Capacity_Input!$B:$B,$C1143),[1]weekly_demand!G1144))</f>
        <v/>
      </c>
      <c r="E1143" s="62" t="str">
        <f>IF($A1143="","",[1]weekly_demand!I1144)</f>
        <v/>
      </c>
      <c r="F1143" s="61" t="str">
        <f>IF($A1143="","",IF($A1143&lt;&gt;$A1142,IFERROR(INDEX([1]FG_Begin_Inventory!$B:$B,MATCH($A1143,[1]FG_Begin_Inventory!$A:$A,0)),0),J1142))</f>
        <v/>
      </c>
      <c r="G1143" s="61" t="str">
        <f t="shared" si="129"/>
        <v/>
      </c>
      <c r="H1143" s="61" t="str">
        <f t="shared" si="123"/>
        <v/>
      </c>
      <c r="I1143" s="62" t="str">
        <f t="shared" si="124"/>
        <v/>
      </c>
      <c r="J1143" s="61" t="str">
        <f t="shared" si="125"/>
        <v/>
      </c>
      <c r="K1143" s="61" t="str">
        <f t="shared" si="126"/>
        <v/>
      </c>
      <c r="L1143" s="61" t="str">
        <f t="shared" si="127"/>
        <v/>
      </c>
      <c r="M1143" s="63" t="str">
        <f t="shared" si="128"/>
        <v/>
      </c>
      <c r="N1143" s="64"/>
    </row>
    <row r="1144" spans="1:14" x14ac:dyDescent="0.3">
      <c r="A1144" s="58" t="str">
        <f>IF([1]weekly_demand!A1145="","",[1]weekly_demand!A1145)</f>
        <v/>
      </c>
      <c r="B1144" s="59" t="str">
        <f>IF($A1144="","",[1]weekly_demand!F1145)</f>
        <v/>
      </c>
      <c r="C1144" s="60" t="str">
        <f>IF($A1144="","",[1]weekly_demand!H1145)</f>
        <v/>
      </c>
      <c r="D1144" s="61" t="str">
        <f>IF($A1144="","",IF(SUMIFS([1]Fixture_Capacity_Input!$C:$C,[1]Fixture_Capacity_Input!$A:$A,$B1144,[1]Fixture_Capacity_Input!$B:$B,$C1144)&gt;0,SUMIFS([1]Fixture_Capacity_Input!$C:$C,[1]Fixture_Capacity_Input!$A:$A,$B1144,[1]Fixture_Capacity_Input!$B:$B,$C1144),[1]weekly_demand!G1145))</f>
        <v/>
      </c>
      <c r="E1144" s="62" t="str">
        <f>IF($A1144="","",[1]weekly_demand!I1145)</f>
        <v/>
      </c>
      <c r="F1144" s="61" t="str">
        <f>IF($A1144="","",IF($A1144&lt;&gt;$A1143,IFERROR(INDEX([1]FG_Begin_Inventory!$B:$B,MATCH($A1144,[1]FG_Begin_Inventory!$A:$A,0)),0),J1143))</f>
        <v/>
      </c>
      <c r="G1144" s="61" t="str">
        <f t="shared" si="129"/>
        <v/>
      </c>
      <c r="H1144" s="61" t="str">
        <f t="shared" si="123"/>
        <v/>
      </c>
      <c r="I1144" s="62" t="str">
        <f t="shared" si="124"/>
        <v/>
      </c>
      <c r="J1144" s="61" t="str">
        <f t="shared" si="125"/>
        <v/>
      </c>
      <c r="K1144" s="61" t="str">
        <f t="shared" si="126"/>
        <v/>
      </c>
      <c r="L1144" s="61" t="str">
        <f t="shared" si="127"/>
        <v/>
      </c>
      <c r="M1144" s="63" t="str">
        <f t="shared" si="128"/>
        <v/>
      </c>
      <c r="N1144" s="64"/>
    </row>
    <row r="1145" spans="1:14" x14ac:dyDescent="0.3">
      <c r="A1145" s="58" t="str">
        <f>IF([1]weekly_demand!A1146="","",[1]weekly_demand!A1146)</f>
        <v/>
      </c>
      <c r="B1145" s="59" t="str">
        <f>IF($A1145="","",[1]weekly_demand!F1146)</f>
        <v/>
      </c>
      <c r="C1145" s="60" t="str">
        <f>IF($A1145="","",[1]weekly_demand!H1146)</f>
        <v/>
      </c>
      <c r="D1145" s="61" t="str">
        <f>IF($A1145="","",IF(SUMIFS([1]Fixture_Capacity_Input!$C:$C,[1]Fixture_Capacity_Input!$A:$A,$B1145,[1]Fixture_Capacity_Input!$B:$B,$C1145)&gt;0,SUMIFS([1]Fixture_Capacity_Input!$C:$C,[1]Fixture_Capacity_Input!$A:$A,$B1145,[1]Fixture_Capacity_Input!$B:$B,$C1145),[1]weekly_demand!G1146))</f>
        <v/>
      </c>
      <c r="E1145" s="62" t="str">
        <f>IF($A1145="","",[1]weekly_demand!I1146)</f>
        <v/>
      </c>
      <c r="F1145" s="61" t="str">
        <f>IF($A1145="","",IF($A1145&lt;&gt;$A1144,IFERROR(INDEX([1]FG_Begin_Inventory!$B:$B,MATCH($A1145,[1]FG_Begin_Inventory!$A:$A,0)),0),J1144))</f>
        <v/>
      </c>
      <c r="G1145" s="61" t="str">
        <f t="shared" si="129"/>
        <v/>
      </c>
      <c r="H1145" s="61" t="str">
        <f t="shared" si="123"/>
        <v/>
      </c>
      <c r="I1145" s="62" t="str">
        <f t="shared" si="124"/>
        <v/>
      </c>
      <c r="J1145" s="61" t="str">
        <f t="shared" si="125"/>
        <v/>
      </c>
      <c r="K1145" s="61" t="str">
        <f t="shared" si="126"/>
        <v/>
      </c>
      <c r="L1145" s="61" t="str">
        <f t="shared" si="127"/>
        <v/>
      </c>
      <c r="M1145" s="63" t="str">
        <f t="shared" si="128"/>
        <v/>
      </c>
      <c r="N1145" s="64"/>
    </row>
    <row r="1146" spans="1:14" x14ac:dyDescent="0.3">
      <c r="A1146" s="58" t="str">
        <f>IF([1]weekly_demand!A1147="","",[1]weekly_demand!A1147)</f>
        <v/>
      </c>
      <c r="B1146" s="59" t="str">
        <f>IF($A1146="","",[1]weekly_demand!F1147)</f>
        <v/>
      </c>
      <c r="C1146" s="60" t="str">
        <f>IF($A1146="","",[1]weekly_demand!H1147)</f>
        <v/>
      </c>
      <c r="D1146" s="61" t="str">
        <f>IF($A1146="","",IF(SUMIFS([1]Fixture_Capacity_Input!$C:$C,[1]Fixture_Capacity_Input!$A:$A,$B1146,[1]Fixture_Capacity_Input!$B:$B,$C1146)&gt;0,SUMIFS([1]Fixture_Capacity_Input!$C:$C,[1]Fixture_Capacity_Input!$A:$A,$B1146,[1]Fixture_Capacity_Input!$B:$B,$C1146),[1]weekly_demand!G1147))</f>
        <v/>
      </c>
      <c r="E1146" s="62" t="str">
        <f>IF($A1146="","",[1]weekly_demand!I1147)</f>
        <v/>
      </c>
      <c r="F1146" s="61" t="str">
        <f>IF($A1146="","",IF($A1146&lt;&gt;$A1145,IFERROR(INDEX([1]FG_Begin_Inventory!$B:$B,MATCH($A1146,[1]FG_Begin_Inventory!$A:$A,0)),0),J1145))</f>
        <v/>
      </c>
      <c r="G1146" s="61" t="str">
        <f t="shared" si="129"/>
        <v/>
      </c>
      <c r="H1146" s="61" t="str">
        <f t="shared" si="123"/>
        <v/>
      </c>
      <c r="I1146" s="62" t="str">
        <f t="shared" si="124"/>
        <v/>
      </c>
      <c r="J1146" s="61" t="str">
        <f t="shared" si="125"/>
        <v/>
      </c>
      <c r="K1146" s="61" t="str">
        <f t="shared" si="126"/>
        <v/>
      </c>
      <c r="L1146" s="61" t="str">
        <f t="shared" si="127"/>
        <v/>
      </c>
      <c r="M1146" s="63" t="str">
        <f t="shared" si="128"/>
        <v/>
      </c>
      <c r="N1146" s="64"/>
    </row>
    <row r="1147" spans="1:14" x14ac:dyDescent="0.3">
      <c r="A1147" s="58" t="str">
        <f>IF([1]weekly_demand!A1148="","",[1]weekly_demand!A1148)</f>
        <v/>
      </c>
      <c r="B1147" s="59" t="str">
        <f>IF($A1147="","",[1]weekly_demand!F1148)</f>
        <v/>
      </c>
      <c r="C1147" s="60" t="str">
        <f>IF($A1147="","",[1]weekly_demand!H1148)</f>
        <v/>
      </c>
      <c r="D1147" s="61" t="str">
        <f>IF($A1147="","",IF(SUMIFS([1]Fixture_Capacity_Input!$C:$C,[1]Fixture_Capacity_Input!$A:$A,$B1147,[1]Fixture_Capacity_Input!$B:$B,$C1147)&gt;0,SUMIFS([1]Fixture_Capacity_Input!$C:$C,[1]Fixture_Capacity_Input!$A:$A,$B1147,[1]Fixture_Capacity_Input!$B:$B,$C1147),[1]weekly_demand!G1148))</f>
        <v/>
      </c>
      <c r="E1147" s="62" t="str">
        <f>IF($A1147="","",[1]weekly_demand!I1148)</f>
        <v/>
      </c>
      <c r="F1147" s="61" t="str">
        <f>IF($A1147="","",IF($A1147&lt;&gt;$A1146,IFERROR(INDEX([1]FG_Begin_Inventory!$B:$B,MATCH($A1147,[1]FG_Begin_Inventory!$A:$A,0)),0),J1146))</f>
        <v/>
      </c>
      <c r="G1147" s="61" t="str">
        <f t="shared" si="129"/>
        <v/>
      </c>
      <c r="H1147" s="61" t="str">
        <f t="shared" si="123"/>
        <v/>
      </c>
      <c r="I1147" s="62" t="str">
        <f t="shared" si="124"/>
        <v/>
      </c>
      <c r="J1147" s="61" t="str">
        <f t="shared" si="125"/>
        <v/>
      </c>
      <c r="K1147" s="61" t="str">
        <f t="shared" si="126"/>
        <v/>
      </c>
      <c r="L1147" s="61" t="str">
        <f t="shared" si="127"/>
        <v/>
      </c>
      <c r="M1147" s="63" t="str">
        <f t="shared" si="128"/>
        <v/>
      </c>
      <c r="N1147" s="64"/>
    </row>
    <row r="1148" spans="1:14" x14ac:dyDescent="0.3">
      <c r="A1148" s="58" t="str">
        <f>IF([1]weekly_demand!A1149="","",[1]weekly_demand!A1149)</f>
        <v/>
      </c>
      <c r="B1148" s="59" t="str">
        <f>IF($A1148="","",[1]weekly_demand!F1149)</f>
        <v/>
      </c>
      <c r="C1148" s="60" t="str">
        <f>IF($A1148="","",[1]weekly_demand!H1149)</f>
        <v/>
      </c>
      <c r="D1148" s="61" t="str">
        <f>IF($A1148="","",IF(SUMIFS([1]Fixture_Capacity_Input!$C:$C,[1]Fixture_Capacity_Input!$A:$A,$B1148,[1]Fixture_Capacity_Input!$B:$B,$C1148)&gt;0,SUMIFS([1]Fixture_Capacity_Input!$C:$C,[1]Fixture_Capacity_Input!$A:$A,$B1148,[1]Fixture_Capacity_Input!$B:$B,$C1148),[1]weekly_demand!G1149))</f>
        <v/>
      </c>
      <c r="E1148" s="62" t="str">
        <f>IF($A1148="","",[1]weekly_demand!I1149)</f>
        <v/>
      </c>
      <c r="F1148" s="61" t="str">
        <f>IF($A1148="","",IF($A1148&lt;&gt;$A1147,IFERROR(INDEX([1]FG_Begin_Inventory!$B:$B,MATCH($A1148,[1]FG_Begin_Inventory!$A:$A,0)),0),J1147))</f>
        <v/>
      </c>
      <c r="G1148" s="61" t="str">
        <f t="shared" si="129"/>
        <v/>
      </c>
      <c r="H1148" s="61" t="str">
        <f t="shared" si="123"/>
        <v/>
      </c>
      <c r="I1148" s="62" t="str">
        <f t="shared" si="124"/>
        <v/>
      </c>
      <c r="J1148" s="61" t="str">
        <f t="shared" si="125"/>
        <v/>
      </c>
      <c r="K1148" s="61" t="str">
        <f t="shared" si="126"/>
        <v/>
      </c>
      <c r="L1148" s="61" t="str">
        <f t="shared" si="127"/>
        <v/>
      </c>
      <c r="M1148" s="63" t="str">
        <f t="shared" si="128"/>
        <v/>
      </c>
      <c r="N1148" s="64"/>
    </row>
    <row r="1149" spans="1:14" x14ac:dyDescent="0.3">
      <c r="A1149" s="58" t="str">
        <f>IF([1]weekly_demand!A1150="","",[1]weekly_demand!A1150)</f>
        <v/>
      </c>
      <c r="B1149" s="59" t="str">
        <f>IF($A1149="","",[1]weekly_demand!F1150)</f>
        <v/>
      </c>
      <c r="C1149" s="60" t="str">
        <f>IF($A1149="","",[1]weekly_demand!H1150)</f>
        <v/>
      </c>
      <c r="D1149" s="61" t="str">
        <f>IF($A1149="","",IF(SUMIFS([1]Fixture_Capacity_Input!$C:$C,[1]Fixture_Capacity_Input!$A:$A,$B1149,[1]Fixture_Capacity_Input!$B:$B,$C1149)&gt;0,SUMIFS([1]Fixture_Capacity_Input!$C:$C,[1]Fixture_Capacity_Input!$A:$A,$B1149,[1]Fixture_Capacity_Input!$B:$B,$C1149),[1]weekly_demand!G1150))</f>
        <v/>
      </c>
      <c r="E1149" s="62" t="str">
        <f>IF($A1149="","",[1]weekly_demand!I1150)</f>
        <v/>
      </c>
      <c r="F1149" s="61" t="str">
        <f>IF($A1149="","",IF($A1149&lt;&gt;$A1148,IFERROR(INDEX([1]FG_Begin_Inventory!$B:$B,MATCH($A1149,[1]FG_Begin_Inventory!$A:$A,0)),0),J1148))</f>
        <v/>
      </c>
      <c r="G1149" s="61" t="str">
        <f t="shared" si="129"/>
        <v/>
      </c>
      <c r="H1149" s="61" t="str">
        <f t="shared" si="123"/>
        <v/>
      </c>
      <c r="I1149" s="62" t="str">
        <f t="shared" si="124"/>
        <v/>
      </c>
      <c r="J1149" s="61" t="str">
        <f t="shared" si="125"/>
        <v/>
      </c>
      <c r="K1149" s="61" t="str">
        <f t="shared" si="126"/>
        <v/>
      </c>
      <c r="L1149" s="61" t="str">
        <f t="shared" si="127"/>
        <v/>
      </c>
      <c r="M1149" s="63" t="str">
        <f t="shared" si="128"/>
        <v/>
      </c>
      <c r="N1149" s="64"/>
    </row>
    <row r="1150" spans="1:14" x14ac:dyDescent="0.3">
      <c r="A1150" s="58" t="str">
        <f>IF([1]weekly_demand!A1151="","",[1]weekly_demand!A1151)</f>
        <v/>
      </c>
      <c r="B1150" s="59" t="str">
        <f>IF($A1150="","",[1]weekly_demand!F1151)</f>
        <v/>
      </c>
      <c r="C1150" s="60" t="str">
        <f>IF($A1150="","",[1]weekly_demand!H1151)</f>
        <v/>
      </c>
      <c r="D1150" s="61" t="str">
        <f>IF($A1150="","",IF(SUMIFS([1]Fixture_Capacity_Input!$C:$C,[1]Fixture_Capacity_Input!$A:$A,$B1150,[1]Fixture_Capacity_Input!$B:$B,$C1150)&gt;0,SUMIFS([1]Fixture_Capacity_Input!$C:$C,[1]Fixture_Capacity_Input!$A:$A,$B1150,[1]Fixture_Capacity_Input!$B:$B,$C1150),[1]weekly_demand!G1151))</f>
        <v/>
      </c>
      <c r="E1150" s="62" t="str">
        <f>IF($A1150="","",[1]weekly_demand!I1151)</f>
        <v/>
      </c>
      <c r="F1150" s="61" t="str">
        <f>IF($A1150="","",IF($A1150&lt;&gt;$A1149,IFERROR(INDEX([1]FG_Begin_Inventory!$B:$B,MATCH($A1150,[1]FG_Begin_Inventory!$A:$A,0)),0),J1149))</f>
        <v/>
      </c>
      <c r="G1150" s="61" t="str">
        <f t="shared" si="129"/>
        <v/>
      </c>
      <c r="H1150" s="61" t="str">
        <f t="shared" si="123"/>
        <v/>
      </c>
      <c r="I1150" s="62" t="str">
        <f t="shared" si="124"/>
        <v/>
      </c>
      <c r="J1150" s="61" t="str">
        <f t="shared" si="125"/>
        <v/>
      </c>
      <c r="K1150" s="61" t="str">
        <f t="shared" si="126"/>
        <v/>
      </c>
      <c r="L1150" s="61" t="str">
        <f t="shared" si="127"/>
        <v/>
      </c>
      <c r="M1150" s="63" t="str">
        <f t="shared" si="128"/>
        <v/>
      </c>
      <c r="N1150" s="64"/>
    </row>
    <row r="1151" spans="1:14" x14ac:dyDescent="0.3">
      <c r="A1151" s="58" t="str">
        <f>IF([1]weekly_demand!A1152="","",[1]weekly_demand!A1152)</f>
        <v/>
      </c>
      <c r="B1151" s="59" t="str">
        <f>IF($A1151="","",[1]weekly_demand!F1152)</f>
        <v/>
      </c>
      <c r="C1151" s="60" t="str">
        <f>IF($A1151="","",[1]weekly_demand!H1152)</f>
        <v/>
      </c>
      <c r="D1151" s="61" t="str">
        <f>IF($A1151="","",IF(SUMIFS([1]Fixture_Capacity_Input!$C:$C,[1]Fixture_Capacity_Input!$A:$A,$B1151,[1]Fixture_Capacity_Input!$B:$B,$C1151)&gt;0,SUMIFS([1]Fixture_Capacity_Input!$C:$C,[1]Fixture_Capacity_Input!$A:$A,$B1151,[1]Fixture_Capacity_Input!$B:$B,$C1151),[1]weekly_demand!G1152))</f>
        <v/>
      </c>
      <c r="E1151" s="62" t="str">
        <f>IF($A1151="","",[1]weekly_demand!I1152)</f>
        <v/>
      </c>
      <c r="F1151" s="61" t="str">
        <f>IF($A1151="","",IF($A1151&lt;&gt;$A1150,IFERROR(INDEX([1]FG_Begin_Inventory!$B:$B,MATCH($A1151,[1]FG_Begin_Inventory!$A:$A,0)),0),J1150))</f>
        <v/>
      </c>
      <c r="G1151" s="61" t="str">
        <f t="shared" si="129"/>
        <v/>
      </c>
      <c r="H1151" s="61" t="str">
        <f t="shared" si="123"/>
        <v/>
      </c>
      <c r="I1151" s="62" t="str">
        <f t="shared" si="124"/>
        <v/>
      </c>
      <c r="J1151" s="61" t="str">
        <f t="shared" si="125"/>
        <v/>
      </c>
      <c r="K1151" s="61" t="str">
        <f t="shared" si="126"/>
        <v/>
      </c>
      <c r="L1151" s="61" t="str">
        <f t="shared" si="127"/>
        <v/>
      </c>
      <c r="M1151" s="63" t="str">
        <f t="shared" si="128"/>
        <v/>
      </c>
      <c r="N1151" s="64"/>
    </row>
    <row r="1152" spans="1:14" x14ac:dyDescent="0.3">
      <c r="A1152" s="58" t="str">
        <f>IF([1]weekly_demand!A1153="","",[1]weekly_demand!A1153)</f>
        <v/>
      </c>
      <c r="B1152" s="59" t="str">
        <f>IF($A1152="","",[1]weekly_demand!F1153)</f>
        <v/>
      </c>
      <c r="C1152" s="60" t="str">
        <f>IF($A1152="","",[1]weekly_demand!H1153)</f>
        <v/>
      </c>
      <c r="D1152" s="61" t="str">
        <f>IF($A1152="","",IF(SUMIFS([1]Fixture_Capacity_Input!$C:$C,[1]Fixture_Capacity_Input!$A:$A,$B1152,[1]Fixture_Capacity_Input!$B:$B,$C1152)&gt;0,SUMIFS([1]Fixture_Capacity_Input!$C:$C,[1]Fixture_Capacity_Input!$A:$A,$B1152,[1]Fixture_Capacity_Input!$B:$B,$C1152),[1]weekly_demand!G1153))</f>
        <v/>
      </c>
      <c r="E1152" s="62" t="str">
        <f>IF($A1152="","",[1]weekly_demand!I1153)</f>
        <v/>
      </c>
      <c r="F1152" s="61" t="str">
        <f>IF($A1152="","",IF($A1152&lt;&gt;$A1151,IFERROR(INDEX([1]FG_Begin_Inventory!$B:$B,MATCH($A1152,[1]FG_Begin_Inventory!$A:$A,0)),0),J1151))</f>
        <v/>
      </c>
      <c r="G1152" s="61" t="str">
        <f t="shared" si="129"/>
        <v/>
      </c>
      <c r="H1152" s="61" t="str">
        <f t="shared" si="123"/>
        <v/>
      </c>
      <c r="I1152" s="62" t="str">
        <f t="shared" si="124"/>
        <v/>
      </c>
      <c r="J1152" s="61" t="str">
        <f t="shared" si="125"/>
        <v/>
      </c>
      <c r="K1152" s="61" t="str">
        <f t="shared" si="126"/>
        <v/>
      </c>
      <c r="L1152" s="61" t="str">
        <f t="shared" si="127"/>
        <v/>
      </c>
      <c r="M1152" s="63" t="str">
        <f t="shared" si="128"/>
        <v/>
      </c>
      <c r="N1152" s="64"/>
    </row>
    <row r="1153" spans="1:14" x14ac:dyDescent="0.3">
      <c r="A1153" s="58" t="str">
        <f>IF([1]weekly_demand!A1154="","",[1]weekly_demand!A1154)</f>
        <v/>
      </c>
      <c r="B1153" s="59" t="str">
        <f>IF($A1153="","",[1]weekly_demand!F1154)</f>
        <v/>
      </c>
      <c r="C1153" s="60" t="str">
        <f>IF($A1153="","",[1]weekly_demand!H1154)</f>
        <v/>
      </c>
      <c r="D1153" s="61" t="str">
        <f>IF($A1153="","",IF(SUMIFS([1]Fixture_Capacity_Input!$C:$C,[1]Fixture_Capacity_Input!$A:$A,$B1153,[1]Fixture_Capacity_Input!$B:$B,$C1153)&gt;0,SUMIFS([1]Fixture_Capacity_Input!$C:$C,[1]Fixture_Capacity_Input!$A:$A,$B1153,[1]Fixture_Capacity_Input!$B:$B,$C1153),[1]weekly_demand!G1154))</f>
        <v/>
      </c>
      <c r="E1153" s="62" t="str">
        <f>IF($A1153="","",[1]weekly_demand!I1154)</f>
        <v/>
      </c>
      <c r="F1153" s="61" t="str">
        <f>IF($A1153="","",IF($A1153&lt;&gt;$A1152,IFERROR(INDEX([1]FG_Begin_Inventory!$B:$B,MATCH($A1153,[1]FG_Begin_Inventory!$A:$A,0)),0),J1152))</f>
        <v/>
      </c>
      <c r="G1153" s="61" t="str">
        <f t="shared" si="129"/>
        <v/>
      </c>
      <c r="H1153" s="61" t="str">
        <f t="shared" si="123"/>
        <v/>
      </c>
      <c r="I1153" s="62" t="str">
        <f t="shared" si="124"/>
        <v/>
      </c>
      <c r="J1153" s="61" t="str">
        <f t="shared" si="125"/>
        <v/>
      </c>
      <c r="K1153" s="61" t="str">
        <f t="shared" si="126"/>
        <v/>
      </c>
      <c r="L1153" s="61" t="str">
        <f t="shared" si="127"/>
        <v/>
      </c>
      <c r="M1153" s="63" t="str">
        <f t="shared" si="128"/>
        <v/>
      </c>
      <c r="N1153" s="64"/>
    </row>
    <row r="1154" spans="1:14" x14ac:dyDescent="0.3">
      <c r="A1154" s="58" t="str">
        <f>IF([1]weekly_demand!A1155="","",[1]weekly_demand!A1155)</f>
        <v/>
      </c>
      <c r="B1154" s="59" t="str">
        <f>IF($A1154="","",[1]weekly_demand!F1155)</f>
        <v/>
      </c>
      <c r="C1154" s="60" t="str">
        <f>IF($A1154="","",[1]weekly_demand!H1155)</f>
        <v/>
      </c>
      <c r="D1154" s="61" t="str">
        <f>IF($A1154="","",IF(SUMIFS([1]Fixture_Capacity_Input!$C:$C,[1]Fixture_Capacity_Input!$A:$A,$B1154,[1]Fixture_Capacity_Input!$B:$B,$C1154)&gt;0,SUMIFS([1]Fixture_Capacity_Input!$C:$C,[1]Fixture_Capacity_Input!$A:$A,$B1154,[1]Fixture_Capacity_Input!$B:$B,$C1154),[1]weekly_demand!G1155))</f>
        <v/>
      </c>
      <c r="E1154" s="62" t="str">
        <f>IF($A1154="","",[1]weekly_demand!I1155)</f>
        <v/>
      </c>
      <c r="F1154" s="61" t="str">
        <f>IF($A1154="","",IF($A1154&lt;&gt;$A1153,IFERROR(INDEX([1]FG_Begin_Inventory!$B:$B,MATCH($A1154,[1]FG_Begin_Inventory!$A:$A,0)),0),J1153))</f>
        <v/>
      </c>
      <c r="G1154" s="61" t="str">
        <f t="shared" si="129"/>
        <v/>
      </c>
      <c r="H1154" s="61" t="str">
        <f t="shared" ref="H1154:H1217" si="130">IF($A1154="","",MAX(0,E1154+G1154-F1154))</f>
        <v/>
      </c>
      <c r="I1154" s="62" t="str">
        <f t="shared" ref="I1154:I1217" si="131">IF($A1154="","",MIN(D1154,H1154))</f>
        <v/>
      </c>
      <c r="J1154" s="61" t="str">
        <f t="shared" ref="J1154:J1217" si="132">IF($A1154="","",MAX(0,F1154+I1154-E1154))</f>
        <v/>
      </c>
      <c r="K1154" s="61" t="str">
        <f t="shared" ref="K1154:K1217" si="133">IF($A1154="","",MAX(0,E1154-F1154-I1154))</f>
        <v/>
      </c>
      <c r="L1154" s="61" t="str">
        <f t="shared" ref="L1154:L1217" si="134">IF($A1154="","",MAX(0,F1154+I1154-E1154))</f>
        <v/>
      </c>
      <c r="M1154" s="63" t="str">
        <f t="shared" ref="M1154:M1217" si="135">IF($A1154="","",IFERROR(I1154/D1154,0))</f>
        <v/>
      </c>
      <c r="N1154" s="64"/>
    </row>
    <row r="1155" spans="1:14" x14ac:dyDescent="0.3">
      <c r="A1155" s="58" t="str">
        <f>IF([1]weekly_demand!A1156="","",[1]weekly_demand!A1156)</f>
        <v/>
      </c>
      <c r="B1155" s="59" t="str">
        <f>IF($A1155="","",[1]weekly_demand!F1156)</f>
        <v/>
      </c>
      <c r="C1155" s="60" t="str">
        <f>IF($A1155="","",[1]weekly_demand!H1156)</f>
        <v/>
      </c>
      <c r="D1155" s="61" t="str">
        <f>IF($A1155="","",IF(SUMIFS([1]Fixture_Capacity_Input!$C:$C,[1]Fixture_Capacity_Input!$A:$A,$B1155,[1]Fixture_Capacity_Input!$B:$B,$C1155)&gt;0,SUMIFS([1]Fixture_Capacity_Input!$C:$C,[1]Fixture_Capacity_Input!$A:$A,$B1155,[1]Fixture_Capacity_Input!$B:$B,$C1155),[1]weekly_demand!G1156))</f>
        <v/>
      </c>
      <c r="E1155" s="62" t="str">
        <f>IF($A1155="","",[1]weekly_demand!I1156)</f>
        <v/>
      </c>
      <c r="F1155" s="61" t="str">
        <f>IF($A1155="","",IF($A1155&lt;&gt;$A1154,IFERROR(INDEX([1]FG_Begin_Inventory!$B:$B,MATCH($A1155,[1]FG_Begin_Inventory!$A:$A,0)),0),J1154))</f>
        <v/>
      </c>
      <c r="G1155" s="61" t="str">
        <f t="shared" si="129"/>
        <v/>
      </c>
      <c r="H1155" s="61" t="str">
        <f t="shared" si="130"/>
        <v/>
      </c>
      <c r="I1155" s="62" t="str">
        <f t="shared" si="131"/>
        <v/>
      </c>
      <c r="J1155" s="61" t="str">
        <f t="shared" si="132"/>
        <v/>
      </c>
      <c r="K1155" s="61" t="str">
        <f t="shared" si="133"/>
        <v/>
      </c>
      <c r="L1155" s="61" t="str">
        <f t="shared" si="134"/>
        <v/>
      </c>
      <c r="M1155" s="63" t="str">
        <f t="shared" si="135"/>
        <v/>
      </c>
      <c r="N1155" s="64"/>
    </row>
    <row r="1156" spans="1:14" x14ac:dyDescent="0.3">
      <c r="A1156" s="58" t="str">
        <f>IF([1]weekly_demand!A1157="","",[1]weekly_demand!A1157)</f>
        <v/>
      </c>
      <c r="B1156" s="59" t="str">
        <f>IF($A1156="","",[1]weekly_demand!F1157)</f>
        <v/>
      </c>
      <c r="C1156" s="60" t="str">
        <f>IF($A1156="","",[1]weekly_demand!H1157)</f>
        <v/>
      </c>
      <c r="D1156" s="61" t="str">
        <f>IF($A1156="","",IF(SUMIFS([1]Fixture_Capacity_Input!$C:$C,[1]Fixture_Capacity_Input!$A:$A,$B1156,[1]Fixture_Capacity_Input!$B:$B,$C1156)&gt;0,SUMIFS([1]Fixture_Capacity_Input!$C:$C,[1]Fixture_Capacity_Input!$A:$A,$B1156,[1]Fixture_Capacity_Input!$B:$B,$C1156),[1]weekly_demand!G1157))</f>
        <v/>
      </c>
      <c r="E1156" s="62" t="str">
        <f>IF($A1156="","",[1]weekly_demand!I1157)</f>
        <v/>
      </c>
      <c r="F1156" s="61" t="str">
        <f>IF($A1156="","",IF($A1156&lt;&gt;$A1155,IFERROR(INDEX([1]FG_Begin_Inventory!$B:$B,MATCH($A1156,[1]FG_Begin_Inventory!$A:$A,0)),0),J1155))</f>
        <v/>
      </c>
      <c r="G1156" s="61" t="str">
        <f t="shared" si="129"/>
        <v/>
      </c>
      <c r="H1156" s="61" t="str">
        <f t="shared" si="130"/>
        <v/>
      </c>
      <c r="I1156" s="62" t="str">
        <f t="shared" si="131"/>
        <v/>
      </c>
      <c r="J1156" s="61" t="str">
        <f t="shared" si="132"/>
        <v/>
      </c>
      <c r="K1156" s="61" t="str">
        <f t="shared" si="133"/>
        <v/>
      </c>
      <c r="L1156" s="61" t="str">
        <f t="shared" si="134"/>
        <v/>
      </c>
      <c r="M1156" s="63" t="str">
        <f t="shared" si="135"/>
        <v/>
      </c>
      <c r="N1156" s="64"/>
    </row>
    <row r="1157" spans="1:14" x14ac:dyDescent="0.3">
      <c r="A1157" s="58" t="str">
        <f>IF([1]weekly_demand!A1158="","",[1]weekly_demand!A1158)</f>
        <v/>
      </c>
      <c r="B1157" s="59" t="str">
        <f>IF($A1157="","",[1]weekly_demand!F1158)</f>
        <v/>
      </c>
      <c r="C1157" s="60" t="str">
        <f>IF($A1157="","",[1]weekly_demand!H1158)</f>
        <v/>
      </c>
      <c r="D1157" s="61" t="str">
        <f>IF($A1157="","",IF(SUMIFS([1]Fixture_Capacity_Input!$C:$C,[1]Fixture_Capacity_Input!$A:$A,$B1157,[1]Fixture_Capacity_Input!$B:$B,$C1157)&gt;0,SUMIFS([1]Fixture_Capacity_Input!$C:$C,[1]Fixture_Capacity_Input!$A:$A,$B1157,[1]Fixture_Capacity_Input!$B:$B,$C1157),[1]weekly_demand!G1158))</f>
        <v/>
      </c>
      <c r="E1157" s="62" t="str">
        <f>IF($A1157="","",[1]weekly_demand!I1158)</f>
        <v/>
      </c>
      <c r="F1157" s="61" t="str">
        <f>IF($A1157="","",IF($A1157&lt;&gt;$A1156,IFERROR(INDEX([1]FG_Begin_Inventory!$B:$B,MATCH($A1157,[1]FG_Begin_Inventory!$A:$A,0)),0),J1156))</f>
        <v/>
      </c>
      <c r="G1157" s="61" t="str">
        <f t="shared" si="129"/>
        <v/>
      </c>
      <c r="H1157" s="61" t="str">
        <f t="shared" si="130"/>
        <v/>
      </c>
      <c r="I1157" s="62" t="str">
        <f t="shared" si="131"/>
        <v/>
      </c>
      <c r="J1157" s="61" t="str">
        <f t="shared" si="132"/>
        <v/>
      </c>
      <c r="K1157" s="61" t="str">
        <f t="shared" si="133"/>
        <v/>
      </c>
      <c r="L1157" s="61" t="str">
        <f t="shared" si="134"/>
        <v/>
      </c>
      <c r="M1157" s="63" t="str">
        <f t="shared" si="135"/>
        <v/>
      </c>
      <c r="N1157" s="64"/>
    </row>
    <row r="1158" spans="1:14" x14ac:dyDescent="0.3">
      <c r="A1158" s="58" t="str">
        <f>IF([1]weekly_demand!A1159="","",[1]weekly_demand!A1159)</f>
        <v/>
      </c>
      <c r="B1158" s="59" t="str">
        <f>IF($A1158="","",[1]weekly_demand!F1159)</f>
        <v/>
      </c>
      <c r="C1158" s="60" t="str">
        <f>IF($A1158="","",[1]weekly_demand!H1159)</f>
        <v/>
      </c>
      <c r="D1158" s="61" t="str">
        <f>IF($A1158="","",IF(SUMIFS([1]Fixture_Capacity_Input!$C:$C,[1]Fixture_Capacity_Input!$A:$A,$B1158,[1]Fixture_Capacity_Input!$B:$B,$C1158)&gt;0,SUMIFS([1]Fixture_Capacity_Input!$C:$C,[1]Fixture_Capacity_Input!$A:$A,$B1158,[1]Fixture_Capacity_Input!$B:$B,$C1158),[1]weekly_demand!G1159))</f>
        <v/>
      </c>
      <c r="E1158" s="62" t="str">
        <f>IF($A1158="","",[1]weekly_demand!I1159)</f>
        <v/>
      </c>
      <c r="F1158" s="61" t="str">
        <f>IF($A1158="","",IF($A1158&lt;&gt;$A1157,IFERROR(INDEX([1]FG_Begin_Inventory!$B:$B,MATCH($A1158,[1]FG_Begin_Inventory!$A:$A,0)),0),J1157))</f>
        <v/>
      </c>
      <c r="G1158" s="61" t="str">
        <f t="shared" si="129"/>
        <v/>
      </c>
      <c r="H1158" s="61" t="str">
        <f t="shared" si="130"/>
        <v/>
      </c>
      <c r="I1158" s="62" t="str">
        <f t="shared" si="131"/>
        <v/>
      </c>
      <c r="J1158" s="61" t="str">
        <f t="shared" si="132"/>
        <v/>
      </c>
      <c r="K1158" s="61" t="str">
        <f t="shared" si="133"/>
        <v/>
      </c>
      <c r="L1158" s="61" t="str">
        <f t="shared" si="134"/>
        <v/>
      </c>
      <c r="M1158" s="63" t="str">
        <f t="shared" si="135"/>
        <v/>
      </c>
      <c r="N1158" s="64"/>
    </row>
    <row r="1159" spans="1:14" x14ac:dyDescent="0.3">
      <c r="A1159" s="58" t="str">
        <f>IF([1]weekly_demand!A1160="","",[1]weekly_demand!A1160)</f>
        <v/>
      </c>
      <c r="B1159" s="59" t="str">
        <f>IF($A1159="","",[1]weekly_demand!F1160)</f>
        <v/>
      </c>
      <c r="C1159" s="60" t="str">
        <f>IF($A1159="","",[1]weekly_demand!H1160)</f>
        <v/>
      </c>
      <c r="D1159" s="61" t="str">
        <f>IF($A1159="","",IF(SUMIFS([1]Fixture_Capacity_Input!$C:$C,[1]Fixture_Capacity_Input!$A:$A,$B1159,[1]Fixture_Capacity_Input!$B:$B,$C1159)&gt;0,SUMIFS([1]Fixture_Capacity_Input!$C:$C,[1]Fixture_Capacity_Input!$A:$A,$B1159,[1]Fixture_Capacity_Input!$B:$B,$C1159),[1]weekly_demand!G1160))</f>
        <v/>
      </c>
      <c r="E1159" s="62" t="str">
        <f>IF($A1159="","",[1]weekly_demand!I1160)</f>
        <v/>
      </c>
      <c r="F1159" s="61" t="str">
        <f>IF($A1159="","",IF($A1159&lt;&gt;$A1158,IFERROR(INDEX([1]FG_Begin_Inventory!$B:$B,MATCH($A1159,[1]FG_Begin_Inventory!$A:$A,0)),0),J1158))</f>
        <v/>
      </c>
      <c r="G1159" s="61" t="str">
        <f t="shared" si="129"/>
        <v/>
      </c>
      <c r="H1159" s="61" t="str">
        <f t="shared" si="130"/>
        <v/>
      </c>
      <c r="I1159" s="62" t="str">
        <f t="shared" si="131"/>
        <v/>
      </c>
      <c r="J1159" s="61" t="str">
        <f t="shared" si="132"/>
        <v/>
      </c>
      <c r="K1159" s="61" t="str">
        <f t="shared" si="133"/>
        <v/>
      </c>
      <c r="L1159" s="61" t="str">
        <f t="shared" si="134"/>
        <v/>
      </c>
      <c r="M1159" s="63" t="str">
        <f t="shared" si="135"/>
        <v/>
      </c>
      <c r="N1159" s="64"/>
    </row>
    <row r="1160" spans="1:14" x14ac:dyDescent="0.3">
      <c r="A1160" s="58" t="str">
        <f>IF([1]weekly_demand!A1161="","",[1]weekly_demand!A1161)</f>
        <v/>
      </c>
      <c r="B1160" s="59" t="str">
        <f>IF($A1160="","",[1]weekly_demand!F1161)</f>
        <v/>
      </c>
      <c r="C1160" s="60" t="str">
        <f>IF($A1160="","",[1]weekly_demand!H1161)</f>
        <v/>
      </c>
      <c r="D1160" s="61" t="str">
        <f>IF($A1160="","",IF(SUMIFS([1]Fixture_Capacity_Input!$C:$C,[1]Fixture_Capacity_Input!$A:$A,$B1160,[1]Fixture_Capacity_Input!$B:$B,$C1160)&gt;0,SUMIFS([1]Fixture_Capacity_Input!$C:$C,[1]Fixture_Capacity_Input!$A:$A,$B1160,[1]Fixture_Capacity_Input!$B:$B,$C1160),[1]weekly_demand!G1161))</f>
        <v/>
      </c>
      <c r="E1160" s="62" t="str">
        <f>IF($A1160="","",[1]weekly_demand!I1161)</f>
        <v/>
      </c>
      <c r="F1160" s="61" t="str">
        <f>IF($A1160="","",IF($A1160&lt;&gt;$A1159,IFERROR(INDEX([1]FG_Begin_Inventory!$B:$B,MATCH($A1160,[1]FG_Begin_Inventory!$A:$A,0)),0),J1159))</f>
        <v/>
      </c>
      <c r="G1160" s="61" t="str">
        <f t="shared" si="129"/>
        <v/>
      </c>
      <c r="H1160" s="61" t="str">
        <f t="shared" si="130"/>
        <v/>
      </c>
      <c r="I1160" s="62" t="str">
        <f t="shared" si="131"/>
        <v/>
      </c>
      <c r="J1160" s="61" t="str">
        <f t="shared" si="132"/>
        <v/>
      </c>
      <c r="K1160" s="61" t="str">
        <f t="shared" si="133"/>
        <v/>
      </c>
      <c r="L1160" s="61" t="str">
        <f t="shared" si="134"/>
        <v/>
      </c>
      <c r="M1160" s="63" t="str">
        <f t="shared" si="135"/>
        <v/>
      </c>
      <c r="N1160" s="64"/>
    </row>
    <row r="1161" spans="1:14" x14ac:dyDescent="0.3">
      <c r="A1161" s="58" t="str">
        <f>IF([1]weekly_demand!A1162="","",[1]weekly_demand!A1162)</f>
        <v/>
      </c>
      <c r="B1161" s="59" t="str">
        <f>IF($A1161="","",[1]weekly_demand!F1162)</f>
        <v/>
      </c>
      <c r="C1161" s="60" t="str">
        <f>IF($A1161="","",[1]weekly_demand!H1162)</f>
        <v/>
      </c>
      <c r="D1161" s="61" t="str">
        <f>IF($A1161="","",IF(SUMIFS([1]Fixture_Capacity_Input!$C:$C,[1]Fixture_Capacity_Input!$A:$A,$B1161,[1]Fixture_Capacity_Input!$B:$B,$C1161)&gt;0,SUMIFS([1]Fixture_Capacity_Input!$C:$C,[1]Fixture_Capacity_Input!$A:$A,$B1161,[1]Fixture_Capacity_Input!$B:$B,$C1161),[1]weekly_demand!G1162))</f>
        <v/>
      </c>
      <c r="E1161" s="62" t="str">
        <f>IF($A1161="","",[1]weekly_demand!I1162)</f>
        <v/>
      </c>
      <c r="F1161" s="61" t="str">
        <f>IF($A1161="","",IF($A1161&lt;&gt;$A1160,IFERROR(INDEX([1]FG_Begin_Inventory!$B:$B,MATCH($A1161,[1]FG_Begin_Inventory!$A:$A,0)),0),J1160))</f>
        <v/>
      </c>
      <c r="G1161" s="61" t="str">
        <f t="shared" si="129"/>
        <v/>
      </c>
      <c r="H1161" s="61" t="str">
        <f t="shared" si="130"/>
        <v/>
      </c>
      <c r="I1161" s="62" t="str">
        <f t="shared" si="131"/>
        <v/>
      </c>
      <c r="J1161" s="61" t="str">
        <f t="shared" si="132"/>
        <v/>
      </c>
      <c r="K1161" s="61" t="str">
        <f t="shared" si="133"/>
        <v/>
      </c>
      <c r="L1161" s="61" t="str">
        <f t="shared" si="134"/>
        <v/>
      </c>
      <c r="M1161" s="63" t="str">
        <f t="shared" si="135"/>
        <v/>
      </c>
      <c r="N1161" s="64"/>
    </row>
    <row r="1162" spans="1:14" x14ac:dyDescent="0.3">
      <c r="A1162" s="58" t="str">
        <f>IF([1]weekly_demand!A1163="","",[1]weekly_demand!A1163)</f>
        <v/>
      </c>
      <c r="B1162" s="59" t="str">
        <f>IF($A1162="","",[1]weekly_demand!F1163)</f>
        <v/>
      </c>
      <c r="C1162" s="60" t="str">
        <f>IF($A1162="","",[1]weekly_demand!H1163)</f>
        <v/>
      </c>
      <c r="D1162" s="61" t="str">
        <f>IF($A1162="","",IF(SUMIFS([1]Fixture_Capacity_Input!$C:$C,[1]Fixture_Capacity_Input!$A:$A,$B1162,[1]Fixture_Capacity_Input!$B:$B,$C1162)&gt;0,SUMIFS([1]Fixture_Capacity_Input!$C:$C,[1]Fixture_Capacity_Input!$A:$A,$B1162,[1]Fixture_Capacity_Input!$B:$B,$C1162),[1]weekly_demand!G1163))</f>
        <v/>
      </c>
      <c r="E1162" s="62" t="str">
        <f>IF($A1162="","",[1]weekly_demand!I1163)</f>
        <v/>
      </c>
      <c r="F1162" s="61" t="str">
        <f>IF($A1162="","",IF($A1162&lt;&gt;$A1161,IFERROR(INDEX([1]FG_Begin_Inventory!$B:$B,MATCH($A1162,[1]FG_Begin_Inventory!$A:$A,0)),0),J1161))</f>
        <v/>
      </c>
      <c r="G1162" s="61" t="str">
        <f t="shared" si="129"/>
        <v/>
      </c>
      <c r="H1162" s="61" t="str">
        <f t="shared" si="130"/>
        <v/>
      </c>
      <c r="I1162" s="62" t="str">
        <f t="shared" si="131"/>
        <v/>
      </c>
      <c r="J1162" s="61" t="str">
        <f t="shared" si="132"/>
        <v/>
      </c>
      <c r="K1162" s="61" t="str">
        <f t="shared" si="133"/>
        <v/>
      </c>
      <c r="L1162" s="61" t="str">
        <f t="shared" si="134"/>
        <v/>
      </c>
      <c r="M1162" s="63" t="str">
        <f t="shared" si="135"/>
        <v/>
      </c>
      <c r="N1162" s="64"/>
    </row>
    <row r="1163" spans="1:14" x14ac:dyDescent="0.3">
      <c r="A1163" s="58" t="str">
        <f>IF([1]weekly_demand!A1164="","",[1]weekly_demand!A1164)</f>
        <v/>
      </c>
      <c r="B1163" s="59" t="str">
        <f>IF($A1163="","",[1]weekly_demand!F1164)</f>
        <v/>
      </c>
      <c r="C1163" s="60" t="str">
        <f>IF($A1163="","",[1]weekly_demand!H1164)</f>
        <v/>
      </c>
      <c r="D1163" s="61" t="str">
        <f>IF($A1163="","",IF(SUMIFS([1]Fixture_Capacity_Input!$C:$C,[1]Fixture_Capacity_Input!$A:$A,$B1163,[1]Fixture_Capacity_Input!$B:$B,$C1163)&gt;0,SUMIFS([1]Fixture_Capacity_Input!$C:$C,[1]Fixture_Capacity_Input!$A:$A,$B1163,[1]Fixture_Capacity_Input!$B:$B,$C1163),[1]weekly_demand!G1164))</f>
        <v/>
      </c>
      <c r="E1163" s="62" t="str">
        <f>IF($A1163="","",[1]weekly_demand!I1164)</f>
        <v/>
      </c>
      <c r="F1163" s="61" t="str">
        <f>IF($A1163="","",IF($A1163&lt;&gt;$A1162,IFERROR(INDEX([1]FG_Begin_Inventory!$B:$B,MATCH($A1163,[1]FG_Begin_Inventory!$A:$A,0)),0),J1162))</f>
        <v/>
      </c>
      <c r="G1163" s="61" t="str">
        <f t="shared" si="129"/>
        <v/>
      </c>
      <c r="H1163" s="61" t="str">
        <f t="shared" si="130"/>
        <v/>
      </c>
      <c r="I1163" s="62" t="str">
        <f t="shared" si="131"/>
        <v/>
      </c>
      <c r="J1163" s="61" t="str">
        <f t="shared" si="132"/>
        <v/>
      </c>
      <c r="K1163" s="61" t="str">
        <f t="shared" si="133"/>
        <v/>
      </c>
      <c r="L1163" s="61" t="str">
        <f t="shared" si="134"/>
        <v/>
      </c>
      <c r="M1163" s="63" t="str">
        <f t="shared" si="135"/>
        <v/>
      </c>
      <c r="N1163" s="64"/>
    </row>
    <row r="1164" spans="1:14" x14ac:dyDescent="0.3">
      <c r="A1164" s="58" t="str">
        <f>IF([1]weekly_demand!A1165="","",[1]weekly_demand!A1165)</f>
        <v/>
      </c>
      <c r="B1164" s="59" t="str">
        <f>IF($A1164="","",[1]weekly_demand!F1165)</f>
        <v/>
      </c>
      <c r="C1164" s="60" t="str">
        <f>IF($A1164="","",[1]weekly_demand!H1165)</f>
        <v/>
      </c>
      <c r="D1164" s="61" t="str">
        <f>IF($A1164="","",IF(SUMIFS([1]Fixture_Capacity_Input!$C:$C,[1]Fixture_Capacity_Input!$A:$A,$B1164,[1]Fixture_Capacity_Input!$B:$B,$C1164)&gt;0,SUMIFS([1]Fixture_Capacity_Input!$C:$C,[1]Fixture_Capacity_Input!$A:$A,$B1164,[1]Fixture_Capacity_Input!$B:$B,$C1164),[1]weekly_demand!G1165))</f>
        <v/>
      </c>
      <c r="E1164" s="62" t="str">
        <f>IF($A1164="","",[1]weekly_demand!I1165)</f>
        <v/>
      </c>
      <c r="F1164" s="61" t="str">
        <f>IF($A1164="","",IF($A1164&lt;&gt;$A1163,IFERROR(INDEX([1]FG_Begin_Inventory!$B:$B,MATCH($A1164,[1]FG_Begin_Inventory!$A:$A,0)),0),J1163))</f>
        <v/>
      </c>
      <c r="G1164" s="61" t="str">
        <f t="shared" si="129"/>
        <v/>
      </c>
      <c r="H1164" s="61" t="str">
        <f t="shared" si="130"/>
        <v/>
      </c>
      <c r="I1164" s="62" t="str">
        <f t="shared" si="131"/>
        <v/>
      </c>
      <c r="J1164" s="61" t="str">
        <f t="shared" si="132"/>
        <v/>
      </c>
      <c r="K1164" s="61" t="str">
        <f t="shared" si="133"/>
        <v/>
      </c>
      <c r="L1164" s="61" t="str">
        <f t="shared" si="134"/>
        <v/>
      </c>
      <c r="M1164" s="63" t="str">
        <f t="shared" si="135"/>
        <v/>
      </c>
      <c r="N1164" s="64"/>
    </row>
    <row r="1165" spans="1:14" x14ac:dyDescent="0.3">
      <c r="A1165" s="58" t="str">
        <f>IF([1]weekly_demand!A1166="","",[1]weekly_demand!A1166)</f>
        <v/>
      </c>
      <c r="B1165" s="59" t="str">
        <f>IF($A1165="","",[1]weekly_demand!F1166)</f>
        <v/>
      </c>
      <c r="C1165" s="60" t="str">
        <f>IF($A1165="","",[1]weekly_demand!H1166)</f>
        <v/>
      </c>
      <c r="D1165" s="61" t="str">
        <f>IF($A1165="","",IF(SUMIFS([1]Fixture_Capacity_Input!$C:$C,[1]Fixture_Capacity_Input!$A:$A,$B1165,[1]Fixture_Capacity_Input!$B:$B,$C1165)&gt;0,SUMIFS([1]Fixture_Capacity_Input!$C:$C,[1]Fixture_Capacity_Input!$A:$A,$B1165,[1]Fixture_Capacity_Input!$B:$B,$C1165),[1]weekly_demand!G1166))</f>
        <v/>
      </c>
      <c r="E1165" s="62" t="str">
        <f>IF($A1165="","",[1]weekly_demand!I1166)</f>
        <v/>
      </c>
      <c r="F1165" s="61" t="str">
        <f>IF($A1165="","",IF($A1165&lt;&gt;$A1164,IFERROR(INDEX([1]FG_Begin_Inventory!$B:$B,MATCH($A1165,[1]FG_Begin_Inventory!$A:$A,0)),0),J1164))</f>
        <v/>
      </c>
      <c r="G1165" s="61" t="str">
        <f t="shared" si="129"/>
        <v/>
      </c>
      <c r="H1165" s="61" t="str">
        <f t="shared" si="130"/>
        <v/>
      </c>
      <c r="I1165" s="62" t="str">
        <f t="shared" si="131"/>
        <v/>
      </c>
      <c r="J1165" s="61" t="str">
        <f t="shared" si="132"/>
        <v/>
      </c>
      <c r="K1165" s="61" t="str">
        <f t="shared" si="133"/>
        <v/>
      </c>
      <c r="L1165" s="61" t="str">
        <f t="shared" si="134"/>
        <v/>
      </c>
      <c r="M1165" s="63" t="str">
        <f t="shared" si="135"/>
        <v/>
      </c>
      <c r="N1165" s="64"/>
    </row>
    <row r="1166" spans="1:14" x14ac:dyDescent="0.3">
      <c r="A1166" s="58" t="str">
        <f>IF([1]weekly_demand!A1167="","",[1]weekly_demand!A1167)</f>
        <v/>
      </c>
      <c r="B1166" s="59" t="str">
        <f>IF($A1166="","",[1]weekly_demand!F1167)</f>
        <v/>
      </c>
      <c r="C1166" s="60" t="str">
        <f>IF($A1166="","",[1]weekly_demand!H1167)</f>
        <v/>
      </c>
      <c r="D1166" s="61" t="str">
        <f>IF($A1166="","",IF(SUMIFS([1]Fixture_Capacity_Input!$C:$C,[1]Fixture_Capacity_Input!$A:$A,$B1166,[1]Fixture_Capacity_Input!$B:$B,$C1166)&gt;0,SUMIFS([1]Fixture_Capacity_Input!$C:$C,[1]Fixture_Capacity_Input!$A:$A,$B1166,[1]Fixture_Capacity_Input!$B:$B,$C1166),[1]weekly_demand!G1167))</f>
        <v/>
      </c>
      <c r="E1166" s="62" t="str">
        <f>IF($A1166="","",[1]weekly_demand!I1167)</f>
        <v/>
      </c>
      <c r="F1166" s="61" t="str">
        <f>IF($A1166="","",IF($A1166&lt;&gt;$A1165,IFERROR(INDEX([1]FG_Begin_Inventory!$B:$B,MATCH($A1166,[1]FG_Begin_Inventory!$A:$A,0)),0),J1165))</f>
        <v/>
      </c>
      <c r="G1166" s="61" t="str">
        <f t="shared" si="129"/>
        <v/>
      </c>
      <c r="H1166" s="61" t="str">
        <f t="shared" si="130"/>
        <v/>
      </c>
      <c r="I1166" s="62" t="str">
        <f t="shared" si="131"/>
        <v/>
      </c>
      <c r="J1166" s="61" t="str">
        <f t="shared" si="132"/>
        <v/>
      </c>
      <c r="K1166" s="61" t="str">
        <f t="shared" si="133"/>
        <v/>
      </c>
      <c r="L1166" s="61" t="str">
        <f t="shared" si="134"/>
        <v/>
      </c>
      <c r="M1166" s="63" t="str">
        <f t="shared" si="135"/>
        <v/>
      </c>
      <c r="N1166" s="64"/>
    </row>
    <row r="1167" spans="1:14" x14ac:dyDescent="0.3">
      <c r="A1167" s="58" t="str">
        <f>IF([1]weekly_demand!A1168="","",[1]weekly_demand!A1168)</f>
        <v/>
      </c>
      <c r="B1167" s="59" t="str">
        <f>IF($A1167="","",[1]weekly_demand!F1168)</f>
        <v/>
      </c>
      <c r="C1167" s="60" t="str">
        <f>IF($A1167="","",[1]weekly_demand!H1168)</f>
        <v/>
      </c>
      <c r="D1167" s="61" t="str">
        <f>IF($A1167="","",IF(SUMIFS([1]Fixture_Capacity_Input!$C:$C,[1]Fixture_Capacity_Input!$A:$A,$B1167,[1]Fixture_Capacity_Input!$B:$B,$C1167)&gt;0,SUMIFS([1]Fixture_Capacity_Input!$C:$C,[1]Fixture_Capacity_Input!$A:$A,$B1167,[1]Fixture_Capacity_Input!$B:$B,$C1167),[1]weekly_demand!G1168))</f>
        <v/>
      </c>
      <c r="E1167" s="62" t="str">
        <f>IF($A1167="","",[1]weekly_demand!I1168)</f>
        <v/>
      </c>
      <c r="F1167" s="61" t="str">
        <f>IF($A1167="","",IF($A1167&lt;&gt;$A1166,IFERROR(INDEX([1]FG_Begin_Inventory!$B:$B,MATCH($A1167,[1]FG_Begin_Inventory!$A:$A,0)),0),J1166))</f>
        <v/>
      </c>
      <c r="G1167" s="61" t="str">
        <f t="shared" si="129"/>
        <v/>
      </c>
      <c r="H1167" s="61" t="str">
        <f t="shared" si="130"/>
        <v/>
      </c>
      <c r="I1167" s="62" t="str">
        <f t="shared" si="131"/>
        <v/>
      </c>
      <c r="J1167" s="61" t="str">
        <f t="shared" si="132"/>
        <v/>
      </c>
      <c r="K1167" s="61" t="str">
        <f t="shared" si="133"/>
        <v/>
      </c>
      <c r="L1167" s="61" t="str">
        <f t="shared" si="134"/>
        <v/>
      </c>
      <c r="M1167" s="63" t="str">
        <f t="shared" si="135"/>
        <v/>
      </c>
      <c r="N1167" s="64"/>
    </row>
    <row r="1168" spans="1:14" x14ac:dyDescent="0.3">
      <c r="A1168" s="58" t="str">
        <f>IF([1]weekly_demand!A1169="","",[1]weekly_demand!A1169)</f>
        <v/>
      </c>
      <c r="B1168" s="59" t="str">
        <f>IF($A1168="","",[1]weekly_demand!F1169)</f>
        <v/>
      </c>
      <c r="C1168" s="60" t="str">
        <f>IF($A1168="","",[1]weekly_demand!H1169)</f>
        <v/>
      </c>
      <c r="D1168" s="61" t="str">
        <f>IF($A1168="","",IF(SUMIFS([1]Fixture_Capacity_Input!$C:$C,[1]Fixture_Capacity_Input!$A:$A,$B1168,[1]Fixture_Capacity_Input!$B:$B,$C1168)&gt;0,SUMIFS([1]Fixture_Capacity_Input!$C:$C,[1]Fixture_Capacity_Input!$A:$A,$B1168,[1]Fixture_Capacity_Input!$B:$B,$C1168),[1]weekly_demand!G1169))</f>
        <v/>
      </c>
      <c r="E1168" s="62" t="str">
        <f>IF($A1168="","",[1]weekly_demand!I1169)</f>
        <v/>
      </c>
      <c r="F1168" s="61" t="str">
        <f>IF($A1168="","",IF($A1168&lt;&gt;$A1167,IFERROR(INDEX([1]FG_Begin_Inventory!$B:$B,MATCH($A1168,[1]FG_Begin_Inventory!$A:$A,0)),0),J1167))</f>
        <v/>
      </c>
      <c r="G1168" s="61" t="str">
        <f t="shared" si="129"/>
        <v/>
      </c>
      <c r="H1168" s="61" t="str">
        <f t="shared" si="130"/>
        <v/>
      </c>
      <c r="I1168" s="62" t="str">
        <f t="shared" si="131"/>
        <v/>
      </c>
      <c r="J1168" s="61" t="str">
        <f t="shared" si="132"/>
        <v/>
      </c>
      <c r="K1168" s="61" t="str">
        <f t="shared" si="133"/>
        <v/>
      </c>
      <c r="L1168" s="61" t="str">
        <f t="shared" si="134"/>
        <v/>
      </c>
      <c r="M1168" s="63" t="str">
        <f t="shared" si="135"/>
        <v/>
      </c>
      <c r="N1168" s="64"/>
    </row>
    <row r="1169" spans="1:14" x14ac:dyDescent="0.3">
      <c r="A1169" s="58" t="str">
        <f>IF([1]weekly_demand!A1170="","",[1]weekly_demand!A1170)</f>
        <v/>
      </c>
      <c r="B1169" s="59" t="str">
        <f>IF($A1169="","",[1]weekly_demand!F1170)</f>
        <v/>
      </c>
      <c r="C1169" s="60" t="str">
        <f>IF($A1169="","",[1]weekly_demand!H1170)</f>
        <v/>
      </c>
      <c r="D1169" s="61" t="str">
        <f>IF($A1169="","",IF(SUMIFS([1]Fixture_Capacity_Input!$C:$C,[1]Fixture_Capacity_Input!$A:$A,$B1169,[1]Fixture_Capacity_Input!$B:$B,$C1169)&gt;0,SUMIFS([1]Fixture_Capacity_Input!$C:$C,[1]Fixture_Capacity_Input!$A:$A,$B1169,[1]Fixture_Capacity_Input!$B:$B,$C1169),[1]weekly_demand!G1170))</f>
        <v/>
      </c>
      <c r="E1169" s="62" t="str">
        <f>IF($A1169="","",[1]weekly_demand!I1170)</f>
        <v/>
      </c>
      <c r="F1169" s="61" t="str">
        <f>IF($A1169="","",IF($A1169&lt;&gt;$A1168,IFERROR(INDEX([1]FG_Begin_Inventory!$B:$B,MATCH($A1169,[1]FG_Begin_Inventory!$A:$A,0)),0),J1168))</f>
        <v/>
      </c>
      <c r="G1169" s="61" t="str">
        <f t="shared" si="129"/>
        <v/>
      </c>
      <c r="H1169" s="61" t="str">
        <f t="shared" si="130"/>
        <v/>
      </c>
      <c r="I1169" s="62" t="str">
        <f t="shared" si="131"/>
        <v/>
      </c>
      <c r="J1169" s="61" t="str">
        <f t="shared" si="132"/>
        <v/>
      </c>
      <c r="K1169" s="61" t="str">
        <f t="shared" si="133"/>
        <v/>
      </c>
      <c r="L1169" s="61" t="str">
        <f t="shared" si="134"/>
        <v/>
      </c>
      <c r="M1169" s="63" t="str">
        <f t="shared" si="135"/>
        <v/>
      </c>
      <c r="N1169" s="64"/>
    </row>
    <row r="1170" spans="1:14" x14ac:dyDescent="0.3">
      <c r="A1170" s="58" t="str">
        <f>IF([1]weekly_demand!A1171="","",[1]weekly_demand!A1171)</f>
        <v/>
      </c>
      <c r="B1170" s="59" t="str">
        <f>IF($A1170="","",[1]weekly_demand!F1171)</f>
        <v/>
      </c>
      <c r="C1170" s="60" t="str">
        <f>IF($A1170="","",[1]weekly_demand!H1171)</f>
        <v/>
      </c>
      <c r="D1170" s="61" t="str">
        <f>IF($A1170="","",IF(SUMIFS([1]Fixture_Capacity_Input!$C:$C,[1]Fixture_Capacity_Input!$A:$A,$B1170,[1]Fixture_Capacity_Input!$B:$B,$C1170)&gt;0,SUMIFS([1]Fixture_Capacity_Input!$C:$C,[1]Fixture_Capacity_Input!$A:$A,$B1170,[1]Fixture_Capacity_Input!$B:$B,$C1170),[1]weekly_demand!G1171))</f>
        <v/>
      </c>
      <c r="E1170" s="62" t="str">
        <f>IF($A1170="","",[1]weekly_demand!I1171)</f>
        <v/>
      </c>
      <c r="F1170" s="61" t="str">
        <f>IF($A1170="","",IF($A1170&lt;&gt;$A1169,IFERROR(INDEX([1]FG_Begin_Inventory!$B:$B,MATCH($A1170,[1]FG_Begin_Inventory!$A:$A,0)),0),J1169))</f>
        <v/>
      </c>
      <c r="G1170" s="61" t="str">
        <f t="shared" si="129"/>
        <v/>
      </c>
      <c r="H1170" s="61" t="str">
        <f t="shared" si="130"/>
        <v/>
      </c>
      <c r="I1170" s="62" t="str">
        <f t="shared" si="131"/>
        <v/>
      </c>
      <c r="J1170" s="61" t="str">
        <f t="shared" si="132"/>
        <v/>
      </c>
      <c r="K1170" s="61" t="str">
        <f t="shared" si="133"/>
        <v/>
      </c>
      <c r="L1170" s="61" t="str">
        <f t="shared" si="134"/>
        <v/>
      </c>
      <c r="M1170" s="63" t="str">
        <f t="shared" si="135"/>
        <v/>
      </c>
      <c r="N1170" s="64"/>
    </row>
    <row r="1171" spans="1:14" x14ac:dyDescent="0.3">
      <c r="A1171" s="58" t="str">
        <f>IF([1]weekly_demand!A1172="","",[1]weekly_demand!A1172)</f>
        <v/>
      </c>
      <c r="B1171" s="59" t="str">
        <f>IF($A1171="","",[1]weekly_demand!F1172)</f>
        <v/>
      </c>
      <c r="C1171" s="60" t="str">
        <f>IF($A1171="","",[1]weekly_demand!H1172)</f>
        <v/>
      </c>
      <c r="D1171" s="61" t="str">
        <f>IF($A1171="","",IF(SUMIFS([1]Fixture_Capacity_Input!$C:$C,[1]Fixture_Capacity_Input!$A:$A,$B1171,[1]Fixture_Capacity_Input!$B:$B,$C1171)&gt;0,SUMIFS([1]Fixture_Capacity_Input!$C:$C,[1]Fixture_Capacity_Input!$A:$A,$B1171,[1]Fixture_Capacity_Input!$B:$B,$C1171),[1]weekly_demand!G1172))</f>
        <v/>
      </c>
      <c r="E1171" s="62" t="str">
        <f>IF($A1171="","",[1]weekly_demand!I1172)</f>
        <v/>
      </c>
      <c r="F1171" s="61" t="str">
        <f>IF($A1171="","",IF($A1171&lt;&gt;$A1170,IFERROR(INDEX([1]FG_Begin_Inventory!$B:$B,MATCH($A1171,[1]FG_Begin_Inventory!$A:$A,0)),0),J1170))</f>
        <v/>
      </c>
      <c r="G1171" s="61" t="str">
        <f t="shared" si="129"/>
        <v/>
      </c>
      <c r="H1171" s="61" t="str">
        <f t="shared" si="130"/>
        <v/>
      </c>
      <c r="I1171" s="62" t="str">
        <f t="shared" si="131"/>
        <v/>
      </c>
      <c r="J1171" s="61" t="str">
        <f t="shared" si="132"/>
        <v/>
      </c>
      <c r="K1171" s="61" t="str">
        <f t="shared" si="133"/>
        <v/>
      </c>
      <c r="L1171" s="61" t="str">
        <f t="shared" si="134"/>
        <v/>
      </c>
      <c r="M1171" s="63" t="str">
        <f t="shared" si="135"/>
        <v/>
      </c>
      <c r="N1171" s="64"/>
    </row>
    <row r="1172" spans="1:14" x14ac:dyDescent="0.3">
      <c r="A1172" s="58" t="str">
        <f>IF([1]weekly_demand!A1173="","",[1]weekly_demand!A1173)</f>
        <v/>
      </c>
      <c r="B1172" s="59" t="str">
        <f>IF($A1172="","",[1]weekly_demand!F1173)</f>
        <v/>
      </c>
      <c r="C1172" s="60" t="str">
        <f>IF($A1172="","",[1]weekly_demand!H1173)</f>
        <v/>
      </c>
      <c r="D1172" s="61" t="str">
        <f>IF($A1172="","",IF(SUMIFS([1]Fixture_Capacity_Input!$C:$C,[1]Fixture_Capacity_Input!$A:$A,$B1172,[1]Fixture_Capacity_Input!$B:$B,$C1172)&gt;0,SUMIFS([1]Fixture_Capacity_Input!$C:$C,[1]Fixture_Capacity_Input!$A:$A,$B1172,[1]Fixture_Capacity_Input!$B:$B,$C1172),[1]weekly_demand!G1173))</f>
        <v/>
      </c>
      <c r="E1172" s="62" t="str">
        <f>IF($A1172="","",[1]weekly_demand!I1173)</f>
        <v/>
      </c>
      <c r="F1172" s="61" t="str">
        <f>IF($A1172="","",IF($A1172&lt;&gt;$A1171,IFERROR(INDEX([1]FG_Begin_Inventory!$B:$B,MATCH($A1172,[1]FG_Begin_Inventory!$A:$A,0)),0),J1171))</f>
        <v/>
      </c>
      <c r="G1172" s="61" t="str">
        <f t="shared" si="129"/>
        <v/>
      </c>
      <c r="H1172" s="61" t="str">
        <f t="shared" si="130"/>
        <v/>
      </c>
      <c r="I1172" s="62" t="str">
        <f t="shared" si="131"/>
        <v/>
      </c>
      <c r="J1172" s="61" t="str">
        <f t="shared" si="132"/>
        <v/>
      </c>
      <c r="K1172" s="61" t="str">
        <f t="shared" si="133"/>
        <v/>
      </c>
      <c r="L1172" s="61" t="str">
        <f t="shared" si="134"/>
        <v/>
      </c>
      <c r="M1172" s="63" t="str">
        <f t="shared" si="135"/>
        <v/>
      </c>
      <c r="N1172" s="64"/>
    </row>
    <row r="1173" spans="1:14" x14ac:dyDescent="0.3">
      <c r="A1173" s="58" t="str">
        <f>IF([1]weekly_demand!A1174="","",[1]weekly_demand!A1174)</f>
        <v/>
      </c>
      <c r="B1173" s="59" t="str">
        <f>IF($A1173="","",[1]weekly_demand!F1174)</f>
        <v/>
      </c>
      <c r="C1173" s="60" t="str">
        <f>IF($A1173="","",[1]weekly_demand!H1174)</f>
        <v/>
      </c>
      <c r="D1173" s="61" t="str">
        <f>IF($A1173="","",IF(SUMIFS([1]Fixture_Capacity_Input!$C:$C,[1]Fixture_Capacity_Input!$A:$A,$B1173,[1]Fixture_Capacity_Input!$B:$B,$C1173)&gt;0,SUMIFS([1]Fixture_Capacity_Input!$C:$C,[1]Fixture_Capacity_Input!$A:$A,$B1173,[1]Fixture_Capacity_Input!$B:$B,$C1173),[1]weekly_demand!G1174))</f>
        <v/>
      </c>
      <c r="E1173" s="62" t="str">
        <f>IF($A1173="","",[1]weekly_demand!I1174)</f>
        <v/>
      </c>
      <c r="F1173" s="61" t="str">
        <f>IF($A1173="","",IF($A1173&lt;&gt;$A1172,IFERROR(INDEX([1]FG_Begin_Inventory!$B:$B,MATCH($A1173,[1]FG_Begin_Inventory!$A:$A,0)),0),J1172))</f>
        <v/>
      </c>
      <c r="G1173" s="61" t="str">
        <f t="shared" si="129"/>
        <v/>
      </c>
      <c r="H1173" s="61" t="str">
        <f t="shared" si="130"/>
        <v/>
      </c>
      <c r="I1173" s="62" t="str">
        <f t="shared" si="131"/>
        <v/>
      </c>
      <c r="J1173" s="61" t="str">
        <f t="shared" si="132"/>
        <v/>
      </c>
      <c r="K1173" s="61" t="str">
        <f t="shared" si="133"/>
        <v/>
      </c>
      <c r="L1173" s="61" t="str">
        <f t="shared" si="134"/>
        <v/>
      </c>
      <c r="M1173" s="63" t="str">
        <f t="shared" si="135"/>
        <v/>
      </c>
      <c r="N1173" s="64"/>
    </row>
    <row r="1174" spans="1:14" x14ac:dyDescent="0.3">
      <c r="A1174" s="58" t="str">
        <f>IF([1]weekly_demand!A1175="","",[1]weekly_demand!A1175)</f>
        <v/>
      </c>
      <c r="B1174" s="59" t="str">
        <f>IF($A1174="","",[1]weekly_demand!F1175)</f>
        <v/>
      </c>
      <c r="C1174" s="60" t="str">
        <f>IF($A1174="","",[1]weekly_demand!H1175)</f>
        <v/>
      </c>
      <c r="D1174" s="61" t="str">
        <f>IF($A1174="","",IF(SUMIFS([1]Fixture_Capacity_Input!$C:$C,[1]Fixture_Capacity_Input!$A:$A,$B1174,[1]Fixture_Capacity_Input!$B:$B,$C1174)&gt;0,SUMIFS([1]Fixture_Capacity_Input!$C:$C,[1]Fixture_Capacity_Input!$A:$A,$B1174,[1]Fixture_Capacity_Input!$B:$B,$C1174),[1]weekly_demand!G1175))</f>
        <v/>
      </c>
      <c r="E1174" s="62" t="str">
        <f>IF($A1174="","",[1]weekly_demand!I1175)</f>
        <v/>
      </c>
      <c r="F1174" s="61" t="str">
        <f>IF($A1174="","",IF($A1174&lt;&gt;$A1173,IFERROR(INDEX([1]FG_Begin_Inventory!$B:$B,MATCH($A1174,[1]FG_Begin_Inventory!$A:$A,0)),0),J1173))</f>
        <v/>
      </c>
      <c r="G1174" s="61" t="str">
        <f t="shared" si="129"/>
        <v/>
      </c>
      <c r="H1174" s="61" t="str">
        <f t="shared" si="130"/>
        <v/>
      </c>
      <c r="I1174" s="62" t="str">
        <f t="shared" si="131"/>
        <v/>
      </c>
      <c r="J1174" s="61" t="str">
        <f t="shared" si="132"/>
        <v/>
      </c>
      <c r="K1174" s="61" t="str">
        <f t="shared" si="133"/>
        <v/>
      </c>
      <c r="L1174" s="61" t="str">
        <f t="shared" si="134"/>
        <v/>
      </c>
      <c r="M1174" s="63" t="str">
        <f t="shared" si="135"/>
        <v/>
      </c>
      <c r="N1174" s="64"/>
    </row>
    <row r="1175" spans="1:14" x14ac:dyDescent="0.3">
      <c r="A1175" s="58" t="str">
        <f>IF([1]weekly_demand!A1176="","",[1]weekly_demand!A1176)</f>
        <v/>
      </c>
      <c r="B1175" s="59" t="str">
        <f>IF($A1175="","",[1]weekly_demand!F1176)</f>
        <v/>
      </c>
      <c r="C1175" s="60" t="str">
        <f>IF($A1175="","",[1]weekly_demand!H1176)</f>
        <v/>
      </c>
      <c r="D1175" s="61" t="str">
        <f>IF($A1175="","",IF(SUMIFS([1]Fixture_Capacity_Input!$C:$C,[1]Fixture_Capacity_Input!$A:$A,$B1175,[1]Fixture_Capacity_Input!$B:$B,$C1175)&gt;0,SUMIFS([1]Fixture_Capacity_Input!$C:$C,[1]Fixture_Capacity_Input!$A:$A,$B1175,[1]Fixture_Capacity_Input!$B:$B,$C1175),[1]weekly_demand!G1176))</f>
        <v/>
      </c>
      <c r="E1175" s="62" t="str">
        <f>IF($A1175="","",[1]weekly_demand!I1176)</f>
        <v/>
      </c>
      <c r="F1175" s="61" t="str">
        <f>IF($A1175="","",IF($A1175&lt;&gt;$A1174,IFERROR(INDEX([1]FG_Begin_Inventory!$B:$B,MATCH($A1175,[1]FG_Begin_Inventory!$A:$A,0)),0),J1174))</f>
        <v/>
      </c>
      <c r="G1175" s="61" t="str">
        <f t="shared" si="129"/>
        <v/>
      </c>
      <c r="H1175" s="61" t="str">
        <f t="shared" si="130"/>
        <v/>
      </c>
      <c r="I1175" s="62" t="str">
        <f t="shared" si="131"/>
        <v/>
      </c>
      <c r="J1175" s="61" t="str">
        <f t="shared" si="132"/>
        <v/>
      </c>
      <c r="K1175" s="61" t="str">
        <f t="shared" si="133"/>
        <v/>
      </c>
      <c r="L1175" s="61" t="str">
        <f t="shared" si="134"/>
        <v/>
      </c>
      <c r="M1175" s="63" t="str">
        <f t="shared" si="135"/>
        <v/>
      </c>
      <c r="N1175" s="64"/>
    </row>
    <row r="1176" spans="1:14" x14ac:dyDescent="0.3">
      <c r="A1176" s="58" t="str">
        <f>IF([1]weekly_demand!A1177="","",[1]weekly_demand!A1177)</f>
        <v/>
      </c>
      <c r="B1176" s="59" t="str">
        <f>IF($A1176="","",[1]weekly_demand!F1177)</f>
        <v/>
      </c>
      <c r="C1176" s="60" t="str">
        <f>IF($A1176="","",[1]weekly_demand!H1177)</f>
        <v/>
      </c>
      <c r="D1176" s="61" t="str">
        <f>IF($A1176="","",IF(SUMIFS([1]Fixture_Capacity_Input!$C:$C,[1]Fixture_Capacity_Input!$A:$A,$B1176,[1]Fixture_Capacity_Input!$B:$B,$C1176)&gt;0,SUMIFS([1]Fixture_Capacity_Input!$C:$C,[1]Fixture_Capacity_Input!$A:$A,$B1176,[1]Fixture_Capacity_Input!$B:$B,$C1176),[1]weekly_demand!G1177))</f>
        <v/>
      </c>
      <c r="E1176" s="62" t="str">
        <f>IF($A1176="","",[1]weekly_demand!I1177)</f>
        <v/>
      </c>
      <c r="F1176" s="61" t="str">
        <f>IF($A1176="","",IF($A1176&lt;&gt;$A1175,IFERROR(INDEX([1]FG_Begin_Inventory!$B:$B,MATCH($A1176,[1]FG_Begin_Inventory!$A:$A,0)),0),J1175))</f>
        <v/>
      </c>
      <c r="G1176" s="61" t="str">
        <f t="shared" si="129"/>
        <v/>
      </c>
      <c r="H1176" s="61" t="str">
        <f t="shared" si="130"/>
        <v/>
      </c>
      <c r="I1176" s="62" t="str">
        <f t="shared" si="131"/>
        <v/>
      </c>
      <c r="J1176" s="61" t="str">
        <f t="shared" si="132"/>
        <v/>
      </c>
      <c r="K1176" s="61" t="str">
        <f t="shared" si="133"/>
        <v/>
      </c>
      <c r="L1176" s="61" t="str">
        <f t="shared" si="134"/>
        <v/>
      </c>
      <c r="M1176" s="63" t="str">
        <f t="shared" si="135"/>
        <v/>
      </c>
      <c r="N1176" s="64"/>
    </row>
    <row r="1177" spans="1:14" x14ac:dyDescent="0.3">
      <c r="A1177" s="58" t="str">
        <f>IF([1]weekly_demand!A1178="","",[1]weekly_demand!A1178)</f>
        <v/>
      </c>
      <c r="B1177" s="59" t="str">
        <f>IF($A1177="","",[1]weekly_demand!F1178)</f>
        <v/>
      </c>
      <c r="C1177" s="60" t="str">
        <f>IF($A1177="","",[1]weekly_demand!H1178)</f>
        <v/>
      </c>
      <c r="D1177" s="61" t="str">
        <f>IF($A1177="","",IF(SUMIFS([1]Fixture_Capacity_Input!$C:$C,[1]Fixture_Capacity_Input!$A:$A,$B1177,[1]Fixture_Capacity_Input!$B:$B,$C1177)&gt;0,SUMIFS([1]Fixture_Capacity_Input!$C:$C,[1]Fixture_Capacity_Input!$A:$A,$B1177,[1]Fixture_Capacity_Input!$B:$B,$C1177),[1]weekly_demand!G1178))</f>
        <v/>
      </c>
      <c r="E1177" s="62" t="str">
        <f>IF($A1177="","",[1]weekly_demand!I1178)</f>
        <v/>
      </c>
      <c r="F1177" s="61" t="str">
        <f>IF($A1177="","",IF($A1177&lt;&gt;$A1176,IFERROR(INDEX([1]FG_Begin_Inventory!$B:$B,MATCH($A1177,[1]FG_Begin_Inventory!$A:$A,0)),0),J1176))</f>
        <v/>
      </c>
      <c r="G1177" s="61" t="str">
        <f t="shared" si="129"/>
        <v/>
      </c>
      <c r="H1177" s="61" t="str">
        <f t="shared" si="130"/>
        <v/>
      </c>
      <c r="I1177" s="62" t="str">
        <f t="shared" si="131"/>
        <v/>
      </c>
      <c r="J1177" s="61" t="str">
        <f t="shared" si="132"/>
        <v/>
      </c>
      <c r="K1177" s="61" t="str">
        <f t="shared" si="133"/>
        <v/>
      </c>
      <c r="L1177" s="61" t="str">
        <f t="shared" si="134"/>
        <v/>
      </c>
      <c r="M1177" s="63" t="str">
        <f t="shared" si="135"/>
        <v/>
      </c>
      <c r="N1177" s="64"/>
    </row>
    <row r="1178" spans="1:14" x14ac:dyDescent="0.3">
      <c r="A1178" s="58" t="str">
        <f>IF([1]weekly_demand!A1179="","",[1]weekly_demand!A1179)</f>
        <v/>
      </c>
      <c r="B1178" s="59" t="str">
        <f>IF($A1178="","",[1]weekly_demand!F1179)</f>
        <v/>
      </c>
      <c r="C1178" s="60" t="str">
        <f>IF($A1178="","",[1]weekly_demand!H1179)</f>
        <v/>
      </c>
      <c r="D1178" s="61" t="str">
        <f>IF($A1178="","",IF(SUMIFS([1]Fixture_Capacity_Input!$C:$C,[1]Fixture_Capacity_Input!$A:$A,$B1178,[1]Fixture_Capacity_Input!$B:$B,$C1178)&gt;0,SUMIFS([1]Fixture_Capacity_Input!$C:$C,[1]Fixture_Capacity_Input!$A:$A,$B1178,[1]Fixture_Capacity_Input!$B:$B,$C1178),[1]weekly_demand!G1179))</f>
        <v/>
      </c>
      <c r="E1178" s="62" t="str">
        <f>IF($A1178="","",[1]weekly_demand!I1179)</f>
        <v/>
      </c>
      <c r="F1178" s="61" t="str">
        <f>IF($A1178="","",IF($A1178&lt;&gt;$A1177,IFERROR(INDEX([1]FG_Begin_Inventory!$B:$B,MATCH($A1178,[1]FG_Begin_Inventory!$A:$A,0)),0),J1177))</f>
        <v/>
      </c>
      <c r="G1178" s="61" t="str">
        <f t="shared" si="129"/>
        <v/>
      </c>
      <c r="H1178" s="61" t="str">
        <f t="shared" si="130"/>
        <v/>
      </c>
      <c r="I1178" s="62" t="str">
        <f t="shared" si="131"/>
        <v/>
      </c>
      <c r="J1178" s="61" t="str">
        <f t="shared" si="132"/>
        <v/>
      </c>
      <c r="K1178" s="61" t="str">
        <f t="shared" si="133"/>
        <v/>
      </c>
      <c r="L1178" s="61" t="str">
        <f t="shared" si="134"/>
        <v/>
      </c>
      <c r="M1178" s="63" t="str">
        <f t="shared" si="135"/>
        <v/>
      </c>
      <c r="N1178" s="64"/>
    </row>
    <row r="1179" spans="1:14" x14ac:dyDescent="0.3">
      <c r="A1179" s="58" t="str">
        <f>IF([1]weekly_demand!A1180="","",[1]weekly_demand!A1180)</f>
        <v/>
      </c>
      <c r="B1179" s="59" t="str">
        <f>IF($A1179="","",[1]weekly_demand!F1180)</f>
        <v/>
      </c>
      <c r="C1179" s="60" t="str">
        <f>IF($A1179="","",[1]weekly_demand!H1180)</f>
        <v/>
      </c>
      <c r="D1179" s="61" t="str">
        <f>IF($A1179="","",IF(SUMIFS([1]Fixture_Capacity_Input!$C:$C,[1]Fixture_Capacity_Input!$A:$A,$B1179,[1]Fixture_Capacity_Input!$B:$B,$C1179)&gt;0,SUMIFS([1]Fixture_Capacity_Input!$C:$C,[1]Fixture_Capacity_Input!$A:$A,$B1179,[1]Fixture_Capacity_Input!$B:$B,$C1179),[1]weekly_demand!G1180))</f>
        <v/>
      </c>
      <c r="E1179" s="62" t="str">
        <f>IF($A1179="","",[1]weekly_demand!I1180)</f>
        <v/>
      </c>
      <c r="F1179" s="61" t="str">
        <f>IF($A1179="","",IF($A1179&lt;&gt;$A1178,IFERROR(INDEX([1]FG_Begin_Inventory!$B:$B,MATCH($A1179,[1]FG_Begin_Inventory!$A:$A,0)),0),J1178))</f>
        <v/>
      </c>
      <c r="G1179" s="61" t="str">
        <f t="shared" si="129"/>
        <v/>
      </c>
      <c r="H1179" s="61" t="str">
        <f t="shared" si="130"/>
        <v/>
      </c>
      <c r="I1179" s="62" t="str">
        <f t="shared" si="131"/>
        <v/>
      </c>
      <c r="J1179" s="61" t="str">
        <f t="shared" si="132"/>
        <v/>
      </c>
      <c r="K1179" s="61" t="str">
        <f t="shared" si="133"/>
        <v/>
      </c>
      <c r="L1179" s="61" t="str">
        <f t="shared" si="134"/>
        <v/>
      </c>
      <c r="M1179" s="63" t="str">
        <f t="shared" si="135"/>
        <v/>
      </c>
      <c r="N1179" s="64"/>
    </row>
    <row r="1180" spans="1:14" x14ac:dyDescent="0.3">
      <c r="A1180" s="58" t="str">
        <f>IF([1]weekly_demand!A1181="","",[1]weekly_demand!A1181)</f>
        <v/>
      </c>
      <c r="B1180" s="59" t="str">
        <f>IF($A1180="","",[1]weekly_demand!F1181)</f>
        <v/>
      </c>
      <c r="C1180" s="60" t="str">
        <f>IF($A1180="","",[1]weekly_demand!H1181)</f>
        <v/>
      </c>
      <c r="D1180" s="61" t="str">
        <f>IF($A1180="","",IF(SUMIFS([1]Fixture_Capacity_Input!$C:$C,[1]Fixture_Capacity_Input!$A:$A,$B1180,[1]Fixture_Capacity_Input!$B:$B,$C1180)&gt;0,SUMIFS([1]Fixture_Capacity_Input!$C:$C,[1]Fixture_Capacity_Input!$A:$A,$B1180,[1]Fixture_Capacity_Input!$B:$B,$C1180),[1]weekly_demand!G1181))</f>
        <v/>
      </c>
      <c r="E1180" s="62" t="str">
        <f>IF($A1180="","",[1]weekly_demand!I1181)</f>
        <v/>
      </c>
      <c r="F1180" s="61" t="str">
        <f>IF($A1180="","",IF($A1180&lt;&gt;$A1179,IFERROR(INDEX([1]FG_Begin_Inventory!$B:$B,MATCH($A1180,[1]FG_Begin_Inventory!$A:$A,0)),0),J1179))</f>
        <v/>
      </c>
      <c r="G1180" s="61" t="str">
        <f t="shared" si="129"/>
        <v/>
      </c>
      <c r="H1180" s="61" t="str">
        <f t="shared" si="130"/>
        <v/>
      </c>
      <c r="I1180" s="62" t="str">
        <f t="shared" si="131"/>
        <v/>
      </c>
      <c r="J1180" s="61" t="str">
        <f t="shared" si="132"/>
        <v/>
      </c>
      <c r="K1180" s="61" t="str">
        <f t="shared" si="133"/>
        <v/>
      </c>
      <c r="L1180" s="61" t="str">
        <f t="shared" si="134"/>
        <v/>
      </c>
      <c r="M1180" s="63" t="str">
        <f t="shared" si="135"/>
        <v/>
      </c>
      <c r="N1180" s="64"/>
    </row>
    <row r="1181" spans="1:14" x14ac:dyDescent="0.3">
      <c r="A1181" s="58" t="str">
        <f>IF([1]weekly_demand!A1182="","",[1]weekly_demand!A1182)</f>
        <v/>
      </c>
      <c r="B1181" s="59" t="str">
        <f>IF($A1181="","",[1]weekly_demand!F1182)</f>
        <v/>
      </c>
      <c r="C1181" s="60" t="str">
        <f>IF($A1181="","",[1]weekly_demand!H1182)</f>
        <v/>
      </c>
      <c r="D1181" s="61" t="str">
        <f>IF($A1181="","",IF(SUMIFS([1]Fixture_Capacity_Input!$C:$C,[1]Fixture_Capacity_Input!$A:$A,$B1181,[1]Fixture_Capacity_Input!$B:$B,$C1181)&gt;0,SUMIFS([1]Fixture_Capacity_Input!$C:$C,[1]Fixture_Capacity_Input!$A:$A,$B1181,[1]Fixture_Capacity_Input!$B:$B,$C1181),[1]weekly_demand!G1182))</f>
        <v/>
      </c>
      <c r="E1181" s="62" t="str">
        <f>IF($A1181="","",[1]weekly_demand!I1182)</f>
        <v/>
      </c>
      <c r="F1181" s="61" t="str">
        <f>IF($A1181="","",IF($A1181&lt;&gt;$A1180,IFERROR(INDEX([1]FG_Begin_Inventory!$B:$B,MATCH($A1181,[1]FG_Begin_Inventory!$A:$A,0)),0),J1180))</f>
        <v/>
      </c>
      <c r="G1181" s="61" t="str">
        <f t="shared" si="129"/>
        <v/>
      </c>
      <c r="H1181" s="61" t="str">
        <f t="shared" si="130"/>
        <v/>
      </c>
      <c r="I1181" s="62" t="str">
        <f t="shared" si="131"/>
        <v/>
      </c>
      <c r="J1181" s="61" t="str">
        <f t="shared" si="132"/>
        <v/>
      </c>
      <c r="K1181" s="61" t="str">
        <f t="shared" si="133"/>
        <v/>
      </c>
      <c r="L1181" s="61" t="str">
        <f t="shared" si="134"/>
        <v/>
      </c>
      <c r="M1181" s="63" t="str">
        <f t="shared" si="135"/>
        <v/>
      </c>
      <c r="N1181" s="64"/>
    </row>
    <row r="1182" spans="1:14" x14ac:dyDescent="0.3">
      <c r="A1182" s="58" t="str">
        <f>IF([1]weekly_demand!A1183="","",[1]weekly_demand!A1183)</f>
        <v/>
      </c>
      <c r="B1182" s="59" t="str">
        <f>IF($A1182="","",[1]weekly_demand!F1183)</f>
        <v/>
      </c>
      <c r="C1182" s="60" t="str">
        <f>IF($A1182="","",[1]weekly_demand!H1183)</f>
        <v/>
      </c>
      <c r="D1182" s="61" t="str">
        <f>IF($A1182="","",IF(SUMIFS([1]Fixture_Capacity_Input!$C:$C,[1]Fixture_Capacity_Input!$A:$A,$B1182,[1]Fixture_Capacity_Input!$B:$B,$C1182)&gt;0,SUMIFS([1]Fixture_Capacity_Input!$C:$C,[1]Fixture_Capacity_Input!$A:$A,$B1182,[1]Fixture_Capacity_Input!$B:$B,$C1182),[1]weekly_demand!G1183))</f>
        <v/>
      </c>
      <c r="E1182" s="62" t="str">
        <f>IF($A1182="","",[1]weekly_demand!I1183)</f>
        <v/>
      </c>
      <c r="F1182" s="61" t="str">
        <f>IF($A1182="","",IF($A1182&lt;&gt;$A1181,IFERROR(INDEX([1]FG_Begin_Inventory!$B:$B,MATCH($A1182,[1]FG_Begin_Inventory!$A:$A,0)),0),J1181))</f>
        <v/>
      </c>
      <c r="G1182" s="61" t="str">
        <f t="shared" si="129"/>
        <v/>
      </c>
      <c r="H1182" s="61" t="str">
        <f t="shared" si="130"/>
        <v/>
      </c>
      <c r="I1182" s="62" t="str">
        <f t="shared" si="131"/>
        <v/>
      </c>
      <c r="J1182" s="61" t="str">
        <f t="shared" si="132"/>
        <v/>
      </c>
      <c r="K1182" s="61" t="str">
        <f t="shared" si="133"/>
        <v/>
      </c>
      <c r="L1182" s="61" t="str">
        <f t="shared" si="134"/>
        <v/>
      </c>
      <c r="M1182" s="63" t="str">
        <f t="shared" si="135"/>
        <v/>
      </c>
      <c r="N1182" s="64"/>
    </row>
    <row r="1183" spans="1:14" x14ac:dyDescent="0.3">
      <c r="A1183" s="58" t="str">
        <f>IF([1]weekly_demand!A1184="","",[1]weekly_demand!A1184)</f>
        <v/>
      </c>
      <c r="B1183" s="59" t="str">
        <f>IF($A1183="","",[1]weekly_demand!F1184)</f>
        <v/>
      </c>
      <c r="C1183" s="60" t="str">
        <f>IF($A1183="","",[1]weekly_demand!H1184)</f>
        <v/>
      </c>
      <c r="D1183" s="61" t="str">
        <f>IF($A1183="","",IF(SUMIFS([1]Fixture_Capacity_Input!$C:$C,[1]Fixture_Capacity_Input!$A:$A,$B1183,[1]Fixture_Capacity_Input!$B:$B,$C1183)&gt;0,SUMIFS([1]Fixture_Capacity_Input!$C:$C,[1]Fixture_Capacity_Input!$A:$A,$B1183,[1]Fixture_Capacity_Input!$B:$B,$C1183),[1]weekly_demand!G1184))</f>
        <v/>
      </c>
      <c r="E1183" s="62" t="str">
        <f>IF($A1183="","",[1]weekly_demand!I1184)</f>
        <v/>
      </c>
      <c r="F1183" s="61" t="str">
        <f>IF($A1183="","",IF($A1183&lt;&gt;$A1182,IFERROR(INDEX([1]FG_Begin_Inventory!$B:$B,MATCH($A1183,[1]FG_Begin_Inventory!$A:$A,0)),0),J1182))</f>
        <v/>
      </c>
      <c r="G1183" s="61" t="str">
        <f t="shared" si="129"/>
        <v/>
      </c>
      <c r="H1183" s="61" t="str">
        <f t="shared" si="130"/>
        <v/>
      </c>
      <c r="I1183" s="62" t="str">
        <f t="shared" si="131"/>
        <v/>
      </c>
      <c r="J1183" s="61" t="str">
        <f t="shared" si="132"/>
        <v/>
      </c>
      <c r="K1183" s="61" t="str">
        <f t="shared" si="133"/>
        <v/>
      </c>
      <c r="L1183" s="61" t="str">
        <f t="shared" si="134"/>
        <v/>
      </c>
      <c r="M1183" s="63" t="str">
        <f t="shared" si="135"/>
        <v/>
      </c>
      <c r="N1183" s="64"/>
    </row>
    <row r="1184" spans="1:14" x14ac:dyDescent="0.3">
      <c r="A1184" s="58" t="str">
        <f>IF([1]weekly_demand!A1185="","",[1]weekly_demand!A1185)</f>
        <v/>
      </c>
      <c r="B1184" s="59" t="str">
        <f>IF($A1184="","",[1]weekly_demand!F1185)</f>
        <v/>
      </c>
      <c r="C1184" s="60" t="str">
        <f>IF($A1184="","",[1]weekly_demand!H1185)</f>
        <v/>
      </c>
      <c r="D1184" s="61" t="str">
        <f>IF($A1184="","",IF(SUMIFS([1]Fixture_Capacity_Input!$C:$C,[1]Fixture_Capacity_Input!$A:$A,$B1184,[1]Fixture_Capacity_Input!$B:$B,$C1184)&gt;0,SUMIFS([1]Fixture_Capacity_Input!$C:$C,[1]Fixture_Capacity_Input!$A:$A,$B1184,[1]Fixture_Capacity_Input!$B:$B,$C1184),[1]weekly_demand!G1185))</f>
        <v/>
      </c>
      <c r="E1184" s="62" t="str">
        <f>IF($A1184="","",[1]weekly_demand!I1185)</f>
        <v/>
      </c>
      <c r="F1184" s="61" t="str">
        <f>IF($A1184="","",IF($A1184&lt;&gt;$A1183,IFERROR(INDEX([1]FG_Begin_Inventory!$B:$B,MATCH($A1184,[1]FG_Begin_Inventory!$A:$A,0)),0),J1183))</f>
        <v/>
      </c>
      <c r="G1184" s="61" t="str">
        <f t="shared" si="129"/>
        <v/>
      </c>
      <c r="H1184" s="61" t="str">
        <f t="shared" si="130"/>
        <v/>
      </c>
      <c r="I1184" s="62" t="str">
        <f t="shared" si="131"/>
        <v/>
      </c>
      <c r="J1184" s="61" t="str">
        <f t="shared" si="132"/>
        <v/>
      </c>
      <c r="K1184" s="61" t="str">
        <f t="shared" si="133"/>
        <v/>
      </c>
      <c r="L1184" s="61" t="str">
        <f t="shared" si="134"/>
        <v/>
      </c>
      <c r="M1184" s="63" t="str">
        <f t="shared" si="135"/>
        <v/>
      </c>
      <c r="N1184" s="64"/>
    </row>
    <row r="1185" spans="1:14" x14ac:dyDescent="0.3">
      <c r="A1185" s="58" t="str">
        <f>IF([1]weekly_demand!A1186="","",[1]weekly_demand!A1186)</f>
        <v/>
      </c>
      <c r="B1185" s="59" t="str">
        <f>IF($A1185="","",[1]weekly_demand!F1186)</f>
        <v/>
      </c>
      <c r="C1185" s="60" t="str">
        <f>IF($A1185="","",[1]weekly_demand!H1186)</f>
        <v/>
      </c>
      <c r="D1185" s="61" t="str">
        <f>IF($A1185="","",IF(SUMIFS([1]Fixture_Capacity_Input!$C:$C,[1]Fixture_Capacity_Input!$A:$A,$B1185,[1]Fixture_Capacity_Input!$B:$B,$C1185)&gt;0,SUMIFS([1]Fixture_Capacity_Input!$C:$C,[1]Fixture_Capacity_Input!$A:$A,$B1185,[1]Fixture_Capacity_Input!$B:$B,$C1185),[1]weekly_demand!G1186))</f>
        <v/>
      </c>
      <c r="E1185" s="62" t="str">
        <f>IF($A1185="","",[1]weekly_demand!I1186)</f>
        <v/>
      </c>
      <c r="F1185" s="61" t="str">
        <f>IF($A1185="","",IF($A1185&lt;&gt;$A1184,IFERROR(INDEX([1]FG_Begin_Inventory!$B:$B,MATCH($A1185,[1]FG_Begin_Inventory!$A:$A,0)),0),J1184))</f>
        <v/>
      </c>
      <c r="G1185" s="61" t="str">
        <f t="shared" si="129"/>
        <v/>
      </c>
      <c r="H1185" s="61" t="str">
        <f t="shared" si="130"/>
        <v/>
      </c>
      <c r="I1185" s="62" t="str">
        <f t="shared" si="131"/>
        <v/>
      </c>
      <c r="J1185" s="61" t="str">
        <f t="shared" si="132"/>
        <v/>
      </c>
      <c r="K1185" s="61" t="str">
        <f t="shared" si="133"/>
        <v/>
      </c>
      <c r="L1185" s="61" t="str">
        <f t="shared" si="134"/>
        <v/>
      </c>
      <c r="M1185" s="63" t="str">
        <f t="shared" si="135"/>
        <v/>
      </c>
      <c r="N1185" s="64"/>
    </row>
    <row r="1186" spans="1:14" x14ac:dyDescent="0.3">
      <c r="A1186" s="58" t="str">
        <f>IF([1]weekly_demand!A1187="","",[1]weekly_demand!A1187)</f>
        <v/>
      </c>
      <c r="B1186" s="59" t="str">
        <f>IF($A1186="","",[1]weekly_demand!F1187)</f>
        <v/>
      </c>
      <c r="C1186" s="60" t="str">
        <f>IF($A1186="","",[1]weekly_demand!H1187)</f>
        <v/>
      </c>
      <c r="D1186" s="61" t="str">
        <f>IF($A1186="","",IF(SUMIFS([1]Fixture_Capacity_Input!$C:$C,[1]Fixture_Capacity_Input!$A:$A,$B1186,[1]Fixture_Capacity_Input!$B:$B,$C1186)&gt;0,SUMIFS([1]Fixture_Capacity_Input!$C:$C,[1]Fixture_Capacity_Input!$A:$A,$B1186,[1]Fixture_Capacity_Input!$B:$B,$C1186),[1]weekly_demand!G1187))</f>
        <v/>
      </c>
      <c r="E1186" s="62" t="str">
        <f>IF($A1186="","",[1]weekly_demand!I1187)</f>
        <v/>
      </c>
      <c r="F1186" s="61" t="str">
        <f>IF($A1186="","",IF($A1186&lt;&gt;$A1185,IFERROR(INDEX([1]FG_Begin_Inventory!$B:$B,MATCH($A1186,[1]FG_Begin_Inventory!$A:$A,0)),0),J1185))</f>
        <v/>
      </c>
      <c r="G1186" s="61" t="str">
        <f t="shared" si="129"/>
        <v/>
      </c>
      <c r="H1186" s="61" t="str">
        <f t="shared" si="130"/>
        <v/>
      </c>
      <c r="I1186" s="62" t="str">
        <f t="shared" si="131"/>
        <v/>
      </c>
      <c r="J1186" s="61" t="str">
        <f t="shared" si="132"/>
        <v/>
      </c>
      <c r="K1186" s="61" t="str">
        <f t="shared" si="133"/>
        <v/>
      </c>
      <c r="L1186" s="61" t="str">
        <f t="shared" si="134"/>
        <v/>
      </c>
      <c r="M1186" s="63" t="str">
        <f t="shared" si="135"/>
        <v/>
      </c>
      <c r="N1186" s="64"/>
    </row>
    <row r="1187" spans="1:14" x14ac:dyDescent="0.3">
      <c r="A1187" s="58" t="str">
        <f>IF([1]weekly_demand!A1188="","",[1]weekly_demand!A1188)</f>
        <v/>
      </c>
      <c r="B1187" s="59" t="str">
        <f>IF($A1187="","",[1]weekly_demand!F1188)</f>
        <v/>
      </c>
      <c r="C1187" s="60" t="str">
        <f>IF($A1187="","",[1]weekly_demand!H1188)</f>
        <v/>
      </c>
      <c r="D1187" s="61" t="str">
        <f>IF($A1187="","",IF(SUMIFS([1]Fixture_Capacity_Input!$C:$C,[1]Fixture_Capacity_Input!$A:$A,$B1187,[1]Fixture_Capacity_Input!$B:$B,$C1187)&gt;0,SUMIFS([1]Fixture_Capacity_Input!$C:$C,[1]Fixture_Capacity_Input!$A:$A,$B1187,[1]Fixture_Capacity_Input!$B:$B,$C1187),[1]weekly_demand!G1188))</f>
        <v/>
      </c>
      <c r="E1187" s="62" t="str">
        <f>IF($A1187="","",[1]weekly_demand!I1188)</f>
        <v/>
      </c>
      <c r="F1187" s="61" t="str">
        <f>IF($A1187="","",IF($A1187&lt;&gt;$A1186,IFERROR(INDEX([1]FG_Begin_Inventory!$B:$B,MATCH($A1187,[1]FG_Begin_Inventory!$A:$A,0)),0),J1186))</f>
        <v/>
      </c>
      <c r="G1187" s="61" t="str">
        <f t="shared" si="129"/>
        <v/>
      </c>
      <c r="H1187" s="61" t="str">
        <f t="shared" si="130"/>
        <v/>
      </c>
      <c r="I1187" s="62" t="str">
        <f t="shared" si="131"/>
        <v/>
      </c>
      <c r="J1187" s="61" t="str">
        <f t="shared" si="132"/>
        <v/>
      </c>
      <c r="K1187" s="61" t="str">
        <f t="shared" si="133"/>
        <v/>
      </c>
      <c r="L1187" s="61" t="str">
        <f t="shared" si="134"/>
        <v/>
      </c>
      <c r="M1187" s="63" t="str">
        <f t="shared" si="135"/>
        <v/>
      </c>
      <c r="N1187" s="64"/>
    </row>
    <row r="1188" spans="1:14" x14ac:dyDescent="0.3">
      <c r="A1188" s="58" t="str">
        <f>IF([1]weekly_demand!A1189="","",[1]weekly_demand!A1189)</f>
        <v/>
      </c>
      <c r="B1188" s="59" t="str">
        <f>IF($A1188="","",[1]weekly_demand!F1189)</f>
        <v/>
      </c>
      <c r="C1188" s="60" t="str">
        <f>IF($A1188="","",[1]weekly_demand!H1189)</f>
        <v/>
      </c>
      <c r="D1188" s="61" t="str">
        <f>IF($A1188="","",IF(SUMIFS([1]Fixture_Capacity_Input!$C:$C,[1]Fixture_Capacity_Input!$A:$A,$B1188,[1]Fixture_Capacity_Input!$B:$B,$C1188)&gt;0,SUMIFS([1]Fixture_Capacity_Input!$C:$C,[1]Fixture_Capacity_Input!$A:$A,$B1188,[1]Fixture_Capacity_Input!$B:$B,$C1188),[1]weekly_demand!G1189))</f>
        <v/>
      </c>
      <c r="E1188" s="62" t="str">
        <f>IF($A1188="","",[1]weekly_demand!I1189)</f>
        <v/>
      </c>
      <c r="F1188" s="61" t="str">
        <f>IF($A1188="","",IF($A1188&lt;&gt;$A1187,IFERROR(INDEX([1]FG_Begin_Inventory!$B:$B,MATCH($A1188,[1]FG_Begin_Inventory!$A:$A,0)),0),J1187))</f>
        <v/>
      </c>
      <c r="G1188" s="61" t="str">
        <f t="shared" si="129"/>
        <v/>
      </c>
      <c r="H1188" s="61" t="str">
        <f t="shared" si="130"/>
        <v/>
      </c>
      <c r="I1188" s="62" t="str">
        <f t="shared" si="131"/>
        <v/>
      </c>
      <c r="J1188" s="61" t="str">
        <f t="shared" si="132"/>
        <v/>
      </c>
      <c r="K1188" s="61" t="str">
        <f t="shared" si="133"/>
        <v/>
      </c>
      <c r="L1188" s="61" t="str">
        <f t="shared" si="134"/>
        <v/>
      </c>
      <c r="M1188" s="63" t="str">
        <f t="shared" si="135"/>
        <v/>
      </c>
      <c r="N1188" s="64"/>
    </row>
    <row r="1189" spans="1:14" x14ac:dyDescent="0.3">
      <c r="A1189" s="58" t="str">
        <f>IF([1]weekly_demand!A1190="","",[1]weekly_demand!A1190)</f>
        <v/>
      </c>
      <c r="B1189" s="59" t="str">
        <f>IF($A1189="","",[1]weekly_demand!F1190)</f>
        <v/>
      </c>
      <c r="C1189" s="60" t="str">
        <f>IF($A1189="","",[1]weekly_demand!H1190)</f>
        <v/>
      </c>
      <c r="D1189" s="61" t="str">
        <f>IF($A1189="","",IF(SUMIFS([1]Fixture_Capacity_Input!$C:$C,[1]Fixture_Capacity_Input!$A:$A,$B1189,[1]Fixture_Capacity_Input!$B:$B,$C1189)&gt;0,SUMIFS([1]Fixture_Capacity_Input!$C:$C,[1]Fixture_Capacity_Input!$A:$A,$B1189,[1]Fixture_Capacity_Input!$B:$B,$C1189),[1]weekly_demand!G1190))</f>
        <v/>
      </c>
      <c r="E1189" s="62" t="str">
        <f>IF($A1189="","",[1]weekly_demand!I1190)</f>
        <v/>
      </c>
      <c r="F1189" s="61" t="str">
        <f>IF($A1189="","",IF($A1189&lt;&gt;$A1188,IFERROR(INDEX([1]FG_Begin_Inventory!$B:$B,MATCH($A1189,[1]FG_Begin_Inventory!$A:$A,0)),0),J1188))</f>
        <v/>
      </c>
      <c r="G1189" s="61" t="str">
        <f t="shared" si="129"/>
        <v/>
      </c>
      <c r="H1189" s="61" t="str">
        <f t="shared" si="130"/>
        <v/>
      </c>
      <c r="I1189" s="62" t="str">
        <f t="shared" si="131"/>
        <v/>
      </c>
      <c r="J1189" s="61" t="str">
        <f t="shared" si="132"/>
        <v/>
      </c>
      <c r="K1189" s="61" t="str">
        <f t="shared" si="133"/>
        <v/>
      </c>
      <c r="L1189" s="61" t="str">
        <f t="shared" si="134"/>
        <v/>
      </c>
      <c r="M1189" s="63" t="str">
        <f t="shared" si="135"/>
        <v/>
      </c>
      <c r="N1189" s="64"/>
    </row>
    <row r="1190" spans="1:14" x14ac:dyDescent="0.3">
      <c r="A1190" s="58" t="str">
        <f>IF([1]weekly_demand!A1191="","",[1]weekly_demand!A1191)</f>
        <v/>
      </c>
      <c r="B1190" s="59" t="str">
        <f>IF($A1190="","",[1]weekly_demand!F1191)</f>
        <v/>
      </c>
      <c r="C1190" s="60" t="str">
        <f>IF($A1190="","",[1]weekly_demand!H1191)</f>
        <v/>
      </c>
      <c r="D1190" s="61" t="str">
        <f>IF($A1190="","",IF(SUMIFS([1]Fixture_Capacity_Input!$C:$C,[1]Fixture_Capacity_Input!$A:$A,$B1190,[1]Fixture_Capacity_Input!$B:$B,$C1190)&gt;0,SUMIFS([1]Fixture_Capacity_Input!$C:$C,[1]Fixture_Capacity_Input!$A:$A,$B1190,[1]Fixture_Capacity_Input!$B:$B,$C1190),[1]weekly_demand!G1191))</f>
        <v/>
      </c>
      <c r="E1190" s="62" t="str">
        <f>IF($A1190="","",[1]weekly_demand!I1191)</f>
        <v/>
      </c>
      <c r="F1190" s="61" t="str">
        <f>IF($A1190="","",IF($A1190&lt;&gt;$A1189,IFERROR(INDEX([1]FG_Begin_Inventory!$B:$B,MATCH($A1190,[1]FG_Begin_Inventory!$A:$A,0)),0),J1189))</f>
        <v/>
      </c>
      <c r="G1190" s="61" t="str">
        <f t="shared" si="129"/>
        <v/>
      </c>
      <c r="H1190" s="61" t="str">
        <f t="shared" si="130"/>
        <v/>
      </c>
      <c r="I1190" s="62" t="str">
        <f t="shared" si="131"/>
        <v/>
      </c>
      <c r="J1190" s="61" t="str">
        <f t="shared" si="132"/>
        <v/>
      </c>
      <c r="K1190" s="61" t="str">
        <f t="shared" si="133"/>
        <v/>
      </c>
      <c r="L1190" s="61" t="str">
        <f t="shared" si="134"/>
        <v/>
      </c>
      <c r="M1190" s="63" t="str">
        <f t="shared" si="135"/>
        <v/>
      </c>
      <c r="N1190" s="64"/>
    </row>
    <row r="1191" spans="1:14" x14ac:dyDescent="0.3">
      <c r="A1191" s="58" t="str">
        <f>IF([1]weekly_demand!A1192="","",[1]weekly_demand!A1192)</f>
        <v/>
      </c>
      <c r="B1191" s="59" t="str">
        <f>IF($A1191="","",[1]weekly_demand!F1192)</f>
        <v/>
      </c>
      <c r="C1191" s="60" t="str">
        <f>IF($A1191="","",[1]weekly_demand!H1192)</f>
        <v/>
      </c>
      <c r="D1191" s="61" t="str">
        <f>IF($A1191="","",IF(SUMIFS([1]Fixture_Capacity_Input!$C:$C,[1]Fixture_Capacity_Input!$A:$A,$B1191,[1]Fixture_Capacity_Input!$B:$B,$C1191)&gt;0,SUMIFS([1]Fixture_Capacity_Input!$C:$C,[1]Fixture_Capacity_Input!$A:$A,$B1191,[1]Fixture_Capacity_Input!$B:$B,$C1191),[1]weekly_demand!G1192))</f>
        <v/>
      </c>
      <c r="E1191" s="62" t="str">
        <f>IF($A1191="","",[1]weekly_demand!I1192)</f>
        <v/>
      </c>
      <c r="F1191" s="61" t="str">
        <f>IF($A1191="","",IF($A1191&lt;&gt;$A1190,IFERROR(INDEX([1]FG_Begin_Inventory!$B:$B,MATCH($A1191,[1]FG_Begin_Inventory!$A:$A,0)),0),J1190))</f>
        <v/>
      </c>
      <c r="G1191" s="61" t="str">
        <f t="shared" si="129"/>
        <v/>
      </c>
      <c r="H1191" s="61" t="str">
        <f t="shared" si="130"/>
        <v/>
      </c>
      <c r="I1191" s="62" t="str">
        <f t="shared" si="131"/>
        <v/>
      </c>
      <c r="J1191" s="61" t="str">
        <f t="shared" si="132"/>
        <v/>
      </c>
      <c r="K1191" s="61" t="str">
        <f t="shared" si="133"/>
        <v/>
      </c>
      <c r="L1191" s="61" t="str">
        <f t="shared" si="134"/>
        <v/>
      </c>
      <c r="M1191" s="63" t="str">
        <f t="shared" si="135"/>
        <v/>
      </c>
      <c r="N1191" s="64"/>
    </row>
    <row r="1192" spans="1:14" x14ac:dyDescent="0.3">
      <c r="A1192" s="58" t="str">
        <f>IF([1]weekly_demand!A1193="","",[1]weekly_demand!A1193)</f>
        <v/>
      </c>
      <c r="B1192" s="59" t="str">
        <f>IF($A1192="","",[1]weekly_demand!F1193)</f>
        <v/>
      </c>
      <c r="C1192" s="60" t="str">
        <f>IF($A1192="","",[1]weekly_demand!H1193)</f>
        <v/>
      </c>
      <c r="D1192" s="61" t="str">
        <f>IF($A1192="","",IF(SUMIFS([1]Fixture_Capacity_Input!$C:$C,[1]Fixture_Capacity_Input!$A:$A,$B1192,[1]Fixture_Capacity_Input!$B:$B,$C1192)&gt;0,SUMIFS([1]Fixture_Capacity_Input!$C:$C,[1]Fixture_Capacity_Input!$A:$A,$B1192,[1]Fixture_Capacity_Input!$B:$B,$C1192),[1]weekly_demand!G1193))</f>
        <v/>
      </c>
      <c r="E1192" s="62" t="str">
        <f>IF($A1192="","",[1]weekly_demand!I1193)</f>
        <v/>
      </c>
      <c r="F1192" s="61" t="str">
        <f>IF($A1192="","",IF($A1192&lt;&gt;$A1191,IFERROR(INDEX([1]FG_Begin_Inventory!$B:$B,MATCH($A1192,[1]FG_Begin_Inventory!$A:$A,0)),0),J1191))</f>
        <v/>
      </c>
      <c r="G1192" s="61" t="str">
        <f t="shared" si="129"/>
        <v/>
      </c>
      <c r="H1192" s="61" t="str">
        <f t="shared" si="130"/>
        <v/>
      </c>
      <c r="I1192" s="62" t="str">
        <f t="shared" si="131"/>
        <v/>
      </c>
      <c r="J1192" s="61" t="str">
        <f t="shared" si="132"/>
        <v/>
      </c>
      <c r="K1192" s="61" t="str">
        <f t="shared" si="133"/>
        <v/>
      </c>
      <c r="L1192" s="61" t="str">
        <f t="shared" si="134"/>
        <v/>
      </c>
      <c r="M1192" s="63" t="str">
        <f t="shared" si="135"/>
        <v/>
      </c>
      <c r="N1192" s="64"/>
    </row>
    <row r="1193" spans="1:14" x14ac:dyDescent="0.3">
      <c r="A1193" s="58" t="str">
        <f>IF([1]weekly_demand!A1194="","",[1]weekly_demand!A1194)</f>
        <v/>
      </c>
      <c r="B1193" s="59" t="str">
        <f>IF($A1193="","",[1]weekly_demand!F1194)</f>
        <v/>
      </c>
      <c r="C1193" s="60" t="str">
        <f>IF($A1193="","",[1]weekly_demand!H1194)</f>
        <v/>
      </c>
      <c r="D1193" s="61" t="str">
        <f>IF($A1193="","",IF(SUMIFS([1]Fixture_Capacity_Input!$C:$C,[1]Fixture_Capacity_Input!$A:$A,$B1193,[1]Fixture_Capacity_Input!$B:$B,$C1193)&gt;0,SUMIFS([1]Fixture_Capacity_Input!$C:$C,[1]Fixture_Capacity_Input!$A:$A,$B1193,[1]Fixture_Capacity_Input!$B:$B,$C1193),[1]weekly_demand!G1194))</f>
        <v/>
      </c>
      <c r="E1193" s="62" t="str">
        <f>IF($A1193="","",[1]weekly_demand!I1194)</f>
        <v/>
      </c>
      <c r="F1193" s="61" t="str">
        <f>IF($A1193="","",IF($A1193&lt;&gt;$A1192,IFERROR(INDEX([1]FG_Begin_Inventory!$B:$B,MATCH($A1193,[1]FG_Begin_Inventory!$A:$A,0)),0),J1192))</f>
        <v/>
      </c>
      <c r="G1193" s="61" t="str">
        <f t="shared" si="129"/>
        <v/>
      </c>
      <c r="H1193" s="61" t="str">
        <f t="shared" si="130"/>
        <v/>
      </c>
      <c r="I1193" s="62" t="str">
        <f t="shared" si="131"/>
        <v/>
      </c>
      <c r="J1193" s="61" t="str">
        <f t="shared" si="132"/>
        <v/>
      </c>
      <c r="K1193" s="61" t="str">
        <f t="shared" si="133"/>
        <v/>
      </c>
      <c r="L1193" s="61" t="str">
        <f t="shared" si="134"/>
        <v/>
      </c>
      <c r="M1193" s="63" t="str">
        <f t="shared" si="135"/>
        <v/>
      </c>
      <c r="N1193" s="64"/>
    </row>
    <row r="1194" spans="1:14" x14ac:dyDescent="0.3">
      <c r="A1194" s="58" t="str">
        <f>IF([1]weekly_demand!A1195="","",[1]weekly_demand!A1195)</f>
        <v/>
      </c>
      <c r="B1194" s="59" t="str">
        <f>IF($A1194="","",[1]weekly_demand!F1195)</f>
        <v/>
      </c>
      <c r="C1194" s="60" t="str">
        <f>IF($A1194="","",[1]weekly_demand!H1195)</f>
        <v/>
      </c>
      <c r="D1194" s="61" t="str">
        <f>IF($A1194="","",IF(SUMIFS([1]Fixture_Capacity_Input!$C:$C,[1]Fixture_Capacity_Input!$A:$A,$B1194,[1]Fixture_Capacity_Input!$B:$B,$C1194)&gt;0,SUMIFS([1]Fixture_Capacity_Input!$C:$C,[1]Fixture_Capacity_Input!$A:$A,$B1194,[1]Fixture_Capacity_Input!$B:$B,$C1194),[1]weekly_demand!G1195))</f>
        <v/>
      </c>
      <c r="E1194" s="62" t="str">
        <f>IF($A1194="","",[1]weekly_demand!I1195)</f>
        <v/>
      </c>
      <c r="F1194" s="61" t="str">
        <f>IF($A1194="","",IF($A1194&lt;&gt;$A1193,IFERROR(INDEX([1]FG_Begin_Inventory!$B:$B,MATCH($A1194,[1]FG_Begin_Inventory!$A:$A,0)),0),J1193))</f>
        <v/>
      </c>
      <c r="G1194" s="61" t="str">
        <f t="shared" si="129"/>
        <v/>
      </c>
      <c r="H1194" s="61" t="str">
        <f t="shared" si="130"/>
        <v/>
      </c>
      <c r="I1194" s="62" t="str">
        <f t="shared" si="131"/>
        <v/>
      </c>
      <c r="J1194" s="61" t="str">
        <f t="shared" si="132"/>
        <v/>
      </c>
      <c r="K1194" s="61" t="str">
        <f t="shared" si="133"/>
        <v/>
      </c>
      <c r="L1194" s="61" t="str">
        <f t="shared" si="134"/>
        <v/>
      </c>
      <c r="M1194" s="63" t="str">
        <f t="shared" si="135"/>
        <v/>
      </c>
      <c r="N1194" s="64"/>
    </row>
    <row r="1195" spans="1:14" x14ac:dyDescent="0.3">
      <c r="A1195" s="58" t="str">
        <f>IF([1]weekly_demand!A1196="","",[1]weekly_demand!A1196)</f>
        <v/>
      </c>
      <c r="B1195" s="59" t="str">
        <f>IF($A1195="","",[1]weekly_demand!F1196)</f>
        <v/>
      </c>
      <c r="C1195" s="60" t="str">
        <f>IF($A1195="","",[1]weekly_demand!H1196)</f>
        <v/>
      </c>
      <c r="D1195" s="61" t="str">
        <f>IF($A1195="","",IF(SUMIFS([1]Fixture_Capacity_Input!$C:$C,[1]Fixture_Capacity_Input!$A:$A,$B1195,[1]Fixture_Capacity_Input!$B:$B,$C1195)&gt;0,SUMIFS([1]Fixture_Capacity_Input!$C:$C,[1]Fixture_Capacity_Input!$A:$A,$B1195,[1]Fixture_Capacity_Input!$B:$B,$C1195),[1]weekly_demand!G1196))</f>
        <v/>
      </c>
      <c r="E1195" s="62" t="str">
        <f>IF($A1195="","",[1]weekly_demand!I1196)</f>
        <v/>
      </c>
      <c r="F1195" s="61" t="str">
        <f>IF($A1195="","",IF($A1195&lt;&gt;$A1194,IFERROR(INDEX([1]FG_Begin_Inventory!$B:$B,MATCH($A1195,[1]FG_Begin_Inventory!$A:$A,0)),0),J1194))</f>
        <v/>
      </c>
      <c r="G1195" s="61" t="str">
        <f t="shared" si="129"/>
        <v/>
      </c>
      <c r="H1195" s="61" t="str">
        <f t="shared" si="130"/>
        <v/>
      </c>
      <c r="I1195" s="62" t="str">
        <f t="shared" si="131"/>
        <v/>
      </c>
      <c r="J1195" s="61" t="str">
        <f t="shared" si="132"/>
        <v/>
      </c>
      <c r="K1195" s="61" t="str">
        <f t="shared" si="133"/>
        <v/>
      </c>
      <c r="L1195" s="61" t="str">
        <f t="shared" si="134"/>
        <v/>
      </c>
      <c r="M1195" s="63" t="str">
        <f t="shared" si="135"/>
        <v/>
      </c>
      <c r="N1195" s="64"/>
    </row>
    <row r="1196" spans="1:14" x14ac:dyDescent="0.3">
      <c r="A1196" s="58" t="str">
        <f>IF([1]weekly_demand!A1197="","",[1]weekly_demand!A1197)</f>
        <v/>
      </c>
      <c r="B1196" s="59" t="str">
        <f>IF($A1196="","",[1]weekly_demand!F1197)</f>
        <v/>
      </c>
      <c r="C1196" s="60" t="str">
        <f>IF($A1196="","",[1]weekly_demand!H1197)</f>
        <v/>
      </c>
      <c r="D1196" s="61" t="str">
        <f>IF($A1196="","",IF(SUMIFS([1]Fixture_Capacity_Input!$C:$C,[1]Fixture_Capacity_Input!$A:$A,$B1196,[1]Fixture_Capacity_Input!$B:$B,$C1196)&gt;0,SUMIFS([1]Fixture_Capacity_Input!$C:$C,[1]Fixture_Capacity_Input!$A:$A,$B1196,[1]Fixture_Capacity_Input!$B:$B,$C1196),[1]weekly_demand!G1197))</f>
        <v/>
      </c>
      <c r="E1196" s="62" t="str">
        <f>IF($A1196="","",[1]weekly_demand!I1197)</f>
        <v/>
      </c>
      <c r="F1196" s="61" t="str">
        <f>IF($A1196="","",IF($A1196&lt;&gt;$A1195,IFERROR(INDEX([1]FG_Begin_Inventory!$B:$B,MATCH($A1196,[1]FG_Begin_Inventory!$A:$A,0)),0),J1195))</f>
        <v/>
      </c>
      <c r="G1196" s="61" t="str">
        <f t="shared" si="129"/>
        <v/>
      </c>
      <c r="H1196" s="61" t="str">
        <f t="shared" si="130"/>
        <v/>
      </c>
      <c r="I1196" s="62" t="str">
        <f t="shared" si="131"/>
        <v/>
      </c>
      <c r="J1196" s="61" t="str">
        <f t="shared" si="132"/>
        <v/>
      </c>
      <c r="K1196" s="61" t="str">
        <f t="shared" si="133"/>
        <v/>
      </c>
      <c r="L1196" s="61" t="str">
        <f t="shared" si="134"/>
        <v/>
      </c>
      <c r="M1196" s="63" t="str">
        <f t="shared" si="135"/>
        <v/>
      </c>
      <c r="N1196" s="64"/>
    </row>
    <row r="1197" spans="1:14" x14ac:dyDescent="0.3">
      <c r="A1197" s="58" t="str">
        <f>IF([1]weekly_demand!A1198="","",[1]weekly_demand!A1198)</f>
        <v/>
      </c>
      <c r="B1197" s="59" t="str">
        <f>IF($A1197="","",[1]weekly_demand!F1198)</f>
        <v/>
      </c>
      <c r="C1197" s="60" t="str">
        <f>IF($A1197="","",[1]weekly_demand!H1198)</f>
        <v/>
      </c>
      <c r="D1197" s="61" t="str">
        <f>IF($A1197="","",IF(SUMIFS([1]Fixture_Capacity_Input!$C:$C,[1]Fixture_Capacity_Input!$A:$A,$B1197,[1]Fixture_Capacity_Input!$B:$B,$C1197)&gt;0,SUMIFS([1]Fixture_Capacity_Input!$C:$C,[1]Fixture_Capacity_Input!$A:$A,$B1197,[1]Fixture_Capacity_Input!$B:$B,$C1197),[1]weekly_demand!G1198))</f>
        <v/>
      </c>
      <c r="E1197" s="62" t="str">
        <f>IF($A1197="","",[1]weekly_demand!I1198)</f>
        <v/>
      </c>
      <c r="F1197" s="61" t="str">
        <f>IF($A1197="","",IF($A1197&lt;&gt;$A1196,IFERROR(INDEX([1]FG_Begin_Inventory!$B:$B,MATCH($A1197,[1]FG_Begin_Inventory!$A:$A,0)),0),J1196))</f>
        <v/>
      </c>
      <c r="G1197" s="61" t="str">
        <f t="shared" si="129"/>
        <v/>
      </c>
      <c r="H1197" s="61" t="str">
        <f t="shared" si="130"/>
        <v/>
      </c>
      <c r="I1197" s="62" t="str">
        <f t="shared" si="131"/>
        <v/>
      </c>
      <c r="J1197" s="61" t="str">
        <f t="shared" si="132"/>
        <v/>
      </c>
      <c r="K1197" s="61" t="str">
        <f t="shared" si="133"/>
        <v/>
      </c>
      <c r="L1197" s="61" t="str">
        <f t="shared" si="134"/>
        <v/>
      </c>
      <c r="M1197" s="63" t="str">
        <f t="shared" si="135"/>
        <v/>
      </c>
      <c r="N1197" s="64"/>
    </row>
    <row r="1198" spans="1:14" x14ac:dyDescent="0.3">
      <c r="A1198" s="58" t="str">
        <f>IF([1]weekly_demand!A1199="","",[1]weekly_demand!A1199)</f>
        <v/>
      </c>
      <c r="B1198" s="59" t="str">
        <f>IF($A1198="","",[1]weekly_demand!F1199)</f>
        <v/>
      </c>
      <c r="C1198" s="60" t="str">
        <f>IF($A1198="","",[1]weekly_demand!H1199)</f>
        <v/>
      </c>
      <c r="D1198" s="61" t="str">
        <f>IF($A1198="","",IF(SUMIFS([1]Fixture_Capacity_Input!$C:$C,[1]Fixture_Capacity_Input!$A:$A,$B1198,[1]Fixture_Capacity_Input!$B:$B,$C1198)&gt;0,SUMIFS([1]Fixture_Capacity_Input!$C:$C,[1]Fixture_Capacity_Input!$A:$A,$B1198,[1]Fixture_Capacity_Input!$B:$B,$C1198),[1]weekly_demand!G1199))</f>
        <v/>
      </c>
      <c r="E1198" s="62" t="str">
        <f>IF($A1198="","",[1]weekly_demand!I1199)</f>
        <v/>
      </c>
      <c r="F1198" s="61" t="str">
        <f>IF($A1198="","",IF($A1198&lt;&gt;$A1197,IFERROR(INDEX([1]FG_Begin_Inventory!$B:$B,MATCH($A1198,[1]FG_Begin_Inventory!$A:$A,0)),0),J1197))</f>
        <v/>
      </c>
      <c r="G1198" s="61" t="str">
        <f t="shared" si="129"/>
        <v/>
      </c>
      <c r="H1198" s="61" t="str">
        <f t="shared" si="130"/>
        <v/>
      </c>
      <c r="I1198" s="62" t="str">
        <f t="shared" si="131"/>
        <v/>
      </c>
      <c r="J1198" s="61" t="str">
        <f t="shared" si="132"/>
        <v/>
      </c>
      <c r="K1198" s="61" t="str">
        <f t="shared" si="133"/>
        <v/>
      </c>
      <c r="L1198" s="61" t="str">
        <f t="shared" si="134"/>
        <v/>
      </c>
      <c r="M1198" s="63" t="str">
        <f t="shared" si="135"/>
        <v/>
      </c>
      <c r="N1198" s="64"/>
    </row>
    <row r="1199" spans="1:14" x14ac:dyDescent="0.3">
      <c r="A1199" s="58" t="str">
        <f>IF([1]weekly_demand!A1200="","",[1]weekly_demand!A1200)</f>
        <v/>
      </c>
      <c r="B1199" s="59" t="str">
        <f>IF($A1199="","",[1]weekly_demand!F1200)</f>
        <v/>
      </c>
      <c r="C1199" s="60" t="str">
        <f>IF($A1199="","",[1]weekly_demand!H1200)</f>
        <v/>
      </c>
      <c r="D1199" s="61" t="str">
        <f>IF($A1199="","",IF(SUMIFS([1]Fixture_Capacity_Input!$C:$C,[1]Fixture_Capacity_Input!$A:$A,$B1199,[1]Fixture_Capacity_Input!$B:$B,$C1199)&gt;0,SUMIFS([1]Fixture_Capacity_Input!$C:$C,[1]Fixture_Capacity_Input!$A:$A,$B1199,[1]Fixture_Capacity_Input!$B:$B,$C1199),[1]weekly_demand!G1200))</f>
        <v/>
      </c>
      <c r="E1199" s="62" t="str">
        <f>IF($A1199="","",[1]weekly_demand!I1200)</f>
        <v/>
      </c>
      <c r="F1199" s="61" t="str">
        <f>IF($A1199="","",IF($A1199&lt;&gt;$A1198,IFERROR(INDEX([1]FG_Begin_Inventory!$B:$B,MATCH($A1199,[1]FG_Begin_Inventory!$A:$A,0)),0),J1198))</f>
        <v/>
      </c>
      <c r="G1199" s="61" t="str">
        <f t="shared" si="129"/>
        <v/>
      </c>
      <c r="H1199" s="61" t="str">
        <f t="shared" si="130"/>
        <v/>
      </c>
      <c r="I1199" s="62" t="str">
        <f t="shared" si="131"/>
        <v/>
      </c>
      <c r="J1199" s="61" t="str">
        <f t="shared" si="132"/>
        <v/>
      </c>
      <c r="K1199" s="61" t="str">
        <f t="shared" si="133"/>
        <v/>
      </c>
      <c r="L1199" s="61" t="str">
        <f t="shared" si="134"/>
        <v/>
      </c>
      <c r="M1199" s="63" t="str">
        <f t="shared" si="135"/>
        <v/>
      </c>
      <c r="N1199" s="64"/>
    </row>
    <row r="1200" spans="1:14" x14ac:dyDescent="0.3">
      <c r="A1200" s="58" t="str">
        <f>IF([1]weekly_demand!A1201="","",[1]weekly_demand!A1201)</f>
        <v/>
      </c>
      <c r="B1200" s="59" t="str">
        <f>IF($A1200="","",[1]weekly_demand!F1201)</f>
        <v/>
      </c>
      <c r="C1200" s="60" t="str">
        <f>IF($A1200="","",[1]weekly_demand!H1201)</f>
        <v/>
      </c>
      <c r="D1200" s="61" t="str">
        <f>IF($A1200="","",IF(SUMIFS([1]Fixture_Capacity_Input!$C:$C,[1]Fixture_Capacity_Input!$A:$A,$B1200,[1]Fixture_Capacity_Input!$B:$B,$C1200)&gt;0,SUMIFS([1]Fixture_Capacity_Input!$C:$C,[1]Fixture_Capacity_Input!$A:$A,$B1200,[1]Fixture_Capacity_Input!$B:$B,$C1200),[1]weekly_demand!G1201))</f>
        <v/>
      </c>
      <c r="E1200" s="62" t="str">
        <f>IF($A1200="","",[1]weekly_demand!I1201)</f>
        <v/>
      </c>
      <c r="F1200" s="61" t="str">
        <f>IF($A1200="","",IF($A1200&lt;&gt;$A1199,IFERROR(INDEX([1]FG_Begin_Inventory!$B:$B,MATCH($A1200,[1]FG_Begin_Inventory!$A:$A,0)),0),J1199))</f>
        <v/>
      </c>
      <c r="G1200" s="61" t="str">
        <f t="shared" si="129"/>
        <v/>
      </c>
      <c r="H1200" s="61" t="str">
        <f t="shared" si="130"/>
        <v/>
      </c>
      <c r="I1200" s="62" t="str">
        <f t="shared" si="131"/>
        <v/>
      </c>
      <c r="J1200" s="61" t="str">
        <f t="shared" si="132"/>
        <v/>
      </c>
      <c r="K1200" s="61" t="str">
        <f t="shared" si="133"/>
        <v/>
      </c>
      <c r="L1200" s="61" t="str">
        <f t="shared" si="134"/>
        <v/>
      </c>
      <c r="M1200" s="63" t="str">
        <f t="shared" si="135"/>
        <v/>
      </c>
      <c r="N1200" s="64"/>
    </row>
    <row r="1201" spans="1:14" x14ac:dyDescent="0.3">
      <c r="A1201" s="58" t="str">
        <f>IF([1]weekly_demand!A1202="","",[1]weekly_demand!A1202)</f>
        <v/>
      </c>
      <c r="B1201" s="59" t="str">
        <f>IF($A1201="","",[1]weekly_demand!F1202)</f>
        <v/>
      </c>
      <c r="C1201" s="60" t="str">
        <f>IF($A1201="","",[1]weekly_demand!H1202)</f>
        <v/>
      </c>
      <c r="D1201" s="61" t="str">
        <f>IF($A1201="","",IF(SUMIFS([1]Fixture_Capacity_Input!$C:$C,[1]Fixture_Capacity_Input!$A:$A,$B1201,[1]Fixture_Capacity_Input!$B:$B,$C1201)&gt;0,SUMIFS([1]Fixture_Capacity_Input!$C:$C,[1]Fixture_Capacity_Input!$A:$A,$B1201,[1]Fixture_Capacity_Input!$B:$B,$C1201),[1]weekly_demand!G1202))</f>
        <v/>
      </c>
      <c r="E1201" s="62" t="str">
        <f>IF($A1201="","",[1]weekly_demand!I1202)</f>
        <v/>
      </c>
      <c r="F1201" s="61" t="str">
        <f>IF($A1201="","",IF($A1201&lt;&gt;$A1200,IFERROR(INDEX([1]FG_Begin_Inventory!$B:$B,MATCH($A1201,[1]FG_Begin_Inventory!$A:$A,0)),0),J1200))</f>
        <v/>
      </c>
      <c r="G1201" s="61" t="str">
        <f t="shared" si="129"/>
        <v/>
      </c>
      <c r="H1201" s="61" t="str">
        <f t="shared" si="130"/>
        <v/>
      </c>
      <c r="I1201" s="62" t="str">
        <f t="shared" si="131"/>
        <v/>
      </c>
      <c r="J1201" s="61" t="str">
        <f t="shared" si="132"/>
        <v/>
      </c>
      <c r="K1201" s="61" t="str">
        <f t="shared" si="133"/>
        <v/>
      </c>
      <c r="L1201" s="61" t="str">
        <f t="shared" si="134"/>
        <v/>
      </c>
      <c r="M1201" s="63" t="str">
        <f t="shared" si="135"/>
        <v/>
      </c>
      <c r="N1201" s="64"/>
    </row>
    <row r="1202" spans="1:14" x14ac:dyDescent="0.3">
      <c r="A1202" s="58" t="str">
        <f>IF([1]weekly_demand!A1203="","",[1]weekly_demand!A1203)</f>
        <v/>
      </c>
      <c r="B1202" s="59" t="str">
        <f>IF($A1202="","",[1]weekly_demand!F1203)</f>
        <v/>
      </c>
      <c r="C1202" s="60" t="str">
        <f>IF($A1202="","",[1]weekly_demand!H1203)</f>
        <v/>
      </c>
      <c r="D1202" s="61" t="str">
        <f>IF($A1202="","",IF(SUMIFS([1]Fixture_Capacity_Input!$C:$C,[1]Fixture_Capacity_Input!$A:$A,$B1202,[1]Fixture_Capacity_Input!$B:$B,$C1202)&gt;0,SUMIFS([1]Fixture_Capacity_Input!$C:$C,[1]Fixture_Capacity_Input!$A:$A,$B1202,[1]Fixture_Capacity_Input!$B:$B,$C1202),[1]weekly_demand!G1203))</f>
        <v/>
      </c>
      <c r="E1202" s="62" t="str">
        <f>IF($A1202="","",[1]weekly_demand!I1203)</f>
        <v/>
      </c>
      <c r="F1202" s="61" t="str">
        <f>IF($A1202="","",IF($A1202&lt;&gt;$A1201,IFERROR(INDEX([1]FG_Begin_Inventory!$B:$B,MATCH($A1202,[1]FG_Begin_Inventory!$A:$A,0)),0),J1201))</f>
        <v/>
      </c>
      <c r="G1202" s="61" t="str">
        <f t="shared" si="129"/>
        <v/>
      </c>
      <c r="H1202" s="61" t="str">
        <f t="shared" si="130"/>
        <v/>
      </c>
      <c r="I1202" s="62" t="str">
        <f t="shared" si="131"/>
        <v/>
      </c>
      <c r="J1202" s="61" t="str">
        <f t="shared" si="132"/>
        <v/>
      </c>
      <c r="K1202" s="61" t="str">
        <f t="shared" si="133"/>
        <v/>
      </c>
      <c r="L1202" s="61" t="str">
        <f t="shared" si="134"/>
        <v/>
      </c>
      <c r="M1202" s="63" t="str">
        <f t="shared" si="135"/>
        <v/>
      </c>
      <c r="N1202" s="64"/>
    </row>
    <row r="1203" spans="1:14" x14ac:dyDescent="0.3">
      <c r="A1203" s="58" t="str">
        <f>IF([1]weekly_demand!A1204="","",[1]weekly_demand!A1204)</f>
        <v/>
      </c>
      <c r="B1203" s="59" t="str">
        <f>IF($A1203="","",[1]weekly_demand!F1204)</f>
        <v/>
      </c>
      <c r="C1203" s="60" t="str">
        <f>IF($A1203="","",[1]weekly_demand!H1204)</f>
        <v/>
      </c>
      <c r="D1203" s="61" t="str">
        <f>IF($A1203="","",IF(SUMIFS([1]Fixture_Capacity_Input!$C:$C,[1]Fixture_Capacity_Input!$A:$A,$B1203,[1]Fixture_Capacity_Input!$B:$B,$C1203)&gt;0,SUMIFS([1]Fixture_Capacity_Input!$C:$C,[1]Fixture_Capacity_Input!$A:$A,$B1203,[1]Fixture_Capacity_Input!$B:$B,$C1203),[1]weekly_demand!G1204))</f>
        <v/>
      </c>
      <c r="E1203" s="62" t="str">
        <f>IF($A1203="","",[1]weekly_demand!I1204)</f>
        <v/>
      </c>
      <c r="F1203" s="61" t="str">
        <f>IF($A1203="","",IF($A1203&lt;&gt;$A1202,IFERROR(INDEX([1]FG_Begin_Inventory!$B:$B,MATCH($A1203,[1]FG_Begin_Inventory!$A:$A,0)),0),J1202))</f>
        <v/>
      </c>
      <c r="G1203" s="61" t="str">
        <f t="shared" ref="G1203:G1266" si="136">IF($A1203="","",IF($A1203&lt;&gt;$A1204,0,MAX(0,G1204+E1204-D1204)))</f>
        <v/>
      </c>
      <c r="H1203" s="61" t="str">
        <f t="shared" si="130"/>
        <v/>
      </c>
      <c r="I1203" s="62" t="str">
        <f t="shared" si="131"/>
        <v/>
      </c>
      <c r="J1203" s="61" t="str">
        <f t="shared" si="132"/>
        <v/>
      </c>
      <c r="K1203" s="61" t="str">
        <f t="shared" si="133"/>
        <v/>
      </c>
      <c r="L1203" s="61" t="str">
        <f t="shared" si="134"/>
        <v/>
      </c>
      <c r="M1203" s="63" t="str">
        <f t="shared" si="135"/>
        <v/>
      </c>
      <c r="N1203" s="64"/>
    </row>
    <row r="1204" spans="1:14" x14ac:dyDescent="0.3">
      <c r="A1204" s="58" t="str">
        <f>IF([1]weekly_demand!A1205="","",[1]weekly_demand!A1205)</f>
        <v/>
      </c>
      <c r="B1204" s="59" t="str">
        <f>IF($A1204="","",[1]weekly_demand!F1205)</f>
        <v/>
      </c>
      <c r="C1204" s="60" t="str">
        <f>IF($A1204="","",[1]weekly_demand!H1205)</f>
        <v/>
      </c>
      <c r="D1204" s="61" t="str">
        <f>IF($A1204="","",IF(SUMIFS([1]Fixture_Capacity_Input!$C:$C,[1]Fixture_Capacity_Input!$A:$A,$B1204,[1]Fixture_Capacity_Input!$B:$B,$C1204)&gt;0,SUMIFS([1]Fixture_Capacity_Input!$C:$C,[1]Fixture_Capacity_Input!$A:$A,$B1204,[1]Fixture_Capacity_Input!$B:$B,$C1204),[1]weekly_demand!G1205))</f>
        <v/>
      </c>
      <c r="E1204" s="62" t="str">
        <f>IF($A1204="","",[1]weekly_demand!I1205)</f>
        <v/>
      </c>
      <c r="F1204" s="61" t="str">
        <f>IF($A1204="","",IF($A1204&lt;&gt;$A1203,IFERROR(INDEX([1]FG_Begin_Inventory!$B:$B,MATCH($A1204,[1]FG_Begin_Inventory!$A:$A,0)),0),J1203))</f>
        <v/>
      </c>
      <c r="G1204" s="61" t="str">
        <f t="shared" si="136"/>
        <v/>
      </c>
      <c r="H1204" s="61" t="str">
        <f t="shared" si="130"/>
        <v/>
      </c>
      <c r="I1204" s="62" t="str">
        <f t="shared" si="131"/>
        <v/>
      </c>
      <c r="J1204" s="61" t="str">
        <f t="shared" si="132"/>
        <v/>
      </c>
      <c r="K1204" s="61" t="str">
        <f t="shared" si="133"/>
        <v/>
      </c>
      <c r="L1204" s="61" t="str">
        <f t="shared" si="134"/>
        <v/>
      </c>
      <c r="M1204" s="63" t="str">
        <f t="shared" si="135"/>
        <v/>
      </c>
      <c r="N1204" s="64"/>
    </row>
    <row r="1205" spans="1:14" x14ac:dyDescent="0.3">
      <c r="A1205" s="58" t="str">
        <f>IF([1]weekly_demand!A1206="","",[1]weekly_demand!A1206)</f>
        <v/>
      </c>
      <c r="B1205" s="59" t="str">
        <f>IF($A1205="","",[1]weekly_demand!F1206)</f>
        <v/>
      </c>
      <c r="C1205" s="60" t="str">
        <f>IF($A1205="","",[1]weekly_demand!H1206)</f>
        <v/>
      </c>
      <c r="D1205" s="61" t="str">
        <f>IF($A1205="","",IF(SUMIFS([1]Fixture_Capacity_Input!$C:$C,[1]Fixture_Capacity_Input!$A:$A,$B1205,[1]Fixture_Capacity_Input!$B:$B,$C1205)&gt;0,SUMIFS([1]Fixture_Capacity_Input!$C:$C,[1]Fixture_Capacity_Input!$A:$A,$B1205,[1]Fixture_Capacity_Input!$B:$B,$C1205),[1]weekly_demand!G1206))</f>
        <v/>
      </c>
      <c r="E1205" s="62" t="str">
        <f>IF($A1205="","",[1]weekly_demand!I1206)</f>
        <v/>
      </c>
      <c r="F1205" s="61" t="str">
        <f>IF($A1205="","",IF($A1205&lt;&gt;$A1204,IFERROR(INDEX([1]FG_Begin_Inventory!$B:$B,MATCH($A1205,[1]FG_Begin_Inventory!$A:$A,0)),0),J1204))</f>
        <v/>
      </c>
      <c r="G1205" s="61" t="str">
        <f t="shared" si="136"/>
        <v/>
      </c>
      <c r="H1205" s="61" t="str">
        <f t="shared" si="130"/>
        <v/>
      </c>
      <c r="I1205" s="62" t="str">
        <f t="shared" si="131"/>
        <v/>
      </c>
      <c r="J1205" s="61" t="str">
        <f t="shared" si="132"/>
        <v/>
      </c>
      <c r="K1205" s="61" t="str">
        <f t="shared" si="133"/>
        <v/>
      </c>
      <c r="L1205" s="61" t="str">
        <f t="shared" si="134"/>
        <v/>
      </c>
      <c r="M1205" s="63" t="str">
        <f t="shared" si="135"/>
        <v/>
      </c>
      <c r="N1205" s="64"/>
    </row>
    <row r="1206" spans="1:14" x14ac:dyDescent="0.3">
      <c r="A1206" s="58" t="str">
        <f>IF([1]weekly_demand!A1207="","",[1]weekly_demand!A1207)</f>
        <v/>
      </c>
      <c r="B1206" s="59" t="str">
        <f>IF($A1206="","",[1]weekly_demand!F1207)</f>
        <v/>
      </c>
      <c r="C1206" s="60" t="str">
        <f>IF($A1206="","",[1]weekly_demand!H1207)</f>
        <v/>
      </c>
      <c r="D1206" s="61" t="str">
        <f>IF($A1206="","",IF(SUMIFS([1]Fixture_Capacity_Input!$C:$C,[1]Fixture_Capacity_Input!$A:$A,$B1206,[1]Fixture_Capacity_Input!$B:$B,$C1206)&gt;0,SUMIFS([1]Fixture_Capacity_Input!$C:$C,[1]Fixture_Capacity_Input!$A:$A,$B1206,[1]Fixture_Capacity_Input!$B:$B,$C1206),[1]weekly_demand!G1207))</f>
        <v/>
      </c>
      <c r="E1206" s="62" t="str">
        <f>IF($A1206="","",[1]weekly_demand!I1207)</f>
        <v/>
      </c>
      <c r="F1206" s="61" t="str">
        <f>IF($A1206="","",IF($A1206&lt;&gt;$A1205,IFERROR(INDEX([1]FG_Begin_Inventory!$B:$B,MATCH($A1206,[1]FG_Begin_Inventory!$A:$A,0)),0),J1205))</f>
        <v/>
      </c>
      <c r="G1206" s="61" t="str">
        <f t="shared" si="136"/>
        <v/>
      </c>
      <c r="H1206" s="61" t="str">
        <f t="shared" si="130"/>
        <v/>
      </c>
      <c r="I1206" s="62" t="str">
        <f t="shared" si="131"/>
        <v/>
      </c>
      <c r="J1206" s="61" t="str">
        <f t="shared" si="132"/>
        <v/>
      </c>
      <c r="K1206" s="61" t="str">
        <f t="shared" si="133"/>
        <v/>
      </c>
      <c r="L1206" s="61" t="str">
        <f t="shared" si="134"/>
        <v/>
      </c>
      <c r="M1206" s="63" t="str">
        <f t="shared" si="135"/>
        <v/>
      </c>
      <c r="N1206" s="64"/>
    </row>
    <row r="1207" spans="1:14" x14ac:dyDescent="0.3">
      <c r="A1207" s="58" t="str">
        <f>IF([1]weekly_demand!A1208="","",[1]weekly_demand!A1208)</f>
        <v/>
      </c>
      <c r="B1207" s="59" t="str">
        <f>IF($A1207="","",[1]weekly_demand!F1208)</f>
        <v/>
      </c>
      <c r="C1207" s="60" t="str">
        <f>IF($A1207="","",[1]weekly_demand!H1208)</f>
        <v/>
      </c>
      <c r="D1207" s="61" t="str">
        <f>IF($A1207="","",IF(SUMIFS([1]Fixture_Capacity_Input!$C:$C,[1]Fixture_Capacity_Input!$A:$A,$B1207,[1]Fixture_Capacity_Input!$B:$B,$C1207)&gt;0,SUMIFS([1]Fixture_Capacity_Input!$C:$C,[1]Fixture_Capacity_Input!$A:$A,$B1207,[1]Fixture_Capacity_Input!$B:$B,$C1207),[1]weekly_demand!G1208))</f>
        <v/>
      </c>
      <c r="E1207" s="62" t="str">
        <f>IF($A1207="","",[1]weekly_demand!I1208)</f>
        <v/>
      </c>
      <c r="F1207" s="61" t="str">
        <f>IF($A1207="","",IF($A1207&lt;&gt;$A1206,IFERROR(INDEX([1]FG_Begin_Inventory!$B:$B,MATCH($A1207,[1]FG_Begin_Inventory!$A:$A,0)),0),J1206))</f>
        <v/>
      </c>
      <c r="G1207" s="61" t="str">
        <f t="shared" si="136"/>
        <v/>
      </c>
      <c r="H1207" s="61" t="str">
        <f t="shared" si="130"/>
        <v/>
      </c>
      <c r="I1207" s="62" t="str">
        <f t="shared" si="131"/>
        <v/>
      </c>
      <c r="J1207" s="61" t="str">
        <f t="shared" si="132"/>
        <v/>
      </c>
      <c r="K1207" s="61" t="str">
        <f t="shared" si="133"/>
        <v/>
      </c>
      <c r="L1207" s="61" t="str">
        <f t="shared" si="134"/>
        <v/>
      </c>
      <c r="M1207" s="63" t="str">
        <f t="shared" si="135"/>
        <v/>
      </c>
      <c r="N1207" s="64"/>
    </row>
    <row r="1208" spans="1:14" x14ac:dyDescent="0.3">
      <c r="A1208" s="58" t="str">
        <f>IF([1]weekly_demand!A1209="","",[1]weekly_demand!A1209)</f>
        <v/>
      </c>
      <c r="B1208" s="59" t="str">
        <f>IF($A1208="","",[1]weekly_demand!F1209)</f>
        <v/>
      </c>
      <c r="C1208" s="60" t="str">
        <f>IF($A1208="","",[1]weekly_demand!H1209)</f>
        <v/>
      </c>
      <c r="D1208" s="61" t="str">
        <f>IF($A1208="","",IF(SUMIFS([1]Fixture_Capacity_Input!$C:$C,[1]Fixture_Capacity_Input!$A:$A,$B1208,[1]Fixture_Capacity_Input!$B:$B,$C1208)&gt;0,SUMIFS([1]Fixture_Capacity_Input!$C:$C,[1]Fixture_Capacity_Input!$A:$A,$B1208,[1]Fixture_Capacity_Input!$B:$B,$C1208),[1]weekly_demand!G1209))</f>
        <v/>
      </c>
      <c r="E1208" s="62" t="str">
        <f>IF($A1208="","",[1]weekly_demand!I1209)</f>
        <v/>
      </c>
      <c r="F1208" s="61" t="str">
        <f>IF($A1208="","",IF($A1208&lt;&gt;$A1207,IFERROR(INDEX([1]FG_Begin_Inventory!$B:$B,MATCH($A1208,[1]FG_Begin_Inventory!$A:$A,0)),0),J1207))</f>
        <v/>
      </c>
      <c r="G1208" s="61" t="str">
        <f t="shared" si="136"/>
        <v/>
      </c>
      <c r="H1208" s="61" t="str">
        <f t="shared" si="130"/>
        <v/>
      </c>
      <c r="I1208" s="62" t="str">
        <f t="shared" si="131"/>
        <v/>
      </c>
      <c r="J1208" s="61" t="str">
        <f t="shared" si="132"/>
        <v/>
      </c>
      <c r="K1208" s="61" t="str">
        <f t="shared" si="133"/>
        <v/>
      </c>
      <c r="L1208" s="61" t="str">
        <f t="shared" si="134"/>
        <v/>
      </c>
      <c r="M1208" s="63" t="str">
        <f t="shared" si="135"/>
        <v/>
      </c>
      <c r="N1208" s="64"/>
    </row>
    <row r="1209" spans="1:14" x14ac:dyDescent="0.3">
      <c r="A1209" s="58" t="str">
        <f>IF([1]weekly_demand!A1210="","",[1]weekly_demand!A1210)</f>
        <v/>
      </c>
      <c r="B1209" s="59" t="str">
        <f>IF($A1209="","",[1]weekly_demand!F1210)</f>
        <v/>
      </c>
      <c r="C1209" s="60" t="str">
        <f>IF($A1209="","",[1]weekly_demand!H1210)</f>
        <v/>
      </c>
      <c r="D1209" s="61" t="str">
        <f>IF($A1209="","",IF(SUMIFS([1]Fixture_Capacity_Input!$C:$C,[1]Fixture_Capacity_Input!$A:$A,$B1209,[1]Fixture_Capacity_Input!$B:$B,$C1209)&gt;0,SUMIFS([1]Fixture_Capacity_Input!$C:$C,[1]Fixture_Capacity_Input!$A:$A,$B1209,[1]Fixture_Capacity_Input!$B:$B,$C1209),[1]weekly_demand!G1210))</f>
        <v/>
      </c>
      <c r="E1209" s="62" t="str">
        <f>IF($A1209="","",[1]weekly_demand!I1210)</f>
        <v/>
      </c>
      <c r="F1209" s="61" t="str">
        <f>IF($A1209="","",IF($A1209&lt;&gt;$A1208,IFERROR(INDEX([1]FG_Begin_Inventory!$B:$B,MATCH($A1209,[1]FG_Begin_Inventory!$A:$A,0)),0),J1208))</f>
        <v/>
      </c>
      <c r="G1209" s="61" t="str">
        <f t="shared" si="136"/>
        <v/>
      </c>
      <c r="H1209" s="61" t="str">
        <f t="shared" si="130"/>
        <v/>
      </c>
      <c r="I1209" s="62" t="str">
        <f t="shared" si="131"/>
        <v/>
      </c>
      <c r="J1209" s="61" t="str">
        <f t="shared" si="132"/>
        <v/>
      </c>
      <c r="K1209" s="61" t="str">
        <f t="shared" si="133"/>
        <v/>
      </c>
      <c r="L1209" s="61" t="str">
        <f t="shared" si="134"/>
        <v/>
      </c>
      <c r="M1209" s="63" t="str">
        <f t="shared" si="135"/>
        <v/>
      </c>
      <c r="N1209" s="64"/>
    </row>
    <row r="1210" spans="1:14" x14ac:dyDescent="0.3">
      <c r="A1210" s="58" t="str">
        <f>IF([1]weekly_demand!A1211="","",[1]weekly_demand!A1211)</f>
        <v/>
      </c>
      <c r="B1210" s="59" t="str">
        <f>IF($A1210="","",[1]weekly_demand!F1211)</f>
        <v/>
      </c>
      <c r="C1210" s="60" t="str">
        <f>IF($A1210="","",[1]weekly_demand!H1211)</f>
        <v/>
      </c>
      <c r="D1210" s="61" t="str">
        <f>IF($A1210="","",IF(SUMIFS([1]Fixture_Capacity_Input!$C:$C,[1]Fixture_Capacity_Input!$A:$A,$B1210,[1]Fixture_Capacity_Input!$B:$B,$C1210)&gt;0,SUMIFS([1]Fixture_Capacity_Input!$C:$C,[1]Fixture_Capacity_Input!$A:$A,$B1210,[1]Fixture_Capacity_Input!$B:$B,$C1210),[1]weekly_demand!G1211))</f>
        <v/>
      </c>
      <c r="E1210" s="62" t="str">
        <f>IF($A1210="","",[1]weekly_demand!I1211)</f>
        <v/>
      </c>
      <c r="F1210" s="61" t="str">
        <f>IF($A1210="","",IF($A1210&lt;&gt;$A1209,IFERROR(INDEX([1]FG_Begin_Inventory!$B:$B,MATCH($A1210,[1]FG_Begin_Inventory!$A:$A,0)),0),J1209))</f>
        <v/>
      </c>
      <c r="G1210" s="61" t="str">
        <f t="shared" si="136"/>
        <v/>
      </c>
      <c r="H1210" s="61" t="str">
        <f t="shared" si="130"/>
        <v/>
      </c>
      <c r="I1210" s="62" t="str">
        <f t="shared" si="131"/>
        <v/>
      </c>
      <c r="J1210" s="61" t="str">
        <f t="shared" si="132"/>
        <v/>
      </c>
      <c r="K1210" s="61" t="str">
        <f t="shared" si="133"/>
        <v/>
      </c>
      <c r="L1210" s="61" t="str">
        <f t="shared" si="134"/>
        <v/>
      </c>
      <c r="M1210" s="63" t="str">
        <f t="shared" si="135"/>
        <v/>
      </c>
      <c r="N1210" s="64"/>
    </row>
    <row r="1211" spans="1:14" x14ac:dyDescent="0.3">
      <c r="A1211" s="58" t="str">
        <f>IF([1]weekly_demand!A1212="","",[1]weekly_demand!A1212)</f>
        <v/>
      </c>
      <c r="B1211" s="59" t="str">
        <f>IF($A1211="","",[1]weekly_demand!F1212)</f>
        <v/>
      </c>
      <c r="C1211" s="60" t="str">
        <f>IF($A1211="","",[1]weekly_demand!H1212)</f>
        <v/>
      </c>
      <c r="D1211" s="61" t="str">
        <f>IF($A1211="","",IF(SUMIFS([1]Fixture_Capacity_Input!$C:$C,[1]Fixture_Capacity_Input!$A:$A,$B1211,[1]Fixture_Capacity_Input!$B:$B,$C1211)&gt;0,SUMIFS([1]Fixture_Capacity_Input!$C:$C,[1]Fixture_Capacity_Input!$A:$A,$B1211,[1]Fixture_Capacity_Input!$B:$B,$C1211),[1]weekly_demand!G1212))</f>
        <v/>
      </c>
      <c r="E1211" s="62" t="str">
        <f>IF($A1211="","",[1]weekly_demand!I1212)</f>
        <v/>
      </c>
      <c r="F1211" s="61" t="str">
        <f>IF($A1211="","",IF($A1211&lt;&gt;$A1210,IFERROR(INDEX([1]FG_Begin_Inventory!$B:$B,MATCH($A1211,[1]FG_Begin_Inventory!$A:$A,0)),0),J1210))</f>
        <v/>
      </c>
      <c r="G1211" s="61" t="str">
        <f t="shared" si="136"/>
        <v/>
      </c>
      <c r="H1211" s="61" t="str">
        <f t="shared" si="130"/>
        <v/>
      </c>
      <c r="I1211" s="62" t="str">
        <f t="shared" si="131"/>
        <v/>
      </c>
      <c r="J1211" s="61" t="str">
        <f t="shared" si="132"/>
        <v/>
      </c>
      <c r="K1211" s="61" t="str">
        <f t="shared" si="133"/>
        <v/>
      </c>
      <c r="L1211" s="61" t="str">
        <f t="shared" si="134"/>
        <v/>
      </c>
      <c r="M1211" s="63" t="str">
        <f t="shared" si="135"/>
        <v/>
      </c>
      <c r="N1211" s="64"/>
    </row>
    <row r="1212" spans="1:14" x14ac:dyDescent="0.3">
      <c r="A1212" s="58" t="str">
        <f>IF([1]weekly_demand!A1213="","",[1]weekly_demand!A1213)</f>
        <v/>
      </c>
      <c r="B1212" s="59" t="str">
        <f>IF($A1212="","",[1]weekly_demand!F1213)</f>
        <v/>
      </c>
      <c r="C1212" s="60" t="str">
        <f>IF($A1212="","",[1]weekly_demand!H1213)</f>
        <v/>
      </c>
      <c r="D1212" s="61" t="str">
        <f>IF($A1212="","",IF(SUMIFS([1]Fixture_Capacity_Input!$C:$C,[1]Fixture_Capacity_Input!$A:$A,$B1212,[1]Fixture_Capacity_Input!$B:$B,$C1212)&gt;0,SUMIFS([1]Fixture_Capacity_Input!$C:$C,[1]Fixture_Capacity_Input!$A:$A,$B1212,[1]Fixture_Capacity_Input!$B:$B,$C1212),[1]weekly_demand!G1213))</f>
        <v/>
      </c>
      <c r="E1212" s="62" t="str">
        <f>IF($A1212="","",[1]weekly_demand!I1213)</f>
        <v/>
      </c>
      <c r="F1212" s="61" t="str">
        <f>IF($A1212="","",IF($A1212&lt;&gt;$A1211,IFERROR(INDEX([1]FG_Begin_Inventory!$B:$B,MATCH($A1212,[1]FG_Begin_Inventory!$A:$A,0)),0),J1211))</f>
        <v/>
      </c>
      <c r="G1212" s="61" t="str">
        <f t="shared" si="136"/>
        <v/>
      </c>
      <c r="H1212" s="61" t="str">
        <f t="shared" si="130"/>
        <v/>
      </c>
      <c r="I1212" s="62" t="str">
        <f t="shared" si="131"/>
        <v/>
      </c>
      <c r="J1212" s="61" t="str">
        <f t="shared" si="132"/>
        <v/>
      </c>
      <c r="K1212" s="61" t="str">
        <f t="shared" si="133"/>
        <v/>
      </c>
      <c r="L1212" s="61" t="str">
        <f t="shared" si="134"/>
        <v/>
      </c>
      <c r="M1212" s="63" t="str">
        <f t="shared" si="135"/>
        <v/>
      </c>
      <c r="N1212" s="64"/>
    </row>
    <row r="1213" spans="1:14" x14ac:dyDescent="0.3">
      <c r="A1213" s="58" t="str">
        <f>IF([1]weekly_demand!A1214="","",[1]weekly_demand!A1214)</f>
        <v/>
      </c>
      <c r="B1213" s="59" t="str">
        <f>IF($A1213="","",[1]weekly_demand!F1214)</f>
        <v/>
      </c>
      <c r="C1213" s="60" t="str">
        <f>IF($A1213="","",[1]weekly_demand!H1214)</f>
        <v/>
      </c>
      <c r="D1213" s="61" t="str">
        <f>IF($A1213="","",IF(SUMIFS([1]Fixture_Capacity_Input!$C:$C,[1]Fixture_Capacity_Input!$A:$A,$B1213,[1]Fixture_Capacity_Input!$B:$B,$C1213)&gt;0,SUMIFS([1]Fixture_Capacity_Input!$C:$C,[1]Fixture_Capacity_Input!$A:$A,$B1213,[1]Fixture_Capacity_Input!$B:$B,$C1213),[1]weekly_demand!G1214))</f>
        <v/>
      </c>
      <c r="E1213" s="62" t="str">
        <f>IF($A1213="","",[1]weekly_demand!I1214)</f>
        <v/>
      </c>
      <c r="F1213" s="61" t="str">
        <f>IF($A1213="","",IF($A1213&lt;&gt;$A1212,IFERROR(INDEX([1]FG_Begin_Inventory!$B:$B,MATCH($A1213,[1]FG_Begin_Inventory!$A:$A,0)),0),J1212))</f>
        <v/>
      </c>
      <c r="G1213" s="61" t="str">
        <f t="shared" si="136"/>
        <v/>
      </c>
      <c r="H1213" s="61" t="str">
        <f t="shared" si="130"/>
        <v/>
      </c>
      <c r="I1213" s="62" t="str">
        <f t="shared" si="131"/>
        <v/>
      </c>
      <c r="J1213" s="61" t="str">
        <f t="shared" si="132"/>
        <v/>
      </c>
      <c r="K1213" s="61" t="str">
        <f t="shared" si="133"/>
        <v/>
      </c>
      <c r="L1213" s="61" t="str">
        <f t="shared" si="134"/>
        <v/>
      </c>
      <c r="M1213" s="63" t="str">
        <f t="shared" si="135"/>
        <v/>
      </c>
      <c r="N1213" s="64"/>
    </row>
    <row r="1214" spans="1:14" x14ac:dyDescent="0.3">
      <c r="A1214" s="58" t="str">
        <f>IF([1]weekly_demand!A1215="","",[1]weekly_demand!A1215)</f>
        <v/>
      </c>
      <c r="B1214" s="59" t="str">
        <f>IF($A1214="","",[1]weekly_demand!F1215)</f>
        <v/>
      </c>
      <c r="C1214" s="60" t="str">
        <f>IF($A1214="","",[1]weekly_demand!H1215)</f>
        <v/>
      </c>
      <c r="D1214" s="61" t="str">
        <f>IF($A1214="","",IF(SUMIFS([1]Fixture_Capacity_Input!$C:$C,[1]Fixture_Capacity_Input!$A:$A,$B1214,[1]Fixture_Capacity_Input!$B:$B,$C1214)&gt;0,SUMIFS([1]Fixture_Capacity_Input!$C:$C,[1]Fixture_Capacity_Input!$A:$A,$B1214,[1]Fixture_Capacity_Input!$B:$B,$C1214),[1]weekly_demand!G1215))</f>
        <v/>
      </c>
      <c r="E1214" s="62" t="str">
        <f>IF($A1214="","",[1]weekly_demand!I1215)</f>
        <v/>
      </c>
      <c r="F1214" s="61" t="str">
        <f>IF($A1214="","",IF($A1214&lt;&gt;$A1213,IFERROR(INDEX([1]FG_Begin_Inventory!$B:$B,MATCH($A1214,[1]FG_Begin_Inventory!$A:$A,0)),0),J1213))</f>
        <v/>
      </c>
      <c r="G1214" s="61" t="str">
        <f t="shared" si="136"/>
        <v/>
      </c>
      <c r="H1214" s="61" t="str">
        <f t="shared" si="130"/>
        <v/>
      </c>
      <c r="I1214" s="62" t="str">
        <f t="shared" si="131"/>
        <v/>
      </c>
      <c r="J1214" s="61" t="str">
        <f t="shared" si="132"/>
        <v/>
      </c>
      <c r="K1214" s="61" t="str">
        <f t="shared" si="133"/>
        <v/>
      </c>
      <c r="L1214" s="61" t="str">
        <f t="shared" si="134"/>
        <v/>
      </c>
      <c r="M1214" s="63" t="str">
        <f t="shared" si="135"/>
        <v/>
      </c>
      <c r="N1214" s="64"/>
    </row>
    <row r="1215" spans="1:14" x14ac:dyDescent="0.3">
      <c r="A1215" s="58" t="str">
        <f>IF([1]weekly_demand!A1216="","",[1]weekly_demand!A1216)</f>
        <v/>
      </c>
      <c r="B1215" s="59" t="str">
        <f>IF($A1215="","",[1]weekly_demand!F1216)</f>
        <v/>
      </c>
      <c r="C1215" s="60" t="str">
        <f>IF($A1215="","",[1]weekly_demand!H1216)</f>
        <v/>
      </c>
      <c r="D1215" s="61" t="str">
        <f>IF($A1215="","",IF(SUMIFS([1]Fixture_Capacity_Input!$C:$C,[1]Fixture_Capacity_Input!$A:$A,$B1215,[1]Fixture_Capacity_Input!$B:$B,$C1215)&gt;0,SUMIFS([1]Fixture_Capacity_Input!$C:$C,[1]Fixture_Capacity_Input!$A:$A,$B1215,[1]Fixture_Capacity_Input!$B:$B,$C1215),[1]weekly_demand!G1216))</f>
        <v/>
      </c>
      <c r="E1215" s="62" t="str">
        <f>IF($A1215="","",[1]weekly_demand!I1216)</f>
        <v/>
      </c>
      <c r="F1215" s="61" t="str">
        <f>IF($A1215="","",IF($A1215&lt;&gt;$A1214,IFERROR(INDEX([1]FG_Begin_Inventory!$B:$B,MATCH($A1215,[1]FG_Begin_Inventory!$A:$A,0)),0),J1214))</f>
        <v/>
      </c>
      <c r="G1215" s="61" t="str">
        <f t="shared" si="136"/>
        <v/>
      </c>
      <c r="H1215" s="61" t="str">
        <f t="shared" si="130"/>
        <v/>
      </c>
      <c r="I1215" s="62" t="str">
        <f t="shared" si="131"/>
        <v/>
      </c>
      <c r="J1215" s="61" t="str">
        <f t="shared" si="132"/>
        <v/>
      </c>
      <c r="K1215" s="61" t="str">
        <f t="shared" si="133"/>
        <v/>
      </c>
      <c r="L1215" s="61" t="str">
        <f t="shared" si="134"/>
        <v/>
      </c>
      <c r="M1215" s="63" t="str">
        <f t="shared" si="135"/>
        <v/>
      </c>
      <c r="N1215" s="64"/>
    </row>
    <row r="1216" spans="1:14" x14ac:dyDescent="0.3">
      <c r="A1216" s="58" t="str">
        <f>IF([1]weekly_demand!A1217="","",[1]weekly_demand!A1217)</f>
        <v/>
      </c>
      <c r="B1216" s="59" t="str">
        <f>IF($A1216="","",[1]weekly_demand!F1217)</f>
        <v/>
      </c>
      <c r="C1216" s="60" t="str">
        <f>IF($A1216="","",[1]weekly_demand!H1217)</f>
        <v/>
      </c>
      <c r="D1216" s="61" t="str">
        <f>IF($A1216="","",IF(SUMIFS([1]Fixture_Capacity_Input!$C:$C,[1]Fixture_Capacity_Input!$A:$A,$B1216,[1]Fixture_Capacity_Input!$B:$B,$C1216)&gt;0,SUMIFS([1]Fixture_Capacity_Input!$C:$C,[1]Fixture_Capacity_Input!$A:$A,$B1216,[1]Fixture_Capacity_Input!$B:$B,$C1216),[1]weekly_demand!G1217))</f>
        <v/>
      </c>
      <c r="E1216" s="62" t="str">
        <f>IF($A1216="","",[1]weekly_demand!I1217)</f>
        <v/>
      </c>
      <c r="F1216" s="61" t="str">
        <f>IF($A1216="","",IF($A1216&lt;&gt;$A1215,IFERROR(INDEX([1]FG_Begin_Inventory!$B:$B,MATCH($A1216,[1]FG_Begin_Inventory!$A:$A,0)),0),J1215))</f>
        <v/>
      </c>
      <c r="G1216" s="61" t="str">
        <f t="shared" si="136"/>
        <v/>
      </c>
      <c r="H1216" s="61" t="str">
        <f t="shared" si="130"/>
        <v/>
      </c>
      <c r="I1216" s="62" t="str">
        <f t="shared" si="131"/>
        <v/>
      </c>
      <c r="J1216" s="61" t="str">
        <f t="shared" si="132"/>
        <v/>
      </c>
      <c r="K1216" s="61" t="str">
        <f t="shared" si="133"/>
        <v/>
      </c>
      <c r="L1216" s="61" t="str">
        <f t="shared" si="134"/>
        <v/>
      </c>
      <c r="M1216" s="63" t="str">
        <f t="shared" si="135"/>
        <v/>
      </c>
      <c r="N1216" s="64"/>
    </row>
    <row r="1217" spans="1:14" x14ac:dyDescent="0.3">
      <c r="A1217" s="58" t="str">
        <f>IF([1]weekly_demand!A1218="","",[1]weekly_demand!A1218)</f>
        <v/>
      </c>
      <c r="B1217" s="59" t="str">
        <f>IF($A1217="","",[1]weekly_demand!F1218)</f>
        <v/>
      </c>
      <c r="C1217" s="60" t="str">
        <f>IF($A1217="","",[1]weekly_demand!H1218)</f>
        <v/>
      </c>
      <c r="D1217" s="61" t="str">
        <f>IF($A1217="","",IF(SUMIFS([1]Fixture_Capacity_Input!$C:$C,[1]Fixture_Capacity_Input!$A:$A,$B1217,[1]Fixture_Capacity_Input!$B:$B,$C1217)&gt;0,SUMIFS([1]Fixture_Capacity_Input!$C:$C,[1]Fixture_Capacity_Input!$A:$A,$B1217,[1]Fixture_Capacity_Input!$B:$B,$C1217),[1]weekly_demand!G1218))</f>
        <v/>
      </c>
      <c r="E1217" s="62" t="str">
        <f>IF($A1217="","",[1]weekly_demand!I1218)</f>
        <v/>
      </c>
      <c r="F1217" s="61" t="str">
        <f>IF($A1217="","",IF($A1217&lt;&gt;$A1216,IFERROR(INDEX([1]FG_Begin_Inventory!$B:$B,MATCH($A1217,[1]FG_Begin_Inventory!$A:$A,0)),0),J1216))</f>
        <v/>
      </c>
      <c r="G1217" s="61" t="str">
        <f t="shared" si="136"/>
        <v/>
      </c>
      <c r="H1217" s="61" t="str">
        <f t="shared" si="130"/>
        <v/>
      </c>
      <c r="I1217" s="62" t="str">
        <f t="shared" si="131"/>
        <v/>
      </c>
      <c r="J1217" s="61" t="str">
        <f t="shared" si="132"/>
        <v/>
      </c>
      <c r="K1217" s="61" t="str">
        <f t="shared" si="133"/>
        <v/>
      </c>
      <c r="L1217" s="61" t="str">
        <f t="shared" si="134"/>
        <v/>
      </c>
      <c r="M1217" s="63" t="str">
        <f t="shared" si="135"/>
        <v/>
      </c>
      <c r="N1217" s="64"/>
    </row>
    <row r="1218" spans="1:14" x14ac:dyDescent="0.3">
      <c r="A1218" s="58" t="str">
        <f>IF([1]weekly_demand!A1219="","",[1]weekly_demand!A1219)</f>
        <v/>
      </c>
      <c r="B1218" s="59" t="str">
        <f>IF($A1218="","",[1]weekly_demand!F1219)</f>
        <v/>
      </c>
      <c r="C1218" s="60" t="str">
        <f>IF($A1218="","",[1]weekly_demand!H1219)</f>
        <v/>
      </c>
      <c r="D1218" s="61" t="str">
        <f>IF($A1218="","",IF(SUMIFS([1]Fixture_Capacity_Input!$C:$C,[1]Fixture_Capacity_Input!$A:$A,$B1218,[1]Fixture_Capacity_Input!$B:$B,$C1218)&gt;0,SUMIFS([1]Fixture_Capacity_Input!$C:$C,[1]Fixture_Capacity_Input!$A:$A,$B1218,[1]Fixture_Capacity_Input!$B:$B,$C1218),[1]weekly_demand!G1219))</f>
        <v/>
      </c>
      <c r="E1218" s="62" t="str">
        <f>IF($A1218="","",[1]weekly_demand!I1219)</f>
        <v/>
      </c>
      <c r="F1218" s="61" t="str">
        <f>IF($A1218="","",IF($A1218&lt;&gt;$A1217,IFERROR(INDEX([1]FG_Begin_Inventory!$B:$B,MATCH($A1218,[1]FG_Begin_Inventory!$A:$A,0)),0),J1217))</f>
        <v/>
      </c>
      <c r="G1218" s="61" t="str">
        <f t="shared" si="136"/>
        <v/>
      </c>
      <c r="H1218" s="61" t="str">
        <f t="shared" ref="H1218:H1281" si="137">IF($A1218="","",MAX(0,E1218+G1218-F1218))</f>
        <v/>
      </c>
      <c r="I1218" s="62" t="str">
        <f t="shared" ref="I1218:I1281" si="138">IF($A1218="","",MIN(D1218,H1218))</f>
        <v/>
      </c>
      <c r="J1218" s="61" t="str">
        <f t="shared" ref="J1218:J1281" si="139">IF($A1218="","",MAX(0,F1218+I1218-E1218))</f>
        <v/>
      </c>
      <c r="K1218" s="61" t="str">
        <f t="shared" ref="K1218:K1281" si="140">IF($A1218="","",MAX(0,E1218-F1218-I1218))</f>
        <v/>
      </c>
      <c r="L1218" s="61" t="str">
        <f t="shared" ref="L1218:L1281" si="141">IF($A1218="","",MAX(0,F1218+I1218-E1218))</f>
        <v/>
      </c>
      <c r="M1218" s="63" t="str">
        <f t="shared" ref="M1218:M1281" si="142">IF($A1218="","",IFERROR(I1218/D1218,0))</f>
        <v/>
      </c>
      <c r="N1218" s="64"/>
    </row>
    <row r="1219" spans="1:14" x14ac:dyDescent="0.3">
      <c r="A1219" s="58" t="str">
        <f>IF([1]weekly_demand!A1220="","",[1]weekly_demand!A1220)</f>
        <v/>
      </c>
      <c r="B1219" s="59" t="str">
        <f>IF($A1219="","",[1]weekly_demand!F1220)</f>
        <v/>
      </c>
      <c r="C1219" s="60" t="str">
        <f>IF($A1219="","",[1]weekly_demand!H1220)</f>
        <v/>
      </c>
      <c r="D1219" s="61" t="str">
        <f>IF($A1219="","",IF(SUMIFS([1]Fixture_Capacity_Input!$C:$C,[1]Fixture_Capacity_Input!$A:$A,$B1219,[1]Fixture_Capacity_Input!$B:$B,$C1219)&gt;0,SUMIFS([1]Fixture_Capacity_Input!$C:$C,[1]Fixture_Capacity_Input!$A:$A,$B1219,[1]Fixture_Capacity_Input!$B:$B,$C1219),[1]weekly_demand!G1220))</f>
        <v/>
      </c>
      <c r="E1219" s="62" t="str">
        <f>IF($A1219="","",[1]weekly_demand!I1220)</f>
        <v/>
      </c>
      <c r="F1219" s="61" t="str">
        <f>IF($A1219="","",IF($A1219&lt;&gt;$A1218,IFERROR(INDEX([1]FG_Begin_Inventory!$B:$B,MATCH($A1219,[1]FG_Begin_Inventory!$A:$A,0)),0),J1218))</f>
        <v/>
      </c>
      <c r="G1219" s="61" t="str">
        <f t="shared" si="136"/>
        <v/>
      </c>
      <c r="H1219" s="61" t="str">
        <f t="shared" si="137"/>
        <v/>
      </c>
      <c r="I1219" s="62" t="str">
        <f t="shared" si="138"/>
        <v/>
      </c>
      <c r="J1219" s="61" t="str">
        <f t="shared" si="139"/>
        <v/>
      </c>
      <c r="K1219" s="61" t="str">
        <f t="shared" si="140"/>
        <v/>
      </c>
      <c r="L1219" s="61" t="str">
        <f t="shared" si="141"/>
        <v/>
      </c>
      <c r="M1219" s="63" t="str">
        <f t="shared" si="142"/>
        <v/>
      </c>
      <c r="N1219" s="64"/>
    </row>
    <row r="1220" spans="1:14" x14ac:dyDescent="0.3">
      <c r="A1220" s="58" t="str">
        <f>IF([1]weekly_demand!A1221="","",[1]weekly_demand!A1221)</f>
        <v/>
      </c>
      <c r="B1220" s="59" t="str">
        <f>IF($A1220="","",[1]weekly_demand!F1221)</f>
        <v/>
      </c>
      <c r="C1220" s="60" t="str">
        <f>IF($A1220="","",[1]weekly_demand!H1221)</f>
        <v/>
      </c>
      <c r="D1220" s="61" t="str">
        <f>IF($A1220="","",IF(SUMIFS([1]Fixture_Capacity_Input!$C:$C,[1]Fixture_Capacity_Input!$A:$A,$B1220,[1]Fixture_Capacity_Input!$B:$B,$C1220)&gt;0,SUMIFS([1]Fixture_Capacity_Input!$C:$C,[1]Fixture_Capacity_Input!$A:$A,$B1220,[1]Fixture_Capacity_Input!$B:$B,$C1220),[1]weekly_demand!G1221))</f>
        <v/>
      </c>
      <c r="E1220" s="62" t="str">
        <f>IF($A1220="","",[1]weekly_demand!I1221)</f>
        <v/>
      </c>
      <c r="F1220" s="61" t="str">
        <f>IF($A1220="","",IF($A1220&lt;&gt;$A1219,IFERROR(INDEX([1]FG_Begin_Inventory!$B:$B,MATCH($A1220,[1]FG_Begin_Inventory!$A:$A,0)),0),J1219))</f>
        <v/>
      </c>
      <c r="G1220" s="61" t="str">
        <f t="shared" si="136"/>
        <v/>
      </c>
      <c r="H1220" s="61" t="str">
        <f t="shared" si="137"/>
        <v/>
      </c>
      <c r="I1220" s="62" t="str">
        <f t="shared" si="138"/>
        <v/>
      </c>
      <c r="J1220" s="61" t="str">
        <f t="shared" si="139"/>
        <v/>
      </c>
      <c r="K1220" s="61" t="str">
        <f t="shared" si="140"/>
        <v/>
      </c>
      <c r="L1220" s="61" t="str">
        <f t="shared" si="141"/>
        <v/>
      </c>
      <c r="M1220" s="63" t="str">
        <f t="shared" si="142"/>
        <v/>
      </c>
      <c r="N1220" s="64"/>
    </row>
    <row r="1221" spans="1:14" x14ac:dyDescent="0.3">
      <c r="A1221" s="58" t="str">
        <f>IF([1]weekly_demand!A1222="","",[1]weekly_demand!A1222)</f>
        <v/>
      </c>
      <c r="B1221" s="59" t="str">
        <f>IF($A1221="","",[1]weekly_demand!F1222)</f>
        <v/>
      </c>
      <c r="C1221" s="60" t="str">
        <f>IF($A1221="","",[1]weekly_demand!H1222)</f>
        <v/>
      </c>
      <c r="D1221" s="61" t="str">
        <f>IF($A1221="","",IF(SUMIFS([1]Fixture_Capacity_Input!$C:$C,[1]Fixture_Capacity_Input!$A:$A,$B1221,[1]Fixture_Capacity_Input!$B:$B,$C1221)&gt;0,SUMIFS([1]Fixture_Capacity_Input!$C:$C,[1]Fixture_Capacity_Input!$A:$A,$B1221,[1]Fixture_Capacity_Input!$B:$B,$C1221),[1]weekly_demand!G1222))</f>
        <v/>
      </c>
      <c r="E1221" s="62" t="str">
        <f>IF($A1221="","",[1]weekly_demand!I1222)</f>
        <v/>
      </c>
      <c r="F1221" s="61" t="str">
        <f>IF($A1221="","",IF($A1221&lt;&gt;$A1220,IFERROR(INDEX([1]FG_Begin_Inventory!$B:$B,MATCH($A1221,[1]FG_Begin_Inventory!$A:$A,0)),0),J1220))</f>
        <v/>
      </c>
      <c r="G1221" s="61" t="str">
        <f t="shared" si="136"/>
        <v/>
      </c>
      <c r="H1221" s="61" t="str">
        <f t="shared" si="137"/>
        <v/>
      </c>
      <c r="I1221" s="62" t="str">
        <f t="shared" si="138"/>
        <v/>
      </c>
      <c r="J1221" s="61" t="str">
        <f t="shared" si="139"/>
        <v/>
      </c>
      <c r="K1221" s="61" t="str">
        <f t="shared" si="140"/>
        <v/>
      </c>
      <c r="L1221" s="61" t="str">
        <f t="shared" si="141"/>
        <v/>
      </c>
      <c r="M1221" s="63" t="str">
        <f t="shared" si="142"/>
        <v/>
      </c>
      <c r="N1221" s="64"/>
    </row>
    <row r="1222" spans="1:14" x14ac:dyDescent="0.3">
      <c r="A1222" s="58" t="str">
        <f>IF([1]weekly_demand!A1223="","",[1]weekly_demand!A1223)</f>
        <v/>
      </c>
      <c r="B1222" s="59" t="str">
        <f>IF($A1222="","",[1]weekly_demand!F1223)</f>
        <v/>
      </c>
      <c r="C1222" s="60" t="str">
        <f>IF($A1222="","",[1]weekly_demand!H1223)</f>
        <v/>
      </c>
      <c r="D1222" s="61" t="str">
        <f>IF($A1222="","",IF(SUMIFS([1]Fixture_Capacity_Input!$C:$C,[1]Fixture_Capacity_Input!$A:$A,$B1222,[1]Fixture_Capacity_Input!$B:$B,$C1222)&gt;0,SUMIFS([1]Fixture_Capacity_Input!$C:$C,[1]Fixture_Capacity_Input!$A:$A,$B1222,[1]Fixture_Capacity_Input!$B:$B,$C1222),[1]weekly_demand!G1223))</f>
        <v/>
      </c>
      <c r="E1222" s="62" t="str">
        <f>IF($A1222="","",[1]weekly_demand!I1223)</f>
        <v/>
      </c>
      <c r="F1222" s="61" t="str">
        <f>IF($A1222="","",IF($A1222&lt;&gt;$A1221,IFERROR(INDEX([1]FG_Begin_Inventory!$B:$B,MATCH($A1222,[1]FG_Begin_Inventory!$A:$A,0)),0),J1221))</f>
        <v/>
      </c>
      <c r="G1222" s="61" t="str">
        <f t="shared" si="136"/>
        <v/>
      </c>
      <c r="H1222" s="61" t="str">
        <f t="shared" si="137"/>
        <v/>
      </c>
      <c r="I1222" s="62" t="str">
        <f t="shared" si="138"/>
        <v/>
      </c>
      <c r="J1222" s="61" t="str">
        <f t="shared" si="139"/>
        <v/>
      </c>
      <c r="K1222" s="61" t="str">
        <f t="shared" si="140"/>
        <v/>
      </c>
      <c r="L1222" s="61" t="str">
        <f t="shared" si="141"/>
        <v/>
      </c>
      <c r="M1222" s="63" t="str">
        <f t="shared" si="142"/>
        <v/>
      </c>
      <c r="N1222" s="64"/>
    </row>
    <row r="1223" spans="1:14" x14ac:dyDescent="0.3">
      <c r="A1223" s="58" t="str">
        <f>IF([1]weekly_demand!A1224="","",[1]weekly_demand!A1224)</f>
        <v/>
      </c>
      <c r="B1223" s="59" t="str">
        <f>IF($A1223="","",[1]weekly_demand!F1224)</f>
        <v/>
      </c>
      <c r="C1223" s="60" t="str">
        <f>IF($A1223="","",[1]weekly_demand!H1224)</f>
        <v/>
      </c>
      <c r="D1223" s="61" t="str">
        <f>IF($A1223="","",IF(SUMIFS([1]Fixture_Capacity_Input!$C:$C,[1]Fixture_Capacity_Input!$A:$A,$B1223,[1]Fixture_Capacity_Input!$B:$B,$C1223)&gt;0,SUMIFS([1]Fixture_Capacity_Input!$C:$C,[1]Fixture_Capacity_Input!$A:$A,$B1223,[1]Fixture_Capacity_Input!$B:$B,$C1223),[1]weekly_demand!G1224))</f>
        <v/>
      </c>
      <c r="E1223" s="62" t="str">
        <f>IF($A1223="","",[1]weekly_demand!I1224)</f>
        <v/>
      </c>
      <c r="F1223" s="61" t="str">
        <f>IF($A1223="","",IF($A1223&lt;&gt;$A1222,IFERROR(INDEX([1]FG_Begin_Inventory!$B:$B,MATCH($A1223,[1]FG_Begin_Inventory!$A:$A,0)),0),J1222))</f>
        <v/>
      </c>
      <c r="G1223" s="61" t="str">
        <f t="shared" si="136"/>
        <v/>
      </c>
      <c r="H1223" s="61" t="str">
        <f t="shared" si="137"/>
        <v/>
      </c>
      <c r="I1223" s="62" t="str">
        <f t="shared" si="138"/>
        <v/>
      </c>
      <c r="J1223" s="61" t="str">
        <f t="shared" si="139"/>
        <v/>
      </c>
      <c r="K1223" s="61" t="str">
        <f t="shared" si="140"/>
        <v/>
      </c>
      <c r="L1223" s="61" t="str">
        <f t="shared" si="141"/>
        <v/>
      </c>
      <c r="M1223" s="63" t="str">
        <f t="shared" si="142"/>
        <v/>
      </c>
      <c r="N1223" s="64"/>
    </row>
    <row r="1224" spans="1:14" x14ac:dyDescent="0.3">
      <c r="A1224" s="58" t="str">
        <f>IF([1]weekly_demand!A1225="","",[1]weekly_demand!A1225)</f>
        <v/>
      </c>
      <c r="B1224" s="59" t="str">
        <f>IF($A1224="","",[1]weekly_demand!F1225)</f>
        <v/>
      </c>
      <c r="C1224" s="60" t="str">
        <f>IF($A1224="","",[1]weekly_demand!H1225)</f>
        <v/>
      </c>
      <c r="D1224" s="61" t="str">
        <f>IF($A1224="","",IF(SUMIFS([1]Fixture_Capacity_Input!$C:$C,[1]Fixture_Capacity_Input!$A:$A,$B1224,[1]Fixture_Capacity_Input!$B:$B,$C1224)&gt;0,SUMIFS([1]Fixture_Capacity_Input!$C:$C,[1]Fixture_Capacity_Input!$A:$A,$B1224,[1]Fixture_Capacity_Input!$B:$B,$C1224),[1]weekly_demand!G1225))</f>
        <v/>
      </c>
      <c r="E1224" s="62" t="str">
        <f>IF($A1224="","",[1]weekly_demand!I1225)</f>
        <v/>
      </c>
      <c r="F1224" s="61" t="str">
        <f>IF($A1224="","",IF($A1224&lt;&gt;$A1223,IFERROR(INDEX([1]FG_Begin_Inventory!$B:$B,MATCH($A1224,[1]FG_Begin_Inventory!$A:$A,0)),0),J1223))</f>
        <v/>
      </c>
      <c r="G1224" s="61" t="str">
        <f t="shared" si="136"/>
        <v/>
      </c>
      <c r="H1224" s="61" t="str">
        <f t="shared" si="137"/>
        <v/>
      </c>
      <c r="I1224" s="62" t="str">
        <f t="shared" si="138"/>
        <v/>
      </c>
      <c r="J1224" s="61" t="str">
        <f t="shared" si="139"/>
        <v/>
      </c>
      <c r="K1224" s="61" t="str">
        <f t="shared" si="140"/>
        <v/>
      </c>
      <c r="L1224" s="61" t="str">
        <f t="shared" si="141"/>
        <v/>
      </c>
      <c r="M1224" s="63" t="str">
        <f t="shared" si="142"/>
        <v/>
      </c>
      <c r="N1224" s="64"/>
    </row>
    <row r="1225" spans="1:14" x14ac:dyDescent="0.3">
      <c r="A1225" s="58" t="str">
        <f>IF([1]weekly_demand!A1226="","",[1]weekly_demand!A1226)</f>
        <v/>
      </c>
      <c r="B1225" s="59" t="str">
        <f>IF($A1225="","",[1]weekly_demand!F1226)</f>
        <v/>
      </c>
      <c r="C1225" s="60" t="str">
        <f>IF($A1225="","",[1]weekly_demand!H1226)</f>
        <v/>
      </c>
      <c r="D1225" s="61" t="str">
        <f>IF($A1225="","",IF(SUMIFS([1]Fixture_Capacity_Input!$C:$C,[1]Fixture_Capacity_Input!$A:$A,$B1225,[1]Fixture_Capacity_Input!$B:$B,$C1225)&gt;0,SUMIFS([1]Fixture_Capacity_Input!$C:$C,[1]Fixture_Capacity_Input!$A:$A,$B1225,[1]Fixture_Capacity_Input!$B:$B,$C1225),[1]weekly_demand!G1226))</f>
        <v/>
      </c>
      <c r="E1225" s="62" t="str">
        <f>IF($A1225="","",[1]weekly_demand!I1226)</f>
        <v/>
      </c>
      <c r="F1225" s="61" t="str">
        <f>IF($A1225="","",IF($A1225&lt;&gt;$A1224,IFERROR(INDEX([1]FG_Begin_Inventory!$B:$B,MATCH($A1225,[1]FG_Begin_Inventory!$A:$A,0)),0),J1224))</f>
        <v/>
      </c>
      <c r="G1225" s="61" t="str">
        <f t="shared" si="136"/>
        <v/>
      </c>
      <c r="H1225" s="61" t="str">
        <f t="shared" si="137"/>
        <v/>
      </c>
      <c r="I1225" s="62" t="str">
        <f t="shared" si="138"/>
        <v/>
      </c>
      <c r="J1225" s="61" t="str">
        <f t="shared" si="139"/>
        <v/>
      </c>
      <c r="K1225" s="61" t="str">
        <f t="shared" si="140"/>
        <v/>
      </c>
      <c r="L1225" s="61" t="str">
        <f t="shared" si="141"/>
        <v/>
      </c>
      <c r="M1225" s="63" t="str">
        <f t="shared" si="142"/>
        <v/>
      </c>
      <c r="N1225" s="64"/>
    </row>
    <row r="1226" spans="1:14" x14ac:dyDescent="0.3">
      <c r="A1226" s="58" t="str">
        <f>IF([1]weekly_demand!A1227="","",[1]weekly_demand!A1227)</f>
        <v/>
      </c>
      <c r="B1226" s="59" t="str">
        <f>IF($A1226="","",[1]weekly_demand!F1227)</f>
        <v/>
      </c>
      <c r="C1226" s="60" t="str">
        <f>IF($A1226="","",[1]weekly_demand!H1227)</f>
        <v/>
      </c>
      <c r="D1226" s="61" t="str">
        <f>IF($A1226="","",IF(SUMIFS([1]Fixture_Capacity_Input!$C:$C,[1]Fixture_Capacity_Input!$A:$A,$B1226,[1]Fixture_Capacity_Input!$B:$B,$C1226)&gt;0,SUMIFS([1]Fixture_Capacity_Input!$C:$C,[1]Fixture_Capacity_Input!$A:$A,$B1226,[1]Fixture_Capacity_Input!$B:$B,$C1226),[1]weekly_demand!G1227))</f>
        <v/>
      </c>
      <c r="E1226" s="62" t="str">
        <f>IF($A1226="","",[1]weekly_demand!I1227)</f>
        <v/>
      </c>
      <c r="F1226" s="61" t="str">
        <f>IF($A1226="","",IF($A1226&lt;&gt;$A1225,IFERROR(INDEX([1]FG_Begin_Inventory!$B:$B,MATCH($A1226,[1]FG_Begin_Inventory!$A:$A,0)),0),J1225))</f>
        <v/>
      </c>
      <c r="G1226" s="61" t="str">
        <f t="shared" si="136"/>
        <v/>
      </c>
      <c r="H1226" s="61" t="str">
        <f t="shared" si="137"/>
        <v/>
      </c>
      <c r="I1226" s="62" t="str">
        <f t="shared" si="138"/>
        <v/>
      </c>
      <c r="J1226" s="61" t="str">
        <f t="shared" si="139"/>
        <v/>
      </c>
      <c r="K1226" s="61" t="str">
        <f t="shared" si="140"/>
        <v/>
      </c>
      <c r="L1226" s="61" t="str">
        <f t="shared" si="141"/>
        <v/>
      </c>
      <c r="M1226" s="63" t="str">
        <f t="shared" si="142"/>
        <v/>
      </c>
      <c r="N1226" s="64"/>
    </row>
    <row r="1227" spans="1:14" x14ac:dyDescent="0.3">
      <c r="A1227" s="58" t="str">
        <f>IF([1]weekly_demand!A1228="","",[1]weekly_demand!A1228)</f>
        <v/>
      </c>
      <c r="B1227" s="59" t="str">
        <f>IF($A1227="","",[1]weekly_demand!F1228)</f>
        <v/>
      </c>
      <c r="C1227" s="60" t="str">
        <f>IF($A1227="","",[1]weekly_demand!H1228)</f>
        <v/>
      </c>
      <c r="D1227" s="61" t="str">
        <f>IF($A1227="","",IF(SUMIFS([1]Fixture_Capacity_Input!$C:$C,[1]Fixture_Capacity_Input!$A:$A,$B1227,[1]Fixture_Capacity_Input!$B:$B,$C1227)&gt;0,SUMIFS([1]Fixture_Capacity_Input!$C:$C,[1]Fixture_Capacity_Input!$A:$A,$B1227,[1]Fixture_Capacity_Input!$B:$B,$C1227),[1]weekly_demand!G1228))</f>
        <v/>
      </c>
      <c r="E1227" s="62" t="str">
        <f>IF($A1227="","",[1]weekly_demand!I1228)</f>
        <v/>
      </c>
      <c r="F1227" s="61" t="str">
        <f>IF($A1227="","",IF($A1227&lt;&gt;$A1226,IFERROR(INDEX([1]FG_Begin_Inventory!$B:$B,MATCH($A1227,[1]FG_Begin_Inventory!$A:$A,0)),0),J1226))</f>
        <v/>
      </c>
      <c r="G1227" s="61" t="str">
        <f t="shared" si="136"/>
        <v/>
      </c>
      <c r="H1227" s="61" t="str">
        <f t="shared" si="137"/>
        <v/>
      </c>
      <c r="I1227" s="62" t="str">
        <f t="shared" si="138"/>
        <v/>
      </c>
      <c r="J1227" s="61" t="str">
        <f t="shared" si="139"/>
        <v/>
      </c>
      <c r="K1227" s="61" t="str">
        <f t="shared" si="140"/>
        <v/>
      </c>
      <c r="L1227" s="61" t="str">
        <f t="shared" si="141"/>
        <v/>
      </c>
      <c r="M1227" s="63" t="str">
        <f t="shared" si="142"/>
        <v/>
      </c>
      <c r="N1227" s="64"/>
    </row>
    <row r="1228" spans="1:14" x14ac:dyDescent="0.3">
      <c r="A1228" s="58" t="str">
        <f>IF([1]weekly_demand!A1229="","",[1]weekly_demand!A1229)</f>
        <v/>
      </c>
      <c r="B1228" s="59" t="str">
        <f>IF($A1228="","",[1]weekly_demand!F1229)</f>
        <v/>
      </c>
      <c r="C1228" s="60" t="str">
        <f>IF($A1228="","",[1]weekly_demand!H1229)</f>
        <v/>
      </c>
      <c r="D1228" s="61" t="str">
        <f>IF($A1228="","",IF(SUMIFS([1]Fixture_Capacity_Input!$C:$C,[1]Fixture_Capacity_Input!$A:$A,$B1228,[1]Fixture_Capacity_Input!$B:$B,$C1228)&gt;0,SUMIFS([1]Fixture_Capacity_Input!$C:$C,[1]Fixture_Capacity_Input!$A:$A,$B1228,[1]Fixture_Capacity_Input!$B:$B,$C1228),[1]weekly_demand!G1229))</f>
        <v/>
      </c>
      <c r="E1228" s="62" t="str">
        <f>IF($A1228="","",[1]weekly_demand!I1229)</f>
        <v/>
      </c>
      <c r="F1228" s="61" t="str">
        <f>IF($A1228="","",IF($A1228&lt;&gt;$A1227,IFERROR(INDEX([1]FG_Begin_Inventory!$B:$B,MATCH($A1228,[1]FG_Begin_Inventory!$A:$A,0)),0),J1227))</f>
        <v/>
      </c>
      <c r="G1228" s="61" t="str">
        <f t="shared" si="136"/>
        <v/>
      </c>
      <c r="H1228" s="61" t="str">
        <f t="shared" si="137"/>
        <v/>
      </c>
      <c r="I1228" s="62" t="str">
        <f t="shared" si="138"/>
        <v/>
      </c>
      <c r="J1228" s="61" t="str">
        <f t="shared" si="139"/>
        <v/>
      </c>
      <c r="K1228" s="61" t="str">
        <f t="shared" si="140"/>
        <v/>
      </c>
      <c r="L1228" s="61" t="str">
        <f t="shared" si="141"/>
        <v/>
      </c>
      <c r="M1228" s="63" t="str">
        <f t="shared" si="142"/>
        <v/>
      </c>
      <c r="N1228" s="64"/>
    </row>
    <row r="1229" spans="1:14" x14ac:dyDescent="0.3">
      <c r="A1229" s="58" t="str">
        <f>IF([1]weekly_demand!A1230="","",[1]weekly_demand!A1230)</f>
        <v/>
      </c>
      <c r="B1229" s="59" t="str">
        <f>IF($A1229="","",[1]weekly_demand!F1230)</f>
        <v/>
      </c>
      <c r="C1229" s="60" t="str">
        <f>IF($A1229="","",[1]weekly_demand!H1230)</f>
        <v/>
      </c>
      <c r="D1229" s="61" t="str">
        <f>IF($A1229="","",IF(SUMIFS([1]Fixture_Capacity_Input!$C:$C,[1]Fixture_Capacity_Input!$A:$A,$B1229,[1]Fixture_Capacity_Input!$B:$B,$C1229)&gt;0,SUMIFS([1]Fixture_Capacity_Input!$C:$C,[1]Fixture_Capacity_Input!$A:$A,$B1229,[1]Fixture_Capacity_Input!$B:$B,$C1229),[1]weekly_demand!G1230))</f>
        <v/>
      </c>
      <c r="E1229" s="62" t="str">
        <f>IF($A1229="","",[1]weekly_demand!I1230)</f>
        <v/>
      </c>
      <c r="F1229" s="61" t="str">
        <f>IF($A1229="","",IF($A1229&lt;&gt;$A1228,IFERROR(INDEX([1]FG_Begin_Inventory!$B:$B,MATCH($A1229,[1]FG_Begin_Inventory!$A:$A,0)),0),J1228))</f>
        <v/>
      </c>
      <c r="G1229" s="61" t="str">
        <f t="shared" si="136"/>
        <v/>
      </c>
      <c r="H1229" s="61" t="str">
        <f t="shared" si="137"/>
        <v/>
      </c>
      <c r="I1229" s="62" t="str">
        <f t="shared" si="138"/>
        <v/>
      </c>
      <c r="J1229" s="61" t="str">
        <f t="shared" si="139"/>
        <v/>
      </c>
      <c r="K1229" s="61" t="str">
        <f t="shared" si="140"/>
        <v/>
      </c>
      <c r="L1229" s="61" t="str">
        <f t="shared" si="141"/>
        <v/>
      </c>
      <c r="M1229" s="63" t="str">
        <f t="shared" si="142"/>
        <v/>
      </c>
      <c r="N1229" s="64"/>
    </row>
    <row r="1230" spans="1:14" x14ac:dyDescent="0.3">
      <c r="A1230" s="58" t="str">
        <f>IF([1]weekly_demand!A1231="","",[1]weekly_demand!A1231)</f>
        <v/>
      </c>
      <c r="B1230" s="59" t="str">
        <f>IF($A1230="","",[1]weekly_demand!F1231)</f>
        <v/>
      </c>
      <c r="C1230" s="60" t="str">
        <f>IF($A1230="","",[1]weekly_demand!H1231)</f>
        <v/>
      </c>
      <c r="D1230" s="61" t="str">
        <f>IF($A1230="","",IF(SUMIFS([1]Fixture_Capacity_Input!$C:$C,[1]Fixture_Capacity_Input!$A:$A,$B1230,[1]Fixture_Capacity_Input!$B:$B,$C1230)&gt;0,SUMIFS([1]Fixture_Capacity_Input!$C:$C,[1]Fixture_Capacity_Input!$A:$A,$B1230,[1]Fixture_Capacity_Input!$B:$B,$C1230),[1]weekly_demand!G1231))</f>
        <v/>
      </c>
      <c r="E1230" s="62" t="str">
        <f>IF($A1230="","",[1]weekly_demand!I1231)</f>
        <v/>
      </c>
      <c r="F1230" s="61" t="str">
        <f>IF($A1230="","",IF($A1230&lt;&gt;$A1229,IFERROR(INDEX([1]FG_Begin_Inventory!$B:$B,MATCH($A1230,[1]FG_Begin_Inventory!$A:$A,0)),0),J1229))</f>
        <v/>
      </c>
      <c r="G1230" s="61" t="str">
        <f t="shared" si="136"/>
        <v/>
      </c>
      <c r="H1230" s="61" t="str">
        <f t="shared" si="137"/>
        <v/>
      </c>
      <c r="I1230" s="62" t="str">
        <f t="shared" si="138"/>
        <v/>
      </c>
      <c r="J1230" s="61" t="str">
        <f t="shared" si="139"/>
        <v/>
      </c>
      <c r="K1230" s="61" t="str">
        <f t="shared" si="140"/>
        <v/>
      </c>
      <c r="L1230" s="61" t="str">
        <f t="shared" si="141"/>
        <v/>
      </c>
      <c r="M1230" s="63" t="str">
        <f t="shared" si="142"/>
        <v/>
      </c>
      <c r="N1230" s="64"/>
    </row>
    <row r="1231" spans="1:14" x14ac:dyDescent="0.3">
      <c r="A1231" s="58" t="str">
        <f>IF([1]weekly_demand!A1232="","",[1]weekly_demand!A1232)</f>
        <v/>
      </c>
      <c r="B1231" s="59" t="str">
        <f>IF($A1231="","",[1]weekly_demand!F1232)</f>
        <v/>
      </c>
      <c r="C1231" s="60" t="str">
        <f>IF($A1231="","",[1]weekly_demand!H1232)</f>
        <v/>
      </c>
      <c r="D1231" s="61" t="str">
        <f>IF($A1231="","",IF(SUMIFS([1]Fixture_Capacity_Input!$C:$C,[1]Fixture_Capacity_Input!$A:$A,$B1231,[1]Fixture_Capacity_Input!$B:$B,$C1231)&gt;0,SUMIFS([1]Fixture_Capacity_Input!$C:$C,[1]Fixture_Capacity_Input!$A:$A,$B1231,[1]Fixture_Capacity_Input!$B:$B,$C1231),[1]weekly_demand!G1232))</f>
        <v/>
      </c>
      <c r="E1231" s="62" t="str">
        <f>IF($A1231="","",[1]weekly_demand!I1232)</f>
        <v/>
      </c>
      <c r="F1231" s="61" t="str">
        <f>IF($A1231="","",IF($A1231&lt;&gt;$A1230,IFERROR(INDEX([1]FG_Begin_Inventory!$B:$B,MATCH($A1231,[1]FG_Begin_Inventory!$A:$A,0)),0),J1230))</f>
        <v/>
      </c>
      <c r="G1231" s="61" t="str">
        <f t="shared" si="136"/>
        <v/>
      </c>
      <c r="H1231" s="61" t="str">
        <f t="shared" si="137"/>
        <v/>
      </c>
      <c r="I1231" s="62" t="str">
        <f t="shared" si="138"/>
        <v/>
      </c>
      <c r="J1231" s="61" t="str">
        <f t="shared" si="139"/>
        <v/>
      </c>
      <c r="K1231" s="61" t="str">
        <f t="shared" si="140"/>
        <v/>
      </c>
      <c r="L1231" s="61" t="str">
        <f t="shared" si="141"/>
        <v/>
      </c>
      <c r="M1231" s="63" t="str">
        <f t="shared" si="142"/>
        <v/>
      </c>
      <c r="N1231" s="64"/>
    </row>
    <row r="1232" spans="1:14" x14ac:dyDescent="0.3">
      <c r="A1232" s="58" t="str">
        <f>IF([1]weekly_demand!A1233="","",[1]weekly_demand!A1233)</f>
        <v/>
      </c>
      <c r="B1232" s="59" t="str">
        <f>IF($A1232="","",[1]weekly_demand!F1233)</f>
        <v/>
      </c>
      <c r="C1232" s="60" t="str">
        <f>IF($A1232="","",[1]weekly_demand!H1233)</f>
        <v/>
      </c>
      <c r="D1232" s="61" t="str">
        <f>IF($A1232="","",IF(SUMIFS([1]Fixture_Capacity_Input!$C:$C,[1]Fixture_Capacity_Input!$A:$A,$B1232,[1]Fixture_Capacity_Input!$B:$B,$C1232)&gt;0,SUMIFS([1]Fixture_Capacity_Input!$C:$C,[1]Fixture_Capacity_Input!$A:$A,$B1232,[1]Fixture_Capacity_Input!$B:$B,$C1232),[1]weekly_demand!G1233))</f>
        <v/>
      </c>
      <c r="E1232" s="62" t="str">
        <f>IF($A1232="","",[1]weekly_demand!I1233)</f>
        <v/>
      </c>
      <c r="F1232" s="61" t="str">
        <f>IF($A1232="","",IF($A1232&lt;&gt;$A1231,IFERROR(INDEX([1]FG_Begin_Inventory!$B:$B,MATCH($A1232,[1]FG_Begin_Inventory!$A:$A,0)),0),J1231))</f>
        <v/>
      </c>
      <c r="G1232" s="61" t="str">
        <f t="shared" si="136"/>
        <v/>
      </c>
      <c r="H1232" s="61" t="str">
        <f t="shared" si="137"/>
        <v/>
      </c>
      <c r="I1232" s="62" t="str">
        <f t="shared" si="138"/>
        <v/>
      </c>
      <c r="J1232" s="61" t="str">
        <f t="shared" si="139"/>
        <v/>
      </c>
      <c r="K1232" s="61" t="str">
        <f t="shared" si="140"/>
        <v/>
      </c>
      <c r="L1232" s="61" t="str">
        <f t="shared" si="141"/>
        <v/>
      </c>
      <c r="M1232" s="63" t="str">
        <f t="shared" si="142"/>
        <v/>
      </c>
      <c r="N1232" s="64"/>
    </row>
    <row r="1233" spans="1:14" x14ac:dyDescent="0.3">
      <c r="A1233" s="58" t="str">
        <f>IF([1]weekly_demand!A1234="","",[1]weekly_demand!A1234)</f>
        <v/>
      </c>
      <c r="B1233" s="59" t="str">
        <f>IF($A1233="","",[1]weekly_demand!F1234)</f>
        <v/>
      </c>
      <c r="C1233" s="60" t="str">
        <f>IF($A1233="","",[1]weekly_demand!H1234)</f>
        <v/>
      </c>
      <c r="D1233" s="61" t="str">
        <f>IF($A1233="","",IF(SUMIFS([1]Fixture_Capacity_Input!$C:$C,[1]Fixture_Capacity_Input!$A:$A,$B1233,[1]Fixture_Capacity_Input!$B:$B,$C1233)&gt;0,SUMIFS([1]Fixture_Capacity_Input!$C:$C,[1]Fixture_Capacity_Input!$A:$A,$B1233,[1]Fixture_Capacity_Input!$B:$B,$C1233),[1]weekly_demand!G1234))</f>
        <v/>
      </c>
      <c r="E1233" s="62" t="str">
        <f>IF($A1233="","",[1]weekly_demand!I1234)</f>
        <v/>
      </c>
      <c r="F1233" s="61" t="str">
        <f>IF($A1233="","",IF($A1233&lt;&gt;$A1232,IFERROR(INDEX([1]FG_Begin_Inventory!$B:$B,MATCH($A1233,[1]FG_Begin_Inventory!$A:$A,0)),0),J1232))</f>
        <v/>
      </c>
      <c r="G1233" s="61" t="str">
        <f t="shared" si="136"/>
        <v/>
      </c>
      <c r="H1233" s="61" t="str">
        <f t="shared" si="137"/>
        <v/>
      </c>
      <c r="I1233" s="62" t="str">
        <f t="shared" si="138"/>
        <v/>
      </c>
      <c r="J1233" s="61" t="str">
        <f t="shared" si="139"/>
        <v/>
      </c>
      <c r="K1233" s="61" t="str">
        <f t="shared" si="140"/>
        <v/>
      </c>
      <c r="L1233" s="61" t="str">
        <f t="shared" si="141"/>
        <v/>
      </c>
      <c r="M1233" s="63" t="str">
        <f t="shared" si="142"/>
        <v/>
      </c>
      <c r="N1233" s="64"/>
    </row>
    <row r="1234" spans="1:14" x14ac:dyDescent="0.3">
      <c r="A1234" s="58" t="str">
        <f>IF([1]weekly_demand!A1235="","",[1]weekly_demand!A1235)</f>
        <v/>
      </c>
      <c r="B1234" s="59" t="str">
        <f>IF($A1234="","",[1]weekly_demand!F1235)</f>
        <v/>
      </c>
      <c r="C1234" s="60" t="str">
        <f>IF($A1234="","",[1]weekly_demand!H1235)</f>
        <v/>
      </c>
      <c r="D1234" s="61" t="str">
        <f>IF($A1234="","",IF(SUMIFS([1]Fixture_Capacity_Input!$C:$C,[1]Fixture_Capacity_Input!$A:$A,$B1234,[1]Fixture_Capacity_Input!$B:$B,$C1234)&gt;0,SUMIFS([1]Fixture_Capacity_Input!$C:$C,[1]Fixture_Capacity_Input!$A:$A,$B1234,[1]Fixture_Capacity_Input!$B:$B,$C1234),[1]weekly_demand!G1235))</f>
        <v/>
      </c>
      <c r="E1234" s="62" t="str">
        <f>IF($A1234="","",[1]weekly_demand!I1235)</f>
        <v/>
      </c>
      <c r="F1234" s="61" t="str">
        <f>IF($A1234="","",IF($A1234&lt;&gt;$A1233,IFERROR(INDEX([1]FG_Begin_Inventory!$B:$B,MATCH($A1234,[1]FG_Begin_Inventory!$A:$A,0)),0),J1233))</f>
        <v/>
      </c>
      <c r="G1234" s="61" t="str">
        <f t="shared" si="136"/>
        <v/>
      </c>
      <c r="H1234" s="61" t="str">
        <f t="shared" si="137"/>
        <v/>
      </c>
      <c r="I1234" s="62" t="str">
        <f t="shared" si="138"/>
        <v/>
      </c>
      <c r="J1234" s="61" t="str">
        <f t="shared" si="139"/>
        <v/>
      </c>
      <c r="K1234" s="61" t="str">
        <f t="shared" si="140"/>
        <v/>
      </c>
      <c r="L1234" s="61" t="str">
        <f t="shared" si="141"/>
        <v/>
      </c>
      <c r="M1234" s="63" t="str">
        <f t="shared" si="142"/>
        <v/>
      </c>
      <c r="N1234" s="64"/>
    </row>
    <row r="1235" spans="1:14" x14ac:dyDescent="0.3">
      <c r="A1235" s="58" t="str">
        <f>IF([1]weekly_demand!A1236="","",[1]weekly_demand!A1236)</f>
        <v/>
      </c>
      <c r="B1235" s="59" t="str">
        <f>IF($A1235="","",[1]weekly_demand!F1236)</f>
        <v/>
      </c>
      <c r="C1235" s="60" t="str">
        <f>IF($A1235="","",[1]weekly_demand!H1236)</f>
        <v/>
      </c>
      <c r="D1235" s="61" t="str">
        <f>IF($A1235="","",IF(SUMIFS([1]Fixture_Capacity_Input!$C:$C,[1]Fixture_Capacity_Input!$A:$A,$B1235,[1]Fixture_Capacity_Input!$B:$B,$C1235)&gt;0,SUMIFS([1]Fixture_Capacity_Input!$C:$C,[1]Fixture_Capacity_Input!$A:$A,$B1235,[1]Fixture_Capacity_Input!$B:$B,$C1235),[1]weekly_demand!G1236))</f>
        <v/>
      </c>
      <c r="E1235" s="62" t="str">
        <f>IF($A1235="","",[1]weekly_demand!I1236)</f>
        <v/>
      </c>
      <c r="F1235" s="61" t="str">
        <f>IF($A1235="","",IF($A1235&lt;&gt;$A1234,IFERROR(INDEX([1]FG_Begin_Inventory!$B:$B,MATCH($A1235,[1]FG_Begin_Inventory!$A:$A,0)),0),J1234))</f>
        <v/>
      </c>
      <c r="G1235" s="61" t="str">
        <f t="shared" si="136"/>
        <v/>
      </c>
      <c r="H1235" s="61" t="str">
        <f t="shared" si="137"/>
        <v/>
      </c>
      <c r="I1235" s="62" t="str">
        <f t="shared" si="138"/>
        <v/>
      </c>
      <c r="J1235" s="61" t="str">
        <f t="shared" si="139"/>
        <v/>
      </c>
      <c r="K1235" s="61" t="str">
        <f t="shared" si="140"/>
        <v/>
      </c>
      <c r="L1235" s="61" t="str">
        <f t="shared" si="141"/>
        <v/>
      </c>
      <c r="M1235" s="63" t="str">
        <f t="shared" si="142"/>
        <v/>
      </c>
      <c r="N1235" s="64"/>
    </row>
    <row r="1236" spans="1:14" x14ac:dyDescent="0.3">
      <c r="A1236" s="58" t="str">
        <f>IF([1]weekly_demand!A1237="","",[1]weekly_demand!A1237)</f>
        <v/>
      </c>
      <c r="B1236" s="59" t="str">
        <f>IF($A1236="","",[1]weekly_demand!F1237)</f>
        <v/>
      </c>
      <c r="C1236" s="60" t="str">
        <f>IF($A1236="","",[1]weekly_demand!H1237)</f>
        <v/>
      </c>
      <c r="D1236" s="61" t="str">
        <f>IF($A1236="","",IF(SUMIFS([1]Fixture_Capacity_Input!$C:$C,[1]Fixture_Capacity_Input!$A:$A,$B1236,[1]Fixture_Capacity_Input!$B:$B,$C1236)&gt;0,SUMIFS([1]Fixture_Capacity_Input!$C:$C,[1]Fixture_Capacity_Input!$A:$A,$B1236,[1]Fixture_Capacity_Input!$B:$B,$C1236),[1]weekly_demand!G1237))</f>
        <v/>
      </c>
      <c r="E1236" s="62" t="str">
        <f>IF($A1236="","",[1]weekly_demand!I1237)</f>
        <v/>
      </c>
      <c r="F1236" s="61" t="str">
        <f>IF($A1236="","",IF($A1236&lt;&gt;$A1235,IFERROR(INDEX([1]FG_Begin_Inventory!$B:$B,MATCH($A1236,[1]FG_Begin_Inventory!$A:$A,0)),0),J1235))</f>
        <v/>
      </c>
      <c r="G1236" s="61" t="str">
        <f t="shared" si="136"/>
        <v/>
      </c>
      <c r="H1236" s="61" t="str">
        <f t="shared" si="137"/>
        <v/>
      </c>
      <c r="I1236" s="62" t="str">
        <f t="shared" si="138"/>
        <v/>
      </c>
      <c r="J1236" s="61" t="str">
        <f t="shared" si="139"/>
        <v/>
      </c>
      <c r="K1236" s="61" t="str">
        <f t="shared" si="140"/>
        <v/>
      </c>
      <c r="L1236" s="61" t="str">
        <f t="shared" si="141"/>
        <v/>
      </c>
      <c r="M1236" s="63" t="str">
        <f t="shared" si="142"/>
        <v/>
      </c>
      <c r="N1236" s="64"/>
    </row>
    <row r="1237" spans="1:14" x14ac:dyDescent="0.3">
      <c r="A1237" s="58" t="str">
        <f>IF([1]weekly_demand!A1238="","",[1]weekly_demand!A1238)</f>
        <v/>
      </c>
      <c r="B1237" s="59" t="str">
        <f>IF($A1237="","",[1]weekly_demand!F1238)</f>
        <v/>
      </c>
      <c r="C1237" s="60" t="str">
        <f>IF($A1237="","",[1]weekly_demand!H1238)</f>
        <v/>
      </c>
      <c r="D1237" s="61" t="str">
        <f>IF($A1237="","",IF(SUMIFS([1]Fixture_Capacity_Input!$C:$C,[1]Fixture_Capacity_Input!$A:$A,$B1237,[1]Fixture_Capacity_Input!$B:$B,$C1237)&gt;0,SUMIFS([1]Fixture_Capacity_Input!$C:$C,[1]Fixture_Capacity_Input!$A:$A,$B1237,[1]Fixture_Capacity_Input!$B:$B,$C1237),[1]weekly_demand!G1238))</f>
        <v/>
      </c>
      <c r="E1237" s="62" t="str">
        <f>IF($A1237="","",[1]weekly_demand!I1238)</f>
        <v/>
      </c>
      <c r="F1237" s="61" t="str">
        <f>IF($A1237="","",IF($A1237&lt;&gt;$A1236,IFERROR(INDEX([1]FG_Begin_Inventory!$B:$B,MATCH($A1237,[1]FG_Begin_Inventory!$A:$A,0)),0),J1236))</f>
        <v/>
      </c>
      <c r="G1237" s="61" t="str">
        <f t="shared" si="136"/>
        <v/>
      </c>
      <c r="H1237" s="61" t="str">
        <f t="shared" si="137"/>
        <v/>
      </c>
      <c r="I1237" s="62" t="str">
        <f t="shared" si="138"/>
        <v/>
      </c>
      <c r="J1237" s="61" t="str">
        <f t="shared" si="139"/>
        <v/>
      </c>
      <c r="K1237" s="61" t="str">
        <f t="shared" si="140"/>
        <v/>
      </c>
      <c r="L1237" s="61" t="str">
        <f t="shared" si="141"/>
        <v/>
      </c>
      <c r="M1237" s="63" t="str">
        <f t="shared" si="142"/>
        <v/>
      </c>
      <c r="N1237" s="64"/>
    </row>
    <row r="1238" spans="1:14" x14ac:dyDescent="0.3">
      <c r="A1238" s="58" t="str">
        <f>IF([1]weekly_demand!A1239="","",[1]weekly_demand!A1239)</f>
        <v/>
      </c>
      <c r="B1238" s="59" t="str">
        <f>IF($A1238="","",[1]weekly_demand!F1239)</f>
        <v/>
      </c>
      <c r="C1238" s="60" t="str">
        <f>IF($A1238="","",[1]weekly_demand!H1239)</f>
        <v/>
      </c>
      <c r="D1238" s="61" t="str">
        <f>IF($A1238="","",IF(SUMIFS([1]Fixture_Capacity_Input!$C:$C,[1]Fixture_Capacity_Input!$A:$A,$B1238,[1]Fixture_Capacity_Input!$B:$B,$C1238)&gt;0,SUMIFS([1]Fixture_Capacity_Input!$C:$C,[1]Fixture_Capacity_Input!$A:$A,$B1238,[1]Fixture_Capacity_Input!$B:$B,$C1238),[1]weekly_demand!G1239))</f>
        <v/>
      </c>
      <c r="E1238" s="62" t="str">
        <f>IF($A1238="","",[1]weekly_demand!I1239)</f>
        <v/>
      </c>
      <c r="F1238" s="61" t="str">
        <f>IF($A1238="","",IF($A1238&lt;&gt;$A1237,IFERROR(INDEX([1]FG_Begin_Inventory!$B:$B,MATCH($A1238,[1]FG_Begin_Inventory!$A:$A,0)),0),J1237))</f>
        <v/>
      </c>
      <c r="G1238" s="61" t="str">
        <f t="shared" si="136"/>
        <v/>
      </c>
      <c r="H1238" s="61" t="str">
        <f t="shared" si="137"/>
        <v/>
      </c>
      <c r="I1238" s="62" t="str">
        <f t="shared" si="138"/>
        <v/>
      </c>
      <c r="J1238" s="61" t="str">
        <f t="shared" si="139"/>
        <v/>
      </c>
      <c r="K1238" s="61" t="str">
        <f t="shared" si="140"/>
        <v/>
      </c>
      <c r="L1238" s="61" t="str">
        <f t="shared" si="141"/>
        <v/>
      </c>
      <c r="M1238" s="63" t="str">
        <f t="shared" si="142"/>
        <v/>
      </c>
      <c r="N1238" s="64"/>
    </row>
    <row r="1239" spans="1:14" x14ac:dyDescent="0.3">
      <c r="A1239" s="58" t="str">
        <f>IF([1]weekly_demand!A1240="","",[1]weekly_demand!A1240)</f>
        <v/>
      </c>
      <c r="B1239" s="59" t="str">
        <f>IF($A1239="","",[1]weekly_demand!F1240)</f>
        <v/>
      </c>
      <c r="C1239" s="60" t="str">
        <f>IF($A1239="","",[1]weekly_demand!H1240)</f>
        <v/>
      </c>
      <c r="D1239" s="61" t="str">
        <f>IF($A1239="","",IF(SUMIFS([1]Fixture_Capacity_Input!$C:$C,[1]Fixture_Capacity_Input!$A:$A,$B1239,[1]Fixture_Capacity_Input!$B:$B,$C1239)&gt;0,SUMIFS([1]Fixture_Capacity_Input!$C:$C,[1]Fixture_Capacity_Input!$A:$A,$B1239,[1]Fixture_Capacity_Input!$B:$B,$C1239),[1]weekly_demand!G1240))</f>
        <v/>
      </c>
      <c r="E1239" s="62" t="str">
        <f>IF($A1239="","",[1]weekly_demand!I1240)</f>
        <v/>
      </c>
      <c r="F1239" s="61" t="str">
        <f>IF($A1239="","",IF($A1239&lt;&gt;$A1238,IFERROR(INDEX([1]FG_Begin_Inventory!$B:$B,MATCH($A1239,[1]FG_Begin_Inventory!$A:$A,0)),0),J1238))</f>
        <v/>
      </c>
      <c r="G1239" s="61" t="str">
        <f t="shared" si="136"/>
        <v/>
      </c>
      <c r="H1239" s="61" t="str">
        <f t="shared" si="137"/>
        <v/>
      </c>
      <c r="I1239" s="62" t="str">
        <f t="shared" si="138"/>
        <v/>
      </c>
      <c r="J1239" s="61" t="str">
        <f t="shared" si="139"/>
        <v/>
      </c>
      <c r="K1239" s="61" t="str">
        <f t="shared" si="140"/>
        <v/>
      </c>
      <c r="L1239" s="61" t="str">
        <f t="shared" si="141"/>
        <v/>
      </c>
      <c r="M1239" s="63" t="str">
        <f t="shared" si="142"/>
        <v/>
      </c>
      <c r="N1239" s="64"/>
    </row>
    <row r="1240" spans="1:14" x14ac:dyDescent="0.3">
      <c r="A1240" s="58" t="str">
        <f>IF([1]weekly_demand!A1241="","",[1]weekly_demand!A1241)</f>
        <v/>
      </c>
      <c r="B1240" s="59" t="str">
        <f>IF($A1240="","",[1]weekly_demand!F1241)</f>
        <v/>
      </c>
      <c r="C1240" s="60" t="str">
        <f>IF($A1240="","",[1]weekly_demand!H1241)</f>
        <v/>
      </c>
      <c r="D1240" s="61" t="str">
        <f>IF($A1240="","",IF(SUMIFS([1]Fixture_Capacity_Input!$C:$C,[1]Fixture_Capacity_Input!$A:$A,$B1240,[1]Fixture_Capacity_Input!$B:$B,$C1240)&gt;0,SUMIFS([1]Fixture_Capacity_Input!$C:$C,[1]Fixture_Capacity_Input!$A:$A,$B1240,[1]Fixture_Capacity_Input!$B:$B,$C1240),[1]weekly_demand!G1241))</f>
        <v/>
      </c>
      <c r="E1240" s="62" t="str">
        <f>IF($A1240="","",[1]weekly_demand!I1241)</f>
        <v/>
      </c>
      <c r="F1240" s="61" t="str">
        <f>IF($A1240="","",IF($A1240&lt;&gt;$A1239,IFERROR(INDEX([1]FG_Begin_Inventory!$B:$B,MATCH($A1240,[1]FG_Begin_Inventory!$A:$A,0)),0),J1239))</f>
        <v/>
      </c>
      <c r="G1240" s="61" t="str">
        <f t="shared" si="136"/>
        <v/>
      </c>
      <c r="H1240" s="61" t="str">
        <f t="shared" si="137"/>
        <v/>
      </c>
      <c r="I1240" s="62" t="str">
        <f t="shared" si="138"/>
        <v/>
      </c>
      <c r="J1240" s="61" t="str">
        <f t="shared" si="139"/>
        <v/>
      </c>
      <c r="K1240" s="61" t="str">
        <f t="shared" si="140"/>
        <v/>
      </c>
      <c r="L1240" s="61" t="str">
        <f t="shared" si="141"/>
        <v/>
      </c>
      <c r="M1240" s="63" t="str">
        <f t="shared" si="142"/>
        <v/>
      </c>
      <c r="N1240" s="64"/>
    </row>
    <row r="1241" spans="1:14" x14ac:dyDescent="0.3">
      <c r="A1241" s="58" t="str">
        <f>IF([1]weekly_demand!A1242="","",[1]weekly_demand!A1242)</f>
        <v/>
      </c>
      <c r="B1241" s="59" t="str">
        <f>IF($A1241="","",[1]weekly_demand!F1242)</f>
        <v/>
      </c>
      <c r="C1241" s="60" t="str">
        <f>IF($A1241="","",[1]weekly_demand!H1242)</f>
        <v/>
      </c>
      <c r="D1241" s="61" t="str">
        <f>IF($A1241="","",IF(SUMIFS([1]Fixture_Capacity_Input!$C:$C,[1]Fixture_Capacity_Input!$A:$A,$B1241,[1]Fixture_Capacity_Input!$B:$B,$C1241)&gt;0,SUMIFS([1]Fixture_Capacity_Input!$C:$C,[1]Fixture_Capacity_Input!$A:$A,$B1241,[1]Fixture_Capacity_Input!$B:$B,$C1241),[1]weekly_demand!G1242))</f>
        <v/>
      </c>
      <c r="E1241" s="62" t="str">
        <f>IF($A1241="","",[1]weekly_demand!I1242)</f>
        <v/>
      </c>
      <c r="F1241" s="61" t="str">
        <f>IF($A1241="","",IF($A1241&lt;&gt;$A1240,IFERROR(INDEX([1]FG_Begin_Inventory!$B:$B,MATCH($A1241,[1]FG_Begin_Inventory!$A:$A,0)),0),J1240))</f>
        <v/>
      </c>
      <c r="G1241" s="61" t="str">
        <f t="shared" si="136"/>
        <v/>
      </c>
      <c r="H1241" s="61" t="str">
        <f t="shared" si="137"/>
        <v/>
      </c>
      <c r="I1241" s="62" t="str">
        <f t="shared" si="138"/>
        <v/>
      </c>
      <c r="J1241" s="61" t="str">
        <f t="shared" si="139"/>
        <v/>
      </c>
      <c r="K1241" s="61" t="str">
        <f t="shared" si="140"/>
        <v/>
      </c>
      <c r="L1241" s="61" t="str">
        <f t="shared" si="141"/>
        <v/>
      </c>
      <c r="M1241" s="63" t="str">
        <f t="shared" si="142"/>
        <v/>
      </c>
      <c r="N1241" s="64"/>
    </row>
    <row r="1242" spans="1:14" x14ac:dyDescent="0.3">
      <c r="A1242" s="58" t="str">
        <f>IF([1]weekly_demand!A1243="","",[1]weekly_demand!A1243)</f>
        <v/>
      </c>
      <c r="B1242" s="59" t="str">
        <f>IF($A1242="","",[1]weekly_demand!F1243)</f>
        <v/>
      </c>
      <c r="C1242" s="60" t="str">
        <f>IF($A1242="","",[1]weekly_demand!H1243)</f>
        <v/>
      </c>
      <c r="D1242" s="61" t="str">
        <f>IF($A1242="","",IF(SUMIFS([1]Fixture_Capacity_Input!$C:$C,[1]Fixture_Capacity_Input!$A:$A,$B1242,[1]Fixture_Capacity_Input!$B:$B,$C1242)&gt;0,SUMIFS([1]Fixture_Capacity_Input!$C:$C,[1]Fixture_Capacity_Input!$A:$A,$B1242,[1]Fixture_Capacity_Input!$B:$B,$C1242),[1]weekly_demand!G1243))</f>
        <v/>
      </c>
      <c r="E1242" s="62" t="str">
        <f>IF($A1242="","",[1]weekly_demand!I1243)</f>
        <v/>
      </c>
      <c r="F1242" s="61" t="str">
        <f>IF($A1242="","",IF($A1242&lt;&gt;$A1241,IFERROR(INDEX([1]FG_Begin_Inventory!$B:$B,MATCH($A1242,[1]FG_Begin_Inventory!$A:$A,0)),0),J1241))</f>
        <v/>
      </c>
      <c r="G1242" s="61" t="str">
        <f t="shared" si="136"/>
        <v/>
      </c>
      <c r="H1242" s="61" t="str">
        <f t="shared" si="137"/>
        <v/>
      </c>
      <c r="I1242" s="62" t="str">
        <f t="shared" si="138"/>
        <v/>
      </c>
      <c r="J1242" s="61" t="str">
        <f t="shared" si="139"/>
        <v/>
      </c>
      <c r="K1242" s="61" t="str">
        <f t="shared" si="140"/>
        <v/>
      </c>
      <c r="L1242" s="61" t="str">
        <f t="shared" si="141"/>
        <v/>
      </c>
      <c r="M1242" s="63" t="str">
        <f t="shared" si="142"/>
        <v/>
      </c>
      <c r="N1242" s="64"/>
    </row>
    <row r="1243" spans="1:14" x14ac:dyDescent="0.3">
      <c r="A1243" s="58" t="str">
        <f>IF([1]weekly_demand!A1244="","",[1]weekly_demand!A1244)</f>
        <v/>
      </c>
      <c r="B1243" s="59" t="str">
        <f>IF($A1243="","",[1]weekly_demand!F1244)</f>
        <v/>
      </c>
      <c r="C1243" s="60" t="str">
        <f>IF($A1243="","",[1]weekly_demand!H1244)</f>
        <v/>
      </c>
      <c r="D1243" s="61" t="str">
        <f>IF($A1243="","",IF(SUMIFS([1]Fixture_Capacity_Input!$C:$C,[1]Fixture_Capacity_Input!$A:$A,$B1243,[1]Fixture_Capacity_Input!$B:$B,$C1243)&gt;0,SUMIFS([1]Fixture_Capacity_Input!$C:$C,[1]Fixture_Capacity_Input!$A:$A,$B1243,[1]Fixture_Capacity_Input!$B:$B,$C1243),[1]weekly_demand!G1244))</f>
        <v/>
      </c>
      <c r="E1243" s="62" t="str">
        <f>IF($A1243="","",[1]weekly_demand!I1244)</f>
        <v/>
      </c>
      <c r="F1243" s="61" t="str">
        <f>IF($A1243="","",IF($A1243&lt;&gt;$A1242,IFERROR(INDEX([1]FG_Begin_Inventory!$B:$B,MATCH($A1243,[1]FG_Begin_Inventory!$A:$A,0)),0),J1242))</f>
        <v/>
      </c>
      <c r="G1243" s="61" t="str">
        <f t="shared" si="136"/>
        <v/>
      </c>
      <c r="H1243" s="61" t="str">
        <f t="shared" si="137"/>
        <v/>
      </c>
      <c r="I1243" s="62" t="str">
        <f t="shared" si="138"/>
        <v/>
      </c>
      <c r="J1243" s="61" t="str">
        <f t="shared" si="139"/>
        <v/>
      </c>
      <c r="K1243" s="61" t="str">
        <f t="shared" si="140"/>
        <v/>
      </c>
      <c r="L1243" s="61" t="str">
        <f t="shared" si="141"/>
        <v/>
      </c>
      <c r="M1243" s="63" t="str">
        <f t="shared" si="142"/>
        <v/>
      </c>
      <c r="N1243" s="64"/>
    </row>
    <row r="1244" spans="1:14" x14ac:dyDescent="0.3">
      <c r="A1244" s="58" t="str">
        <f>IF([1]weekly_demand!A1245="","",[1]weekly_demand!A1245)</f>
        <v/>
      </c>
      <c r="B1244" s="59" t="str">
        <f>IF($A1244="","",[1]weekly_demand!F1245)</f>
        <v/>
      </c>
      <c r="C1244" s="60" t="str">
        <f>IF($A1244="","",[1]weekly_demand!H1245)</f>
        <v/>
      </c>
      <c r="D1244" s="61" t="str">
        <f>IF($A1244="","",IF(SUMIFS([1]Fixture_Capacity_Input!$C:$C,[1]Fixture_Capacity_Input!$A:$A,$B1244,[1]Fixture_Capacity_Input!$B:$B,$C1244)&gt;0,SUMIFS([1]Fixture_Capacity_Input!$C:$C,[1]Fixture_Capacity_Input!$A:$A,$B1244,[1]Fixture_Capacity_Input!$B:$B,$C1244),[1]weekly_demand!G1245))</f>
        <v/>
      </c>
      <c r="E1244" s="62" t="str">
        <f>IF($A1244="","",[1]weekly_demand!I1245)</f>
        <v/>
      </c>
      <c r="F1244" s="61" t="str">
        <f>IF($A1244="","",IF($A1244&lt;&gt;$A1243,IFERROR(INDEX([1]FG_Begin_Inventory!$B:$B,MATCH($A1244,[1]FG_Begin_Inventory!$A:$A,0)),0),J1243))</f>
        <v/>
      </c>
      <c r="G1244" s="61" t="str">
        <f t="shared" si="136"/>
        <v/>
      </c>
      <c r="H1244" s="61" t="str">
        <f t="shared" si="137"/>
        <v/>
      </c>
      <c r="I1244" s="62" t="str">
        <f t="shared" si="138"/>
        <v/>
      </c>
      <c r="J1244" s="61" t="str">
        <f t="shared" si="139"/>
        <v/>
      </c>
      <c r="K1244" s="61" t="str">
        <f t="shared" si="140"/>
        <v/>
      </c>
      <c r="L1244" s="61" t="str">
        <f t="shared" si="141"/>
        <v/>
      </c>
      <c r="M1244" s="63" t="str">
        <f t="shared" si="142"/>
        <v/>
      </c>
      <c r="N1244" s="64"/>
    </row>
    <row r="1245" spans="1:14" x14ac:dyDescent="0.3">
      <c r="A1245" s="58" t="str">
        <f>IF([1]weekly_demand!A1246="","",[1]weekly_demand!A1246)</f>
        <v/>
      </c>
      <c r="B1245" s="59" t="str">
        <f>IF($A1245="","",[1]weekly_demand!F1246)</f>
        <v/>
      </c>
      <c r="C1245" s="60" t="str">
        <f>IF($A1245="","",[1]weekly_demand!H1246)</f>
        <v/>
      </c>
      <c r="D1245" s="61" t="str">
        <f>IF($A1245="","",IF(SUMIFS([1]Fixture_Capacity_Input!$C:$C,[1]Fixture_Capacity_Input!$A:$A,$B1245,[1]Fixture_Capacity_Input!$B:$B,$C1245)&gt;0,SUMIFS([1]Fixture_Capacity_Input!$C:$C,[1]Fixture_Capacity_Input!$A:$A,$B1245,[1]Fixture_Capacity_Input!$B:$B,$C1245),[1]weekly_demand!G1246))</f>
        <v/>
      </c>
      <c r="E1245" s="62" t="str">
        <f>IF($A1245="","",[1]weekly_demand!I1246)</f>
        <v/>
      </c>
      <c r="F1245" s="61" t="str">
        <f>IF($A1245="","",IF($A1245&lt;&gt;$A1244,IFERROR(INDEX([1]FG_Begin_Inventory!$B:$B,MATCH($A1245,[1]FG_Begin_Inventory!$A:$A,0)),0),J1244))</f>
        <v/>
      </c>
      <c r="G1245" s="61" t="str">
        <f t="shared" si="136"/>
        <v/>
      </c>
      <c r="H1245" s="61" t="str">
        <f t="shared" si="137"/>
        <v/>
      </c>
      <c r="I1245" s="62" t="str">
        <f t="shared" si="138"/>
        <v/>
      </c>
      <c r="J1245" s="61" t="str">
        <f t="shared" si="139"/>
        <v/>
      </c>
      <c r="K1245" s="61" t="str">
        <f t="shared" si="140"/>
        <v/>
      </c>
      <c r="L1245" s="61" t="str">
        <f t="shared" si="141"/>
        <v/>
      </c>
      <c r="M1245" s="63" t="str">
        <f t="shared" si="142"/>
        <v/>
      </c>
      <c r="N1245" s="64"/>
    </row>
    <row r="1246" spans="1:14" x14ac:dyDescent="0.3">
      <c r="A1246" s="58" t="str">
        <f>IF([1]weekly_demand!A1247="","",[1]weekly_demand!A1247)</f>
        <v/>
      </c>
      <c r="B1246" s="59" t="str">
        <f>IF($A1246="","",[1]weekly_demand!F1247)</f>
        <v/>
      </c>
      <c r="C1246" s="60" t="str">
        <f>IF($A1246="","",[1]weekly_demand!H1247)</f>
        <v/>
      </c>
      <c r="D1246" s="61" t="str">
        <f>IF($A1246="","",IF(SUMIFS([1]Fixture_Capacity_Input!$C:$C,[1]Fixture_Capacity_Input!$A:$A,$B1246,[1]Fixture_Capacity_Input!$B:$B,$C1246)&gt;0,SUMIFS([1]Fixture_Capacity_Input!$C:$C,[1]Fixture_Capacity_Input!$A:$A,$B1246,[1]Fixture_Capacity_Input!$B:$B,$C1246),[1]weekly_demand!G1247))</f>
        <v/>
      </c>
      <c r="E1246" s="62" t="str">
        <f>IF($A1246="","",[1]weekly_demand!I1247)</f>
        <v/>
      </c>
      <c r="F1246" s="61" t="str">
        <f>IF($A1246="","",IF($A1246&lt;&gt;$A1245,IFERROR(INDEX([1]FG_Begin_Inventory!$B:$B,MATCH($A1246,[1]FG_Begin_Inventory!$A:$A,0)),0),J1245))</f>
        <v/>
      </c>
      <c r="G1246" s="61" t="str">
        <f t="shared" si="136"/>
        <v/>
      </c>
      <c r="H1246" s="61" t="str">
        <f t="shared" si="137"/>
        <v/>
      </c>
      <c r="I1246" s="62" t="str">
        <f t="shared" si="138"/>
        <v/>
      </c>
      <c r="J1246" s="61" t="str">
        <f t="shared" si="139"/>
        <v/>
      </c>
      <c r="K1246" s="61" t="str">
        <f t="shared" si="140"/>
        <v/>
      </c>
      <c r="L1246" s="61" t="str">
        <f t="shared" si="141"/>
        <v/>
      </c>
      <c r="M1246" s="63" t="str">
        <f t="shared" si="142"/>
        <v/>
      </c>
      <c r="N1246" s="64"/>
    </row>
    <row r="1247" spans="1:14" x14ac:dyDescent="0.3">
      <c r="A1247" s="58" t="str">
        <f>IF([1]weekly_demand!A1248="","",[1]weekly_demand!A1248)</f>
        <v/>
      </c>
      <c r="B1247" s="59" t="str">
        <f>IF($A1247="","",[1]weekly_demand!F1248)</f>
        <v/>
      </c>
      <c r="C1247" s="60" t="str">
        <f>IF($A1247="","",[1]weekly_demand!H1248)</f>
        <v/>
      </c>
      <c r="D1247" s="61" t="str">
        <f>IF($A1247="","",IF(SUMIFS([1]Fixture_Capacity_Input!$C:$C,[1]Fixture_Capacity_Input!$A:$A,$B1247,[1]Fixture_Capacity_Input!$B:$B,$C1247)&gt;0,SUMIFS([1]Fixture_Capacity_Input!$C:$C,[1]Fixture_Capacity_Input!$A:$A,$B1247,[1]Fixture_Capacity_Input!$B:$B,$C1247),[1]weekly_demand!G1248))</f>
        <v/>
      </c>
      <c r="E1247" s="62" t="str">
        <f>IF($A1247="","",[1]weekly_demand!I1248)</f>
        <v/>
      </c>
      <c r="F1247" s="61" t="str">
        <f>IF($A1247="","",IF($A1247&lt;&gt;$A1246,IFERROR(INDEX([1]FG_Begin_Inventory!$B:$B,MATCH($A1247,[1]FG_Begin_Inventory!$A:$A,0)),0),J1246))</f>
        <v/>
      </c>
      <c r="G1247" s="61" t="str">
        <f t="shared" si="136"/>
        <v/>
      </c>
      <c r="H1247" s="61" t="str">
        <f t="shared" si="137"/>
        <v/>
      </c>
      <c r="I1247" s="62" t="str">
        <f t="shared" si="138"/>
        <v/>
      </c>
      <c r="J1247" s="61" t="str">
        <f t="shared" si="139"/>
        <v/>
      </c>
      <c r="K1247" s="61" t="str">
        <f t="shared" si="140"/>
        <v/>
      </c>
      <c r="L1247" s="61" t="str">
        <f t="shared" si="141"/>
        <v/>
      </c>
      <c r="M1247" s="63" t="str">
        <f t="shared" si="142"/>
        <v/>
      </c>
      <c r="N1247" s="64"/>
    </row>
    <row r="1248" spans="1:14" x14ac:dyDescent="0.3">
      <c r="A1248" s="58" t="str">
        <f>IF([1]weekly_demand!A1249="","",[1]weekly_demand!A1249)</f>
        <v/>
      </c>
      <c r="B1248" s="59" t="str">
        <f>IF($A1248="","",[1]weekly_demand!F1249)</f>
        <v/>
      </c>
      <c r="C1248" s="60" t="str">
        <f>IF($A1248="","",[1]weekly_demand!H1249)</f>
        <v/>
      </c>
      <c r="D1248" s="61" t="str">
        <f>IF($A1248="","",IF(SUMIFS([1]Fixture_Capacity_Input!$C:$C,[1]Fixture_Capacity_Input!$A:$A,$B1248,[1]Fixture_Capacity_Input!$B:$B,$C1248)&gt;0,SUMIFS([1]Fixture_Capacity_Input!$C:$C,[1]Fixture_Capacity_Input!$A:$A,$B1248,[1]Fixture_Capacity_Input!$B:$B,$C1248),[1]weekly_demand!G1249))</f>
        <v/>
      </c>
      <c r="E1248" s="62" t="str">
        <f>IF($A1248="","",[1]weekly_demand!I1249)</f>
        <v/>
      </c>
      <c r="F1248" s="61" t="str">
        <f>IF($A1248="","",IF($A1248&lt;&gt;$A1247,IFERROR(INDEX([1]FG_Begin_Inventory!$B:$B,MATCH($A1248,[1]FG_Begin_Inventory!$A:$A,0)),0),J1247))</f>
        <v/>
      </c>
      <c r="G1248" s="61" t="str">
        <f t="shared" si="136"/>
        <v/>
      </c>
      <c r="H1248" s="61" t="str">
        <f t="shared" si="137"/>
        <v/>
      </c>
      <c r="I1248" s="62" t="str">
        <f t="shared" si="138"/>
        <v/>
      </c>
      <c r="J1248" s="61" t="str">
        <f t="shared" si="139"/>
        <v/>
      </c>
      <c r="K1248" s="61" t="str">
        <f t="shared" si="140"/>
        <v/>
      </c>
      <c r="L1248" s="61" t="str">
        <f t="shared" si="141"/>
        <v/>
      </c>
      <c r="M1248" s="63" t="str">
        <f t="shared" si="142"/>
        <v/>
      </c>
      <c r="N1248" s="64"/>
    </row>
    <row r="1249" spans="1:14" x14ac:dyDescent="0.3">
      <c r="A1249" s="58" t="str">
        <f>IF([1]weekly_demand!A1250="","",[1]weekly_demand!A1250)</f>
        <v/>
      </c>
      <c r="B1249" s="59" t="str">
        <f>IF($A1249="","",[1]weekly_demand!F1250)</f>
        <v/>
      </c>
      <c r="C1249" s="60" t="str">
        <f>IF($A1249="","",[1]weekly_demand!H1250)</f>
        <v/>
      </c>
      <c r="D1249" s="61" t="str">
        <f>IF($A1249="","",IF(SUMIFS([1]Fixture_Capacity_Input!$C:$C,[1]Fixture_Capacity_Input!$A:$A,$B1249,[1]Fixture_Capacity_Input!$B:$B,$C1249)&gt;0,SUMIFS([1]Fixture_Capacity_Input!$C:$C,[1]Fixture_Capacity_Input!$A:$A,$B1249,[1]Fixture_Capacity_Input!$B:$B,$C1249),[1]weekly_demand!G1250))</f>
        <v/>
      </c>
      <c r="E1249" s="62" t="str">
        <f>IF($A1249="","",[1]weekly_demand!I1250)</f>
        <v/>
      </c>
      <c r="F1249" s="61" t="str">
        <f>IF($A1249="","",IF($A1249&lt;&gt;$A1248,IFERROR(INDEX([1]FG_Begin_Inventory!$B:$B,MATCH($A1249,[1]FG_Begin_Inventory!$A:$A,0)),0),J1248))</f>
        <v/>
      </c>
      <c r="G1249" s="61" t="str">
        <f t="shared" si="136"/>
        <v/>
      </c>
      <c r="H1249" s="61" t="str">
        <f t="shared" si="137"/>
        <v/>
      </c>
      <c r="I1249" s="62" t="str">
        <f t="shared" si="138"/>
        <v/>
      </c>
      <c r="J1249" s="61" t="str">
        <f t="shared" si="139"/>
        <v/>
      </c>
      <c r="K1249" s="61" t="str">
        <f t="shared" si="140"/>
        <v/>
      </c>
      <c r="L1249" s="61" t="str">
        <f t="shared" si="141"/>
        <v/>
      </c>
      <c r="M1249" s="63" t="str">
        <f t="shared" si="142"/>
        <v/>
      </c>
      <c r="N1249" s="64"/>
    </row>
    <row r="1250" spans="1:14" x14ac:dyDescent="0.3">
      <c r="A1250" s="58" t="str">
        <f>IF([1]weekly_demand!A1251="","",[1]weekly_demand!A1251)</f>
        <v/>
      </c>
      <c r="B1250" s="59" t="str">
        <f>IF($A1250="","",[1]weekly_demand!F1251)</f>
        <v/>
      </c>
      <c r="C1250" s="60" t="str">
        <f>IF($A1250="","",[1]weekly_demand!H1251)</f>
        <v/>
      </c>
      <c r="D1250" s="61" t="str">
        <f>IF($A1250="","",IF(SUMIFS([1]Fixture_Capacity_Input!$C:$C,[1]Fixture_Capacity_Input!$A:$A,$B1250,[1]Fixture_Capacity_Input!$B:$B,$C1250)&gt;0,SUMIFS([1]Fixture_Capacity_Input!$C:$C,[1]Fixture_Capacity_Input!$A:$A,$B1250,[1]Fixture_Capacity_Input!$B:$B,$C1250),[1]weekly_demand!G1251))</f>
        <v/>
      </c>
      <c r="E1250" s="62" t="str">
        <f>IF($A1250="","",[1]weekly_demand!I1251)</f>
        <v/>
      </c>
      <c r="F1250" s="61" t="str">
        <f>IF($A1250="","",IF($A1250&lt;&gt;$A1249,IFERROR(INDEX([1]FG_Begin_Inventory!$B:$B,MATCH($A1250,[1]FG_Begin_Inventory!$A:$A,0)),0),J1249))</f>
        <v/>
      </c>
      <c r="G1250" s="61" t="str">
        <f t="shared" si="136"/>
        <v/>
      </c>
      <c r="H1250" s="61" t="str">
        <f t="shared" si="137"/>
        <v/>
      </c>
      <c r="I1250" s="62" t="str">
        <f t="shared" si="138"/>
        <v/>
      </c>
      <c r="J1250" s="61" t="str">
        <f t="shared" si="139"/>
        <v/>
      </c>
      <c r="K1250" s="61" t="str">
        <f t="shared" si="140"/>
        <v/>
      </c>
      <c r="L1250" s="61" t="str">
        <f t="shared" si="141"/>
        <v/>
      </c>
      <c r="M1250" s="63" t="str">
        <f t="shared" si="142"/>
        <v/>
      </c>
      <c r="N1250" s="64"/>
    </row>
    <row r="1251" spans="1:14" x14ac:dyDescent="0.3">
      <c r="A1251" s="58" t="str">
        <f>IF([1]weekly_demand!A1252="","",[1]weekly_demand!A1252)</f>
        <v/>
      </c>
      <c r="B1251" s="59" t="str">
        <f>IF($A1251="","",[1]weekly_demand!F1252)</f>
        <v/>
      </c>
      <c r="C1251" s="60" t="str">
        <f>IF($A1251="","",[1]weekly_demand!H1252)</f>
        <v/>
      </c>
      <c r="D1251" s="61" t="str">
        <f>IF($A1251="","",IF(SUMIFS([1]Fixture_Capacity_Input!$C:$C,[1]Fixture_Capacity_Input!$A:$A,$B1251,[1]Fixture_Capacity_Input!$B:$B,$C1251)&gt;0,SUMIFS([1]Fixture_Capacity_Input!$C:$C,[1]Fixture_Capacity_Input!$A:$A,$B1251,[1]Fixture_Capacity_Input!$B:$B,$C1251),[1]weekly_demand!G1252))</f>
        <v/>
      </c>
      <c r="E1251" s="62" t="str">
        <f>IF($A1251="","",[1]weekly_demand!I1252)</f>
        <v/>
      </c>
      <c r="F1251" s="61" t="str">
        <f>IF($A1251="","",IF($A1251&lt;&gt;$A1250,IFERROR(INDEX([1]FG_Begin_Inventory!$B:$B,MATCH($A1251,[1]FG_Begin_Inventory!$A:$A,0)),0),J1250))</f>
        <v/>
      </c>
      <c r="G1251" s="61" t="str">
        <f t="shared" si="136"/>
        <v/>
      </c>
      <c r="H1251" s="61" t="str">
        <f t="shared" si="137"/>
        <v/>
      </c>
      <c r="I1251" s="62" t="str">
        <f t="shared" si="138"/>
        <v/>
      </c>
      <c r="J1251" s="61" t="str">
        <f t="shared" si="139"/>
        <v/>
      </c>
      <c r="K1251" s="61" t="str">
        <f t="shared" si="140"/>
        <v/>
      </c>
      <c r="L1251" s="61" t="str">
        <f t="shared" si="141"/>
        <v/>
      </c>
      <c r="M1251" s="63" t="str">
        <f t="shared" si="142"/>
        <v/>
      </c>
      <c r="N1251" s="64"/>
    </row>
    <row r="1252" spans="1:14" x14ac:dyDescent="0.3">
      <c r="A1252" s="58" t="str">
        <f>IF([1]weekly_demand!A1253="","",[1]weekly_demand!A1253)</f>
        <v/>
      </c>
      <c r="B1252" s="59" t="str">
        <f>IF($A1252="","",[1]weekly_demand!F1253)</f>
        <v/>
      </c>
      <c r="C1252" s="60" t="str">
        <f>IF($A1252="","",[1]weekly_demand!H1253)</f>
        <v/>
      </c>
      <c r="D1252" s="61" t="str">
        <f>IF($A1252="","",IF(SUMIFS([1]Fixture_Capacity_Input!$C:$C,[1]Fixture_Capacity_Input!$A:$A,$B1252,[1]Fixture_Capacity_Input!$B:$B,$C1252)&gt;0,SUMIFS([1]Fixture_Capacity_Input!$C:$C,[1]Fixture_Capacity_Input!$A:$A,$B1252,[1]Fixture_Capacity_Input!$B:$B,$C1252),[1]weekly_demand!G1253))</f>
        <v/>
      </c>
      <c r="E1252" s="62" t="str">
        <f>IF($A1252="","",[1]weekly_demand!I1253)</f>
        <v/>
      </c>
      <c r="F1252" s="61" t="str">
        <f>IF($A1252="","",IF($A1252&lt;&gt;$A1251,IFERROR(INDEX([1]FG_Begin_Inventory!$B:$B,MATCH($A1252,[1]FG_Begin_Inventory!$A:$A,0)),0),J1251))</f>
        <v/>
      </c>
      <c r="G1252" s="61" t="str">
        <f t="shared" si="136"/>
        <v/>
      </c>
      <c r="H1252" s="61" t="str">
        <f t="shared" si="137"/>
        <v/>
      </c>
      <c r="I1252" s="62" t="str">
        <f t="shared" si="138"/>
        <v/>
      </c>
      <c r="J1252" s="61" t="str">
        <f t="shared" si="139"/>
        <v/>
      </c>
      <c r="K1252" s="61" t="str">
        <f t="shared" si="140"/>
        <v/>
      </c>
      <c r="L1252" s="61" t="str">
        <f t="shared" si="141"/>
        <v/>
      </c>
      <c r="M1252" s="63" t="str">
        <f t="shared" si="142"/>
        <v/>
      </c>
      <c r="N1252" s="64"/>
    </row>
    <row r="1253" spans="1:14" x14ac:dyDescent="0.3">
      <c r="A1253" s="58" t="str">
        <f>IF([1]weekly_demand!A1254="","",[1]weekly_demand!A1254)</f>
        <v/>
      </c>
      <c r="B1253" s="59" t="str">
        <f>IF($A1253="","",[1]weekly_demand!F1254)</f>
        <v/>
      </c>
      <c r="C1253" s="60" t="str">
        <f>IF($A1253="","",[1]weekly_demand!H1254)</f>
        <v/>
      </c>
      <c r="D1253" s="61" t="str">
        <f>IF($A1253="","",IF(SUMIFS([1]Fixture_Capacity_Input!$C:$C,[1]Fixture_Capacity_Input!$A:$A,$B1253,[1]Fixture_Capacity_Input!$B:$B,$C1253)&gt;0,SUMIFS([1]Fixture_Capacity_Input!$C:$C,[1]Fixture_Capacity_Input!$A:$A,$B1253,[1]Fixture_Capacity_Input!$B:$B,$C1253),[1]weekly_demand!G1254))</f>
        <v/>
      </c>
      <c r="E1253" s="62" t="str">
        <f>IF($A1253="","",[1]weekly_demand!I1254)</f>
        <v/>
      </c>
      <c r="F1253" s="61" t="str">
        <f>IF($A1253="","",IF($A1253&lt;&gt;$A1252,IFERROR(INDEX([1]FG_Begin_Inventory!$B:$B,MATCH($A1253,[1]FG_Begin_Inventory!$A:$A,0)),0),J1252))</f>
        <v/>
      </c>
      <c r="G1253" s="61" t="str">
        <f t="shared" si="136"/>
        <v/>
      </c>
      <c r="H1253" s="61" t="str">
        <f t="shared" si="137"/>
        <v/>
      </c>
      <c r="I1253" s="62" t="str">
        <f t="shared" si="138"/>
        <v/>
      </c>
      <c r="J1253" s="61" t="str">
        <f t="shared" si="139"/>
        <v/>
      </c>
      <c r="K1253" s="61" t="str">
        <f t="shared" si="140"/>
        <v/>
      </c>
      <c r="L1253" s="61" t="str">
        <f t="shared" si="141"/>
        <v/>
      </c>
      <c r="M1253" s="63" t="str">
        <f t="shared" si="142"/>
        <v/>
      </c>
      <c r="N1253" s="64"/>
    </row>
    <row r="1254" spans="1:14" x14ac:dyDescent="0.3">
      <c r="A1254" s="58" t="str">
        <f>IF([1]weekly_demand!A1255="","",[1]weekly_demand!A1255)</f>
        <v/>
      </c>
      <c r="B1254" s="59" t="str">
        <f>IF($A1254="","",[1]weekly_demand!F1255)</f>
        <v/>
      </c>
      <c r="C1254" s="60" t="str">
        <f>IF($A1254="","",[1]weekly_demand!H1255)</f>
        <v/>
      </c>
      <c r="D1254" s="61" t="str">
        <f>IF($A1254="","",IF(SUMIFS([1]Fixture_Capacity_Input!$C:$C,[1]Fixture_Capacity_Input!$A:$A,$B1254,[1]Fixture_Capacity_Input!$B:$B,$C1254)&gt;0,SUMIFS([1]Fixture_Capacity_Input!$C:$C,[1]Fixture_Capacity_Input!$A:$A,$B1254,[1]Fixture_Capacity_Input!$B:$B,$C1254),[1]weekly_demand!G1255))</f>
        <v/>
      </c>
      <c r="E1254" s="62" t="str">
        <f>IF($A1254="","",[1]weekly_demand!I1255)</f>
        <v/>
      </c>
      <c r="F1254" s="61" t="str">
        <f>IF($A1254="","",IF($A1254&lt;&gt;$A1253,IFERROR(INDEX([1]FG_Begin_Inventory!$B:$B,MATCH($A1254,[1]FG_Begin_Inventory!$A:$A,0)),0),J1253))</f>
        <v/>
      </c>
      <c r="G1254" s="61" t="str">
        <f t="shared" si="136"/>
        <v/>
      </c>
      <c r="H1254" s="61" t="str">
        <f t="shared" si="137"/>
        <v/>
      </c>
      <c r="I1254" s="62" t="str">
        <f t="shared" si="138"/>
        <v/>
      </c>
      <c r="J1254" s="61" t="str">
        <f t="shared" si="139"/>
        <v/>
      </c>
      <c r="K1254" s="61" t="str">
        <f t="shared" si="140"/>
        <v/>
      </c>
      <c r="L1254" s="61" t="str">
        <f t="shared" si="141"/>
        <v/>
      </c>
      <c r="M1254" s="63" t="str">
        <f t="shared" si="142"/>
        <v/>
      </c>
      <c r="N1254" s="64"/>
    </row>
    <row r="1255" spans="1:14" x14ac:dyDescent="0.3">
      <c r="A1255" s="58" t="str">
        <f>IF([1]weekly_demand!A1256="","",[1]weekly_demand!A1256)</f>
        <v/>
      </c>
      <c r="B1255" s="59" t="str">
        <f>IF($A1255="","",[1]weekly_demand!F1256)</f>
        <v/>
      </c>
      <c r="C1255" s="60" t="str">
        <f>IF($A1255="","",[1]weekly_demand!H1256)</f>
        <v/>
      </c>
      <c r="D1255" s="61" t="str">
        <f>IF($A1255="","",IF(SUMIFS([1]Fixture_Capacity_Input!$C:$C,[1]Fixture_Capacity_Input!$A:$A,$B1255,[1]Fixture_Capacity_Input!$B:$B,$C1255)&gt;0,SUMIFS([1]Fixture_Capacity_Input!$C:$C,[1]Fixture_Capacity_Input!$A:$A,$B1255,[1]Fixture_Capacity_Input!$B:$B,$C1255),[1]weekly_demand!G1256))</f>
        <v/>
      </c>
      <c r="E1255" s="62" t="str">
        <f>IF($A1255="","",[1]weekly_demand!I1256)</f>
        <v/>
      </c>
      <c r="F1255" s="61" t="str">
        <f>IF($A1255="","",IF($A1255&lt;&gt;$A1254,IFERROR(INDEX([1]FG_Begin_Inventory!$B:$B,MATCH($A1255,[1]FG_Begin_Inventory!$A:$A,0)),0),J1254))</f>
        <v/>
      </c>
      <c r="G1255" s="61" t="str">
        <f t="shared" si="136"/>
        <v/>
      </c>
      <c r="H1255" s="61" t="str">
        <f t="shared" si="137"/>
        <v/>
      </c>
      <c r="I1255" s="62" t="str">
        <f t="shared" si="138"/>
        <v/>
      </c>
      <c r="J1255" s="61" t="str">
        <f t="shared" si="139"/>
        <v/>
      </c>
      <c r="K1255" s="61" t="str">
        <f t="shared" si="140"/>
        <v/>
      </c>
      <c r="L1255" s="61" t="str">
        <f t="shared" si="141"/>
        <v/>
      </c>
      <c r="M1255" s="63" t="str">
        <f t="shared" si="142"/>
        <v/>
      </c>
      <c r="N1255" s="64"/>
    </row>
    <row r="1256" spans="1:14" x14ac:dyDescent="0.3">
      <c r="A1256" s="58" t="str">
        <f>IF([1]weekly_demand!A1257="","",[1]weekly_demand!A1257)</f>
        <v/>
      </c>
      <c r="B1256" s="59" t="str">
        <f>IF($A1256="","",[1]weekly_demand!F1257)</f>
        <v/>
      </c>
      <c r="C1256" s="60" t="str">
        <f>IF($A1256="","",[1]weekly_demand!H1257)</f>
        <v/>
      </c>
      <c r="D1256" s="61" t="str">
        <f>IF($A1256="","",IF(SUMIFS([1]Fixture_Capacity_Input!$C:$C,[1]Fixture_Capacity_Input!$A:$A,$B1256,[1]Fixture_Capacity_Input!$B:$B,$C1256)&gt;0,SUMIFS([1]Fixture_Capacity_Input!$C:$C,[1]Fixture_Capacity_Input!$A:$A,$B1256,[1]Fixture_Capacity_Input!$B:$B,$C1256),[1]weekly_demand!G1257))</f>
        <v/>
      </c>
      <c r="E1256" s="62" t="str">
        <f>IF($A1256="","",[1]weekly_demand!I1257)</f>
        <v/>
      </c>
      <c r="F1256" s="61" t="str">
        <f>IF($A1256="","",IF($A1256&lt;&gt;$A1255,IFERROR(INDEX([1]FG_Begin_Inventory!$B:$B,MATCH($A1256,[1]FG_Begin_Inventory!$A:$A,0)),0),J1255))</f>
        <v/>
      </c>
      <c r="G1256" s="61" t="str">
        <f t="shared" si="136"/>
        <v/>
      </c>
      <c r="H1256" s="61" t="str">
        <f t="shared" si="137"/>
        <v/>
      </c>
      <c r="I1256" s="62" t="str">
        <f t="shared" si="138"/>
        <v/>
      </c>
      <c r="J1256" s="61" t="str">
        <f t="shared" si="139"/>
        <v/>
      </c>
      <c r="K1256" s="61" t="str">
        <f t="shared" si="140"/>
        <v/>
      </c>
      <c r="L1256" s="61" t="str">
        <f t="shared" si="141"/>
        <v/>
      </c>
      <c r="M1256" s="63" t="str">
        <f t="shared" si="142"/>
        <v/>
      </c>
      <c r="N1256" s="64"/>
    </row>
    <row r="1257" spans="1:14" x14ac:dyDescent="0.3">
      <c r="A1257" s="58" t="str">
        <f>IF([1]weekly_demand!A1258="","",[1]weekly_demand!A1258)</f>
        <v/>
      </c>
      <c r="B1257" s="59" t="str">
        <f>IF($A1257="","",[1]weekly_demand!F1258)</f>
        <v/>
      </c>
      <c r="C1257" s="60" t="str">
        <f>IF($A1257="","",[1]weekly_demand!H1258)</f>
        <v/>
      </c>
      <c r="D1257" s="61" t="str">
        <f>IF($A1257="","",IF(SUMIFS([1]Fixture_Capacity_Input!$C:$C,[1]Fixture_Capacity_Input!$A:$A,$B1257,[1]Fixture_Capacity_Input!$B:$B,$C1257)&gt;0,SUMIFS([1]Fixture_Capacity_Input!$C:$C,[1]Fixture_Capacity_Input!$A:$A,$B1257,[1]Fixture_Capacity_Input!$B:$B,$C1257),[1]weekly_demand!G1258))</f>
        <v/>
      </c>
      <c r="E1257" s="62" t="str">
        <f>IF($A1257="","",[1]weekly_demand!I1258)</f>
        <v/>
      </c>
      <c r="F1257" s="61" t="str">
        <f>IF($A1257="","",IF($A1257&lt;&gt;$A1256,IFERROR(INDEX([1]FG_Begin_Inventory!$B:$B,MATCH($A1257,[1]FG_Begin_Inventory!$A:$A,0)),0),J1256))</f>
        <v/>
      </c>
      <c r="G1257" s="61" t="str">
        <f t="shared" si="136"/>
        <v/>
      </c>
      <c r="H1257" s="61" t="str">
        <f t="shared" si="137"/>
        <v/>
      </c>
      <c r="I1257" s="62" t="str">
        <f t="shared" si="138"/>
        <v/>
      </c>
      <c r="J1257" s="61" t="str">
        <f t="shared" si="139"/>
        <v/>
      </c>
      <c r="K1257" s="61" t="str">
        <f t="shared" si="140"/>
        <v/>
      </c>
      <c r="L1257" s="61" t="str">
        <f t="shared" si="141"/>
        <v/>
      </c>
      <c r="M1257" s="63" t="str">
        <f t="shared" si="142"/>
        <v/>
      </c>
      <c r="N1257" s="64"/>
    </row>
    <row r="1258" spans="1:14" x14ac:dyDescent="0.3">
      <c r="A1258" s="58" t="str">
        <f>IF([1]weekly_demand!A1259="","",[1]weekly_demand!A1259)</f>
        <v/>
      </c>
      <c r="B1258" s="59" t="str">
        <f>IF($A1258="","",[1]weekly_demand!F1259)</f>
        <v/>
      </c>
      <c r="C1258" s="60" t="str">
        <f>IF($A1258="","",[1]weekly_demand!H1259)</f>
        <v/>
      </c>
      <c r="D1258" s="61" t="str">
        <f>IF($A1258="","",IF(SUMIFS([1]Fixture_Capacity_Input!$C:$C,[1]Fixture_Capacity_Input!$A:$A,$B1258,[1]Fixture_Capacity_Input!$B:$B,$C1258)&gt;0,SUMIFS([1]Fixture_Capacity_Input!$C:$C,[1]Fixture_Capacity_Input!$A:$A,$B1258,[1]Fixture_Capacity_Input!$B:$B,$C1258),[1]weekly_demand!G1259))</f>
        <v/>
      </c>
      <c r="E1258" s="62" t="str">
        <f>IF($A1258="","",[1]weekly_demand!I1259)</f>
        <v/>
      </c>
      <c r="F1258" s="61" t="str">
        <f>IF($A1258="","",IF($A1258&lt;&gt;$A1257,IFERROR(INDEX([1]FG_Begin_Inventory!$B:$B,MATCH($A1258,[1]FG_Begin_Inventory!$A:$A,0)),0),J1257))</f>
        <v/>
      </c>
      <c r="G1258" s="61" t="str">
        <f t="shared" si="136"/>
        <v/>
      </c>
      <c r="H1258" s="61" t="str">
        <f t="shared" si="137"/>
        <v/>
      </c>
      <c r="I1258" s="62" t="str">
        <f t="shared" si="138"/>
        <v/>
      </c>
      <c r="J1258" s="61" t="str">
        <f t="shared" si="139"/>
        <v/>
      </c>
      <c r="K1258" s="61" t="str">
        <f t="shared" si="140"/>
        <v/>
      </c>
      <c r="L1258" s="61" t="str">
        <f t="shared" si="141"/>
        <v/>
      </c>
      <c r="M1258" s="63" t="str">
        <f t="shared" si="142"/>
        <v/>
      </c>
      <c r="N1258" s="64"/>
    </row>
    <row r="1259" spans="1:14" x14ac:dyDescent="0.3">
      <c r="A1259" s="58" t="str">
        <f>IF([1]weekly_demand!A1260="","",[1]weekly_demand!A1260)</f>
        <v/>
      </c>
      <c r="B1259" s="59" t="str">
        <f>IF($A1259="","",[1]weekly_demand!F1260)</f>
        <v/>
      </c>
      <c r="C1259" s="60" t="str">
        <f>IF($A1259="","",[1]weekly_demand!H1260)</f>
        <v/>
      </c>
      <c r="D1259" s="61" t="str">
        <f>IF($A1259="","",IF(SUMIFS([1]Fixture_Capacity_Input!$C:$C,[1]Fixture_Capacity_Input!$A:$A,$B1259,[1]Fixture_Capacity_Input!$B:$B,$C1259)&gt;0,SUMIFS([1]Fixture_Capacity_Input!$C:$C,[1]Fixture_Capacity_Input!$A:$A,$B1259,[1]Fixture_Capacity_Input!$B:$B,$C1259),[1]weekly_demand!G1260))</f>
        <v/>
      </c>
      <c r="E1259" s="62" t="str">
        <f>IF($A1259="","",[1]weekly_demand!I1260)</f>
        <v/>
      </c>
      <c r="F1259" s="61" t="str">
        <f>IF($A1259="","",IF($A1259&lt;&gt;$A1258,IFERROR(INDEX([1]FG_Begin_Inventory!$B:$B,MATCH($A1259,[1]FG_Begin_Inventory!$A:$A,0)),0),J1258))</f>
        <v/>
      </c>
      <c r="G1259" s="61" t="str">
        <f t="shared" si="136"/>
        <v/>
      </c>
      <c r="H1259" s="61" t="str">
        <f t="shared" si="137"/>
        <v/>
      </c>
      <c r="I1259" s="62" t="str">
        <f t="shared" si="138"/>
        <v/>
      </c>
      <c r="J1259" s="61" t="str">
        <f t="shared" si="139"/>
        <v/>
      </c>
      <c r="K1259" s="61" t="str">
        <f t="shared" si="140"/>
        <v/>
      </c>
      <c r="L1259" s="61" t="str">
        <f t="shared" si="141"/>
        <v/>
      </c>
      <c r="M1259" s="63" t="str">
        <f t="shared" si="142"/>
        <v/>
      </c>
      <c r="N1259" s="64"/>
    </row>
    <row r="1260" spans="1:14" x14ac:dyDescent="0.3">
      <c r="A1260" s="58" t="str">
        <f>IF([1]weekly_demand!A1261="","",[1]weekly_demand!A1261)</f>
        <v/>
      </c>
      <c r="B1260" s="59" t="str">
        <f>IF($A1260="","",[1]weekly_demand!F1261)</f>
        <v/>
      </c>
      <c r="C1260" s="60" t="str">
        <f>IF($A1260="","",[1]weekly_demand!H1261)</f>
        <v/>
      </c>
      <c r="D1260" s="61" t="str">
        <f>IF($A1260="","",IF(SUMIFS([1]Fixture_Capacity_Input!$C:$C,[1]Fixture_Capacity_Input!$A:$A,$B1260,[1]Fixture_Capacity_Input!$B:$B,$C1260)&gt;0,SUMIFS([1]Fixture_Capacity_Input!$C:$C,[1]Fixture_Capacity_Input!$A:$A,$B1260,[1]Fixture_Capacity_Input!$B:$B,$C1260),[1]weekly_demand!G1261))</f>
        <v/>
      </c>
      <c r="E1260" s="62" t="str">
        <f>IF($A1260="","",[1]weekly_demand!I1261)</f>
        <v/>
      </c>
      <c r="F1260" s="61" t="str">
        <f>IF($A1260="","",IF($A1260&lt;&gt;$A1259,IFERROR(INDEX([1]FG_Begin_Inventory!$B:$B,MATCH($A1260,[1]FG_Begin_Inventory!$A:$A,0)),0),J1259))</f>
        <v/>
      </c>
      <c r="G1260" s="61" t="str">
        <f t="shared" si="136"/>
        <v/>
      </c>
      <c r="H1260" s="61" t="str">
        <f t="shared" si="137"/>
        <v/>
      </c>
      <c r="I1260" s="62" t="str">
        <f t="shared" si="138"/>
        <v/>
      </c>
      <c r="J1260" s="61" t="str">
        <f t="shared" si="139"/>
        <v/>
      </c>
      <c r="K1260" s="61" t="str">
        <f t="shared" si="140"/>
        <v/>
      </c>
      <c r="L1260" s="61" t="str">
        <f t="shared" si="141"/>
        <v/>
      </c>
      <c r="M1260" s="63" t="str">
        <f t="shared" si="142"/>
        <v/>
      </c>
      <c r="N1260" s="64"/>
    </row>
    <row r="1261" spans="1:14" x14ac:dyDescent="0.3">
      <c r="A1261" s="58" t="str">
        <f>IF([1]weekly_demand!A1262="","",[1]weekly_demand!A1262)</f>
        <v/>
      </c>
      <c r="B1261" s="59" t="str">
        <f>IF($A1261="","",[1]weekly_demand!F1262)</f>
        <v/>
      </c>
      <c r="C1261" s="60" t="str">
        <f>IF($A1261="","",[1]weekly_demand!H1262)</f>
        <v/>
      </c>
      <c r="D1261" s="61" t="str">
        <f>IF($A1261="","",IF(SUMIFS([1]Fixture_Capacity_Input!$C:$C,[1]Fixture_Capacity_Input!$A:$A,$B1261,[1]Fixture_Capacity_Input!$B:$B,$C1261)&gt;0,SUMIFS([1]Fixture_Capacity_Input!$C:$C,[1]Fixture_Capacity_Input!$A:$A,$B1261,[1]Fixture_Capacity_Input!$B:$B,$C1261),[1]weekly_demand!G1262))</f>
        <v/>
      </c>
      <c r="E1261" s="62" t="str">
        <f>IF($A1261="","",[1]weekly_demand!I1262)</f>
        <v/>
      </c>
      <c r="F1261" s="61" t="str">
        <f>IF($A1261="","",IF($A1261&lt;&gt;$A1260,IFERROR(INDEX([1]FG_Begin_Inventory!$B:$B,MATCH($A1261,[1]FG_Begin_Inventory!$A:$A,0)),0),J1260))</f>
        <v/>
      </c>
      <c r="G1261" s="61" t="str">
        <f t="shared" si="136"/>
        <v/>
      </c>
      <c r="H1261" s="61" t="str">
        <f t="shared" si="137"/>
        <v/>
      </c>
      <c r="I1261" s="62" t="str">
        <f t="shared" si="138"/>
        <v/>
      </c>
      <c r="J1261" s="61" t="str">
        <f t="shared" si="139"/>
        <v/>
      </c>
      <c r="K1261" s="61" t="str">
        <f t="shared" si="140"/>
        <v/>
      </c>
      <c r="L1261" s="61" t="str">
        <f t="shared" si="141"/>
        <v/>
      </c>
      <c r="M1261" s="63" t="str">
        <f t="shared" si="142"/>
        <v/>
      </c>
      <c r="N1261" s="64"/>
    </row>
    <row r="1262" spans="1:14" x14ac:dyDescent="0.3">
      <c r="A1262" s="58" t="str">
        <f>IF([1]weekly_demand!A1263="","",[1]weekly_demand!A1263)</f>
        <v/>
      </c>
      <c r="B1262" s="59" t="str">
        <f>IF($A1262="","",[1]weekly_demand!F1263)</f>
        <v/>
      </c>
      <c r="C1262" s="60" t="str">
        <f>IF($A1262="","",[1]weekly_demand!H1263)</f>
        <v/>
      </c>
      <c r="D1262" s="61" t="str">
        <f>IF($A1262="","",IF(SUMIFS([1]Fixture_Capacity_Input!$C:$C,[1]Fixture_Capacity_Input!$A:$A,$B1262,[1]Fixture_Capacity_Input!$B:$B,$C1262)&gt;0,SUMIFS([1]Fixture_Capacity_Input!$C:$C,[1]Fixture_Capacity_Input!$A:$A,$B1262,[1]Fixture_Capacity_Input!$B:$B,$C1262),[1]weekly_demand!G1263))</f>
        <v/>
      </c>
      <c r="E1262" s="62" t="str">
        <f>IF($A1262="","",[1]weekly_demand!I1263)</f>
        <v/>
      </c>
      <c r="F1262" s="61" t="str">
        <f>IF($A1262="","",IF($A1262&lt;&gt;$A1261,IFERROR(INDEX([1]FG_Begin_Inventory!$B:$B,MATCH($A1262,[1]FG_Begin_Inventory!$A:$A,0)),0),J1261))</f>
        <v/>
      </c>
      <c r="G1262" s="61" t="str">
        <f t="shared" si="136"/>
        <v/>
      </c>
      <c r="H1262" s="61" t="str">
        <f t="shared" si="137"/>
        <v/>
      </c>
      <c r="I1262" s="62" t="str">
        <f t="shared" si="138"/>
        <v/>
      </c>
      <c r="J1262" s="61" t="str">
        <f t="shared" si="139"/>
        <v/>
      </c>
      <c r="K1262" s="61" t="str">
        <f t="shared" si="140"/>
        <v/>
      </c>
      <c r="L1262" s="61" t="str">
        <f t="shared" si="141"/>
        <v/>
      </c>
      <c r="M1262" s="63" t="str">
        <f t="shared" si="142"/>
        <v/>
      </c>
      <c r="N1262" s="64"/>
    </row>
    <row r="1263" spans="1:14" x14ac:dyDescent="0.3">
      <c r="A1263" s="58" t="str">
        <f>IF([1]weekly_demand!A1264="","",[1]weekly_demand!A1264)</f>
        <v/>
      </c>
      <c r="B1263" s="59" t="str">
        <f>IF($A1263="","",[1]weekly_demand!F1264)</f>
        <v/>
      </c>
      <c r="C1263" s="60" t="str">
        <f>IF($A1263="","",[1]weekly_demand!H1264)</f>
        <v/>
      </c>
      <c r="D1263" s="61" t="str">
        <f>IF($A1263="","",IF(SUMIFS([1]Fixture_Capacity_Input!$C:$C,[1]Fixture_Capacity_Input!$A:$A,$B1263,[1]Fixture_Capacity_Input!$B:$B,$C1263)&gt;0,SUMIFS([1]Fixture_Capacity_Input!$C:$C,[1]Fixture_Capacity_Input!$A:$A,$B1263,[1]Fixture_Capacity_Input!$B:$B,$C1263),[1]weekly_demand!G1264))</f>
        <v/>
      </c>
      <c r="E1263" s="62" t="str">
        <f>IF($A1263="","",[1]weekly_demand!I1264)</f>
        <v/>
      </c>
      <c r="F1263" s="61" t="str">
        <f>IF($A1263="","",IF($A1263&lt;&gt;$A1262,IFERROR(INDEX([1]FG_Begin_Inventory!$B:$B,MATCH($A1263,[1]FG_Begin_Inventory!$A:$A,0)),0),J1262))</f>
        <v/>
      </c>
      <c r="G1263" s="61" t="str">
        <f t="shared" si="136"/>
        <v/>
      </c>
      <c r="H1263" s="61" t="str">
        <f t="shared" si="137"/>
        <v/>
      </c>
      <c r="I1263" s="62" t="str">
        <f t="shared" si="138"/>
        <v/>
      </c>
      <c r="J1263" s="61" t="str">
        <f t="shared" si="139"/>
        <v/>
      </c>
      <c r="K1263" s="61" t="str">
        <f t="shared" si="140"/>
        <v/>
      </c>
      <c r="L1263" s="61" t="str">
        <f t="shared" si="141"/>
        <v/>
      </c>
      <c r="M1263" s="63" t="str">
        <f t="shared" si="142"/>
        <v/>
      </c>
      <c r="N1263" s="64"/>
    </row>
    <row r="1264" spans="1:14" x14ac:dyDescent="0.3">
      <c r="A1264" s="58" t="str">
        <f>IF([1]weekly_demand!A1265="","",[1]weekly_demand!A1265)</f>
        <v/>
      </c>
      <c r="B1264" s="59" t="str">
        <f>IF($A1264="","",[1]weekly_demand!F1265)</f>
        <v/>
      </c>
      <c r="C1264" s="60" t="str">
        <f>IF($A1264="","",[1]weekly_demand!H1265)</f>
        <v/>
      </c>
      <c r="D1264" s="61" t="str">
        <f>IF($A1264="","",IF(SUMIFS([1]Fixture_Capacity_Input!$C:$C,[1]Fixture_Capacity_Input!$A:$A,$B1264,[1]Fixture_Capacity_Input!$B:$B,$C1264)&gt;0,SUMIFS([1]Fixture_Capacity_Input!$C:$C,[1]Fixture_Capacity_Input!$A:$A,$B1264,[1]Fixture_Capacity_Input!$B:$B,$C1264),[1]weekly_demand!G1265))</f>
        <v/>
      </c>
      <c r="E1264" s="62" t="str">
        <f>IF($A1264="","",[1]weekly_demand!I1265)</f>
        <v/>
      </c>
      <c r="F1264" s="61" t="str">
        <f>IF($A1264="","",IF($A1264&lt;&gt;$A1263,IFERROR(INDEX([1]FG_Begin_Inventory!$B:$B,MATCH($A1264,[1]FG_Begin_Inventory!$A:$A,0)),0),J1263))</f>
        <v/>
      </c>
      <c r="G1264" s="61" t="str">
        <f t="shared" si="136"/>
        <v/>
      </c>
      <c r="H1264" s="61" t="str">
        <f t="shared" si="137"/>
        <v/>
      </c>
      <c r="I1264" s="62" t="str">
        <f t="shared" si="138"/>
        <v/>
      </c>
      <c r="J1264" s="61" t="str">
        <f t="shared" si="139"/>
        <v/>
      </c>
      <c r="K1264" s="61" t="str">
        <f t="shared" si="140"/>
        <v/>
      </c>
      <c r="L1264" s="61" t="str">
        <f t="shared" si="141"/>
        <v/>
      </c>
      <c r="M1264" s="63" t="str">
        <f t="shared" si="142"/>
        <v/>
      </c>
      <c r="N1264" s="64"/>
    </row>
    <row r="1265" spans="1:14" x14ac:dyDescent="0.3">
      <c r="A1265" s="58" t="str">
        <f>IF([1]weekly_demand!A1266="","",[1]weekly_demand!A1266)</f>
        <v/>
      </c>
      <c r="B1265" s="59" t="str">
        <f>IF($A1265="","",[1]weekly_demand!F1266)</f>
        <v/>
      </c>
      <c r="C1265" s="60" t="str">
        <f>IF($A1265="","",[1]weekly_demand!H1266)</f>
        <v/>
      </c>
      <c r="D1265" s="61" t="str">
        <f>IF($A1265="","",IF(SUMIFS([1]Fixture_Capacity_Input!$C:$C,[1]Fixture_Capacity_Input!$A:$A,$B1265,[1]Fixture_Capacity_Input!$B:$B,$C1265)&gt;0,SUMIFS([1]Fixture_Capacity_Input!$C:$C,[1]Fixture_Capacity_Input!$A:$A,$B1265,[1]Fixture_Capacity_Input!$B:$B,$C1265),[1]weekly_demand!G1266))</f>
        <v/>
      </c>
      <c r="E1265" s="62" t="str">
        <f>IF($A1265="","",[1]weekly_demand!I1266)</f>
        <v/>
      </c>
      <c r="F1265" s="61" t="str">
        <f>IF($A1265="","",IF($A1265&lt;&gt;$A1264,IFERROR(INDEX([1]FG_Begin_Inventory!$B:$B,MATCH($A1265,[1]FG_Begin_Inventory!$A:$A,0)),0),J1264))</f>
        <v/>
      </c>
      <c r="G1265" s="61" t="str">
        <f t="shared" si="136"/>
        <v/>
      </c>
      <c r="H1265" s="61" t="str">
        <f t="shared" si="137"/>
        <v/>
      </c>
      <c r="I1265" s="62" t="str">
        <f t="shared" si="138"/>
        <v/>
      </c>
      <c r="J1265" s="61" t="str">
        <f t="shared" si="139"/>
        <v/>
      </c>
      <c r="K1265" s="61" t="str">
        <f t="shared" si="140"/>
        <v/>
      </c>
      <c r="L1265" s="61" t="str">
        <f t="shared" si="141"/>
        <v/>
      </c>
      <c r="M1265" s="63" t="str">
        <f t="shared" si="142"/>
        <v/>
      </c>
      <c r="N1265" s="64"/>
    </row>
    <row r="1266" spans="1:14" x14ac:dyDescent="0.3">
      <c r="A1266" s="58" t="str">
        <f>IF([1]weekly_demand!A1267="","",[1]weekly_demand!A1267)</f>
        <v/>
      </c>
      <c r="B1266" s="59" t="str">
        <f>IF($A1266="","",[1]weekly_demand!F1267)</f>
        <v/>
      </c>
      <c r="C1266" s="60" t="str">
        <f>IF($A1266="","",[1]weekly_demand!H1267)</f>
        <v/>
      </c>
      <c r="D1266" s="61" t="str">
        <f>IF($A1266="","",IF(SUMIFS([1]Fixture_Capacity_Input!$C:$C,[1]Fixture_Capacity_Input!$A:$A,$B1266,[1]Fixture_Capacity_Input!$B:$B,$C1266)&gt;0,SUMIFS([1]Fixture_Capacity_Input!$C:$C,[1]Fixture_Capacity_Input!$A:$A,$B1266,[1]Fixture_Capacity_Input!$B:$B,$C1266),[1]weekly_demand!G1267))</f>
        <v/>
      </c>
      <c r="E1266" s="62" t="str">
        <f>IF($A1266="","",[1]weekly_demand!I1267)</f>
        <v/>
      </c>
      <c r="F1266" s="61" t="str">
        <f>IF($A1266="","",IF($A1266&lt;&gt;$A1265,IFERROR(INDEX([1]FG_Begin_Inventory!$B:$B,MATCH($A1266,[1]FG_Begin_Inventory!$A:$A,0)),0),J1265))</f>
        <v/>
      </c>
      <c r="G1266" s="61" t="str">
        <f t="shared" si="136"/>
        <v/>
      </c>
      <c r="H1266" s="61" t="str">
        <f t="shared" si="137"/>
        <v/>
      </c>
      <c r="I1266" s="62" t="str">
        <f t="shared" si="138"/>
        <v/>
      </c>
      <c r="J1266" s="61" t="str">
        <f t="shared" si="139"/>
        <v/>
      </c>
      <c r="K1266" s="61" t="str">
        <f t="shared" si="140"/>
        <v/>
      </c>
      <c r="L1266" s="61" t="str">
        <f t="shared" si="141"/>
        <v/>
      </c>
      <c r="M1266" s="63" t="str">
        <f t="shared" si="142"/>
        <v/>
      </c>
      <c r="N1266" s="64"/>
    </row>
    <row r="1267" spans="1:14" x14ac:dyDescent="0.3">
      <c r="A1267" s="58" t="str">
        <f>IF([1]weekly_demand!A1268="","",[1]weekly_demand!A1268)</f>
        <v/>
      </c>
      <c r="B1267" s="59" t="str">
        <f>IF($A1267="","",[1]weekly_demand!F1268)</f>
        <v/>
      </c>
      <c r="C1267" s="60" t="str">
        <f>IF($A1267="","",[1]weekly_demand!H1268)</f>
        <v/>
      </c>
      <c r="D1267" s="61" t="str">
        <f>IF($A1267="","",IF(SUMIFS([1]Fixture_Capacity_Input!$C:$C,[1]Fixture_Capacity_Input!$A:$A,$B1267,[1]Fixture_Capacity_Input!$B:$B,$C1267)&gt;0,SUMIFS([1]Fixture_Capacity_Input!$C:$C,[1]Fixture_Capacity_Input!$A:$A,$B1267,[1]Fixture_Capacity_Input!$B:$B,$C1267),[1]weekly_demand!G1268))</f>
        <v/>
      </c>
      <c r="E1267" s="62" t="str">
        <f>IF($A1267="","",[1]weekly_demand!I1268)</f>
        <v/>
      </c>
      <c r="F1267" s="61" t="str">
        <f>IF($A1267="","",IF($A1267&lt;&gt;$A1266,IFERROR(INDEX([1]FG_Begin_Inventory!$B:$B,MATCH($A1267,[1]FG_Begin_Inventory!$A:$A,0)),0),J1266))</f>
        <v/>
      </c>
      <c r="G1267" s="61" t="str">
        <f t="shared" ref="G1267:G1330" si="143">IF($A1267="","",IF($A1267&lt;&gt;$A1268,0,MAX(0,G1268+E1268-D1268)))</f>
        <v/>
      </c>
      <c r="H1267" s="61" t="str">
        <f t="shared" si="137"/>
        <v/>
      </c>
      <c r="I1267" s="62" t="str">
        <f t="shared" si="138"/>
        <v/>
      </c>
      <c r="J1267" s="61" t="str">
        <f t="shared" si="139"/>
        <v/>
      </c>
      <c r="K1267" s="61" t="str">
        <f t="shared" si="140"/>
        <v/>
      </c>
      <c r="L1267" s="61" t="str">
        <f t="shared" si="141"/>
        <v/>
      </c>
      <c r="M1267" s="63" t="str">
        <f t="shared" si="142"/>
        <v/>
      </c>
      <c r="N1267" s="64"/>
    </row>
    <row r="1268" spans="1:14" x14ac:dyDescent="0.3">
      <c r="A1268" s="58" t="str">
        <f>IF([1]weekly_demand!A1269="","",[1]weekly_demand!A1269)</f>
        <v/>
      </c>
      <c r="B1268" s="59" t="str">
        <f>IF($A1268="","",[1]weekly_demand!F1269)</f>
        <v/>
      </c>
      <c r="C1268" s="60" t="str">
        <f>IF($A1268="","",[1]weekly_demand!H1269)</f>
        <v/>
      </c>
      <c r="D1268" s="61" t="str">
        <f>IF($A1268="","",IF(SUMIFS([1]Fixture_Capacity_Input!$C:$C,[1]Fixture_Capacity_Input!$A:$A,$B1268,[1]Fixture_Capacity_Input!$B:$B,$C1268)&gt;0,SUMIFS([1]Fixture_Capacity_Input!$C:$C,[1]Fixture_Capacity_Input!$A:$A,$B1268,[1]Fixture_Capacity_Input!$B:$B,$C1268),[1]weekly_demand!G1269))</f>
        <v/>
      </c>
      <c r="E1268" s="62" t="str">
        <f>IF($A1268="","",[1]weekly_demand!I1269)</f>
        <v/>
      </c>
      <c r="F1268" s="61" t="str">
        <f>IF($A1268="","",IF($A1268&lt;&gt;$A1267,IFERROR(INDEX([1]FG_Begin_Inventory!$B:$B,MATCH($A1268,[1]FG_Begin_Inventory!$A:$A,0)),0),J1267))</f>
        <v/>
      </c>
      <c r="G1268" s="61" t="str">
        <f t="shared" si="143"/>
        <v/>
      </c>
      <c r="H1268" s="61" t="str">
        <f t="shared" si="137"/>
        <v/>
      </c>
      <c r="I1268" s="62" t="str">
        <f t="shared" si="138"/>
        <v/>
      </c>
      <c r="J1268" s="61" t="str">
        <f t="shared" si="139"/>
        <v/>
      </c>
      <c r="K1268" s="61" t="str">
        <f t="shared" si="140"/>
        <v/>
      </c>
      <c r="L1268" s="61" t="str">
        <f t="shared" si="141"/>
        <v/>
      </c>
      <c r="M1268" s="63" t="str">
        <f t="shared" si="142"/>
        <v/>
      </c>
      <c r="N1268" s="64"/>
    </row>
    <row r="1269" spans="1:14" x14ac:dyDescent="0.3">
      <c r="A1269" s="58" t="str">
        <f>IF([1]weekly_demand!A1270="","",[1]weekly_demand!A1270)</f>
        <v/>
      </c>
      <c r="B1269" s="59" t="str">
        <f>IF($A1269="","",[1]weekly_demand!F1270)</f>
        <v/>
      </c>
      <c r="C1269" s="60" t="str">
        <f>IF($A1269="","",[1]weekly_demand!H1270)</f>
        <v/>
      </c>
      <c r="D1269" s="61" t="str">
        <f>IF($A1269="","",IF(SUMIFS([1]Fixture_Capacity_Input!$C:$C,[1]Fixture_Capacity_Input!$A:$A,$B1269,[1]Fixture_Capacity_Input!$B:$B,$C1269)&gt;0,SUMIFS([1]Fixture_Capacity_Input!$C:$C,[1]Fixture_Capacity_Input!$A:$A,$B1269,[1]Fixture_Capacity_Input!$B:$B,$C1269),[1]weekly_demand!G1270))</f>
        <v/>
      </c>
      <c r="E1269" s="62" t="str">
        <f>IF($A1269="","",[1]weekly_demand!I1270)</f>
        <v/>
      </c>
      <c r="F1269" s="61" t="str">
        <f>IF($A1269="","",IF($A1269&lt;&gt;$A1268,IFERROR(INDEX([1]FG_Begin_Inventory!$B:$B,MATCH($A1269,[1]FG_Begin_Inventory!$A:$A,0)),0),J1268))</f>
        <v/>
      </c>
      <c r="G1269" s="61" t="str">
        <f t="shared" si="143"/>
        <v/>
      </c>
      <c r="H1269" s="61" t="str">
        <f t="shared" si="137"/>
        <v/>
      </c>
      <c r="I1269" s="62" t="str">
        <f t="shared" si="138"/>
        <v/>
      </c>
      <c r="J1269" s="61" t="str">
        <f t="shared" si="139"/>
        <v/>
      </c>
      <c r="K1269" s="61" t="str">
        <f t="shared" si="140"/>
        <v/>
      </c>
      <c r="L1269" s="61" t="str">
        <f t="shared" si="141"/>
        <v/>
      </c>
      <c r="M1269" s="63" t="str">
        <f t="shared" si="142"/>
        <v/>
      </c>
      <c r="N1269" s="64"/>
    </row>
    <row r="1270" spans="1:14" x14ac:dyDescent="0.3">
      <c r="A1270" s="58" t="str">
        <f>IF([1]weekly_demand!A1271="","",[1]weekly_demand!A1271)</f>
        <v/>
      </c>
      <c r="B1270" s="59" t="str">
        <f>IF($A1270="","",[1]weekly_demand!F1271)</f>
        <v/>
      </c>
      <c r="C1270" s="60" t="str">
        <f>IF($A1270="","",[1]weekly_demand!H1271)</f>
        <v/>
      </c>
      <c r="D1270" s="61" t="str">
        <f>IF($A1270="","",IF(SUMIFS([1]Fixture_Capacity_Input!$C:$C,[1]Fixture_Capacity_Input!$A:$A,$B1270,[1]Fixture_Capacity_Input!$B:$B,$C1270)&gt;0,SUMIFS([1]Fixture_Capacity_Input!$C:$C,[1]Fixture_Capacity_Input!$A:$A,$B1270,[1]Fixture_Capacity_Input!$B:$B,$C1270),[1]weekly_demand!G1271))</f>
        <v/>
      </c>
      <c r="E1270" s="62" t="str">
        <f>IF($A1270="","",[1]weekly_demand!I1271)</f>
        <v/>
      </c>
      <c r="F1270" s="61" t="str">
        <f>IF($A1270="","",IF($A1270&lt;&gt;$A1269,IFERROR(INDEX([1]FG_Begin_Inventory!$B:$B,MATCH($A1270,[1]FG_Begin_Inventory!$A:$A,0)),0),J1269))</f>
        <v/>
      </c>
      <c r="G1270" s="61" t="str">
        <f t="shared" si="143"/>
        <v/>
      </c>
      <c r="H1270" s="61" t="str">
        <f t="shared" si="137"/>
        <v/>
      </c>
      <c r="I1270" s="62" t="str">
        <f t="shared" si="138"/>
        <v/>
      </c>
      <c r="J1270" s="61" t="str">
        <f t="shared" si="139"/>
        <v/>
      </c>
      <c r="K1270" s="61" t="str">
        <f t="shared" si="140"/>
        <v/>
      </c>
      <c r="L1270" s="61" t="str">
        <f t="shared" si="141"/>
        <v/>
      </c>
      <c r="M1270" s="63" t="str">
        <f t="shared" si="142"/>
        <v/>
      </c>
      <c r="N1270" s="64"/>
    </row>
    <row r="1271" spans="1:14" x14ac:dyDescent="0.3">
      <c r="A1271" s="58" t="str">
        <f>IF([1]weekly_demand!A1272="","",[1]weekly_demand!A1272)</f>
        <v/>
      </c>
      <c r="B1271" s="59" t="str">
        <f>IF($A1271="","",[1]weekly_demand!F1272)</f>
        <v/>
      </c>
      <c r="C1271" s="60" t="str">
        <f>IF($A1271="","",[1]weekly_demand!H1272)</f>
        <v/>
      </c>
      <c r="D1271" s="61" t="str">
        <f>IF($A1271="","",IF(SUMIFS([1]Fixture_Capacity_Input!$C:$C,[1]Fixture_Capacity_Input!$A:$A,$B1271,[1]Fixture_Capacity_Input!$B:$B,$C1271)&gt;0,SUMIFS([1]Fixture_Capacity_Input!$C:$C,[1]Fixture_Capacity_Input!$A:$A,$B1271,[1]Fixture_Capacity_Input!$B:$B,$C1271),[1]weekly_demand!G1272))</f>
        <v/>
      </c>
      <c r="E1271" s="62" t="str">
        <f>IF($A1271="","",[1]weekly_demand!I1272)</f>
        <v/>
      </c>
      <c r="F1271" s="61" t="str">
        <f>IF($A1271="","",IF($A1271&lt;&gt;$A1270,IFERROR(INDEX([1]FG_Begin_Inventory!$B:$B,MATCH($A1271,[1]FG_Begin_Inventory!$A:$A,0)),0),J1270))</f>
        <v/>
      </c>
      <c r="G1271" s="61" t="str">
        <f t="shared" si="143"/>
        <v/>
      </c>
      <c r="H1271" s="61" t="str">
        <f t="shared" si="137"/>
        <v/>
      </c>
      <c r="I1271" s="62" t="str">
        <f t="shared" si="138"/>
        <v/>
      </c>
      <c r="J1271" s="61" t="str">
        <f t="shared" si="139"/>
        <v/>
      </c>
      <c r="K1271" s="61" t="str">
        <f t="shared" si="140"/>
        <v/>
      </c>
      <c r="L1271" s="61" t="str">
        <f t="shared" si="141"/>
        <v/>
      </c>
      <c r="M1271" s="63" t="str">
        <f t="shared" si="142"/>
        <v/>
      </c>
      <c r="N1271" s="64"/>
    </row>
    <row r="1272" spans="1:14" x14ac:dyDescent="0.3">
      <c r="A1272" s="58" t="str">
        <f>IF([1]weekly_demand!A1273="","",[1]weekly_demand!A1273)</f>
        <v/>
      </c>
      <c r="B1272" s="59" t="str">
        <f>IF($A1272="","",[1]weekly_demand!F1273)</f>
        <v/>
      </c>
      <c r="C1272" s="60" t="str">
        <f>IF($A1272="","",[1]weekly_demand!H1273)</f>
        <v/>
      </c>
      <c r="D1272" s="61" t="str">
        <f>IF($A1272="","",IF(SUMIFS([1]Fixture_Capacity_Input!$C:$C,[1]Fixture_Capacity_Input!$A:$A,$B1272,[1]Fixture_Capacity_Input!$B:$B,$C1272)&gt;0,SUMIFS([1]Fixture_Capacity_Input!$C:$C,[1]Fixture_Capacity_Input!$A:$A,$B1272,[1]Fixture_Capacity_Input!$B:$B,$C1272),[1]weekly_demand!G1273))</f>
        <v/>
      </c>
      <c r="E1272" s="62" t="str">
        <f>IF($A1272="","",[1]weekly_demand!I1273)</f>
        <v/>
      </c>
      <c r="F1272" s="61" t="str">
        <f>IF($A1272="","",IF($A1272&lt;&gt;$A1271,IFERROR(INDEX([1]FG_Begin_Inventory!$B:$B,MATCH($A1272,[1]FG_Begin_Inventory!$A:$A,0)),0),J1271))</f>
        <v/>
      </c>
      <c r="G1272" s="61" t="str">
        <f t="shared" si="143"/>
        <v/>
      </c>
      <c r="H1272" s="61" t="str">
        <f t="shared" si="137"/>
        <v/>
      </c>
      <c r="I1272" s="62" t="str">
        <f t="shared" si="138"/>
        <v/>
      </c>
      <c r="J1272" s="61" t="str">
        <f t="shared" si="139"/>
        <v/>
      </c>
      <c r="K1272" s="61" t="str">
        <f t="shared" si="140"/>
        <v/>
      </c>
      <c r="L1272" s="61" t="str">
        <f t="shared" si="141"/>
        <v/>
      </c>
      <c r="M1272" s="63" t="str">
        <f t="shared" si="142"/>
        <v/>
      </c>
      <c r="N1272" s="64"/>
    </row>
    <row r="1273" spans="1:14" x14ac:dyDescent="0.3">
      <c r="A1273" s="58" t="str">
        <f>IF([1]weekly_demand!A1274="","",[1]weekly_demand!A1274)</f>
        <v/>
      </c>
      <c r="B1273" s="59" t="str">
        <f>IF($A1273="","",[1]weekly_demand!F1274)</f>
        <v/>
      </c>
      <c r="C1273" s="60" t="str">
        <f>IF($A1273="","",[1]weekly_demand!H1274)</f>
        <v/>
      </c>
      <c r="D1273" s="61" t="str">
        <f>IF($A1273="","",IF(SUMIFS([1]Fixture_Capacity_Input!$C:$C,[1]Fixture_Capacity_Input!$A:$A,$B1273,[1]Fixture_Capacity_Input!$B:$B,$C1273)&gt;0,SUMIFS([1]Fixture_Capacity_Input!$C:$C,[1]Fixture_Capacity_Input!$A:$A,$B1273,[1]Fixture_Capacity_Input!$B:$B,$C1273),[1]weekly_demand!G1274))</f>
        <v/>
      </c>
      <c r="E1273" s="62" t="str">
        <f>IF($A1273="","",[1]weekly_demand!I1274)</f>
        <v/>
      </c>
      <c r="F1273" s="61" t="str">
        <f>IF($A1273="","",IF($A1273&lt;&gt;$A1272,IFERROR(INDEX([1]FG_Begin_Inventory!$B:$B,MATCH($A1273,[1]FG_Begin_Inventory!$A:$A,0)),0),J1272))</f>
        <v/>
      </c>
      <c r="G1273" s="61" t="str">
        <f t="shared" si="143"/>
        <v/>
      </c>
      <c r="H1273" s="61" t="str">
        <f t="shared" si="137"/>
        <v/>
      </c>
      <c r="I1273" s="62" t="str">
        <f t="shared" si="138"/>
        <v/>
      </c>
      <c r="J1273" s="61" t="str">
        <f t="shared" si="139"/>
        <v/>
      </c>
      <c r="K1273" s="61" t="str">
        <f t="shared" si="140"/>
        <v/>
      </c>
      <c r="L1273" s="61" t="str">
        <f t="shared" si="141"/>
        <v/>
      </c>
      <c r="M1273" s="63" t="str">
        <f t="shared" si="142"/>
        <v/>
      </c>
      <c r="N1273" s="64"/>
    </row>
    <row r="1274" spans="1:14" x14ac:dyDescent="0.3">
      <c r="A1274" s="58" t="str">
        <f>IF([1]weekly_demand!A1275="","",[1]weekly_demand!A1275)</f>
        <v/>
      </c>
      <c r="B1274" s="59" t="str">
        <f>IF($A1274="","",[1]weekly_demand!F1275)</f>
        <v/>
      </c>
      <c r="C1274" s="60" t="str">
        <f>IF($A1274="","",[1]weekly_demand!H1275)</f>
        <v/>
      </c>
      <c r="D1274" s="61" t="str">
        <f>IF($A1274="","",IF(SUMIFS([1]Fixture_Capacity_Input!$C:$C,[1]Fixture_Capacity_Input!$A:$A,$B1274,[1]Fixture_Capacity_Input!$B:$B,$C1274)&gt;0,SUMIFS([1]Fixture_Capacity_Input!$C:$C,[1]Fixture_Capacity_Input!$A:$A,$B1274,[1]Fixture_Capacity_Input!$B:$B,$C1274),[1]weekly_demand!G1275))</f>
        <v/>
      </c>
      <c r="E1274" s="62" t="str">
        <f>IF($A1274="","",[1]weekly_demand!I1275)</f>
        <v/>
      </c>
      <c r="F1274" s="61" t="str">
        <f>IF($A1274="","",IF($A1274&lt;&gt;$A1273,IFERROR(INDEX([1]FG_Begin_Inventory!$B:$B,MATCH($A1274,[1]FG_Begin_Inventory!$A:$A,0)),0),J1273))</f>
        <v/>
      </c>
      <c r="G1274" s="61" t="str">
        <f t="shared" si="143"/>
        <v/>
      </c>
      <c r="H1274" s="61" t="str">
        <f t="shared" si="137"/>
        <v/>
      </c>
      <c r="I1274" s="62" t="str">
        <f t="shared" si="138"/>
        <v/>
      </c>
      <c r="J1274" s="61" t="str">
        <f t="shared" si="139"/>
        <v/>
      </c>
      <c r="K1274" s="61" t="str">
        <f t="shared" si="140"/>
        <v/>
      </c>
      <c r="L1274" s="61" t="str">
        <f t="shared" si="141"/>
        <v/>
      </c>
      <c r="M1274" s="63" t="str">
        <f t="shared" si="142"/>
        <v/>
      </c>
      <c r="N1274" s="64"/>
    </row>
    <row r="1275" spans="1:14" x14ac:dyDescent="0.3">
      <c r="A1275" s="58" t="str">
        <f>IF([1]weekly_demand!A1276="","",[1]weekly_demand!A1276)</f>
        <v/>
      </c>
      <c r="B1275" s="59" t="str">
        <f>IF($A1275="","",[1]weekly_demand!F1276)</f>
        <v/>
      </c>
      <c r="C1275" s="60" t="str">
        <f>IF($A1275="","",[1]weekly_demand!H1276)</f>
        <v/>
      </c>
      <c r="D1275" s="61" t="str">
        <f>IF($A1275="","",IF(SUMIFS([1]Fixture_Capacity_Input!$C:$C,[1]Fixture_Capacity_Input!$A:$A,$B1275,[1]Fixture_Capacity_Input!$B:$B,$C1275)&gt;0,SUMIFS([1]Fixture_Capacity_Input!$C:$C,[1]Fixture_Capacity_Input!$A:$A,$B1275,[1]Fixture_Capacity_Input!$B:$B,$C1275),[1]weekly_demand!G1276))</f>
        <v/>
      </c>
      <c r="E1275" s="62" t="str">
        <f>IF($A1275="","",[1]weekly_demand!I1276)</f>
        <v/>
      </c>
      <c r="F1275" s="61" t="str">
        <f>IF($A1275="","",IF($A1275&lt;&gt;$A1274,IFERROR(INDEX([1]FG_Begin_Inventory!$B:$B,MATCH($A1275,[1]FG_Begin_Inventory!$A:$A,0)),0),J1274))</f>
        <v/>
      </c>
      <c r="G1275" s="61" t="str">
        <f t="shared" si="143"/>
        <v/>
      </c>
      <c r="H1275" s="61" t="str">
        <f t="shared" si="137"/>
        <v/>
      </c>
      <c r="I1275" s="62" t="str">
        <f t="shared" si="138"/>
        <v/>
      </c>
      <c r="J1275" s="61" t="str">
        <f t="shared" si="139"/>
        <v/>
      </c>
      <c r="K1275" s="61" t="str">
        <f t="shared" si="140"/>
        <v/>
      </c>
      <c r="L1275" s="61" t="str">
        <f t="shared" si="141"/>
        <v/>
      </c>
      <c r="M1275" s="63" t="str">
        <f t="shared" si="142"/>
        <v/>
      </c>
      <c r="N1275" s="64"/>
    </row>
    <row r="1276" spans="1:14" x14ac:dyDescent="0.3">
      <c r="A1276" s="58" t="str">
        <f>IF([1]weekly_demand!A1277="","",[1]weekly_demand!A1277)</f>
        <v/>
      </c>
      <c r="B1276" s="59" t="str">
        <f>IF($A1276="","",[1]weekly_demand!F1277)</f>
        <v/>
      </c>
      <c r="C1276" s="60" t="str">
        <f>IF($A1276="","",[1]weekly_demand!H1277)</f>
        <v/>
      </c>
      <c r="D1276" s="61" t="str">
        <f>IF($A1276="","",IF(SUMIFS([1]Fixture_Capacity_Input!$C:$C,[1]Fixture_Capacity_Input!$A:$A,$B1276,[1]Fixture_Capacity_Input!$B:$B,$C1276)&gt;0,SUMIFS([1]Fixture_Capacity_Input!$C:$C,[1]Fixture_Capacity_Input!$A:$A,$B1276,[1]Fixture_Capacity_Input!$B:$B,$C1276),[1]weekly_demand!G1277))</f>
        <v/>
      </c>
      <c r="E1276" s="62" t="str">
        <f>IF($A1276="","",[1]weekly_demand!I1277)</f>
        <v/>
      </c>
      <c r="F1276" s="61" t="str">
        <f>IF($A1276="","",IF($A1276&lt;&gt;$A1275,IFERROR(INDEX([1]FG_Begin_Inventory!$B:$B,MATCH($A1276,[1]FG_Begin_Inventory!$A:$A,0)),0),J1275))</f>
        <v/>
      </c>
      <c r="G1276" s="61" t="str">
        <f t="shared" si="143"/>
        <v/>
      </c>
      <c r="H1276" s="61" t="str">
        <f t="shared" si="137"/>
        <v/>
      </c>
      <c r="I1276" s="62" t="str">
        <f t="shared" si="138"/>
        <v/>
      </c>
      <c r="J1276" s="61" t="str">
        <f t="shared" si="139"/>
        <v/>
      </c>
      <c r="K1276" s="61" t="str">
        <f t="shared" si="140"/>
        <v/>
      </c>
      <c r="L1276" s="61" t="str">
        <f t="shared" si="141"/>
        <v/>
      </c>
      <c r="M1276" s="63" t="str">
        <f t="shared" si="142"/>
        <v/>
      </c>
      <c r="N1276" s="64"/>
    </row>
    <row r="1277" spans="1:14" x14ac:dyDescent="0.3">
      <c r="A1277" s="58" t="str">
        <f>IF([1]weekly_demand!A1278="","",[1]weekly_demand!A1278)</f>
        <v/>
      </c>
      <c r="B1277" s="59" t="str">
        <f>IF($A1277="","",[1]weekly_demand!F1278)</f>
        <v/>
      </c>
      <c r="C1277" s="60" t="str">
        <f>IF($A1277="","",[1]weekly_demand!H1278)</f>
        <v/>
      </c>
      <c r="D1277" s="61" t="str">
        <f>IF($A1277="","",IF(SUMIFS([1]Fixture_Capacity_Input!$C:$C,[1]Fixture_Capacity_Input!$A:$A,$B1277,[1]Fixture_Capacity_Input!$B:$B,$C1277)&gt;0,SUMIFS([1]Fixture_Capacity_Input!$C:$C,[1]Fixture_Capacity_Input!$A:$A,$B1277,[1]Fixture_Capacity_Input!$B:$B,$C1277),[1]weekly_demand!G1278))</f>
        <v/>
      </c>
      <c r="E1277" s="62" t="str">
        <f>IF($A1277="","",[1]weekly_demand!I1278)</f>
        <v/>
      </c>
      <c r="F1277" s="61" t="str">
        <f>IF($A1277="","",IF($A1277&lt;&gt;$A1276,IFERROR(INDEX([1]FG_Begin_Inventory!$B:$B,MATCH($A1277,[1]FG_Begin_Inventory!$A:$A,0)),0),J1276))</f>
        <v/>
      </c>
      <c r="G1277" s="61" t="str">
        <f t="shared" si="143"/>
        <v/>
      </c>
      <c r="H1277" s="61" t="str">
        <f t="shared" si="137"/>
        <v/>
      </c>
      <c r="I1277" s="62" t="str">
        <f t="shared" si="138"/>
        <v/>
      </c>
      <c r="J1277" s="61" t="str">
        <f t="shared" si="139"/>
        <v/>
      </c>
      <c r="K1277" s="61" t="str">
        <f t="shared" si="140"/>
        <v/>
      </c>
      <c r="L1277" s="61" t="str">
        <f t="shared" si="141"/>
        <v/>
      </c>
      <c r="M1277" s="63" t="str">
        <f t="shared" si="142"/>
        <v/>
      </c>
      <c r="N1277" s="64"/>
    </row>
    <row r="1278" spans="1:14" x14ac:dyDescent="0.3">
      <c r="A1278" s="58" t="str">
        <f>IF([1]weekly_demand!A1279="","",[1]weekly_demand!A1279)</f>
        <v/>
      </c>
      <c r="B1278" s="59" t="str">
        <f>IF($A1278="","",[1]weekly_demand!F1279)</f>
        <v/>
      </c>
      <c r="C1278" s="60" t="str">
        <f>IF($A1278="","",[1]weekly_demand!H1279)</f>
        <v/>
      </c>
      <c r="D1278" s="61" t="str">
        <f>IF($A1278="","",IF(SUMIFS([1]Fixture_Capacity_Input!$C:$C,[1]Fixture_Capacity_Input!$A:$A,$B1278,[1]Fixture_Capacity_Input!$B:$B,$C1278)&gt;0,SUMIFS([1]Fixture_Capacity_Input!$C:$C,[1]Fixture_Capacity_Input!$A:$A,$B1278,[1]Fixture_Capacity_Input!$B:$B,$C1278),[1]weekly_demand!G1279))</f>
        <v/>
      </c>
      <c r="E1278" s="62" t="str">
        <f>IF($A1278="","",[1]weekly_demand!I1279)</f>
        <v/>
      </c>
      <c r="F1278" s="61" t="str">
        <f>IF($A1278="","",IF($A1278&lt;&gt;$A1277,IFERROR(INDEX([1]FG_Begin_Inventory!$B:$B,MATCH($A1278,[1]FG_Begin_Inventory!$A:$A,0)),0),J1277))</f>
        <v/>
      </c>
      <c r="G1278" s="61" t="str">
        <f t="shared" si="143"/>
        <v/>
      </c>
      <c r="H1278" s="61" t="str">
        <f t="shared" si="137"/>
        <v/>
      </c>
      <c r="I1278" s="62" t="str">
        <f t="shared" si="138"/>
        <v/>
      </c>
      <c r="J1278" s="61" t="str">
        <f t="shared" si="139"/>
        <v/>
      </c>
      <c r="K1278" s="61" t="str">
        <f t="shared" si="140"/>
        <v/>
      </c>
      <c r="L1278" s="61" t="str">
        <f t="shared" si="141"/>
        <v/>
      </c>
      <c r="M1278" s="63" t="str">
        <f t="shared" si="142"/>
        <v/>
      </c>
      <c r="N1278" s="64"/>
    </row>
    <row r="1279" spans="1:14" x14ac:dyDescent="0.3">
      <c r="A1279" s="58" t="str">
        <f>IF([1]weekly_demand!A1280="","",[1]weekly_demand!A1280)</f>
        <v/>
      </c>
      <c r="B1279" s="59" t="str">
        <f>IF($A1279="","",[1]weekly_demand!F1280)</f>
        <v/>
      </c>
      <c r="C1279" s="60" t="str">
        <f>IF($A1279="","",[1]weekly_demand!H1280)</f>
        <v/>
      </c>
      <c r="D1279" s="61" t="str">
        <f>IF($A1279="","",IF(SUMIFS([1]Fixture_Capacity_Input!$C:$C,[1]Fixture_Capacity_Input!$A:$A,$B1279,[1]Fixture_Capacity_Input!$B:$B,$C1279)&gt;0,SUMIFS([1]Fixture_Capacity_Input!$C:$C,[1]Fixture_Capacity_Input!$A:$A,$B1279,[1]Fixture_Capacity_Input!$B:$B,$C1279),[1]weekly_demand!G1280))</f>
        <v/>
      </c>
      <c r="E1279" s="62" t="str">
        <f>IF($A1279="","",[1]weekly_demand!I1280)</f>
        <v/>
      </c>
      <c r="F1279" s="61" t="str">
        <f>IF($A1279="","",IF($A1279&lt;&gt;$A1278,IFERROR(INDEX([1]FG_Begin_Inventory!$B:$B,MATCH($A1279,[1]FG_Begin_Inventory!$A:$A,0)),0),J1278))</f>
        <v/>
      </c>
      <c r="G1279" s="61" t="str">
        <f t="shared" si="143"/>
        <v/>
      </c>
      <c r="H1279" s="61" t="str">
        <f t="shared" si="137"/>
        <v/>
      </c>
      <c r="I1279" s="62" t="str">
        <f t="shared" si="138"/>
        <v/>
      </c>
      <c r="J1279" s="61" t="str">
        <f t="shared" si="139"/>
        <v/>
      </c>
      <c r="K1279" s="61" t="str">
        <f t="shared" si="140"/>
        <v/>
      </c>
      <c r="L1279" s="61" t="str">
        <f t="shared" si="141"/>
        <v/>
      </c>
      <c r="M1279" s="63" t="str">
        <f t="shared" si="142"/>
        <v/>
      </c>
      <c r="N1279" s="64"/>
    </row>
    <row r="1280" spans="1:14" x14ac:dyDescent="0.3">
      <c r="A1280" s="58" t="str">
        <f>IF([1]weekly_demand!A1281="","",[1]weekly_demand!A1281)</f>
        <v/>
      </c>
      <c r="B1280" s="59" t="str">
        <f>IF($A1280="","",[1]weekly_demand!F1281)</f>
        <v/>
      </c>
      <c r="C1280" s="60" t="str">
        <f>IF($A1280="","",[1]weekly_demand!H1281)</f>
        <v/>
      </c>
      <c r="D1280" s="61" t="str">
        <f>IF($A1280="","",IF(SUMIFS([1]Fixture_Capacity_Input!$C:$C,[1]Fixture_Capacity_Input!$A:$A,$B1280,[1]Fixture_Capacity_Input!$B:$B,$C1280)&gt;0,SUMIFS([1]Fixture_Capacity_Input!$C:$C,[1]Fixture_Capacity_Input!$A:$A,$B1280,[1]Fixture_Capacity_Input!$B:$B,$C1280),[1]weekly_demand!G1281))</f>
        <v/>
      </c>
      <c r="E1280" s="62" t="str">
        <f>IF($A1280="","",[1]weekly_demand!I1281)</f>
        <v/>
      </c>
      <c r="F1280" s="61" t="str">
        <f>IF($A1280="","",IF($A1280&lt;&gt;$A1279,IFERROR(INDEX([1]FG_Begin_Inventory!$B:$B,MATCH($A1280,[1]FG_Begin_Inventory!$A:$A,0)),0),J1279))</f>
        <v/>
      </c>
      <c r="G1280" s="61" t="str">
        <f t="shared" si="143"/>
        <v/>
      </c>
      <c r="H1280" s="61" t="str">
        <f t="shared" si="137"/>
        <v/>
      </c>
      <c r="I1280" s="62" t="str">
        <f t="shared" si="138"/>
        <v/>
      </c>
      <c r="J1280" s="61" t="str">
        <f t="shared" si="139"/>
        <v/>
      </c>
      <c r="K1280" s="61" t="str">
        <f t="shared" si="140"/>
        <v/>
      </c>
      <c r="L1280" s="61" t="str">
        <f t="shared" si="141"/>
        <v/>
      </c>
      <c r="M1280" s="63" t="str">
        <f t="shared" si="142"/>
        <v/>
      </c>
      <c r="N1280" s="64"/>
    </row>
    <row r="1281" spans="1:14" x14ac:dyDescent="0.3">
      <c r="A1281" s="58" t="str">
        <f>IF([1]weekly_demand!A1282="","",[1]weekly_demand!A1282)</f>
        <v/>
      </c>
      <c r="B1281" s="59" t="str">
        <f>IF($A1281="","",[1]weekly_demand!F1282)</f>
        <v/>
      </c>
      <c r="C1281" s="60" t="str">
        <f>IF($A1281="","",[1]weekly_demand!H1282)</f>
        <v/>
      </c>
      <c r="D1281" s="61" t="str">
        <f>IF($A1281="","",IF(SUMIFS([1]Fixture_Capacity_Input!$C:$C,[1]Fixture_Capacity_Input!$A:$A,$B1281,[1]Fixture_Capacity_Input!$B:$B,$C1281)&gt;0,SUMIFS([1]Fixture_Capacity_Input!$C:$C,[1]Fixture_Capacity_Input!$A:$A,$B1281,[1]Fixture_Capacity_Input!$B:$B,$C1281),[1]weekly_demand!G1282))</f>
        <v/>
      </c>
      <c r="E1281" s="62" t="str">
        <f>IF($A1281="","",[1]weekly_demand!I1282)</f>
        <v/>
      </c>
      <c r="F1281" s="61" t="str">
        <f>IF($A1281="","",IF($A1281&lt;&gt;$A1280,IFERROR(INDEX([1]FG_Begin_Inventory!$B:$B,MATCH($A1281,[1]FG_Begin_Inventory!$A:$A,0)),0),J1280))</f>
        <v/>
      </c>
      <c r="G1281" s="61" t="str">
        <f t="shared" si="143"/>
        <v/>
      </c>
      <c r="H1281" s="61" t="str">
        <f t="shared" si="137"/>
        <v/>
      </c>
      <c r="I1281" s="62" t="str">
        <f t="shared" si="138"/>
        <v/>
      </c>
      <c r="J1281" s="61" t="str">
        <f t="shared" si="139"/>
        <v/>
      </c>
      <c r="K1281" s="61" t="str">
        <f t="shared" si="140"/>
        <v/>
      </c>
      <c r="L1281" s="61" t="str">
        <f t="shared" si="141"/>
        <v/>
      </c>
      <c r="M1281" s="63" t="str">
        <f t="shared" si="142"/>
        <v/>
      </c>
      <c r="N1281" s="64"/>
    </row>
    <row r="1282" spans="1:14" x14ac:dyDescent="0.3">
      <c r="A1282" s="58" t="str">
        <f>IF([1]weekly_demand!A1283="","",[1]weekly_demand!A1283)</f>
        <v/>
      </c>
      <c r="B1282" s="59" t="str">
        <f>IF($A1282="","",[1]weekly_demand!F1283)</f>
        <v/>
      </c>
      <c r="C1282" s="60" t="str">
        <f>IF($A1282="","",[1]weekly_demand!H1283)</f>
        <v/>
      </c>
      <c r="D1282" s="61" t="str">
        <f>IF($A1282="","",IF(SUMIFS([1]Fixture_Capacity_Input!$C:$C,[1]Fixture_Capacity_Input!$A:$A,$B1282,[1]Fixture_Capacity_Input!$B:$B,$C1282)&gt;0,SUMIFS([1]Fixture_Capacity_Input!$C:$C,[1]Fixture_Capacity_Input!$A:$A,$B1282,[1]Fixture_Capacity_Input!$B:$B,$C1282),[1]weekly_demand!G1283))</f>
        <v/>
      </c>
      <c r="E1282" s="62" t="str">
        <f>IF($A1282="","",[1]weekly_demand!I1283)</f>
        <v/>
      </c>
      <c r="F1282" s="61" t="str">
        <f>IF($A1282="","",IF($A1282&lt;&gt;$A1281,IFERROR(INDEX([1]FG_Begin_Inventory!$B:$B,MATCH($A1282,[1]FG_Begin_Inventory!$A:$A,0)),0),J1281))</f>
        <v/>
      </c>
      <c r="G1282" s="61" t="str">
        <f t="shared" si="143"/>
        <v/>
      </c>
      <c r="H1282" s="61" t="str">
        <f t="shared" ref="H1282:H1345" si="144">IF($A1282="","",MAX(0,E1282+G1282-F1282))</f>
        <v/>
      </c>
      <c r="I1282" s="62" t="str">
        <f t="shared" ref="I1282:I1345" si="145">IF($A1282="","",MIN(D1282,H1282))</f>
        <v/>
      </c>
      <c r="J1282" s="61" t="str">
        <f t="shared" ref="J1282:J1345" si="146">IF($A1282="","",MAX(0,F1282+I1282-E1282))</f>
        <v/>
      </c>
      <c r="K1282" s="61" t="str">
        <f t="shared" ref="K1282:K1345" si="147">IF($A1282="","",MAX(0,E1282-F1282-I1282))</f>
        <v/>
      </c>
      <c r="L1282" s="61" t="str">
        <f t="shared" ref="L1282:L1345" si="148">IF($A1282="","",MAX(0,F1282+I1282-E1282))</f>
        <v/>
      </c>
      <c r="M1282" s="63" t="str">
        <f t="shared" ref="M1282:M1345" si="149">IF($A1282="","",IFERROR(I1282/D1282,0))</f>
        <v/>
      </c>
      <c r="N1282" s="64"/>
    </row>
    <row r="1283" spans="1:14" x14ac:dyDescent="0.3">
      <c r="A1283" s="58" t="str">
        <f>IF([1]weekly_demand!A1284="","",[1]weekly_demand!A1284)</f>
        <v/>
      </c>
      <c r="B1283" s="59" t="str">
        <f>IF($A1283="","",[1]weekly_demand!F1284)</f>
        <v/>
      </c>
      <c r="C1283" s="60" t="str">
        <f>IF($A1283="","",[1]weekly_demand!H1284)</f>
        <v/>
      </c>
      <c r="D1283" s="61" t="str">
        <f>IF($A1283="","",IF(SUMIFS([1]Fixture_Capacity_Input!$C:$C,[1]Fixture_Capacity_Input!$A:$A,$B1283,[1]Fixture_Capacity_Input!$B:$B,$C1283)&gt;0,SUMIFS([1]Fixture_Capacity_Input!$C:$C,[1]Fixture_Capacity_Input!$A:$A,$B1283,[1]Fixture_Capacity_Input!$B:$B,$C1283),[1]weekly_demand!G1284))</f>
        <v/>
      </c>
      <c r="E1283" s="62" t="str">
        <f>IF($A1283="","",[1]weekly_demand!I1284)</f>
        <v/>
      </c>
      <c r="F1283" s="61" t="str">
        <f>IF($A1283="","",IF($A1283&lt;&gt;$A1282,IFERROR(INDEX([1]FG_Begin_Inventory!$B:$B,MATCH($A1283,[1]FG_Begin_Inventory!$A:$A,0)),0),J1282))</f>
        <v/>
      </c>
      <c r="G1283" s="61" t="str">
        <f t="shared" si="143"/>
        <v/>
      </c>
      <c r="H1283" s="61" t="str">
        <f t="shared" si="144"/>
        <v/>
      </c>
      <c r="I1283" s="62" t="str">
        <f t="shared" si="145"/>
        <v/>
      </c>
      <c r="J1283" s="61" t="str">
        <f t="shared" si="146"/>
        <v/>
      </c>
      <c r="K1283" s="61" t="str">
        <f t="shared" si="147"/>
        <v/>
      </c>
      <c r="L1283" s="61" t="str">
        <f t="shared" si="148"/>
        <v/>
      </c>
      <c r="M1283" s="63" t="str">
        <f t="shared" si="149"/>
        <v/>
      </c>
      <c r="N1283" s="64"/>
    </row>
    <row r="1284" spans="1:14" x14ac:dyDescent="0.3">
      <c r="A1284" s="58" t="str">
        <f>IF([1]weekly_demand!A1285="","",[1]weekly_demand!A1285)</f>
        <v/>
      </c>
      <c r="B1284" s="59" t="str">
        <f>IF($A1284="","",[1]weekly_demand!F1285)</f>
        <v/>
      </c>
      <c r="C1284" s="60" t="str">
        <f>IF($A1284="","",[1]weekly_demand!H1285)</f>
        <v/>
      </c>
      <c r="D1284" s="61" t="str">
        <f>IF($A1284="","",IF(SUMIFS([1]Fixture_Capacity_Input!$C:$C,[1]Fixture_Capacity_Input!$A:$A,$B1284,[1]Fixture_Capacity_Input!$B:$B,$C1284)&gt;0,SUMIFS([1]Fixture_Capacity_Input!$C:$C,[1]Fixture_Capacity_Input!$A:$A,$B1284,[1]Fixture_Capacity_Input!$B:$B,$C1284),[1]weekly_demand!G1285))</f>
        <v/>
      </c>
      <c r="E1284" s="62" t="str">
        <f>IF($A1284="","",[1]weekly_demand!I1285)</f>
        <v/>
      </c>
      <c r="F1284" s="61" t="str">
        <f>IF($A1284="","",IF($A1284&lt;&gt;$A1283,IFERROR(INDEX([1]FG_Begin_Inventory!$B:$B,MATCH($A1284,[1]FG_Begin_Inventory!$A:$A,0)),0),J1283))</f>
        <v/>
      </c>
      <c r="G1284" s="61" t="str">
        <f t="shared" si="143"/>
        <v/>
      </c>
      <c r="H1284" s="61" t="str">
        <f t="shared" si="144"/>
        <v/>
      </c>
      <c r="I1284" s="62" t="str">
        <f t="shared" si="145"/>
        <v/>
      </c>
      <c r="J1284" s="61" t="str">
        <f t="shared" si="146"/>
        <v/>
      </c>
      <c r="K1284" s="61" t="str">
        <f t="shared" si="147"/>
        <v/>
      </c>
      <c r="L1284" s="61" t="str">
        <f t="shared" si="148"/>
        <v/>
      </c>
      <c r="M1284" s="63" t="str">
        <f t="shared" si="149"/>
        <v/>
      </c>
      <c r="N1284" s="64"/>
    </row>
    <row r="1285" spans="1:14" x14ac:dyDescent="0.3">
      <c r="A1285" s="58" t="str">
        <f>IF([1]weekly_demand!A1286="","",[1]weekly_demand!A1286)</f>
        <v/>
      </c>
      <c r="B1285" s="59" t="str">
        <f>IF($A1285="","",[1]weekly_demand!F1286)</f>
        <v/>
      </c>
      <c r="C1285" s="60" t="str">
        <f>IF($A1285="","",[1]weekly_demand!H1286)</f>
        <v/>
      </c>
      <c r="D1285" s="61" t="str">
        <f>IF($A1285="","",IF(SUMIFS([1]Fixture_Capacity_Input!$C:$C,[1]Fixture_Capacity_Input!$A:$A,$B1285,[1]Fixture_Capacity_Input!$B:$B,$C1285)&gt;0,SUMIFS([1]Fixture_Capacity_Input!$C:$C,[1]Fixture_Capacity_Input!$A:$A,$B1285,[1]Fixture_Capacity_Input!$B:$B,$C1285),[1]weekly_demand!G1286))</f>
        <v/>
      </c>
      <c r="E1285" s="62" t="str">
        <f>IF($A1285="","",[1]weekly_demand!I1286)</f>
        <v/>
      </c>
      <c r="F1285" s="61" t="str">
        <f>IF($A1285="","",IF($A1285&lt;&gt;$A1284,IFERROR(INDEX([1]FG_Begin_Inventory!$B:$B,MATCH($A1285,[1]FG_Begin_Inventory!$A:$A,0)),0),J1284))</f>
        <v/>
      </c>
      <c r="G1285" s="61" t="str">
        <f t="shared" si="143"/>
        <v/>
      </c>
      <c r="H1285" s="61" t="str">
        <f t="shared" si="144"/>
        <v/>
      </c>
      <c r="I1285" s="62" t="str">
        <f t="shared" si="145"/>
        <v/>
      </c>
      <c r="J1285" s="61" t="str">
        <f t="shared" si="146"/>
        <v/>
      </c>
      <c r="K1285" s="61" t="str">
        <f t="shared" si="147"/>
        <v/>
      </c>
      <c r="L1285" s="61" t="str">
        <f t="shared" si="148"/>
        <v/>
      </c>
      <c r="M1285" s="63" t="str">
        <f t="shared" si="149"/>
        <v/>
      </c>
      <c r="N1285" s="64"/>
    </row>
    <row r="1286" spans="1:14" x14ac:dyDescent="0.3">
      <c r="A1286" s="58" t="str">
        <f>IF([1]weekly_demand!A1287="","",[1]weekly_demand!A1287)</f>
        <v/>
      </c>
      <c r="B1286" s="59" t="str">
        <f>IF($A1286="","",[1]weekly_demand!F1287)</f>
        <v/>
      </c>
      <c r="C1286" s="60" t="str">
        <f>IF($A1286="","",[1]weekly_demand!H1287)</f>
        <v/>
      </c>
      <c r="D1286" s="61" t="str">
        <f>IF($A1286="","",IF(SUMIFS([1]Fixture_Capacity_Input!$C:$C,[1]Fixture_Capacity_Input!$A:$A,$B1286,[1]Fixture_Capacity_Input!$B:$B,$C1286)&gt;0,SUMIFS([1]Fixture_Capacity_Input!$C:$C,[1]Fixture_Capacity_Input!$A:$A,$B1286,[1]Fixture_Capacity_Input!$B:$B,$C1286),[1]weekly_demand!G1287))</f>
        <v/>
      </c>
      <c r="E1286" s="62" t="str">
        <f>IF($A1286="","",[1]weekly_demand!I1287)</f>
        <v/>
      </c>
      <c r="F1286" s="61" t="str">
        <f>IF($A1286="","",IF($A1286&lt;&gt;$A1285,IFERROR(INDEX([1]FG_Begin_Inventory!$B:$B,MATCH($A1286,[1]FG_Begin_Inventory!$A:$A,0)),0),J1285))</f>
        <v/>
      </c>
      <c r="G1286" s="61" t="str">
        <f t="shared" si="143"/>
        <v/>
      </c>
      <c r="H1286" s="61" t="str">
        <f t="shared" si="144"/>
        <v/>
      </c>
      <c r="I1286" s="62" t="str">
        <f t="shared" si="145"/>
        <v/>
      </c>
      <c r="J1286" s="61" t="str">
        <f t="shared" si="146"/>
        <v/>
      </c>
      <c r="K1286" s="61" t="str">
        <f t="shared" si="147"/>
        <v/>
      </c>
      <c r="L1286" s="61" t="str">
        <f t="shared" si="148"/>
        <v/>
      </c>
      <c r="M1286" s="63" t="str">
        <f t="shared" si="149"/>
        <v/>
      </c>
      <c r="N1286" s="64"/>
    </row>
    <row r="1287" spans="1:14" x14ac:dyDescent="0.3">
      <c r="A1287" s="58" t="str">
        <f>IF([1]weekly_demand!A1288="","",[1]weekly_demand!A1288)</f>
        <v/>
      </c>
      <c r="B1287" s="59" t="str">
        <f>IF($A1287="","",[1]weekly_demand!F1288)</f>
        <v/>
      </c>
      <c r="C1287" s="60" t="str">
        <f>IF($A1287="","",[1]weekly_demand!H1288)</f>
        <v/>
      </c>
      <c r="D1287" s="61" t="str">
        <f>IF($A1287="","",IF(SUMIFS([1]Fixture_Capacity_Input!$C:$C,[1]Fixture_Capacity_Input!$A:$A,$B1287,[1]Fixture_Capacity_Input!$B:$B,$C1287)&gt;0,SUMIFS([1]Fixture_Capacity_Input!$C:$C,[1]Fixture_Capacity_Input!$A:$A,$B1287,[1]Fixture_Capacity_Input!$B:$B,$C1287),[1]weekly_demand!G1288))</f>
        <v/>
      </c>
      <c r="E1287" s="62" t="str">
        <f>IF($A1287="","",[1]weekly_demand!I1288)</f>
        <v/>
      </c>
      <c r="F1287" s="61" t="str">
        <f>IF($A1287="","",IF($A1287&lt;&gt;$A1286,IFERROR(INDEX([1]FG_Begin_Inventory!$B:$B,MATCH($A1287,[1]FG_Begin_Inventory!$A:$A,0)),0),J1286))</f>
        <v/>
      </c>
      <c r="G1287" s="61" t="str">
        <f t="shared" si="143"/>
        <v/>
      </c>
      <c r="H1287" s="61" t="str">
        <f t="shared" si="144"/>
        <v/>
      </c>
      <c r="I1287" s="62" t="str">
        <f t="shared" si="145"/>
        <v/>
      </c>
      <c r="J1287" s="61" t="str">
        <f t="shared" si="146"/>
        <v/>
      </c>
      <c r="K1287" s="61" t="str">
        <f t="shared" si="147"/>
        <v/>
      </c>
      <c r="L1287" s="61" t="str">
        <f t="shared" si="148"/>
        <v/>
      </c>
      <c r="M1287" s="63" t="str">
        <f t="shared" si="149"/>
        <v/>
      </c>
      <c r="N1287" s="64"/>
    </row>
    <row r="1288" spans="1:14" x14ac:dyDescent="0.3">
      <c r="A1288" s="58" t="str">
        <f>IF([1]weekly_demand!A1289="","",[1]weekly_demand!A1289)</f>
        <v/>
      </c>
      <c r="B1288" s="59" t="str">
        <f>IF($A1288="","",[1]weekly_demand!F1289)</f>
        <v/>
      </c>
      <c r="C1288" s="60" t="str">
        <f>IF($A1288="","",[1]weekly_demand!H1289)</f>
        <v/>
      </c>
      <c r="D1288" s="61" t="str">
        <f>IF($A1288="","",IF(SUMIFS([1]Fixture_Capacity_Input!$C:$C,[1]Fixture_Capacity_Input!$A:$A,$B1288,[1]Fixture_Capacity_Input!$B:$B,$C1288)&gt;0,SUMIFS([1]Fixture_Capacity_Input!$C:$C,[1]Fixture_Capacity_Input!$A:$A,$B1288,[1]Fixture_Capacity_Input!$B:$B,$C1288),[1]weekly_demand!G1289))</f>
        <v/>
      </c>
      <c r="E1288" s="62" t="str">
        <f>IF($A1288="","",[1]weekly_demand!I1289)</f>
        <v/>
      </c>
      <c r="F1288" s="61" t="str">
        <f>IF($A1288="","",IF($A1288&lt;&gt;$A1287,IFERROR(INDEX([1]FG_Begin_Inventory!$B:$B,MATCH($A1288,[1]FG_Begin_Inventory!$A:$A,0)),0),J1287))</f>
        <v/>
      </c>
      <c r="G1288" s="61" t="str">
        <f t="shared" si="143"/>
        <v/>
      </c>
      <c r="H1288" s="61" t="str">
        <f t="shared" si="144"/>
        <v/>
      </c>
      <c r="I1288" s="62" t="str">
        <f t="shared" si="145"/>
        <v/>
      </c>
      <c r="J1288" s="61" t="str">
        <f t="shared" si="146"/>
        <v/>
      </c>
      <c r="K1288" s="61" t="str">
        <f t="shared" si="147"/>
        <v/>
      </c>
      <c r="L1288" s="61" t="str">
        <f t="shared" si="148"/>
        <v/>
      </c>
      <c r="M1288" s="63" t="str">
        <f t="shared" si="149"/>
        <v/>
      </c>
      <c r="N1288" s="64"/>
    </row>
    <row r="1289" spans="1:14" x14ac:dyDescent="0.3">
      <c r="A1289" s="58" t="str">
        <f>IF([1]weekly_demand!A1290="","",[1]weekly_demand!A1290)</f>
        <v/>
      </c>
      <c r="B1289" s="59" t="str">
        <f>IF($A1289="","",[1]weekly_demand!F1290)</f>
        <v/>
      </c>
      <c r="C1289" s="60" t="str">
        <f>IF($A1289="","",[1]weekly_demand!H1290)</f>
        <v/>
      </c>
      <c r="D1289" s="61" t="str">
        <f>IF($A1289="","",IF(SUMIFS([1]Fixture_Capacity_Input!$C:$C,[1]Fixture_Capacity_Input!$A:$A,$B1289,[1]Fixture_Capacity_Input!$B:$B,$C1289)&gt;0,SUMIFS([1]Fixture_Capacity_Input!$C:$C,[1]Fixture_Capacity_Input!$A:$A,$B1289,[1]Fixture_Capacity_Input!$B:$B,$C1289),[1]weekly_demand!G1290))</f>
        <v/>
      </c>
      <c r="E1289" s="62" t="str">
        <f>IF($A1289="","",[1]weekly_demand!I1290)</f>
        <v/>
      </c>
      <c r="F1289" s="61" t="str">
        <f>IF($A1289="","",IF($A1289&lt;&gt;$A1288,IFERROR(INDEX([1]FG_Begin_Inventory!$B:$B,MATCH($A1289,[1]FG_Begin_Inventory!$A:$A,0)),0),J1288))</f>
        <v/>
      </c>
      <c r="G1289" s="61" t="str">
        <f t="shared" si="143"/>
        <v/>
      </c>
      <c r="H1289" s="61" t="str">
        <f t="shared" si="144"/>
        <v/>
      </c>
      <c r="I1289" s="62" t="str">
        <f t="shared" si="145"/>
        <v/>
      </c>
      <c r="J1289" s="61" t="str">
        <f t="shared" si="146"/>
        <v/>
      </c>
      <c r="K1289" s="61" t="str">
        <f t="shared" si="147"/>
        <v/>
      </c>
      <c r="L1289" s="61" t="str">
        <f t="shared" si="148"/>
        <v/>
      </c>
      <c r="M1289" s="63" t="str">
        <f t="shared" si="149"/>
        <v/>
      </c>
      <c r="N1289" s="64"/>
    </row>
    <row r="1290" spans="1:14" x14ac:dyDescent="0.3">
      <c r="A1290" s="58" t="str">
        <f>IF([1]weekly_demand!A1291="","",[1]weekly_demand!A1291)</f>
        <v/>
      </c>
      <c r="B1290" s="59" t="str">
        <f>IF($A1290="","",[1]weekly_demand!F1291)</f>
        <v/>
      </c>
      <c r="C1290" s="60" t="str">
        <f>IF($A1290="","",[1]weekly_demand!H1291)</f>
        <v/>
      </c>
      <c r="D1290" s="61" t="str">
        <f>IF($A1290="","",IF(SUMIFS([1]Fixture_Capacity_Input!$C:$C,[1]Fixture_Capacity_Input!$A:$A,$B1290,[1]Fixture_Capacity_Input!$B:$B,$C1290)&gt;0,SUMIFS([1]Fixture_Capacity_Input!$C:$C,[1]Fixture_Capacity_Input!$A:$A,$B1290,[1]Fixture_Capacity_Input!$B:$B,$C1290),[1]weekly_demand!G1291))</f>
        <v/>
      </c>
      <c r="E1290" s="62" t="str">
        <f>IF($A1290="","",[1]weekly_demand!I1291)</f>
        <v/>
      </c>
      <c r="F1290" s="61" t="str">
        <f>IF($A1290="","",IF($A1290&lt;&gt;$A1289,IFERROR(INDEX([1]FG_Begin_Inventory!$B:$B,MATCH($A1290,[1]FG_Begin_Inventory!$A:$A,0)),0),J1289))</f>
        <v/>
      </c>
      <c r="G1290" s="61" t="str">
        <f t="shared" si="143"/>
        <v/>
      </c>
      <c r="H1290" s="61" t="str">
        <f t="shared" si="144"/>
        <v/>
      </c>
      <c r="I1290" s="62" t="str">
        <f t="shared" si="145"/>
        <v/>
      </c>
      <c r="J1290" s="61" t="str">
        <f t="shared" si="146"/>
        <v/>
      </c>
      <c r="K1290" s="61" t="str">
        <f t="shared" si="147"/>
        <v/>
      </c>
      <c r="L1290" s="61" t="str">
        <f t="shared" si="148"/>
        <v/>
      </c>
      <c r="M1290" s="63" t="str">
        <f t="shared" si="149"/>
        <v/>
      </c>
      <c r="N1290" s="64"/>
    </row>
    <row r="1291" spans="1:14" x14ac:dyDescent="0.3">
      <c r="A1291" s="58" t="str">
        <f>IF([1]weekly_demand!A1292="","",[1]weekly_demand!A1292)</f>
        <v/>
      </c>
      <c r="B1291" s="59" t="str">
        <f>IF($A1291="","",[1]weekly_demand!F1292)</f>
        <v/>
      </c>
      <c r="C1291" s="60" t="str">
        <f>IF($A1291="","",[1]weekly_demand!H1292)</f>
        <v/>
      </c>
      <c r="D1291" s="61" t="str">
        <f>IF($A1291="","",IF(SUMIFS([1]Fixture_Capacity_Input!$C:$C,[1]Fixture_Capacity_Input!$A:$A,$B1291,[1]Fixture_Capacity_Input!$B:$B,$C1291)&gt;0,SUMIFS([1]Fixture_Capacity_Input!$C:$C,[1]Fixture_Capacity_Input!$A:$A,$B1291,[1]Fixture_Capacity_Input!$B:$B,$C1291),[1]weekly_demand!G1292))</f>
        <v/>
      </c>
      <c r="E1291" s="62" t="str">
        <f>IF($A1291="","",[1]weekly_demand!I1292)</f>
        <v/>
      </c>
      <c r="F1291" s="61" t="str">
        <f>IF($A1291="","",IF($A1291&lt;&gt;$A1290,IFERROR(INDEX([1]FG_Begin_Inventory!$B:$B,MATCH($A1291,[1]FG_Begin_Inventory!$A:$A,0)),0),J1290))</f>
        <v/>
      </c>
      <c r="G1291" s="61" t="str">
        <f t="shared" si="143"/>
        <v/>
      </c>
      <c r="H1291" s="61" t="str">
        <f t="shared" si="144"/>
        <v/>
      </c>
      <c r="I1291" s="62" t="str">
        <f t="shared" si="145"/>
        <v/>
      </c>
      <c r="J1291" s="61" t="str">
        <f t="shared" si="146"/>
        <v/>
      </c>
      <c r="K1291" s="61" t="str">
        <f t="shared" si="147"/>
        <v/>
      </c>
      <c r="L1291" s="61" t="str">
        <f t="shared" si="148"/>
        <v/>
      </c>
      <c r="M1291" s="63" t="str">
        <f t="shared" si="149"/>
        <v/>
      </c>
      <c r="N1291" s="64"/>
    </row>
    <row r="1292" spans="1:14" x14ac:dyDescent="0.3">
      <c r="A1292" s="58" t="str">
        <f>IF([1]weekly_demand!A1293="","",[1]weekly_demand!A1293)</f>
        <v/>
      </c>
      <c r="B1292" s="59" t="str">
        <f>IF($A1292="","",[1]weekly_demand!F1293)</f>
        <v/>
      </c>
      <c r="C1292" s="60" t="str">
        <f>IF($A1292="","",[1]weekly_demand!H1293)</f>
        <v/>
      </c>
      <c r="D1292" s="61" t="str">
        <f>IF($A1292="","",IF(SUMIFS([1]Fixture_Capacity_Input!$C:$C,[1]Fixture_Capacity_Input!$A:$A,$B1292,[1]Fixture_Capacity_Input!$B:$B,$C1292)&gt;0,SUMIFS([1]Fixture_Capacity_Input!$C:$C,[1]Fixture_Capacity_Input!$A:$A,$B1292,[1]Fixture_Capacity_Input!$B:$B,$C1292),[1]weekly_demand!G1293))</f>
        <v/>
      </c>
      <c r="E1292" s="62" t="str">
        <f>IF($A1292="","",[1]weekly_demand!I1293)</f>
        <v/>
      </c>
      <c r="F1292" s="61" t="str">
        <f>IF($A1292="","",IF($A1292&lt;&gt;$A1291,IFERROR(INDEX([1]FG_Begin_Inventory!$B:$B,MATCH($A1292,[1]FG_Begin_Inventory!$A:$A,0)),0),J1291))</f>
        <v/>
      </c>
      <c r="G1292" s="61" t="str">
        <f t="shared" si="143"/>
        <v/>
      </c>
      <c r="H1292" s="61" t="str">
        <f t="shared" si="144"/>
        <v/>
      </c>
      <c r="I1292" s="62" t="str">
        <f t="shared" si="145"/>
        <v/>
      </c>
      <c r="J1292" s="61" t="str">
        <f t="shared" si="146"/>
        <v/>
      </c>
      <c r="K1292" s="61" t="str">
        <f t="shared" si="147"/>
        <v/>
      </c>
      <c r="L1292" s="61" t="str">
        <f t="shared" si="148"/>
        <v/>
      </c>
      <c r="M1292" s="63" t="str">
        <f t="shared" si="149"/>
        <v/>
      </c>
      <c r="N1292" s="64"/>
    </row>
    <row r="1293" spans="1:14" x14ac:dyDescent="0.3">
      <c r="A1293" s="58" t="str">
        <f>IF([1]weekly_demand!A1294="","",[1]weekly_demand!A1294)</f>
        <v/>
      </c>
      <c r="B1293" s="59" t="str">
        <f>IF($A1293="","",[1]weekly_demand!F1294)</f>
        <v/>
      </c>
      <c r="C1293" s="60" t="str">
        <f>IF($A1293="","",[1]weekly_demand!H1294)</f>
        <v/>
      </c>
      <c r="D1293" s="61" t="str">
        <f>IF($A1293="","",IF(SUMIFS([1]Fixture_Capacity_Input!$C:$C,[1]Fixture_Capacity_Input!$A:$A,$B1293,[1]Fixture_Capacity_Input!$B:$B,$C1293)&gt;0,SUMIFS([1]Fixture_Capacity_Input!$C:$C,[1]Fixture_Capacity_Input!$A:$A,$B1293,[1]Fixture_Capacity_Input!$B:$B,$C1293),[1]weekly_demand!G1294))</f>
        <v/>
      </c>
      <c r="E1293" s="62" t="str">
        <f>IF($A1293="","",[1]weekly_demand!I1294)</f>
        <v/>
      </c>
      <c r="F1293" s="61" t="str">
        <f>IF($A1293="","",IF($A1293&lt;&gt;$A1292,IFERROR(INDEX([1]FG_Begin_Inventory!$B:$B,MATCH($A1293,[1]FG_Begin_Inventory!$A:$A,0)),0),J1292))</f>
        <v/>
      </c>
      <c r="G1293" s="61" t="str">
        <f t="shared" si="143"/>
        <v/>
      </c>
      <c r="H1293" s="61" t="str">
        <f t="shared" si="144"/>
        <v/>
      </c>
      <c r="I1293" s="62" t="str">
        <f t="shared" si="145"/>
        <v/>
      </c>
      <c r="J1293" s="61" t="str">
        <f t="shared" si="146"/>
        <v/>
      </c>
      <c r="K1293" s="61" t="str">
        <f t="shared" si="147"/>
        <v/>
      </c>
      <c r="L1293" s="61" t="str">
        <f t="shared" si="148"/>
        <v/>
      </c>
      <c r="M1293" s="63" t="str">
        <f t="shared" si="149"/>
        <v/>
      </c>
      <c r="N1293" s="64"/>
    </row>
    <row r="1294" spans="1:14" x14ac:dyDescent="0.3">
      <c r="A1294" s="58" t="str">
        <f>IF([1]weekly_demand!A1295="","",[1]weekly_demand!A1295)</f>
        <v/>
      </c>
      <c r="B1294" s="59" t="str">
        <f>IF($A1294="","",[1]weekly_demand!F1295)</f>
        <v/>
      </c>
      <c r="C1294" s="60" t="str">
        <f>IF($A1294="","",[1]weekly_demand!H1295)</f>
        <v/>
      </c>
      <c r="D1294" s="61" t="str">
        <f>IF($A1294="","",IF(SUMIFS([1]Fixture_Capacity_Input!$C:$C,[1]Fixture_Capacity_Input!$A:$A,$B1294,[1]Fixture_Capacity_Input!$B:$B,$C1294)&gt;0,SUMIFS([1]Fixture_Capacity_Input!$C:$C,[1]Fixture_Capacity_Input!$A:$A,$B1294,[1]Fixture_Capacity_Input!$B:$B,$C1294),[1]weekly_demand!G1295))</f>
        <v/>
      </c>
      <c r="E1294" s="62" t="str">
        <f>IF($A1294="","",[1]weekly_demand!I1295)</f>
        <v/>
      </c>
      <c r="F1294" s="61" t="str">
        <f>IF($A1294="","",IF($A1294&lt;&gt;$A1293,IFERROR(INDEX([1]FG_Begin_Inventory!$B:$B,MATCH($A1294,[1]FG_Begin_Inventory!$A:$A,0)),0),J1293))</f>
        <v/>
      </c>
      <c r="G1294" s="61" t="str">
        <f t="shared" si="143"/>
        <v/>
      </c>
      <c r="H1294" s="61" t="str">
        <f t="shared" si="144"/>
        <v/>
      </c>
      <c r="I1294" s="62" t="str">
        <f t="shared" si="145"/>
        <v/>
      </c>
      <c r="J1294" s="61" t="str">
        <f t="shared" si="146"/>
        <v/>
      </c>
      <c r="K1294" s="61" t="str">
        <f t="shared" si="147"/>
        <v/>
      </c>
      <c r="L1294" s="61" t="str">
        <f t="shared" si="148"/>
        <v/>
      </c>
      <c r="M1294" s="63" t="str">
        <f t="shared" si="149"/>
        <v/>
      </c>
      <c r="N1294" s="64"/>
    </row>
    <row r="1295" spans="1:14" x14ac:dyDescent="0.3">
      <c r="A1295" s="58" t="str">
        <f>IF([1]weekly_demand!A1296="","",[1]weekly_demand!A1296)</f>
        <v/>
      </c>
      <c r="B1295" s="59" t="str">
        <f>IF($A1295="","",[1]weekly_demand!F1296)</f>
        <v/>
      </c>
      <c r="C1295" s="60" t="str">
        <f>IF($A1295="","",[1]weekly_demand!H1296)</f>
        <v/>
      </c>
      <c r="D1295" s="61" t="str">
        <f>IF($A1295="","",IF(SUMIFS([1]Fixture_Capacity_Input!$C:$C,[1]Fixture_Capacity_Input!$A:$A,$B1295,[1]Fixture_Capacity_Input!$B:$B,$C1295)&gt;0,SUMIFS([1]Fixture_Capacity_Input!$C:$C,[1]Fixture_Capacity_Input!$A:$A,$B1295,[1]Fixture_Capacity_Input!$B:$B,$C1295),[1]weekly_demand!G1296))</f>
        <v/>
      </c>
      <c r="E1295" s="62" t="str">
        <f>IF($A1295="","",[1]weekly_demand!I1296)</f>
        <v/>
      </c>
      <c r="F1295" s="61" t="str">
        <f>IF($A1295="","",IF($A1295&lt;&gt;$A1294,IFERROR(INDEX([1]FG_Begin_Inventory!$B:$B,MATCH($A1295,[1]FG_Begin_Inventory!$A:$A,0)),0),J1294))</f>
        <v/>
      </c>
      <c r="G1295" s="61" t="str">
        <f t="shared" si="143"/>
        <v/>
      </c>
      <c r="H1295" s="61" t="str">
        <f t="shared" si="144"/>
        <v/>
      </c>
      <c r="I1295" s="62" t="str">
        <f t="shared" si="145"/>
        <v/>
      </c>
      <c r="J1295" s="61" t="str">
        <f t="shared" si="146"/>
        <v/>
      </c>
      <c r="K1295" s="61" t="str">
        <f t="shared" si="147"/>
        <v/>
      </c>
      <c r="L1295" s="61" t="str">
        <f t="shared" si="148"/>
        <v/>
      </c>
      <c r="M1295" s="63" t="str">
        <f t="shared" si="149"/>
        <v/>
      </c>
      <c r="N1295" s="64"/>
    </row>
    <row r="1296" spans="1:14" x14ac:dyDescent="0.3">
      <c r="A1296" s="58" t="str">
        <f>IF([1]weekly_demand!A1297="","",[1]weekly_demand!A1297)</f>
        <v/>
      </c>
      <c r="B1296" s="59" t="str">
        <f>IF($A1296="","",[1]weekly_demand!F1297)</f>
        <v/>
      </c>
      <c r="C1296" s="60" t="str">
        <f>IF($A1296="","",[1]weekly_demand!H1297)</f>
        <v/>
      </c>
      <c r="D1296" s="61" t="str">
        <f>IF($A1296="","",IF(SUMIFS([1]Fixture_Capacity_Input!$C:$C,[1]Fixture_Capacity_Input!$A:$A,$B1296,[1]Fixture_Capacity_Input!$B:$B,$C1296)&gt;0,SUMIFS([1]Fixture_Capacity_Input!$C:$C,[1]Fixture_Capacity_Input!$A:$A,$B1296,[1]Fixture_Capacity_Input!$B:$B,$C1296),[1]weekly_demand!G1297))</f>
        <v/>
      </c>
      <c r="E1296" s="62" t="str">
        <f>IF($A1296="","",[1]weekly_demand!I1297)</f>
        <v/>
      </c>
      <c r="F1296" s="61" t="str">
        <f>IF($A1296="","",IF($A1296&lt;&gt;$A1295,IFERROR(INDEX([1]FG_Begin_Inventory!$B:$B,MATCH($A1296,[1]FG_Begin_Inventory!$A:$A,0)),0),J1295))</f>
        <v/>
      </c>
      <c r="G1296" s="61" t="str">
        <f t="shared" si="143"/>
        <v/>
      </c>
      <c r="H1296" s="61" t="str">
        <f t="shared" si="144"/>
        <v/>
      </c>
      <c r="I1296" s="62" t="str">
        <f t="shared" si="145"/>
        <v/>
      </c>
      <c r="J1296" s="61" t="str">
        <f t="shared" si="146"/>
        <v/>
      </c>
      <c r="K1296" s="61" t="str">
        <f t="shared" si="147"/>
        <v/>
      </c>
      <c r="L1296" s="61" t="str">
        <f t="shared" si="148"/>
        <v/>
      </c>
      <c r="M1296" s="63" t="str">
        <f t="shared" si="149"/>
        <v/>
      </c>
      <c r="N1296" s="64"/>
    </row>
    <row r="1297" spans="1:14" x14ac:dyDescent="0.3">
      <c r="A1297" s="58" t="str">
        <f>IF([1]weekly_demand!A1298="","",[1]weekly_demand!A1298)</f>
        <v/>
      </c>
      <c r="B1297" s="59" t="str">
        <f>IF($A1297="","",[1]weekly_demand!F1298)</f>
        <v/>
      </c>
      <c r="C1297" s="60" t="str">
        <f>IF($A1297="","",[1]weekly_demand!H1298)</f>
        <v/>
      </c>
      <c r="D1297" s="61" t="str">
        <f>IF($A1297="","",IF(SUMIFS([1]Fixture_Capacity_Input!$C:$C,[1]Fixture_Capacity_Input!$A:$A,$B1297,[1]Fixture_Capacity_Input!$B:$B,$C1297)&gt;0,SUMIFS([1]Fixture_Capacity_Input!$C:$C,[1]Fixture_Capacity_Input!$A:$A,$B1297,[1]Fixture_Capacity_Input!$B:$B,$C1297),[1]weekly_demand!G1298))</f>
        <v/>
      </c>
      <c r="E1297" s="62" t="str">
        <f>IF($A1297="","",[1]weekly_demand!I1298)</f>
        <v/>
      </c>
      <c r="F1297" s="61" t="str">
        <f>IF($A1297="","",IF($A1297&lt;&gt;$A1296,IFERROR(INDEX([1]FG_Begin_Inventory!$B:$B,MATCH($A1297,[1]FG_Begin_Inventory!$A:$A,0)),0),J1296))</f>
        <v/>
      </c>
      <c r="G1297" s="61" t="str">
        <f t="shared" si="143"/>
        <v/>
      </c>
      <c r="H1297" s="61" t="str">
        <f t="shared" si="144"/>
        <v/>
      </c>
      <c r="I1297" s="62" t="str">
        <f t="shared" si="145"/>
        <v/>
      </c>
      <c r="J1297" s="61" t="str">
        <f t="shared" si="146"/>
        <v/>
      </c>
      <c r="K1297" s="61" t="str">
        <f t="shared" si="147"/>
        <v/>
      </c>
      <c r="L1297" s="61" t="str">
        <f t="shared" si="148"/>
        <v/>
      </c>
      <c r="M1297" s="63" t="str">
        <f t="shared" si="149"/>
        <v/>
      </c>
      <c r="N1297" s="64"/>
    </row>
    <row r="1298" spans="1:14" x14ac:dyDescent="0.3">
      <c r="A1298" s="58" t="str">
        <f>IF([1]weekly_demand!A1299="","",[1]weekly_demand!A1299)</f>
        <v/>
      </c>
      <c r="B1298" s="59" t="str">
        <f>IF($A1298="","",[1]weekly_demand!F1299)</f>
        <v/>
      </c>
      <c r="C1298" s="60" t="str">
        <f>IF($A1298="","",[1]weekly_demand!H1299)</f>
        <v/>
      </c>
      <c r="D1298" s="61" t="str">
        <f>IF($A1298="","",IF(SUMIFS([1]Fixture_Capacity_Input!$C:$C,[1]Fixture_Capacity_Input!$A:$A,$B1298,[1]Fixture_Capacity_Input!$B:$B,$C1298)&gt;0,SUMIFS([1]Fixture_Capacity_Input!$C:$C,[1]Fixture_Capacity_Input!$A:$A,$B1298,[1]Fixture_Capacity_Input!$B:$B,$C1298),[1]weekly_demand!G1299))</f>
        <v/>
      </c>
      <c r="E1298" s="62" t="str">
        <f>IF($A1298="","",[1]weekly_demand!I1299)</f>
        <v/>
      </c>
      <c r="F1298" s="61" t="str">
        <f>IF($A1298="","",IF($A1298&lt;&gt;$A1297,IFERROR(INDEX([1]FG_Begin_Inventory!$B:$B,MATCH($A1298,[1]FG_Begin_Inventory!$A:$A,0)),0),J1297))</f>
        <v/>
      </c>
      <c r="G1298" s="61" t="str">
        <f t="shared" si="143"/>
        <v/>
      </c>
      <c r="H1298" s="61" t="str">
        <f t="shared" si="144"/>
        <v/>
      </c>
      <c r="I1298" s="62" t="str">
        <f t="shared" si="145"/>
        <v/>
      </c>
      <c r="J1298" s="61" t="str">
        <f t="shared" si="146"/>
        <v/>
      </c>
      <c r="K1298" s="61" t="str">
        <f t="shared" si="147"/>
        <v/>
      </c>
      <c r="L1298" s="61" t="str">
        <f t="shared" si="148"/>
        <v/>
      </c>
      <c r="M1298" s="63" t="str">
        <f t="shared" si="149"/>
        <v/>
      </c>
      <c r="N1298" s="64"/>
    </row>
    <row r="1299" spans="1:14" x14ac:dyDescent="0.3">
      <c r="A1299" s="58" t="str">
        <f>IF([1]weekly_demand!A1300="","",[1]weekly_demand!A1300)</f>
        <v/>
      </c>
      <c r="B1299" s="59" t="str">
        <f>IF($A1299="","",[1]weekly_demand!F1300)</f>
        <v/>
      </c>
      <c r="C1299" s="60" t="str">
        <f>IF($A1299="","",[1]weekly_demand!H1300)</f>
        <v/>
      </c>
      <c r="D1299" s="61" t="str">
        <f>IF($A1299="","",IF(SUMIFS([1]Fixture_Capacity_Input!$C:$C,[1]Fixture_Capacity_Input!$A:$A,$B1299,[1]Fixture_Capacity_Input!$B:$B,$C1299)&gt;0,SUMIFS([1]Fixture_Capacity_Input!$C:$C,[1]Fixture_Capacity_Input!$A:$A,$B1299,[1]Fixture_Capacity_Input!$B:$B,$C1299),[1]weekly_demand!G1300))</f>
        <v/>
      </c>
      <c r="E1299" s="62" t="str">
        <f>IF($A1299="","",[1]weekly_demand!I1300)</f>
        <v/>
      </c>
      <c r="F1299" s="61" t="str">
        <f>IF($A1299="","",IF($A1299&lt;&gt;$A1298,IFERROR(INDEX([1]FG_Begin_Inventory!$B:$B,MATCH($A1299,[1]FG_Begin_Inventory!$A:$A,0)),0),J1298))</f>
        <v/>
      </c>
      <c r="G1299" s="61" t="str">
        <f t="shared" si="143"/>
        <v/>
      </c>
      <c r="H1299" s="61" t="str">
        <f t="shared" si="144"/>
        <v/>
      </c>
      <c r="I1299" s="62" t="str">
        <f t="shared" si="145"/>
        <v/>
      </c>
      <c r="J1299" s="61" t="str">
        <f t="shared" si="146"/>
        <v/>
      </c>
      <c r="K1299" s="61" t="str">
        <f t="shared" si="147"/>
        <v/>
      </c>
      <c r="L1299" s="61" t="str">
        <f t="shared" si="148"/>
        <v/>
      </c>
      <c r="M1299" s="63" t="str">
        <f t="shared" si="149"/>
        <v/>
      </c>
      <c r="N1299" s="64"/>
    </row>
    <row r="1300" spans="1:14" x14ac:dyDescent="0.3">
      <c r="A1300" s="58" t="str">
        <f>IF([1]weekly_demand!A1301="","",[1]weekly_demand!A1301)</f>
        <v/>
      </c>
      <c r="B1300" s="59" t="str">
        <f>IF($A1300="","",[1]weekly_demand!F1301)</f>
        <v/>
      </c>
      <c r="C1300" s="60" t="str">
        <f>IF($A1300="","",[1]weekly_demand!H1301)</f>
        <v/>
      </c>
      <c r="D1300" s="61" t="str">
        <f>IF($A1300="","",IF(SUMIFS([1]Fixture_Capacity_Input!$C:$C,[1]Fixture_Capacity_Input!$A:$A,$B1300,[1]Fixture_Capacity_Input!$B:$B,$C1300)&gt;0,SUMIFS([1]Fixture_Capacity_Input!$C:$C,[1]Fixture_Capacity_Input!$A:$A,$B1300,[1]Fixture_Capacity_Input!$B:$B,$C1300),[1]weekly_demand!G1301))</f>
        <v/>
      </c>
      <c r="E1300" s="62" t="str">
        <f>IF($A1300="","",[1]weekly_demand!I1301)</f>
        <v/>
      </c>
      <c r="F1300" s="61" t="str">
        <f>IF($A1300="","",IF($A1300&lt;&gt;$A1299,IFERROR(INDEX([1]FG_Begin_Inventory!$B:$B,MATCH($A1300,[1]FG_Begin_Inventory!$A:$A,0)),0),J1299))</f>
        <v/>
      </c>
      <c r="G1300" s="61" t="str">
        <f t="shared" si="143"/>
        <v/>
      </c>
      <c r="H1300" s="61" t="str">
        <f t="shared" si="144"/>
        <v/>
      </c>
      <c r="I1300" s="62" t="str">
        <f t="shared" si="145"/>
        <v/>
      </c>
      <c r="J1300" s="61" t="str">
        <f t="shared" si="146"/>
        <v/>
      </c>
      <c r="K1300" s="61" t="str">
        <f t="shared" si="147"/>
        <v/>
      </c>
      <c r="L1300" s="61" t="str">
        <f t="shared" si="148"/>
        <v/>
      </c>
      <c r="M1300" s="63" t="str">
        <f t="shared" si="149"/>
        <v/>
      </c>
      <c r="N1300" s="64"/>
    </row>
    <row r="1301" spans="1:14" x14ac:dyDescent="0.3">
      <c r="A1301" s="58" t="str">
        <f>IF([1]weekly_demand!A1302="","",[1]weekly_demand!A1302)</f>
        <v/>
      </c>
      <c r="B1301" s="59" t="str">
        <f>IF($A1301="","",[1]weekly_demand!F1302)</f>
        <v/>
      </c>
      <c r="C1301" s="60" t="str">
        <f>IF($A1301="","",[1]weekly_demand!H1302)</f>
        <v/>
      </c>
      <c r="D1301" s="61" t="str">
        <f>IF($A1301="","",IF(SUMIFS([1]Fixture_Capacity_Input!$C:$C,[1]Fixture_Capacity_Input!$A:$A,$B1301,[1]Fixture_Capacity_Input!$B:$B,$C1301)&gt;0,SUMIFS([1]Fixture_Capacity_Input!$C:$C,[1]Fixture_Capacity_Input!$A:$A,$B1301,[1]Fixture_Capacity_Input!$B:$B,$C1301),[1]weekly_demand!G1302))</f>
        <v/>
      </c>
      <c r="E1301" s="62" t="str">
        <f>IF($A1301="","",[1]weekly_demand!I1302)</f>
        <v/>
      </c>
      <c r="F1301" s="61" t="str">
        <f>IF($A1301="","",IF($A1301&lt;&gt;$A1300,IFERROR(INDEX([1]FG_Begin_Inventory!$B:$B,MATCH($A1301,[1]FG_Begin_Inventory!$A:$A,0)),0),J1300))</f>
        <v/>
      </c>
      <c r="G1301" s="61" t="str">
        <f t="shared" si="143"/>
        <v/>
      </c>
      <c r="H1301" s="61" t="str">
        <f t="shared" si="144"/>
        <v/>
      </c>
      <c r="I1301" s="62" t="str">
        <f t="shared" si="145"/>
        <v/>
      </c>
      <c r="J1301" s="61" t="str">
        <f t="shared" si="146"/>
        <v/>
      </c>
      <c r="K1301" s="61" t="str">
        <f t="shared" si="147"/>
        <v/>
      </c>
      <c r="L1301" s="61" t="str">
        <f t="shared" si="148"/>
        <v/>
      </c>
      <c r="M1301" s="63" t="str">
        <f t="shared" si="149"/>
        <v/>
      </c>
      <c r="N1301" s="64"/>
    </row>
    <row r="1302" spans="1:14" x14ac:dyDescent="0.3">
      <c r="A1302" s="58" t="str">
        <f>IF([1]weekly_demand!A1303="","",[1]weekly_demand!A1303)</f>
        <v/>
      </c>
      <c r="B1302" s="59" t="str">
        <f>IF($A1302="","",[1]weekly_demand!F1303)</f>
        <v/>
      </c>
      <c r="C1302" s="60" t="str">
        <f>IF($A1302="","",[1]weekly_demand!H1303)</f>
        <v/>
      </c>
      <c r="D1302" s="61" t="str">
        <f>IF($A1302="","",IF(SUMIFS([1]Fixture_Capacity_Input!$C:$C,[1]Fixture_Capacity_Input!$A:$A,$B1302,[1]Fixture_Capacity_Input!$B:$B,$C1302)&gt;0,SUMIFS([1]Fixture_Capacity_Input!$C:$C,[1]Fixture_Capacity_Input!$A:$A,$B1302,[1]Fixture_Capacity_Input!$B:$B,$C1302),[1]weekly_demand!G1303))</f>
        <v/>
      </c>
      <c r="E1302" s="62" t="str">
        <f>IF($A1302="","",[1]weekly_demand!I1303)</f>
        <v/>
      </c>
      <c r="F1302" s="61" t="str">
        <f>IF($A1302="","",IF($A1302&lt;&gt;$A1301,IFERROR(INDEX([1]FG_Begin_Inventory!$B:$B,MATCH($A1302,[1]FG_Begin_Inventory!$A:$A,0)),0),J1301))</f>
        <v/>
      </c>
      <c r="G1302" s="61" t="str">
        <f t="shared" si="143"/>
        <v/>
      </c>
      <c r="H1302" s="61" t="str">
        <f t="shared" si="144"/>
        <v/>
      </c>
      <c r="I1302" s="62" t="str">
        <f t="shared" si="145"/>
        <v/>
      </c>
      <c r="J1302" s="61" t="str">
        <f t="shared" si="146"/>
        <v/>
      </c>
      <c r="K1302" s="61" t="str">
        <f t="shared" si="147"/>
        <v/>
      </c>
      <c r="L1302" s="61" t="str">
        <f t="shared" si="148"/>
        <v/>
      </c>
      <c r="M1302" s="63" t="str">
        <f t="shared" si="149"/>
        <v/>
      </c>
      <c r="N1302" s="64"/>
    </row>
    <row r="1303" spans="1:14" x14ac:dyDescent="0.3">
      <c r="A1303" s="58" t="str">
        <f>IF([1]weekly_demand!A1304="","",[1]weekly_demand!A1304)</f>
        <v/>
      </c>
      <c r="B1303" s="59" t="str">
        <f>IF($A1303="","",[1]weekly_demand!F1304)</f>
        <v/>
      </c>
      <c r="C1303" s="60" t="str">
        <f>IF($A1303="","",[1]weekly_demand!H1304)</f>
        <v/>
      </c>
      <c r="D1303" s="61" t="str">
        <f>IF($A1303="","",IF(SUMIFS([1]Fixture_Capacity_Input!$C:$C,[1]Fixture_Capacity_Input!$A:$A,$B1303,[1]Fixture_Capacity_Input!$B:$B,$C1303)&gt;0,SUMIFS([1]Fixture_Capacity_Input!$C:$C,[1]Fixture_Capacity_Input!$A:$A,$B1303,[1]Fixture_Capacity_Input!$B:$B,$C1303),[1]weekly_demand!G1304))</f>
        <v/>
      </c>
      <c r="E1303" s="62" t="str">
        <f>IF($A1303="","",[1]weekly_demand!I1304)</f>
        <v/>
      </c>
      <c r="F1303" s="61" t="str">
        <f>IF($A1303="","",IF($A1303&lt;&gt;$A1302,IFERROR(INDEX([1]FG_Begin_Inventory!$B:$B,MATCH($A1303,[1]FG_Begin_Inventory!$A:$A,0)),0),J1302))</f>
        <v/>
      </c>
      <c r="G1303" s="61" t="str">
        <f t="shared" si="143"/>
        <v/>
      </c>
      <c r="H1303" s="61" t="str">
        <f t="shared" si="144"/>
        <v/>
      </c>
      <c r="I1303" s="62" t="str">
        <f t="shared" si="145"/>
        <v/>
      </c>
      <c r="J1303" s="61" t="str">
        <f t="shared" si="146"/>
        <v/>
      </c>
      <c r="K1303" s="61" t="str">
        <f t="shared" si="147"/>
        <v/>
      </c>
      <c r="L1303" s="61" t="str">
        <f t="shared" si="148"/>
        <v/>
      </c>
      <c r="M1303" s="63" t="str">
        <f t="shared" si="149"/>
        <v/>
      </c>
      <c r="N1303" s="64"/>
    </row>
    <row r="1304" spans="1:14" x14ac:dyDescent="0.3">
      <c r="A1304" s="58" t="str">
        <f>IF([1]weekly_demand!A1305="","",[1]weekly_demand!A1305)</f>
        <v/>
      </c>
      <c r="B1304" s="59" t="str">
        <f>IF($A1304="","",[1]weekly_demand!F1305)</f>
        <v/>
      </c>
      <c r="C1304" s="60" t="str">
        <f>IF($A1304="","",[1]weekly_demand!H1305)</f>
        <v/>
      </c>
      <c r="D1304" s="61" t="str">
        <f>IF($A1304="","",IF(SUMIFS([1]Fixture_Capacity_Input!$C:$C,[1]Fixture_Capacity_Input!$A:$A,$B1304,[1]Fixture_Capacity_Input!$B:$B,$C1304)&gt;0,SUMIFS([1]Fixture_Capacity_Input!$C:$C,[1]Fixture_Capacity_Input!$A:$A,$B1304,[1]Fixture_Capacity_Input!$B:$B,$C1304),[1]weekly_demand!G1305))</f>
        <v/>
      </c>
      <c r="E1304" s="62" t="str">
        <f>IF($A1304="","",[1]weekly_demand!I1305)</f>
        <v/>
      </c>
      <c r="F1304" s="61" t="str">
        <f>IF($A1304="","",IF($A1304&lt;&gt;$A1303,IFERROR(INDEX([1]FG_Begin_Inventory!$B:$B,MATCH($A1304,[1]FG_Begin_Inventory!$A:$A,0)),0),J1303))</f>
        <v/>
      </c>
      <c r="G1304" s="61" t="str">
        <f t="shared" si="143"/>
        <v/>
      </c>
      <c r="H1304" s="61" t="str">
        <f t="shared" si="144"/>
        <v/>
      </c>
      <c r="I1304" s="62" t="str">
        <f t="shared" si="145"/>
        <v/>
      </c>
      <c r="J1304" s="61" t="str">
        <f t="shared" si="146"/>
        <v/>
      </c>
      <c r="K1304" s="61" t="str">
        <f t="shared" si="147"/>
        <v/>
      </c>
      <c r="L1304" s="61" t="str">
        <f t="shared" si="148"/>
        <v/>
      </c>
      <c r="M1304" s="63" t="str">
        <f t="shared" si="149"/>
        <v/>
      </c>
      <c r="N1304" s="64"/>
    </row>
    <row r="1305" spans="1:14" x14ac:dyDescent="0.3">
      <c r="A1305" s="58" t="str">
        <f>IF([1]weekly_demand!A1306="","",[1]weekly_demand!A1306)</f>
        <v/>
      </c>
      <c r="B1305" s="59" t="str">
        <f>IF($A1305="","",[1]weekly_demand!F1306)</f>
        <v/>
      </c>
      <c r="C1305" s="60" t="str">
        <f>IF($A1305="","",[1]weekly_demand!H1306)</f>
        <v/>
      </c>
      <c r="D1305" s="61" t="str">
        <f>IF($A1305="","",IF(SUMIFS([1]Fixture_Capacity_Input!$C:$C,[1]Fixture_Capacity_Input!$A:$A,$B1305,[1]Fixture_Capacity_Input!$B:$B,$C1305)&gt;0,SUMIFS([1]Fixture_Capacity_Input!$C:$C,[1]Fixture_Capacity_Input!$A:$A,$B1305,[1]Fixture_Capacity_Input!$B:$B,$C1305),[1]weekly_demand!G1306))</f>
        <v/>
      </c>
      <c r="E1305" s="62" t="str">
        <f>IF($A1305="","",[1]weekly_demand!I1306)</f>
        <v/>
      </c>
      <c r="F1305" s="61" t="str">
        <f>IF($A1305="","",IF($A1305&lt;&gt;$A1304,IFERROR(INDEX([1]FG_Begin_Inventory!$B:$B,MATCH($A1305,[1]FG_Begin_Inventory!$A:$A,0)),0),J1304))</f>
        <v/>
      </c>
      <c r="G1305" s="61" t="str">
        <f t="shared" si="143"/>
        <v/>
      </c>
      <c r="H1305" s="61" t="str">
        <f t="shared" si="144"/>
        <v/>
      </c>
      <c r="I1305" s="62" t="str">
        <f t="shared" si="145"/>
        <v/>
      </c>
      <c r="J1305" s="61" t="str">
        <f t="shared" si="146"/>
        <v/>
      </c>
      <c r="K1305" s="61" t="str">
        <f t="shared" si="147"/>
        <v/>
      </c>
      <c r="L1305" s="61" t="str">
        <f t="shared" si="148"/>
        <v/>
      </c>
      <c r="M1305" s="63" t="str">
        <f t="shared" si="149"/>
        <v/>
      </c>
      <c r="N1305" s="64"/>
    </row>
    <row r="1306" spans="1:14" x14ac:dyDescent="0.3">
      <c r="A1306" s="58" t="str">
        <f>IF([1]weekly_demand!A1307="","",[1]weekly_demand!A1307)</f>
        <v/>
      </c>
      <c r="B1306" s="59" t="str">
        <f>IF($A1306="","",[1]weekly_demand!F1307)</f>
        <v/>
      </c>
      <c r="C1306" s="60" t="str">
        <f>IF($A1306="","",[1]weekly_demand!H1307)</f>
        <v/>
      </c>
      <c r="D1306" s="61" t="str">
        <f>IF($A1306="","",IF(SUMIFS([1]Fixture_Capacity_Input!$C:$C,[1]Fixture_Capacity_Input!$A:$A,$B1306,[1]Fixture_Capacity_Input!$B:$B,$C1306)&gt;0,SUMIFS([1]Fixture_Capacity_Input!$C:$C,[1]Fixture_Capacity_Input!$A:$A,$B1306,[1]Fixture_Capacity_Input!$B:$B,$C1306),[1]weekly_demand!G1307))</f>
        <v/>
      </c>
      <c r="E1306" s="62" t="str">
        <f>IF($A1306="","",[1]weekly_demand!I1307)</f>
        <v/>
      </c>
      <c r="F1306" s="61" t="str">
        <f>IF($A1306="","",IF($A1306&lt;&gt;$A1305,IFERROR(INDEX([1]FG_Begin_Inventory!$B:$B,MATCH($A1306,[1]FG_Begin_Inventory!$A:$A,0)),0),J1305))</f>
        <v/>
      </c>
      <c r="G1306" s="61" t="str">
        <f t="shared" si="143"/>
        <v/>
      </c>
      <c r="H1306" s="61" t="str">
        <f t="shared" si="144"/>
        <v/>
      </c>
      <c r="I1306" s="62" t="str">
        <f t="shared" si="145"/>
        <v/>
      </c>
      <c r="J1306" s="61" t="str">
        <f t="shared" si="146"/>
        <v/>
      </c>
      <c r="K1306" s="61" t="str">
        <f t="shared" si="147"/>
        <v/>
      </c>
      <c r="L1306" s="61" t="str">
        <f t="shared" si="148"/>
        <v/>
      </c>
      <c r="M1306" s="63" t="str">
        <f t="shared" si="149"/>
        <v/>
      </c>
      <c r="N1306" s="64"/>
    </row>
    <row r="1307" spans="1:14" x14ac:dyDescent="0.3">
      <c r="A1307" s="58" t="str">
        <f>IF([1]weekly_demand!A1308="","",[1]weekly_demand!A1308)</f>
        <v/>
      </c>
      <c r="B1307" s="59" t="str">
        <f>IF($A1307="","",[1]weekly_demand!F1308)</f>
        <v/>
      </c>
      <c r="C1307" s="60" t="str">
        <f>IF($A1307="","",[1]weekly_demand!H1308)</f>
        <v/>
      </c>
      <c r="D1307" s="61" t="str">
        <f>IF($A1307="","",IF(SUMIFS([1]Fixture_Capacity_Input!$C:$C,[1]Fixture_Capacity_Input!$A:$A,$B1307,[1]Fixture_Capacity_Input!$B:$B,$C1307)&gt;0,SUMIFS([1]Fixture_Capacity_Input!$C:$C,[1]Fixture_Capacity_Input!$A:$A,$B1307,[1]Fixture_Capacity_Input!$B:$B,$C1307),[1]weekly_demand!G1308))</f>
        <v/>
      </c>
      <c r="E1307" s="62" t="str">
        <f>IF($A1307="","",[1]weekly_demand!I1308)</f>
        <v/>
      </c>
      <c r="F1307" s="61" t="str">
        <f>IF($A1307="","",IF($A1307&lt;&gt;$A1306,IFERROR(INDEX([1]FG_Begin_Inventory!$B:$B,MATCH($A1307,[1]FG_Begin_Inventory!$A:$A,0)),0),J1306))</f>
        <v/>
      </c>
      <c r="G1307" s="61" t="str">
        <f t="shared" si="143"/>
        <v/>
      </c>
      <c r="H1307" s="61" t="str">
        <f t="shared" si="144"/>
        <v/>
      </c>
      <c r="I1307" s="62" t="str">
        <f t="shared" si="145"/>
        <v/>
      </c>
      <c r="J1307" s="61" t="str">
        <f t="shared" si="146"/>
        <v/>
      </c>
      <c r="K1307" s="61" t="str">
        <f t="shared" si="147"/>
        <v/>
      </c>
      <c r="L1307" s="61" t="str">
        <f t="shared" si="148"/>
        <v/>
      </c>
      <c r="M1307" s="63" t="str">
        <f t="shared" si="149"/>
        <v/>
      </c>
      <c r="N1307" s="64"/>
    </row>
    <row r="1308" spans="1:14" x14ac:dyDescent="0.3">
      <c r="A1308" s="58" t="str">
        <f>IF([1]weekly_demand!A1309="","",[1]weekly_demand!A1309)</f>
        <v/>
      </c>
      <c r="B1308" s="59" t="str">
        <f>IF($A1308="","",[1]weekly_demand!F1309)</f>
        <v/>
      </c>
      <c r="C1308" s="60" t="str">
        <f>IF($A1308="","",[1]weekly_demand!H1309)</f>
        <v/>
      </c>
      <c r="D1308" s="61" t="str">
        <f>IF($A1308="","",IF(SUMIFS([1]Fixture_Capacity_Input!$C:$C,[1]Fixture_Capacity_Input!$A:$A,$B1308,[1]Fixture_Capacity_Input!$B:$B,$C1308)&gt;0,SUMIFS([1]Fixture_Capacity_Input!$C:$C,[1]Fixture_Capacity_Input!$A:$A,$B1308,[1]Fixture_Capacity_Input!$B:$B,$C1308),[1]weekly_demand!G1309))</f>
        <v/>
      </c>
      <c r="E1308" s="62" t="str">
        <f>IF($A1308="","",[1]weekly_demand!I1309)</f>
        <v/>
      </c>
      <c r="F1308" s="61" t="str">
        <f>IF($A1308="","",IF($A1308&lt;&gt;$A1307,IFERROR(INDEX([1]FG_Begin_Inventory!$B:$B,MATCH($A1308,[1]FG_Begin_Inventory!$A:$A,0)),0),J1307))</f>
        <v/>
      </c>
      <c r="G1308" s="61" t="str">
        <f t="shared" si="143"/>
        <v/>
      </c>
      <c r="H1308" s="61" t="str">
        <f t="shared" si="144"/>
        <v/>
      </c>
      <c r="I1308" s="62" t="str">
        <f t="shared" si="145"/>
        <v/>
      </c>
      <c r="J1308" s="61" t="str">
        <f t="shared" si="146"/>
        <v/>
      </c>
      <c r="K1308" s="61" t="str">
        <f t="shared" si="147"/>
        <v/>
      </c>
      <c r="L1308" s="61" t="str">
        <f t="shared" si="148"/>
        <v/>
      </c>
      <c r="M1308" s="63" t="str">
        <f t="shared" si="149"/>
        <v/>
      </c>
      <c r="N1308" s="64"/>
    </row>
    <row r="1309" spans="1:14" x14ac:dyDescent="0.3">
      <c r="A1309" s="58" t="str">
        <f>IF([1]weekly_demand!A1310="","",[1]weekly_demand!A1310)</f>
        <v/>
      </c>
      <c r="B1309" s="59" t="str">
        <f>IF($A1309="","",[1]weekly_demand!F1310)</f>
        <v/>
      </c>
      <c r="C1309" s="60" t="str">
        <f>IF($A1309="","",[1]weekly_demand!H1310)</f>
        <v/>
      </c>
      <c r="D1309" s="61" t="str">
        <f>IF($A1309="","",IF(SUMIFS([1]Fixture_Capacity_Input!$C:$C,[1]Fixture_Capacity_Input!$A:$A,$B1309,[1]Fixture_Capacity_Input!$B:$B,$C1309)&gt;0,SUMIFS([1]Fixture_Capacity_Input!$C:$C,[1]Fixture_Capacity_Input!$A:$A,$B1309,[1]Fixture_Capacity_Input!$B:$B,$C1309),[1]weekly_demand!G1310))</f>
        <v/>
      </c>
      <c r="E1309" s="62" t="str">
        <f>IF($A1309="","",[1]weekly_demand!I1310)</f>
        <v/>
      </c>
      <c r="F1309" s="61" t="str">
        <f>IF($A1309="","",IF($A1309&lt;&gt;$A1308,IFERROR(INDEX([1]FG_Begin_Inventory!$B:$B,MATCH($A1309,[1]FG_Begin_Inventory!$A:$A,0)),0),J1308))</f>
        <v/>
      </c>
      <c r="G1309" s="61" t="str">
        <f t="shared" si="143"/>
        <v/>
      </c>
      <c r="H1309" s="61" t="str">
        <f t="shared" si="144"/>
        <v/>
      </c>
      <c r="I1309" s="62" t="str">
        <f t="shared" si="145"/>
        <v/>
      </c>
      <c r="J1309" s="61" t="str">
        <f t="shared" si="146"/>
        <v/>
      </c>
      <c r="K1309" s="61" t="str">
        <f t="shared" si="147"/>
        <v/>
      </c>
      <c r="L1309" s="61" t="str">
        <f t="shared" si="148"/>
        <v/>
      </c>
      <c r="M1309" s="63" t="str">
        <f t="shared" si="149"/>
        <v/>
      </c>
      <c r="N1309" s="64"/>
    </row>
    <row r="1310" spans="1:14" x14ac:dyDescent="0.3">
      <c r="A1310" s="58" t="str">
        <f>IF([1]weekly_demand!A1311="","",[1]weekly_demand!A1311)</f>
        <v/>
      </c>
      <c r="B1310" s="59" t="str">
        <f>IF($A1310="","",[1]weekly_demand!F1311)</f>
        <v/>
      </c>
      <c r="C1310" s="60" t="str">
        <f>IF($A1310="","",[1]weekly_demand!H1311)</f>
        <v/>
      </c>
      <c r="D1310" s="61" t="str">
        <f>IF($A1310="","",IF(SUMIFS([1]Fixture_Capacity_Input!$C:$C,[1]Fixture_Capacity_Input!$A:$A,$B1310,[1]Fixture_Capacity_Input!$B:$B,$C1310)&gt;0,SUMIFS([1]Fixture_Capacity_Input!$C:$C,[1]Fixture_Capacity_Input!$A:$A,$B1310,[1]Fixture_Capacity_Input!$B:$B,$C1310),[1]weekly_demand!G1311))</f>
        <v/>
      </c>
      <c r="E1310" s="62" t="str">
        <f>IF($A1310="","",[1]weekly_demand!I1311)</f>
        <v/>
      </c>
      <c r="F1310" s="61" t="str">
        <f>IF($A1310="","",IF($A1310&lt;&gt;$A1309,IFERROR(INDEX([1]FG_Begin_Inventory!$B:$B,MATCH($A1310,[1]FG_Begin_Inventory!$A:$A,0)),0),J1309))</f>
        <v/>
      </c>
      <c r="G1310" s="61" t="str">
        <f t="shared" si="143"/>
        <v/>
      </c>
      <c r="H1310" s="61" t="str">
        <f t="shared" si="144"/>
        <v/>
      </c>
      <c r="I1310" s="62" t="str">
        <f t="shared" si="145"/>
        <v/>
      </c>
      <c r="J1310" s="61" t="str">
        <f t="shared" si="146"/>
        <v/>
      </c>
      <c r="K1310" s="61" t="str">
        <f t="shared" si="147"/>
        <v/>
      </c>
      <c r="L1310" s="61" t="str">
        <f t="shared" si="148"/>
        <v/>
      </c>
      <c r="M1310" s="63" t="str">
        <f t="shared" si="149"/>
        <v/>
      </c>
      <c r="N1310" s="64"/>
    </row>
    <row r="1311" spans="1:14" x14ac:dyDescent="0.3">
      <c r="A1311" s="58" t="str">
        <f>IF([1]weekly_demand!A1312="","",[1]weekly_demand!A1312)</f>
        <v/>
      </c>
      <c r="B1311" s="59" t="str">
        <f>IF($A1311="","",[1]weekly_demand!F1312)</f>
        <v/>
      </c>
      <c r="C1311" s="60" t="str">
        <f>IF($A1311="","",[1]weekly_demand!H1312)</f>
        <v/>
      </c>
      <c r="D1311" s="61" t="str">
        <f>IF($A1311="","",IF(SUMIFS([1]Fixture_Capacity_Input!$C:$C,[1]Fixture_Capacity_Input!$A:$A,$B1311,[1]Fixture_Capacity_Input!$B:$B,$C1311)&gt;0,SUMIFS([1]Fixture_Capacity_Input!$C:$C,[1]Fixture_Capacity_Input!$A:$A,$B1311,[1]Fixture_Capacity_Input!$B:$B,$C1311),[1]weekly_demand!G1312))</f>
        <v/>
      </c>
      <c r="E1311" s="62" t="str">
        <f>IF($A1311="","",[1]weekly_demand!I1312)</f>
        <v/>
      </c>
      <c r="F1311" s="61" t="str">
        <f>IF($A1311="","",IF($A1311&lt;&gt;$A1310,IFERROR(INDEX([1]FG_Begin_Inventory!$B:$B,MATCH($A1311,[1]FG_Begin_Inventory!$A:$A,0)),0),J1310))</f>
        <v/>
      </c>
      <c r="G1311" s="61" t="str">
        <f t="shared" si="143"/>
        <v/>
      </c>
      <c r="H1311" s="61" t="str">
        <f t="shared" si="144"/>
        <v/>
      </c>
      <c r="I1311" s="62" t="str">
        <f t="shared" si="145"/>
        <v/>
      </c>
      <c r="J1311" s="61" t="str">
        <f t="shared" si="146"/>
        <v/>
      </c>
      <c r="K1311" s="61" t="str">
        <f t="shared" si="147"/>
        <v/>
      </c>
      <c r="L1311" s="61" t="str">
        <f t="shared" si="148"/>
        <v/>
      </c>
      <c r="M1311" s="63" t="str">
        <f t="shared" si="149"/>
        <v/>
      </c>
      <c r="N1311" s="64"/>
    </row>
    <row r="1312" spans="1:14" x14ac:dyDescent="0.3">
      <c r="A1312" s="58" t="str">
        <f>IF([1]weekly_demand!A1313="","",[1]weekly_demand!A1313)</f>
        <v/>
      </c>
      <c r="B1312" s="59" t="str">
        <f>IF($A1312="","",[1]weekly_demand!F1313)</f>
        <v/>
      </c>
      <c r="C1312" s="60" t="str">
        <f>IF($A1312="","",[1]weekly_demand!H1313)</f>
        <v/>
      </c>
      <c r="D1312" s="61" t="str">
        <f>IF($A1312="","",IF(SUMIFS([1]Fixture_Capacity_Input!$C:$C,[1]Fixture_Capacity_Input!$A:$A,$B1312,[1]Fixture_Capacity_Input!$B:$B,$C1312)&gt;0,SUMIFS([1]Fixture_Capacity_Input!$C:$C,[1]Fixture_Capacity_Input!$A:$A,$B1312,[1]Fixture_Capacity_Input!$B:$B,$C1312),[1]weekly_demand!G1313))</f>
        <v/>
      </c>
      <c r="E1312" s="62" t="str">
        <f>IF($A1312="","",[1]weekly_demand!I1313)</f>
        <v/>
      </c>
      <c r="F1312" s="61" t="str">
        <f>IF($A1312="","",IF($A1312&lt;&gt;$A1311,IFERROR(INDEX([1]FG_Begin_Inventory!$B:$B,MATCH($A1312,[1]FG_Begin_Inventory!$A:$A,0)),0),J1311))</f>
        <v/>
      </c>
      <c r="G1312" s="61" t="str">
        <f t="shared" si="143"/>
        <v/>
      </c>
      <c r="H1312" s="61" t="str">
        <f t="shared" si="144"/>
        <v/>
      </c>
      <c r="I1312" s="62" t="str">
        <f t="shared" si="145"/>
        <v/>
      </c>
      <c r="J1312" s="61" t="str">
        <f t="shared" si="146"/>
        <v/>
      </c>
      <c r="K1312" s="61" t="str">
        <f t="shared" si="147"/>
        <v/>
      </c>
      <c r="L1312" s="61" t="str">
        <f t="shared" si="148"/>
        <v/>
      </c>
      <c r="M1312" s="63" t="str">
        <f t="shared" si="149"/>
        <v/>
      </c>
      <c r="N1312" s="64"/>
    </row>
    <row r="1313" spans="1:14" x14ac:dyDescent="0.3">
      <c r="A1313" s="58" t="str">
        <f>IF([1]weekly_demand!A1314="","",[1]weekly_demand!A1314)</f>
        <v/>
      </c>
      <c r="B1313" s="59" t="str">
        <f>IF($A1313="","",[1]weekly_demand!F1314)</f>
        <v/>
      </c>
      <c r="C1313" s="60" t="str">
        <f>IF($A1313="","",[1]weekly_demand!H1314)</f>
        <v/>
      </c>
      <c r="D1313" s="61" t="str">
        <f>IF($A1313="","",IF(SUMIFS([1]Fixture_Capacity_Input!$C:$C,[1]Fixture_Capacity_Input!$A:$A,$B1313,[1]Fixture_Capacity_Input!$B:$B,$C1313)&gt;0,SUMIFS([1]Fixture_Capacity_Input!$C:$C,[1]Fixture_Capacity_Input!$A:$A,$B1313,[1]Fixture_Capacity_Input!$B:$B,$C1313),[1]weekly_demand!G1314))</f>
        <v/>
      </c>
      <c r="E1313" s="62" t="str">
        <f>IF($A1313="","",[1]weekly_demand!I1314)</f>
        <v/>
      </c>
      <c r="F1313" s="61" t="str">
        <f>IF($A1313="","",IF($A1313&lt;&gt;$A1312,IFERROR(INDEX([1]FG_Begin_Inventory!$B:$B,MATCH($A1313,[1]FG_Begin_Inventory!$A:$A,0)),0),J1312))</f>
        <v/>
      </c>
      <c r="G1313" s="61" t="str">
        <f t="shared" si="143"/>
        <v/>
      </c>
      <c r="H1313" s="61" t="str">
        <f t="shared" si="144"/>
        <v/>
      </c>
      <c r="I1313" s="62" t="str">
        <f t="shared" si="145"/>
        <v/>
      </c>
      <c r="J1313" s="61" t="str">
        <f t="shared" si="146"/>
        <v/>
      </c>
      <c r="K1313" s="61" t="str">
        <f t="shared" si="147"/>
        <v/>
      </c>
      <c r="L1313" s="61" t="str">
        <f t="shared" si="148"/>
        <v/>
      </c>
      <c r="M1313" s="63" t="str">
        <f t="shared" si="149"/>
        <v/>
      </c>
      <c r="N1313" s="64"/>
    </row>
    <row r="1314" spans="1:14" x14ac:dyDescent="0.3">
      <c r="A1314" s="58" t="str">
        <f>IF([1]weekly_demand!A1315="","",[1]weekly_demand!A1315)</f>
        <v/>
      </c>
      <c r="B1314" s="59" t="str">
        <f>IF($A1314="","",[1]weekly_demand!F1315)</f>
        <v/>
      </c>
      <c r="C1314" s="60" t="str">
        <f>IF($A1314="","",[1]weekly_demand!H1315)</f>
        <v/>
      </c>
      <c r="D1314" s="61" t="str">
        <f>IF($A1314="","",IF(SUMIFS([1]Fixture_Capacity_Input!$C:$C,[1]Fixture_Capacity_Input!$A:$A,$B1314,[1]Fixture_Capacity_Input!$B:$B,$C1314)&gt;0,SUMIFS([1]Fixture_Capacity_Input!$C:$C,[1]Fixture_Capacity_Input!$A:$A,$B1314,[1]Fixture_Capacity_Input!$B:$B,$C1314),[1]weekly_demand!G1315))</f>
        <v/>
      </c>
      <c r="E1314" s="62" t="str">
        <f>IF($A1314="","",[1]weekly_demand!I1315)</f>
        <v/>
      </c>
      <c r="F1314" s="61" t="str">
        <f>IF($A1314="","",IF($A1314&lt;&gt;$A1313,IFERROR(INDEX([1]FG_Begin_Inventory!$B:$B,MATCH($A1314,[1]FG_Begin_Inventory!$A:$A,0)),0),J1313))</f>
        <v/>
      </c>
      <c r="G1314" s="61" t="str">
        <f t="shared" si="143"/>
        <v/>
      </c>
      <c r="H1314" s="61" t="str">
        <f t="shared" si="144"/>
        <v/>
      </c>
      <c r="I1314" s="62" t="str">
        <f t="shared" si="145"/>
        <v/>
      </c>
      <c r="J1314" s="61" t="str">
        <f t="shared" si="146"/>
        <v/>
      </c>
      <c r="K1314" s="61" t="str">
        <f t="shared" si="147"/>
        <v/>
      </c>
      <c r="L1314" s="61" t="str">
        <f t="shared" si="148"/>
        <v/>
      </c>
      <c r="M1314" s="63" t="str">
        <f t="shared" si="149"/>
        <v/>
      </c>
      <c r="N1314" s="64"/>
    </row>
    <row r="1315" spans="1:14" x14ac:dyDescent="0.3">
      <c r="A1315" s="58" t="str">
        <f>IF([1]weekly_demand!A1316="","",[1]weekly_demand!A1316)</f>
        <v/>
      </c>
      <c r="B1315" s="59" t="str">
        <f>IF($A1315="","",[1]weekly_demand!F1316)</f>
        <v/>
      </c>
      <c r="C1315" s="60" t="str">
        <f>IF($A1315="","",[1]weekly_demand!H1316)</f>
        <v/>
      </c>
      <c r="D1315" s="61" t="str">
        <f>IF($A1315="","",IF(SUMIFS([1]Fixture_Capacity_Input!$C:$C,[1]Fixture_Capacity_Input!$A:$A,$B1315,[1]Fixture_Capacity_Input!$B:$B,$C1315)&gt;0,SUMIFS([1]Fixture_Capacity_Input!$C:$C,[1]Fixture_Capacity_Input!$A:$A,$B1315,[1]Fixture_Capacity_Input!$B:$B,$C1315),[1]weekly_demand!G1316))</f>
        <v/>
      </c>
      <c r="E1315" s="62" t="str">
        <f>IF($A1315="","",[1]weekly_demand!I1316)</f>
        <v/>
      </c>
      <c r="F1315" s="61" t="str">
        <f>IF($A1315="","",IF($A1315&lt;&gt;$A1314,IFERROR(INDEX([1]FG_Begin_Inventory!$B:$B,MATCH($A1315,[1]FG_Begin_Inventory!$A:$A,0)),0),J1314))</f>
        <v/>
      </c>
      <c r="G1315" s="61" t="str">
        <f t="shared" si="143"/>
        <v/>
      </c>
      <c r="H1315" s="61" t="str">
        <f t="shared" si="144"/>
        <v/>
      </c>
      <c r="I1315" s="62" t="str">
        <f t="shared" si="145"/>
        <v/>
      </c>
      <c r="J1315" s="61" t="str">
        <f t="shared" si="146"/>
        <v/>
      </c>
      <c r="K1315" s="61" t="str">
        <f t="shared" si="147"/>
        <v/>
      </c>
      <c r="L1315" s="61" t="str">
        <f t="shared" si="148"/>
        <v/>
      </c>
      <c r="M1315" s="63" t="str">
        <f t="shared" si="149"/>
        <v/>
      </c>
      <c r="N1315" s="64"/>
    </row>
    <row r="1316" spans="1:14" x14ac:dyDescent="0.3">
      <c r="A1316" s="58" t="str">
        <f>IF([1]weekly_demand!A1317="","",[1]weekly_demand!A1317)</f>
        <v/>
      </c>
      <c r="B1316" s="59" t="str">
        <f>IF($A1316="","",[1]weekly_demand!F1317)</f>
        <v/>
      </c>
      <c r="C1316" s="60" t="str">
        <f>IF($A1316="","",[1]weekly_demand!H1317)</f>
        <v/>
      </c>
      <c r="D1316" s="61" t="str">
        <f>IF($A1316="","",IF(SUMIFS([1]Fixture_Capacity_Input!$C:$C,[1]Fixture_Capacity_Input!$A:$A,$B1316,[1]Fixture_Capacity_Input!$B:$B,$C1316)&gt;0,SUMIFS([1]Fixture_Capacity_Input!$C:$C,[1]Fixture_Capacity_Input!$A:$A,$B1316,[1]Fixture_Capacity_Input!$B:$B,$C1316),[1]weekly_demand!G1317))</f>
        <v/>
      </c>
      <c r="E1316" s="62" t="str">
        <f>IF($A1316="","",[1]weekly_demand!I1317)</f>
        <v/>
      </c>
      <c r="F1316" s="61" t="str">
        <f>IF($A1316="","",IF($A1316&lt;&gt;$A1315,IFERROR(INDEX([1]FG_Begin_Inventory!$B:$B,MATCH($A1316,[1]FG_Begin_Inventory!$A:$A,0)),0),J1315))</f>
        <v/>
      </c>
      <c r="G1316" s="61" t="str">
        <f t="shared" si="143"/>
        <v/>
      </c>
      <c r="H1316" s="61" t="str">
        <f t="shared" si="144"/>
        <v/>
      </c>
      <c r="I1316" s="62" t="str">
        <f t="shared" si="145"/>
        <v/>
      </c>
      <c r="J1316" s="61" t="str">
        <f t="shared" si="146"/>
        <v/>
      </c>
      <c r="K1316" s="61" t="str">
        <f t="shared" si="147"/>
        <v/>
      </c>
      <c r="L1316" s="61" t="str">
        <f t="shared" si="148"/>
        <v/>
      </c>
      <c r="M1316" s="63" t="str">
        <f t="shared" si="149"/>
        <v/>
      </c>
      <c r="N1316" s="64"/>
    </row>
    <row r="1317" spans="1:14" x14ac:dyDescent="0.3">
      <c r="A1317" s="58" t="str">
        <f>IF([1]weekly_demand!A1318="","",[1]weekly_demand!A1318)</f>
        <v/>
      </c>
      <c r="B1317" s="59" t="str">
        <f>IF($A1317="","",[1]weekly_demand!F1318)</f>
        <v/>
      </c>
      <c r="C1317" s="60" t="str">
        <f>IF($A1317="","",[1]weekly_demand!H1318)</f>
        <v/>
      </c>
      <c r="D1317" s="61" t="str">
        <f>IF($A1317="","",IF(SUMIFS([1]Fixture_Capacity_Input!$C:$C,[1]Fixture_Capacity_Input!$A:$A,$B1317,[1]Fixture_Capacity_Input!$B:$B,$C1317)&gt;0,SUMIFS([1]Fixture_Capacity_Input!$C:$C,[1]Fixture_Capacity_Input!$A:$A,$B1317,[1]Fixture_Capacity_Input!$B:$B,$C1317),[1]weekly_demand!G1318))</f>
        <v/>
      </c>
      <c r="E1317" s="62" t="str">
        <f>IF($A1317="","",[1]weekly_demand!I1318)</f>
        <v/>
      </c>
      <c r="F1317" s="61" t="str">
        <f>IF($A1317="","",IF($A1317&lt;&gt;$A1316,IFERROR(INDEX([1]FG_Begin_Inventory!$B:$B,MATCH($A1317,[1]FG_Begin_Inventory!$A:$A,0)),0),J1316))</f>
        <v/>
      </c>
      <c r="G1317" s="61" t="str">
        <f t="shared" si="143"/>
        <v/>
      </c>
      <c r="H1317" s="61" t="str">
        <f t="shared" si="144"/>
        <v/>
      </c>
      <c r="I1317" s="62" t="str">
        <f t="shared" si="145"/>
        <v/>
      </c>
      <c r="J1317" s="61" t="str">
        <f t="shared" si="146"/>
        <v/>
      </c>
      <c r="K1317" s="61" t="str">
        <f t="shared" si="147"/>
        <v/>
      </c>
      <c r="L1317" s="61" t="str">
        <f t="shared" si="148"/>
        <v/>
      </c>
      <c r="M1317" s="63" t="str">
        <f t="shared" si="149"/>
        <v/>
      </c>
      <c r="N1317" s="64"/>
    </row>
    <row r="1318" spans="1:14" x14ac:dyDescent="0.3">
      <c r="A1318" s="58" t="str">
        <f>IF([1]weekly_demand!A1319="","",[1]weekly_demand!A1319)</f>
        <v/>
      </c>
      <c r="B1318" s="59" t="str">
        <f>IF($A1318="","",[1]weekly_demand!F1319)</f>
        <v/>
      </c>
      <c r="C1318" s="60" t="str">
        <f>IF($A1318="","",[1]weekly_demand!H1319)</f>
        <v/>
      </c>
      <c r="D1318" s="61" t="str">
        <f>IF($A1318="","",IF(SUMIFS([1]Fixture_Capacity_Input!$C:$C,[1]Fixture_Capacity_Input!$A:$A,$B1318,[1]Fixture_Capacity_Input!$B:$B,$C1318)&gt;0,SUMIFS([1]Fixture_Capacity_Input!$C:$C,[1]Fixture_Capacity_Input!$A:$A,$B1318,[1]Fixture_Capacity_Input!$B:$B,$C1318),[1]weekly_demand!G1319))</f>
        <v/>
      </c>
      <c r="E1318" s="62" t="str">
        <f>IF($A1318="","",[1]weekly_demand!I1319)</f>
        <v/>
      </c>
      <c r="F1318" s="61" t="str">
        <f>IF($A1318="","",IF($A1318&lt;&gt;$A1317,IFERROR(INDEX([1]FG_Begin_Inventory!$B:$B,MATCH($A1318,[1]FG_Begin_Inventory!$A:$A,0)),0),J1317))</f>
        <v/>
      </c>
      <c r="G1318" s="61" t="str">
        <f t="shared" si="143"/>
        <v/>
      </c>
      <c r="H1318" s="61" t="str">
        <f t="shared" si="144"/>
        <v/>
      </c>
      <c r="I1318" s="62" t="str">
        <f t="shared" si="145"/>
        <v/>
      </c>
      <c r="J1318" s="61" t="str">
        <f t="shared" si="146"/>
        <v/>
      </c>
      <c r="K1318" s="61" t="str">
        <f t="shared" si="147"/>
        <v/>
      </c>
      <c r="L1318" s="61" t="str">
        <f t="shared" si="148"/>
        <v/>
      </c>
      <c r="M1318" s="63" t="str">
        <f t="shared" si="149"/>
        <v/>
      </c>
      <c r="N1318" s="64"/>
    </row>
    <row r="1319" spans="1:14" x14ac:dyDescent="0.3">
      <c r="A1319" s="58" t="str">
        <f>IF([1]weekly_demand!A1320="","",[1]weekly_demand!A1320)</f>
        <v/>
      </c>
      <c r="B1319" s="59" t="str">
        <f>IF($A1319="","",[1]weekly_demand!F1320)</f>
        <v/>
      </c>
      <c r="C1319" s="60" t="str">
        <f>IF($A1319="","",[1]weekly_demand!H1320)</f>
        <v/>
      </c>
      <c r="D1319" s="61" t="str">
        <f>IF($A1319="","",IF(SUMIFS([1]Fixture_Capacity_Input!$C:$C,[1]Fixture_Capacity_Input!$A:$A,$B1319,[1]Fixture_Capacity_Input!$B:$B,$C1319)&gt;0,SUMIFS([1]Fixture_Capacity_Input!$C:$C,[1]Fixture_Capacity_Input!$A:$A,$B1319,[1]Fixture_Capacity_Input!$B:$B,$C1319),[1]weekly_demand!G1320))</f>
        <v/>
      </c>
      <c r="E1319" s="62" t="str">
        <f>IF($A1319="","",[1]weekly_demand!I1320)</f>
        <v/>
      </c>
      <c r="F1319" s="61" t="str">
        <f>IF($A1319="","",IF($A1319&lt;&gt;$A1318,IFERROR(INDEX([1]FG_Begin_Inventory!$B:$B,MATCH($A1319,[1]FG_Begin_Inventory!$A:$A,0)),0),J1318))</f>
        <v/>
      </c>
      <c r="G1319" s="61" t="str">
        <f t="shared" si="143"/>
        <v/>
      </c>
      <c r="H1319" s="61" t="str">
        <f t="shared" si="144"/>
        <v/>
      </c>
      <c r="I1319" s="62" t="str">
        <f t="shared" si="145"/>
        <v/>
      </c>
      <c r="J1319" s="61" t="str">
        <f t="shared" si="146"/>
        <v/>
      </c>
      <c r="K1319" s="61" t="str">
        <f t="shared" si="147"/>
        <v/>
      </c>
      <c r="L1319" s="61" t="str">
        <f t="shared" si="148"/>
        <v/>
      </c>
      <c r="M1319" s="63" t="str">
        <f t="shared" si="149"/>
        <v/>
      </c>
      <c r="N1319" s="64"/>
    </row>
    <row r="1320" spans="1:14" x14ac:dyDescent="0.3">
      <c r="A1320" s="58" t="str">
        <f>IF([1]weekly_demand!A1321="","",[1]weekly_demand!A1321)</f>
        <v/>
      </c>
      <c r="B1320" s="59" t="str">
        <f>IF($A1320="","",[1]weekly_demand!F1321)</f>
        <v/>
      </c>
      <c r="C1320" s="60" t="str">
        <f>IF($A1320="","",[1]weekly_demand!H1321)</f>
        <v/>
      </c>
      <c r="D1320" s="61" t="str">
        <f>IF($A1320="","",IF(SUMIFS([1]Fixture_Capacity_Input!$C:$C,[1]Fixture_Capacity_Input!$A:$A,$B1320,[1]Fixture_Capacity_Input!$B:$B,$C1320)&gt;0,SUMIFS([1]Fixture_Capacity_Input!$C:$C,[1]Fixture_Capacity_Input!$A:$A,$B1320,[1]Fixture_Capacity_Input!$B:$B,$C1320),[1]weekly_demand!G1321))</f>
        <v/>
      </c>
      <c r="E1320" s="62" t="str">
        <f>IF($A1320="","",[1]weekly_demand!I1321)</f>
        <v/>
      </c>
      <c r="F1320" s="61" t="str">
        <f>IF($A1320="","",IF($A1320&lt;&gt;$A1319,IFERROR(INDEX([1]FG_Begin_Inventory!$B:$B,MATCH($A1320,[1]FG_Begin_Inventory!$A:$A,0)),0),J1319))</f>
        <v/>
      </c>
      <c r="G1320" s="61" t="str">
        <f t="shared" si="143"/>
        <v/>
      </c>
      <c r="H1320" s="61" t="str">
        <f t="shared" si="144"/>
        <v/>
      </c>
      <c r="I1320" s="62" t="str">
        <f t="shared" si="145"/>
        <v/>
      </c>
      <c r="J1320" s="61" t="str">
        <f t="shared" si="146"/>
        <v/>
      </c>
      <c r="K1320" s="61" t="str">
        <f t="shared" si="147"/>
        <v/>
      </c>
      <c r="L1320" s="61" t="str">
        <f t="shared" si="148"/>
        <v/>
      </c>
      <c r="M1320" s="63" t="str">
        <f t="shared" si="149"/>
        <v/>
      </c>
      <c r="N1320" s="64"/>
    </row>
    <row r="1321" spans="1:14" x14ac:dyDescent="0.3">
      <c r="A1321" s="58" t="str">
        <f>IF([1]weekly_demand!A1322="","",[1]weekly_demand!A1322)</f>
        <v/>
      </c>
      <c r="B1321" s="59" t="str">
        <f>IF($A1321="","",[1]weekly_demand!F1322)</f>
        <v/>
      </c>
      <c r="C1321" s="60" t="str">
        <f>IF($A1321="","",[1]weekly_demand!H1322)</f>
        <v/>
      </c>
      <c r="D1321" s="61" t="str">
        <f>IF($A1321="","",IF(SUMIFS([1]Fixture_Capacity_Input!$C:$C,[1]Fixture_Capacity_Input!$A:$A,$B1321,[1]Fixture_Capacity_Input!$B:$B,$C1321)&gt;0,SUMIFS([1]Fixture_Capacity_Input!$C:$C,[1]Fixture_Capacity_Input!$A:$A,$B1321,[1]Fixture_Capacity_Input!$B:$B,$C1321),[1]weekly_demand!G1322))</f>
        <v/>
      </c>
      <c r="E1321" s="62" t="str">
        <f>IF($A1321="","",[1]weekly_demand!I1322)</f>
        <v/>
      </c>
      <c r="F1321" s="61" t="str">
        <f>IF($A1321="","",IF($A1321&lt;&gt;$A1320,IFERROR(INDEX([1]FG_Begin_Inventory!$B:$B,MATCH($A1321,[1]FG_Begin_Inventory!$A:$A,0)),0),J1320))</f>
        <v/>
      </c>
      <c r="G1321" s="61" t="str">
        <f t="shared" si="143"/>
        <v/>
      </c>
      <c r="H1321" s="61" t="str">
        <f t="shared" si="144"/>
        <v/>
      </c>
      <c r="I1321" s="62" t="str">
        <f t="shared" si="145"/>
        <v/>
      </c>
      <c r="J1321" s="61" t="str">
        <f t="shared" si="146"/>
        <v/>
      </c>
      <c r="K1321" s="61" t="str">
        <f t="shared" si="147"/>
        <v/>
      </c>
      <c r="L1321" s="61" t="str">
        <f t="shared" si="148"/>
        <v/>
      </c>
      <c r="M1321" s="63" t="str">
        <f t="shared" si="149"/>
        <v/>
      </c>
      <c r="N1321" s="64"/>
    </row>
    <row r="1322" spans="1:14" x14ac:dyDescent="0.3">
      <c r="A1322" s="58" t="str">
        <f>IF([1]weekly_demand!A1323="","",[1]weekly_demand!A1323)</f>
        <v/>
      </c>
      <c r="B1322" s="59" t="str">
        <f>IF($A1322="","",[1]weekly_demand!F1323)</f>
        <v/>
      </c>
      <c r="C1322" s="60" t="str">
        <f>IF($A1322="","",[1]weekly_demand!H1323)</f>
        <v/>
      </c>
      <c r="D1322" s="61" t="str">
        <f>IF($A1322="","",IF(SUMIFS([1]Fixture_Capacity_Input!$C:$C,[1]Fixture_Capacity_Input!$A:$A,$B1322,[1]Fixture_Capacity_Input!$B:$B,$C1322)&gt;0,SUMIFS([1]Fixture_Capacity_Input!$C:$C,[1]Fixture_Capacity_Input!$A:$A,$B1322,[1]Fixture_Capacity_Input!$B:$B,$C1322),[1]weekly_demand!G1323))</f>
        <v/>
      </c>
      <c r="E1322" s="62" t="str">
        <f>IF($A1322="","",[1]weekly_demand!I1323)</f>
        <v/>
      </c>
      <c r="F1322" s="61" t="str">
        <f>IF($A1322="","",IF($A1322&lt;&gt;$A1321,IFERROR(INDEX([1]FG_Begin_Inventory!$B:$B,MATCH($A1322,[1]FG_Begin_Inventory!$A:$A,0)),0),J1321))</f>
        <v/>
      </c>
      <c r="G1322" s="61" t="str">
        <f t="shared" si="143"/>
        <v/>
      </c>
      <c r="H1322" s="61" t="str">
        <f t="shared" si="144"/>
        <v/>
      </c>
      <c r="I1322" s="62" t="str">
        <f t="shared" si="145"/>
        <v/>
      </c>
      <c r="J1322" s="61" t="str">
        <f t="shared" si="146"/>
        <v/>
      </c>
      <c r="K1322" s="61" t="str">
        <f t="shared" si="147"/>
        <v/>
      </c>
      <c r="L1322" s="61" t="str">
        <f t="shared" si="148"/>
        <v/>
      </c>
      <c r="M1322" s="63" t="str">
        <f t="shared" si="149"/>
        <v/>
      </c>
      <c r="N1322" s="64"/>
    </row>
    <row r="1323" spans="1:14" x14ac:dyDescent="0.3">
      <c r="A1323" s="58" t="str">
        <f>IF([1]weekly_demand!A1324="","",[1]weekly_demand!A1324)</f>
        <v/>
      </c>
      <c r="B1323" s="59" t="str">
        <f>IF($A1323="","",[1]weekly_demand!F1324)</f>
        <v/>
      </c>
      <c r="C1323" s="60" t="str">
        <f>IF($A1323="","",[1]weekly_demand!H1324)</f>
        <v/>
      </c>
      <c r="D1323" s="61" t="str">
        <f>IF($A1323="","",IF(SUMIFS([1]Fixture_Capacity_Input!$C:$C,[1]Fixture_Capacity_Input!$A:$A,$B1323,[1]Fixture_Capacity_Input!$B:$B,$C1323)&gt;0,SUMIFS([1]Fixture_Capacity_Input!$C:$C,[1]Fixture_Capacity_Input!$A:$A,$B1323,[1]Fixture_Capacity_Input!$B:$B,$C1323),[1]weekly_demand!G1324))</f>
        <v/>
      </c>
      <c r="E1323" s="62" t="str">
        <f>IF($A1323="","",[1]weekly_demand!I1324)</f>
        <v/>
      </c>
      <c r="F1323" s="61" t="str">
        <f>IF($A1323="","",IF($A1323&lt;&gt;$A1322,IFERROR(INDEX([1]FG_Begin_Inventory!$B:$B,MATCH($A1323,[1]FG_Begin_Inventory!$A:$A,0)),0),J1322))</f>
        <v/>
      </c>
      <c r="G1323" s="61" t="str">
        <f t="shared" si="143"/>
        <v/>
      </c>
      <c r="H1323" s="61" t="str">
        <f t="shared" si="144"/>
        <v/>
      </c>
      <c r="I1323" s="62" t="str">
        <f t="shared" si="145"/>
        <v/>
      </c>
      <c r="J1323" s="61" t="str">
        <f t="shared" si="146"/>
        <v/>
      </c>
      <c r="K1323" s="61" t="str">
        <f t="shared" si="147"/>
        <v/>
      </c>
      <c r="L1323" s="61" t="str">
        <f t="shared" si="148"/>
        <v/>
      </c>
      <c r="M1323" s="63" t="str">
        <f t="shared" si="149"/>
        <v/>
      </c>
      <c r="N1323" s="64"/>
    </row>
    <row r="1324" spans="1:14" x14ac:dyDescent="0.3">
      <c r="A1324" s="58" t="str">
        <f>IF([1]weekly_demand!A1325="","",[1]weekly_demand!A1325)</f>
        <v/>
      </c>
      <c r="B1324" s="59" t="str">
        <f>IF($A1324="","",[1]weekly_demand!F1325)</f>
        <v/>
      </c>
      <c r="C1324" s="60" t="str">
        <f>IF($A1324="","",[1]weekly_demand!H1325)</f>
        <v/>
      </c>
      <c r="D1324" s="61" t="str">
        <f>IF($A1324="","",IF(SUMIFS([1]Fixture_Capacity_Input!$C:$C,[1]Fixture_Capacity_Input!$A:$A,$B1324,[1]Fixture_Capacity_Input!$B:$B,$C1324)&gt;0,SUMIFS([1]Fixture_Capacity_Input!$C:$C,[1]Fixture_Capacity_Input!$A:$A,$B1324,[1]Fixture_Capacity_Input!$B:$B,$C1324),[1]weekly_demand!G1325))</f>
        <v/>
      </c>
      <c r="E1324" s="62" t="str">
        <f>IF($A1324="","",[1]weekly_demand!I1325)</f>
        <v/>
      </c>
      <c r="F1324" s="61" t="str">
        <f>IF($A1324="","",IF($A1324&lt;&gt;$A1323,IFERROR(INDEX([1]FG_Begin_Inventory!$B:$B,MATCH($A1324,[1]FG_Begin_Inventory!$A:$A,0)),0),J1323))</f>
        <v/>
      </c>
      <c r="G1324" s="61" t="str">
        <f t="shared" si="143"/>
        <v/>
      </c>
      <c r="H1324" s="61" t="str">
        <f t="shared" si="144"/>
        <v/>
      </c>
      <c r="I1324" s="62" t="str">
        <f t="shared" si="145"/>
        <v/>
      </c>
      <c r="J1324" s="61" t="str">
        <f t="shared" si="146"/>
        <v/>
      </c>
      <c r="K1324" s="61" t="str">
        <f t="shared" si="147"/>
        <v/>
      </c>
      <c r="L1324" s="61" t="str">
        <f t="shared" si="148"/>
        <v/>
      </c>
      <c r="M1324" s="63" t="str">
        <f t="shared" si="149"/>
        <v/>
      </c>
      <c r="N1324" s="64"/>
    </row>
    <row r="1325" spans="1:14" x14ac:dyDescent="0.3">
      <c r="A1325" s="58" t="str">
        <f>IF([1]weekly_demand!A1326="","",[1]weekly_demand!A1326)</f>
        <v/>
      </c>
      <c r="B1325" s="59" t="str">
        <f>IF($A1325="","",[1]weekly_demand!F1326)</f>
        <v/>
      </c>
      <c r="C1325" s="60" t="str">
        <f>IF($A1325="","",[1]weekly_demand!H1326)</f>
        <v/>
      </c>
      <c r="D1325" s="61" t="str">
        <f>IF($A1325="","",IF(SUMIFS([1]Fixture_Capacity_Input!$C:$C,[1]Fixture_Capacity_Input!$A:$A,$B1325,[1]Fixture_Capacity_Input!$B:$B,$C1325)&gt;0,SUMIFS([1]Fixture_Capacity_Input!$C:$C,[1]Fixture_Capacity_Input!$A:$A,$B1325,[1]Fixture_Capacity_Input!$B:$B,$C1325),[1]weekly_demand!G1326))</f>
        <v/>
      </c>
      <c r="E1325" s="62" t="str">
        <f>IF($A1325="","",[1]weekly_demand!I1326)</f>
        <v/>
      </c>
      <c r="F1325" s="61" t="str">
        <f>IF($A1325="","",IF($A1325&lt;&gt;$A1324,IFERROR(INDEX([1]FG_Begin_Inventory!$B:$B,MATCH($A1325,[1]FG_Begin_Inventory!$A:$A,0)),0),J1324))</f>
        <v/>
      </c>
      <c r="G1325" s="61" t="str">
        <f t="shared" si="143"/>
        <v/>
      </c>
      <c r="H1325" s="61" t="str">
        <f t="shared" si="144"/>
        <v/>
      </c>
      <c r="I1325" s="62" t="str">
        <f t="shared" si="145"/>
        <v/>
      </c>
      <c r="J1325" s="61" t="str">
        <f t="shared" si="146"/>
        <v/>
      </c>
      <c r="K1325" s="61" t="str">
        <f t="shared" si="147"/>
        <v/>
      </c>
      <c r="L1325" s="61" t="str">
        <f t="shared" si="148"/>
        <v/>
      </c>
      <c r="M1325" s="63" t="str">
        <f t="shared" si="149"/>
        <v/>
      </c>
      <c r="N1325" s="64"/>
    </row>
    <row r="1326" spans="1:14" x14ac:dyDescent="0.3">
      <c r="A1326" s="58" t="str">
        <f>IF([1]weekly_demand!A1327="","",[1]weekly_demand!A1327)</f>
        <v/>
      </c>
      <c r="B1326" s="59" t="str">
        <f>IF($A1326="","",[1]weekly_demand!F1327)</f>
        <v/>
      </c>
      <c r="C1326" s="60" t="str">
        <f>IF($A1326="","",[1]weekly_demand!H1327)</f>
        <v/>
      </c>
      <c r="D1326" s="61" t="str">
        <f>IF($A1326="","",IF(SUMIFS([1]Fixture_Capacity_Input!$C:$C,[1]Fixture_Capacity_Input!$A:$A,$B1326,[1]Fixture_Capacity_Input!$B:$B,$C1326)&gt;0,SUMIFS([1]Fixture_Capacity_Input!$C:$C,[1]Fixture_Capacity_Input!$A:$A,$B1326,[1]Fixture_Capacity_Input!$B:$B,$C1326),[1]weekly_demand!G1327))</f>
        <v/>
      </c>
      <c r="E1326" s="62" t="str">
        <f>IF($A1326="","",[1]weekly_demand!I1327)</f>
        <v/>
      </c>
      <c r="F1326" s="61" t="str">
        <f>IF($A1326="","",IF($A1326&lt;&gt;$A1325,IFERROR(INDEX([1]FG_Begin_Inventory!$B:$B,MATCH($A1326,[1]FG_Begin_Inventory!$A:$A,0)),0),J1325))</f>
        <v/>
      </c>
      <c r="G1326" s="61" t="str">
        <f t="shared" si="143"/>
        <v/>
      </c>
      <c r="H1326" s="61" t="str">
        <f t="shared" si="144"/>
        <v/>
      </c>
      <c r="I1326" s="62" t="str">
        <f t="shared" si="145"/>
        <v/>
      </c>
      <c r="J1326" s="61" t="str">
        <f t="shared" si="146"/>
        <v/>
      </c>
      <c r="K1326" s="61" t="str">
        <f t="shared" si="147"/>
        <v/>
      </c>
      <c r="L1326" s="61" t="str">
        <f t="shared" si="148"/>
        <v/>
      </c>
      <c r="M1326" s="63" t="str">
        <f t="shared" si="149"/>
        <v/>
      </c>
      <c r="N1326" s="64"/>
    </row>
    <row r="1327" spans="1:14" x14ac:dyDescent="0.3">
      <c r="A1327" s="58" t="str">
        <f>IF([1]weekly_demand!A1328="","",[1]weekly_demand!A1328)</f>
        <v/>
      </c>
      <c r="B1327" s="59" t="str">
        <f>IF($A1327="","",[1]weekly_demand!F1328)</f>
        <v/>
      </c>
      <c r="C1327" s="60" t="str">
        <f>IF($A1327="","",[1]weekly_demand!H1328)</f>
        <v/>
      </c>
      <c r="D1327" s="61" t="str">
        <f>IF($A1327="","",IF(SUMIFS([1]Fixture_Capacity_Input!$C:$C,[1]Fixture_Capacity_Input!$A:$A,$B1327,[1]Fixture_Capacity_Input!$B:$B,$C1327)&gt;0,SUMIFS([1]Fixture_Capacity_Input!$C:$C,[1]Fixture_Capacity_Input!$A:$A,$B1327,[1]Fixture_Capacity_Input!$B:$B,$C1327),[1]weekly_demand!G1328))</f>
        <v/>
      </c>
      <c r="E1327" s="62" t="str">
        <f>IF($A1327="","",[1]weekly_demand!I1328)</f>
        <v/>
      </c>
      <c r="F1327" s="61" t="str">
        <f>IF($A1327="","",IF($A1327&lt;&gt;$A1326,IFERROR(INDEX([1]FG_Begin_Inventory!$B:$B,MATCH($A1327,[1]FG_Begin_Inventory!$A:$A,0)),0),J1326))</f>
        <v/>
      </c>
      <c r="G1327" s="61" t="str">
        <f t="shared" si="143"/>
        <v/>
      </c>
      <c r="H1327" s="61" t="str">
        <f t="shared" si="144"/>
        <v/>
      </c>
      <c r="I1327" s="62" t="str">
        <f t="shared" si="145"/>
        <v/>
      </c>
      <c r="J1327" s="61" t="str">
        <f t="shared" si="146"/>
        <v/>
      </c>
      <c r="K1327" s="61" t="str">
        <f t="shared" si="147"/>
        <v/>
      </c>
      <c r="L1327" s="61" t="str">
        <f t="shared" si="148"/>
        <v/>
      </c>
      <c r="M1327" s="63" t="str">
        <f t="shared" si="149"/>
        <v/>
      </c>
      <c r="N1327" s="64"/>
    </row>
    <row r="1328" spans="1:14" x14ac:dyDescent="0.3">
      <c r="A1328" s="58" t="str">
        <f>IF([1]weekly_demand!A1329="","",[1]weekly_demand!A1329)</f>
        <v/>
      </c>
      <c r="B1328" s="59" t="str">
        <f>IF($A1328="","",[1]weekly_demand!F1329)</f>
        <v/>
      </c>
      <c r="C1328" s="60" t="str">
        <f>IF($A1328="","",[1]weekly_demand!H1329)</f>
        <v/>
      </c>
      <c r="D1328" s="61" t="str">
        <f>IF($A1328="","",IF(SUMIFS([1]Fixture_Capacity_Input!$C:$C,[1]Fixture_Capacity_Input!$A:$A,$B1328,[1]Fixture_Capacity_Input!$B:$B,$C1328)&gt;0,SUMIFS([1]Fixture_Capacity_Input!$C:$C,[1]Fixture_Capacity_Input!$A:$A,$B1328,[1]Fixture_Capacity_Input!$B:$B,$C1328),[1]weekly_demand!G1329))</f>
        <v/>
      </c>
      <c r="E1328" s="62" t="str">
        <f>IF($A1328="","",[1]weekly_demand!I1329)</f>
        <v/>
      </c>
      <c r="F1328" s="61" t="str">
        <f>IF($A1328="","",IF($A1328&lt;&gt;$A1327,IFERROR(INDEX([1]FG_Begin_Inventory!$B:$B,MATCH($A1328,[1]FG_Begin_Inventory!$A:$A,0)),0),J1327))</f>
        <v/>
      </c>
      <c r="G1328" s="61" t="str">
        <f t="shared" si="143"/>
        <v/>
      </c>
      <c r="H1328" s="61" t="str">
        <f t="shared" si="144"/>
        <v/>
      </c>
      <c r="I1328" s="62" t="str">
        <f t="shared" si="145"/>
        <v/>
      </c>
      <c r="J1328" s="61" t="str">
        <f t="shared" si="146"/>
        <v/>
      </c>
      <c r="K1328" s="61" t="str">
        <f t="shared" si="147"/>
        <v/>
      </c>
      <c r="L1328" s="61" t="str">
        <f t="shared" si="148"/>
        <v/>
      </c>
      <c r="M1328" s="63" t="str">
        <f t="shared" si="149"/>
        <v/>
      </c>
      <c r="N1328" s="64"/>
    </row>
    <row r="1329" spans="1:14" x14ac:dyDescent="0.3">
      <c r="A1329" s="58" t="str">
        <f>IF([1]weekly_demand!A1330="","",[1]weekly_demand!A1330)</f>
        <v/>
      </c>
      <c r="B1329" s="59" t="str">
        <f>IF($A1329="","",[1]weekly_demand!F1330)</f>
        <v/>
      </c>
      <c r="C1329" s="60" t="str">
        <f>IF($A1329="","",[1]weekly_demand!H1330)</f>
        <v/>
      </c>
      <c r="D1329" s="61" t="str">
        <f>IF($A1329="","",IF(SUMIFS([1]Fixture_Capacity_Input!$C:$C,[1]Fixture_Capacity_Input!$A:$A,$B1329,[1]Fixture_Capacity_Input!$B:$B,$C1329)&gt;0,SUMIFS([1]Fixture_Capacity_Input!$C:$C,[1]Fixture_Capacity_Input!$A:$A,$B1329,[1]Fixture_Capacity_Input!$B:$B,$C1329),[1]weekly_demand!G1330))</f>
        <v/>
      </c>
      <c r="E1329" s="62" t="str">
        <f>IF($A1329="","",[1]weekly_demand!I1330)</f>
        <v/>
      </c>
      <c r="F1329" s="61" t="str">
        <f>IF($A1329="","",IF($A1329&lt;&gt;$A1328,IFERROR(INDEX([1]FG_Begin_Inventory!$B:$B,MATCH($A1329,[1]FG_Begin_Inventory!$A:$A,0)),0),J1328))</f>
        <v/>
      </c>
      <c r="G1329" s="61" t="str">
        <f t="shared" si="143"/>
        <v/>
      </c>
      <c r="H1329" s="61" t="str">
        <f t="shared" si="144"/>
        <v/>
      </c>
      <c r="I1329" s="62" t="str">
        <f t="shared" si="145"/>
        <v/>
      </c>
      <c r="J1329" s="61" t="str">
        <f t="shared" si="146"/>
        <v/>
      </c>
      <c r="K1329" s="61" t="str">
        <f t="shared" si="147"/>
        <v/>
      </c>
      <c r="L1329" s="61" t="str">
        <f t="shared" si="148"/>
        <v/>
      </c>
      <c r="M1329" s="63" t="str">
        <f t="shared" si="149"/>
        <v/>
      </c>
      <c r="N1329" s="64"/>
    </row>
    <row r="1330" spans="1:14" x14ac:dyDescent="0.3">
      <c r="A1330" s="58" t="str">
        <f>IF([1]weekly_demand!A1331="","",[1]weekly_demand!A1331)</f>
        <v/>
      </c>
      <c r="B1330" s="59" t="str">
        <f>IF($A1330="","",[1]weekly_demand!F1331)</f>
        <v/>
      </c>
      <c r="C1330" s="60" t="str">
        <f>IF($A1330="","",[1]weekly_demand!H1331)</f>
        <v/>
      </c>
      <c r="D1330" s="61" t="str">
        <f>IF($A1330="","",IF(SUMIFS([1]Fixture_Capacity_Input!$C:$C,[1]Fixture_Capacity_Input!$A:$A,$B1330,[1]Fixture_Capacity_Input!$B:$B,$C1330)&gt;0,SUMIFS([1]Fixture_Capacity_Input!$C:$C,[1]Fixture_Capacity_Input!$A:$A,$B1330,[1]Fixture_Capacity_Input!$B:$B,$C1330),[1]weekly_demand!G1331))</f>
        <v/>
      </c>
      <c r="E1330" s="62" t="str">
        <f>IF($A1330="","",[1]weekly_demand!I1331)</f>
        <v/>
      </c>
      <c r="F1330" s="61" t="str">
        <f>IF($A1330="","",IF($A1330&lt;&gt;$A1329,IFERROR(INDEX([1]FG_Begin_Inventory!$B:$B,MATCH($A1330,[1]FG_Begin_Inventory!$A:$A,0)),0),J1329))</f>
        <v/>
      </c>
      <c r="G1330" s="61" t="str">
        <f t="shared" si="143"/>
        <v/>
      </c>
      <c r="H1330" s="61" t="str">
        <f t="shared" si="144"/>
        <v/>
      </c>
      <c r="I1330" s="62" t="str">
        <f t="shared" si="145"/>
        <v/>
      </c>
      <c r="J1330" s="61" t="str">
        <f t="shared" si="146"/>
        <v/>
      </c>
      <c r="K1330" s="61" t="str">
        <f t="shared" si="147"/>
        <v/>
      </c>
      <c r="L1330" s="61" t="str">
        <f t="shared" si="148"/>
        <v/>
      </c>
      <c r="M1330" s="63" t="str">
        <f t="shared" si="149"/>
        <v/>
      </c>
      <c r="N1330" s="64"/>
    </row>
    <row r="1331" spans="1:14" x14ac:dyDescent="0.3">
      <c r="A1331" s="58" t="str">
        <f>IF([1]weekly_demand!A1332="","",[1]weekly_demand!A1332)</f>
        <v/>
      </c>
      <c r="B1331" s="59" t="str">
        <f>IF($A1331="","",[1]weekly_demand!F1332)</f>
        <v/>
      </c>
      <c r="C1331" s="60" t="str">
        <f>IF($A1331="","",[1]weekly_demand!H1332)</f>
        <v/>
      </c>
      <c r="D1331" s="61" t="str">
        <f>IF($A1331="","",IF(SUMIFS([1]Fixture_Capacity_Input!$C:$C,[1]Fixture_Capacity_Input!$A:$A,$B1331,[1]Fixture_Capacity_Input!$B:$B,$C1331)&gt;0,SUMIFS([1]Fixture_Capacity_Input!$C:$C,[1]Fixture_Capacity_Input!$A:$A,$B1331,[1]Fixture_Capacity_Input!$B:$B,$C1331),[1]weekly_demand!G1332))</f>
        <v/>
      </c>
      <c r="E1331" s="62" t="str">
        <f>IF($A1331="","",[1]weekly_demand!I1332)</f>
        <v/>
      </c>
      <c r="F1331" s="61" t="str">
        <f>IF($A1331="","",IF($A1331&lt;&gt;$A1330,IFERROR(INDEX([1]FG_Begin_Inventory!$B:$B,MATCH($A1331,[1]FG_Begin_Inventory!$A:$A,0)),0),J1330))</f>
        <v/>
      </c>
      <c r="G1331" s="61" t="str">
        <f t="shared" ref="G1331:G1394" si="150">IF($A1331="","",IF($A1331&lt;&gt;$A1332,0,MAX(0,G1332+E1332-D1332)))</f>
        <v/>
      </c>
      <c r="H1331" s="61" t="str">
        <f t="shared" si="144"/>
        <v/>
      </c>
      <c r="I1331" s="62" t="str">
        <f t="shared" si="145"/>
        <v/>
      </c>
      <c r="J1331" s="61" t="str">
        <f t="shared" si="146"/>
        <v/>
      </c>
      <c r="K1331" s="61" t="str">
        <f t="shared" si="147"/>
        <v/>
      </c>
      <c r="L1331" s="61" t="str">
        <f t="shared" si="148"/>
        <v/>
      </c>
      <c r="M1331" s="63" t="str">
        <f t="shared" si="149"/>
        <v/>
      </c>
      <c r="N1331" s="64"/>
    </row>
    <row r="1332" spans="1:14" x14ac:dyDescent="0.3">
      <c r="A1332" s="58" t="str">
        <f>IF([1]weekly_demand!A1333="","",[1]weekly_demand!A1333)</f>
        <v/>
      </c>
      <c r="B1332" s="59" t="str">
        <f>IF($A1332="","",[1]weekly_demand!F1333)</f>
        <v/>
      </c>
      <c r="C1332" s="60" t="str">
        <f>IF($A1332="","",[1]weekly_demand!H1333)</f>
        <v/>
      </c>
      <c r="D1332" s="61" t="str">
        <f>IF($A1332="","",IF(SUMIFS([1]Fixture_Capacity_Input!$C:$C,[1]Fixture_Capacity_Input!$A:$A,$B1332,[1]Fixture_Capacity_Input!$B:$B,$C1332)&gt;0,SUMIFS([1]Fixture_Capacity_Input!$C:$C,[1]Fixture_Capacity_Input!$A:$A,$B1332,[1]Fixture_Capacity_Input!$B:$B,$C1332),[1]weekly_demand!G1333))</f>
        <v/>
      </c>
      <c r="E1332" s="62" t="str">
        <f>IF($A1332="","",[1]weekly_demand!I1333)</f>
        <v/>
      </c>
      <c r="F1332" s="61" t="str">
        <f>IF($A1332="","",IF($A1332&lt;&gt;$A1331,IFERROR(INDEX([1]FG_Begin_Inventory!$B:$B,MATCH($A1332,[1]FG_Begin_Inventory!$A:$A,0)),0),J1331))</f>
        <v/>
      </c>
      <c r="G1332" s="61" t="str">
        <f t="shared" si="150"/>
        <v/>
      </c>
      <c r="H1332" s="61" t="str">
        <f t="shared" si="144"/>
        <v/>
      </c>
      <c r="I1332" s="62" t="str">
        <f t="shared" si="145"/>
        <v/>
      </c>
      <c r="J1332" s="61" t="str">
        <f t="shared" si="146"/>
        <v/>
      </c>
      <c r="K1332" s="61" t="str">
        <f t="shared" si="147"/>
        <v/>
      </c>
      <c r="L1332" s="61" t="str">
        <f t="shared" si="148"/>
        <v/>
      </c>
      <c r="M1332" s="63" t="str">
        <f t="shared" si="149"/>
        <v/>
      </c>
      <c r="N1332" s="64"/>
    </row>
    <row r="1333" spans="1:14" x14ac:dyDescent="0.3">
      <c r="A1333" s="58" t="str">
        <f>IF([1]weekly_demand!A1334="","",[1]weekly_demand!A1334)</f>
        <v/>
      </c>
      <c r="B1333" s="59" t="str">
        <f>IF($A1333="","",[1]weekly_demand!F1334)</f>
        <v/>
      </c>
      <c r="C1333" s="60" t="str">
        <f>IF($A1333="","",[1]weekly_demand!H1334)</f>
        <v/>
      </c>
      <c r="D1333" s="61" t="str">
        <f>IF($A1333="","",IF(SUMIFS([1]Fixture_Capacity_Input!$C:$C,[1]Fixture_Capacity_Input!$A:$A,$B1333,[1]Fixture_Capacity_Input!$B:$B,$C1333)&gt;0,SUMIFS([1]Fixture_Capacity_Input!$C:$C,[1]Fixture_Capacity_Input!$A:$A,$B1333,[1]Fixture_Capacity_Input!$B:$B,$C1333),[1]weekly_demand!G1334))</f>
        <v/>
      </c>
      <c r="E1333" s="62" t="str">
        <f>IF($A1333="","",[1]weekly_demand!I1334)</f>
        <v/>
      </c>
      <c r="F1333" s="61" t="str">
        <f>IF($A1333="","",IF($A1333&lt;&gt;$A1332,IFERROR(INDEX([1]FG_Begin_Inventory!$B:$B,MATCH($A1333,[1]FG_Begin_Inventory!$A:$A,0)),0),J1332))</f>
        <v/>
      </c>
      <c r="G1333" s="61" t="str">
        <f t="shared" si="150"/>
        <v/>
      </c>
      <c r="H1333" s="61" t="str">
        <f t="shared" si="144"/>
        <v/>
      </c>
      <c r="I1333" s="62" t="str">
        <f t="shared" si="145"/>
        <v/>
      </c>
      <c r="J1333" s="61" t="str">
        <f t="shared" si="146"/>
        <v/>
      </c>
      <c r="K1333" s="61" t="str">
        <f t="shared" si="147"/>
        <v/>
      </c>
      <c r="L1333" s="61" t="str">
        <f t="shared" si="148"/>
        <v/>
      </c>
      <c r="M1333" s="63" t="str">
        <f t="shared" si="149"/>
        <v/>
      </c>
      <c r="N1333" s="64"/>
    </row>
    <row r="1334" spans="1:14" x14ac:dyDescent="0.3">
      <c r="A1334" s="58" t="str">
        <f>IF([1]weekly_demand!A1335="","",[1]weekly_demand!A1335)</f>
        <v/>
      </c>
      <c r="B1334" s="59" t="str">
        <f>IF($A1334="","",[1]weekly_demand!F1335)</f>
        <v/>
      </c>
      <c r="C1334" s="60" t="str">
        <f>IF($A1334="","",[1]weekly_demand!H1335)</f>
        <v/>
      </c>
      <c r="D1334" s="61" t="str">
        <f>IF($A1334="","",IF(SUMIFS([1]Fixture_Capacity_Input!$C:$C,[1]Fixture_Capacity_Input!$A:$A,$B1334,[1]Fixture_Capacity_Input!$B:$B,$C1334)&gt;0,SUMIFS([1]Fixture_Capacity_Input!$C:$C,[1]Fixture_Capacity_Input!$A:$A,$B1334,[1]Fixture_Capacity_Input!$B:$B,$C1334),[1]weekly_demand!G1335))</f>
        <v/>
      </c>
      <c r="E1334" s="62" t="str">
        <f>IF($A1334="","",[1]weekly_demand!I1335)</f>
        <v/>
      </c>
      <c r="F1334" s="61" t="str">
        <f>IF($A1334="","",IF($A1334&lt;&gt;$A1333,IFERROR(INDEX([1]FG_Begin_Inventory!$B:$B,MATCH($A1334,[1]FG_Begin_Inventory!$A:$A,0)),0),J1333))</f>
        <v/>
      </c>
      <c r="G1334" s="61" t="str">
        <f t="shared" si="150"/>
        <v/>
      </c>
      <c r="H1334" s="61" t="str">
        <f t="shared" si="144"/>
        <v/>
      </c>
      <c r="I1334" s="62" t="str">
        <f t="shared" si="145"/>
        <v/>
      </c>
      <c r="J1334" s="61" t="str">
        <f t="shared" si="146"/>
        <v/>
      </c>
      <c r="K1334" s="61" t="str">
        <f t="shared" si="147"/>
        <v/>
      </c>
      <c r="L1334" s="61" t="str">
        <f t="shared" si="148"/>
        <v/>
      </c>
      <c r="M1334" s="63" t="str">
        <f t="shared" si="149"/>
        <v/>
      </c>
      <c r="N1334" s="64"/>
    </row>
    <row r="1335" spans="1:14" x14ac:dyDescent="0.3">
      <c r="A1335" s="58" t="str">
        <f>IF([1]weekly_demand!A1336="","",[1]weekly_demand!A1336)</f>
        <v/>
      </c>
      <c r="B1335" s="59" t="str">
        <f>IF($A1335="","",[1]weekly_demand!F1336)</f>
        <v/>
      </c>
      <c r="C1335" s="60" t="str">
        <f>IF($A1335="","",[1]weekly_demand!H1336)</f>
        <v/>
      </c>
      <c r="D1335" s="61" t="str">
        <f>IF($A1335="","",IF(SUMIFS([1]Fixture_Capacity_Input!$C:$C,[1]Fixture_Capacity_Input!$A:$A,$B1335,[1]Fixture_Capacity_Input!$B:$B,$C1335)&gt;0,SUMIFS([1]Fixture_Capacity_Input!$C:$C,[1]Fixture_Capacity_Input!$A:$A,$B1335,[1]Fixture_Capacity_Input!$B:$B,$C1335),[1]weekly_demand!G1336))</f>
        <v/>
      </c>
      <c r="E1335" s="62" t="str">
        <f>IF($A1335="","",[1]weekly_demand!I1336)</f>
        <v/>
      </c>
      <c r="F1335" s="61" t="str">
        <f>IF($A1335="","",IF($A1335&lt;&gt;$A1334,IFERROR(INDEX([1]FG_Begin_Inventory!$B:$B,MATCH($A1335,[1]FG_Begin_Inventory!$A:$A,0)),0),J1334))</f>
        <v/>
      </c>
      <c r="G1335" s="61" t="str">
        <f t="shared" si="150"/>
        <v/>
      </c>
      <c r="H1335" s="61" t="str">
        <f t="shared" si="144"/>
        <v/>
      </c>
      <c r="I1335" s="62" t="str">
        <f t="shared" si="145"/>
        <v/>
      </c>
      <c r="J1335" s="61" t="str">
        <f t="shared" si="146"/>
        <v/>
      </c>
      <c r="K1335" s="61" t="str">
        <f t="shared" si="147"/>
        <v/>
      </c>
      <c r="L1335" s="61" t="str">
        <f t="shared" si="148"/>
        <v/>
      </c>
      <c r="M1335" s="63" t="str">
        <f t="shared" si="149"/>
        <v/>
      </c>
      <c r="N1335" s="64"/>
    </row>
    <row r="1336" spans="1:14" x14ac:dyDescent="0.3">
      <c r="A1336" s="58" t="str">
        <f>IF([1]weekly_demand!A1337="","",[1]weekly_demand!A1337)</f>
        <v/>
      </c>
      <c r="B1336" s="59" t="str">
        <f>IF($A1336="","",[1]weekly_demand!F1337)</f>
        <v/>
      </c>
      <c r="C1336" s="60" t="str">
        <f>IF($A1336="","",[1]weekly_demand!H1337)</f>
        <v/>
      </c>
      <c r="D1336" s="61" t="str">
        <f>IF($A1336="","",IF(SUMIFS([1]Fixture_Capacity_Input!$C:$C,[1]Fixture_Capacity_Input!$A:$A,$B1336,[1]Fixture_Capacity_Input!$B:$B,$C1336)&gt;0,SUMIFS([1]Fixture_Capacity_Input!$C:$C,[1]Fixture_Capacity_Input!$A:$A,$B1336,[1]Fixture_Capacity_Input!$B:$B,$C1336),[1]weekly_demand!G1337))</f>
        <v/>
      </c>
      <c r="E1336" s="62" t="str">
        <f>IF($A1336="","",[1]weekly_demand!I1337)</f>
        <v/>
      </c>
      <c r="F1336" s="61" t="str">
        <f>IF($A1336="","",IF($A1336&lt;&gt;$A1335,IFERROR(INDEX([1]FG_Begin_Inventory!$B:$B,MATCH($A1336,[1]FG_Begin_Inventory!$A:$A,0)),0),J1335))</f>
        <v/>
      </c>
      <c r="G1336" s="61" t="str">
        <f t="shared" si="150"/>
        <v/>
      </c>
      <c r="H1336" s="61" t="str">
        <f t="shared" si="144"/>
        <v/>
      </c>
      <c r="I1336" s="62" t="str">
        <f t="shared" si="145"/>
        <v/>
      </c>
      <c r="J1336" s="61" t="str">
        <f t="shared" si="146"/>
        <v/>
      </c>
      <c r="K1336" s="61" t="str">
        <f t="shared" si="147"/>
        <v/>
      </c>
      <c r="L1336" s="61" t="str">
        <f t="shared" si="148"/>
        <v/>
      </c>
      <c r="M1336" s="63" t="str">
        <f t="shared" si="149"/>
        <v/>
      </c>
      <c r="N1336" s="64"/>
    </row>
    <row r="1337" spans="1:14" x14ac:dyDescent="0.3">
      <c r="A1337" s="58" t="str">
        <f>IF([1]weekly_demand!A1338="","",[1]weekly_demand!A1338)</f>
        <v/>
      </c>
      <c r="B1337" s="59" t="str">
        <f>IF($A1337="","",[1]weekly_demand!F1338)</f>
        <v/>
      </c>
      <c r="C1337" s="60" t="str">
        <f>IF($A1337="","",[1]weekly_demand!H1338)</f>
        <v/>
      </c>
      <c r="D1337" s="61" t="str">
        <f>IF($A1337="","",IF(SUMIFS([1]Fixture_Capacity_Input!$C:$C,[1]Fixture_Capacity_Input!$A:$A,$B1337,[1]Fixture_Capacity_Input!$B:$B,$C1337)&gt;0,SUMIFS([1]Fixture_Capacity_Input!$C:$C,[1]Fixture_Capacity_Input!$A:$A,$B1337,[1]Fixture_Capacity_Input!$B:$B,$C1337),[1]weekly_demand!G1338))</f>
        <v/>
      </c>
      <c r="E1337" s="62" t="str">
        <f>IF($A1337="","",[1]weekly_demand!I1338)</f>
        <v/>
      </c>
      <c r="F1337" s="61" t="str">
        <f>IF($A1337="","",IF($A1337&lt;&gt;$A1336,IFERROR(INDEX([1]FG_Begin_Inventory!$B:$B,MATCH($A1337,[1]FG_Begin_Inventory!$A:$A,0)),0),J1336))</f>
        <v/>
      </c>
      <c r="G1337" s="61" t="str">
        <f t="shared" si="150"/>
        <v/>
      </c>
      <c r="H1337" s="61" t="str">
        <f t="shared" si="144"/>
        <v/>
      </c>
      <c r="I1337" s="62" t="str">
        <f t="shared" si="145"/>
        <v/>
      </c>
      <c r="J1337" s="61" t="str">
        <f t="shared" si="146"/>
        <v/>
      </c>
      <c r="K1337" s="61" t="str">
        <f t="shared" si="147"/>
        <v/>
      </c>
      <c r="L1337" s="61" t="str">
        <f t="shared" si="148"/>
        <v/>
      </c>
      <c r="M1337" s="63" t="str">
        <f t="shared" si="149"/>
        <v/>
      </c>
      <c r="N1337" s="64"/>
    </row>
    <row r="1338" spans="1:14" x14ac:dyDescent="0.3">
      <c r="A1338" s="58" t="str">
        <f>IF([1]weekly_demand!A1339="","",[1]weekly_demand!A1339)</f>
        <v/>
      </c>
      <c r="B1338" s="59" t="str">
        <f>IF($A1338="","",[1]weekly_demand!F1339)</f>
        <v/>
      </c>
      <c r="C1338" s="60" t="str">
        <f>IF($A1338="","",[1]weekly_demand!H1339)</f>
        <v/>
      </c>
      <c r="D1338" s="61" t="str">
        <f>IF($A1338="","",IF(SUMIFS([1]Fixture_Capacity_Input!$C:$C,[1]Fixture_Capacity_Input!$A:$A,$B1338,[1]Fixture_Capacity_Input!$B:$B,$C1338)&gt;0,SUMIFS([1]Fixture_Capacity_Input!$C:$C,[1]Fixture_Capacity_Input!$A:$A,$B1338,[1]Fixture_Capacity_Input!$B:$B,$C1338),[1]weekly_demand!G1339))</f>
        <v/>
      </c>
      <c r="E1338" s="62" t="str">
        <f>IF($A1338="","",[1]weekly_demand!I1339)</f>
        <v/>
      </c>
      <c r="F1338" s="61" t="str">
        <f>IF($A1338="","",IF($A1338&lt;&gt;$A1337,IFERROR(INDEX([1]FG_Begin_Inventory!$B:$B,MATCH($A1338,[1]FG_Begin_Inventory!$A:$A,0)),0),J1337))</f>
        <v/>
      </c>
      <c r="G1338" s="61" t="str">
        <f t="shared" si="150"/>
        <v/>
      </c>
      <c r="H1338" s="61" t="str">
        <f t="shared" si="144"/>
        <v/>
      </c>
      <c r="I1338" s="62" t="str">
        <f t="shared" si="145"/>
        <v/>
      </c>
      <c r="J1338" s="61" t="str">
        <f t="shared" si="146"/>
        <v/>
      </c>
      <c r="K1338" s="61" t="str">
        <f t="shared" si="147"/>
        <v/>
      </c>
      <c r="L1338" s="61" t="str">
        <f t="shared" si="148"/>
        <v/>
      </c>
      <c r="M1338" s="63" t="str">
        <f t="shared" si="149"/>
        <v/>
      </c>
      <c r="N1338" s="64"/>
    </row>
    <row r="1339" spans="1:14" x14ac:dyDescent="0.3">
      <c r="A1339" s="58" t="str">
        <f>IF([1]weekly_demand!A1340="","",[1]weekly_demand!A1340)</f>
        <v/>
      </c>
      <c r="B1339" s="59" t="str">
        <f>IF($A1339="","",[1]weekly_demand!F1340)</f>
        <v/>
      </c>
      <c r="C1339" s="60" t="str">
        <f>IF($A1339="","",[1]weekly_demand!H1340)</f>
        <v/>
      </c>
      <c r="D1339" s="61" t="str">
        <f>IF($A1339="","",IF(SUMIFS([1]Fixture_Capacity_Input!$C:$C,[1]Fixture_Capacity_Input!$A:$A,$B1339,[1]Fixture_Capacity_Input!$B:$B,$C1339)&gt;0,SUMIFS([1]Fixture_Capacity_Input!$C:$C,[1]Fixture_Capacity_Input!$A:$A,$B1339,[1]Fixture_Capacity_Input!$B:$B,$C1339),[1]weekly_demand!G1340))</f>
        <v/>
      </c>
      <c r="E1339" s="62" t="str">
        <f>IF($A1339="","",[1]weekly_demand!I1340)</f>
        <v/>
      </c>
      <c r="F1339" s="61" t="str">
        <f>IF($A1339="","",IF($A1339&lt;&gt;$A1338,IFERROR(INDEX([1]FG_Begin_Inventory!$B:$B,MATCH($A1339,[1]FG_Begin_Inventory!$A:$A,0)),0),J1338))</f>
        <v/>
      </c>
      <c r="G1339" s="61" t="str">
        <f t="shared" si="150"/>
        <v/>
      </c>
      <c r="H1339" s="61" t="str">
        <f t="shared" si="144"/>
        <v/>
      </c>
      <c r="I1339" s="62" t="str">
        <f t="shared" si="145"/>
        <v/>
      </c>
      <c r="J1339" s="61" t="str">
        <f t="shared" si="146"/>
        <v/>
      </c>
      <c r="K1339" s="61" t="str">
        <f t="shared" si="147"/>
        <v/>
      </c>
      <c r="L1339" s="61" t="str">
        <f t="shared" si="148"/>
        <v/>
      </c>
      <c r="M1339" s="63" t="str">
        <f t="shared" si="149"/>
        <v/>
      </c>
      <c r="N1339" s="64"/>
    </row>
    <row r="1340" spans="1:14" x14ac:dyDescent="0.3">
      <c r="A1340" s="58" t="str">
        <f>IF([1]weekly_demand!A1341="","",[1]weekly_demand!A1341)</f>
        <v/>
      </c>
      <c r="B1340" s="59" t="str">
        <f>IF($A1340="","",[1]weekly_demand!F1341)</f>
        <v/>
      </c>
      <c r="C1340" s="60" t="str">
        <f>IF($A1340="","",[1]weekly_demand!H1341)</f>
        <v/>
      </c>
      <c r="D1340" s="61" t="str">
        <f>IF($A1340="","",IF(SUMIFS([1]Fixture_Capacity_Input!$C:$C,[1]Fixture_Capacity_Input!$A:$A,$B1340,[1]Fixture_Capacity_Input!$B:$B,$C1340)&gt;0,SUMIFS([1]Fixture_Capacity_Input!$C:$C,[1]Fixture_Capacity_Input!$A:$A,$B1340,[1]Fixture_Capacity_Input!$B:$B,$C1340),[1]weekly_demand!G1341))</f>
        <v/>
      </c>
      <c r="E1340" s="62" t="str">
        <f>IF($A1340="","",[1]weekly_demand!I1341)</f>
        <v/>
      </c>
      <c r="F1340" s="61" t="str">
        <f>IF($A1340="","",IF($A1340&lt;&gt;$A1339,IFERROR(INDEX([1]FG_Begin_Inventory!$B:$B,MATCH($A1340,[1]FG_Begin_Inventory!$A:$A,0)),0),J1339))</f>
        <v/>
      </c>
      <c r="G1340" s="61" t="str">
        <f t="shared" si="150"/>
        <v/>
      </c>
      <c r="H1340" s="61" t="str">
        <f t="shared" si="144"/>
        <v/>
      </c>
      <c r="I1340" s="62" t="str">
        <f t="shared" si="145"/>
        <v/>
      </c>
      <c r="J1340" s="61" t="str">
        <f t="shared" si="146"/>
        <v/>
      </c>
      <c r="K1340" s="61" t="str">
        <f t="shared" si="147"/>
        <v/>
      </c>
      <c r="L1340" s="61" t="str">
        <f t="shared" si="148"/>
        <v/>
      </c>
      <c r="M1340" s="63" t="str">
        <f t="shared" si="149"/>
        <v/>
      </c>
      <c r="N1340" s="64"/>
    </row>
    <row r="1341" spans="1:14" x14ac:dyDescent="0.3">
      <c r="A1341" s="58" t="str">
        <f>IF([1]weekly_demand!A1342="","",[1]weekly_demand!A1342)</f>
        <v/>
      </c>
      <c r="B1341" s="59" t="str">
        <f>IF($A1341="","",[1]weekly_demand!F1342)</f>
        <v/>
      </c>
      <c r="C1341" s="60" t="str">
        <f>IF($A1341="","",[1]weekly_demand!H1342)</f>
        <v/>
      </c>
      <c r="D1341" s="61" t="str">
        <f>IF($A1341="","",IF(SUMIFS([1]Fixture_Capacity_Input!$C:$C,[1]Fixture_Capacity_Input!$A:$A,$B1341,[1]Fixture_Capacity_Input!$B:$B,$C1341)&gt;0,SUMIFS([1]Fixture_Capacity_Input!$C:$C,[1]Fixture_Capacity_Input!$A:$A,$B1341,[1]Fixture_Capacity_Input!$B:$B,$C1341),[1]weekly_demand!G1342))</f>
        <v/>
      </c>
      <c r="E1341" s="62" t="str">
        <f>IF($A1341="","",[1]weekly_demand!I1342)</f>
        <v/>
      </c>
      <c r="F1341" s="61" t="str">
        <f>IF($A1341="","",IF($A1341&lt;&gt;$A1340,IFERROR(INDEX([1]FG_Begin_Inventory!$B:$B,MATCH($A1341,[1]FG_Begin_Inventory!$A:$A,0)),0),J1340))</f>
        <v/>
      </c>
      <c r="G1341" s="61" t="str">
        <f t="shared" si="150"/>
        <v/>
      </c>
      <c r="H1341" s="61" t="str">
        <f t="shared" si="144"/>
        <v/>
      </c>
      <c r="I1341" s="62" t="str">
        <f t="shared" si="145"/>
        <v/>
      </c>
      <c r="J1341" s="61" t="str">
        <f t="shared" si="146"/>
        <v/>
      </c>
      <c r="K1341" s="61" t="str">
        <f t="shared" si="147"/>
        <v/>
      </c>
      <c r="L1341" s="61" t="str">
        <f t="shared" si="148"/>
        <v/>
      </c>
      <c r="M1341" s="63" t="str">
        <f t="shared" si="149"/>
        <v/>
      </c>
      <c r="N1341" s="64"/>
    </row>
    <row r="1342" spans="1:14" x14ac:dyDescent="0.3">
      <c r="A1342" s="58" t="str">
        <f>IF([1]weekly_demand!A1343="","",[1]weekly_demand!A1343)</f>
        <v/>
      </c>
      <c r="B1342" s="59" t="str">
        <f>IF($A1342="","",[1]weekly_demand!F1343)</f>
        <v/>
      </c>
      <c r="C1342" s="60" t="str">
        <f>IF($A1342="","",[1]weekly_demand!H1343)</f>
        <v/>
      </c>
      <c r="D1342" s="61" t="str">
        <f>IF($A1342="","",IF(SUMIFS([1]Fixture_Capacity_Input!$C:$C,[1]Fixture_Capacity_Input!$A:$A,$B1342,[1]Fixture_Capacity_Input!$B:$B,$C1342)&gt;0,SUMIFS([1]Fixture_Capacity_Input!$C:$C,[1]Fixture_Capacity_Input!$A:$A,$B1342,[1]Fixture_Capacity_Input!$B:$B,$C1342),[1]weekly_demand!G1343))</f>
        <v/>
      </c>
      <c r="E1342" s="62" t="str">
        <f>IF($A1342="","",[1]weekly_demand!I1343)</f>
        <v/>
      </c>
      <c r="F1342" s="61" t="str">
        <f>IF($A1342="","",IF($A1342&lt;&gt;$A1341,IFERROR(INDEX([1]FG_Begin_Inventory!$B:$B,MATCH($A1342,[1]FG_Begin_Inventory!$A:$A,0)),0),J1341))</f>
        <v/>
      </c>
      <c r="G1342" s="61" t="str">
        <f t="shared" si="150"/>
        <v/>
      </c>
      <c r="H1342" s="61" t="str">
        <f t="shared" si="144"/>
        <v/>
      </c>
      <c r="I1342" s="62" t="str">
        <f t="shared" si="145"/>
        <v/>
      </c>
      <c r="J1342" s="61" t="str">
        <f t="shared" si="146"/>
        <v/>
      </c>
      <c r="K1342" s="61" t="str">
        <f t="shared" si="147"/>
        <v/>
      </c>
      <c r="L1342" s="61" t="str">
        <f t="shared" si="148"/>
        <v/>
      </c>
      <c r="M1342" s="63" t="str">
        <f t="shared" si="149"/>
        <v/>
      </c>
      <c r="N1342" s="64"/>
    </row>
    <row r="1343" spans="1:14" x14ac:dyDescent="0.3">
      <c r="A1343" s="58" t="str">
        <f>IF([1]weekly_demand!A1344="","",[1]weekly_demand!A1344)</f>
        <v/>
      </c>
      <c r="B1343" s="59" t="str">
        <f>IF($A1343="","",[1]weekly_demand!F1344)</f>
        <v/>
      </c>
      <c r="C1343" s="60" t="str">
        <f>IF($A1343="","",[1]weekly_demand!H1344)</f>
        <v/>
      </c>
      <c r="D1343" s="61" t="str">
        <f>IF($A1343="","",IF(SUMIFS([1]Fixture_Capacity_Input!$C:$C,[1]Fixture_Capacity_Input!$A:$A,$B1343,[1]Fixture_Capacity_Input!$B:$B,$C1343)&gt;0,SUMIFS([1]Fixture_Capacity_Input!$C:$C,[1]Fixture_Capacity_Input!$A:$A,$B1343,[1]Fixture_Capacity_Input!$B:$B,$C1343),[1]weekly_demand!G1344))</f>
        <v/>
      </c>
      <c r="E1343" s="62" t="str">
        <f>IF($A1343="","",[1]weekly_demand!I1344)</f>
        <v/>
      </c>
      <c r="F1343" s="61" t="str">
        <f>IF($A1343="","",IF($A1343&lt;&gt;$A1342,IFERROR(INDEX([1]FG_Begin_Inventory!$B:$B,MATCH($A1343,[1]FG_Begin_Inventory!$A:$A,0)),0),J1342))</f>
        <v/>
      </c>
      <c r="G1343" s="61" t="str">
        <f t="shared" si="150"/>
        <v/>
      </c>
      <c r="H1343" s="61" t="str">
        <f t="shared" si="144"/>
        <v/>
      </c>
      <c r="I1343" s="62" t="str">
        <f t="shared" si="145"/>
        <v/>
      </c>
      <c r="J1343" s="61" t="str">
        <f t="shared" si="146"/>
        <v/>
      </c>
      <c r="K1343" s="61" t="str">
        <f t="shared" si="147"/>
        <v/>
      </c>
      <c r="L1343" s="61" t="str">
        <f t="shared" si="148"/>
        <v/>
      </c>
      <c r="M1343" s="63" t="str">
        <f t="shared" si="149"/>
        <v/>
      </c>
      <c r="N1343" s="64"/>
    </row>
    <row r="1344" spans="1:14" x14ac:dyDescent="0.3">
      <c r="A1344" s="58" t="str">
        <f>IF([1]weekly_demand!A1345="","",[1]weekly_demand!A1345)</f>
        <v/>
      </c>
      <c r="B1344" s="59" t="str">
        <f>IF($A1344="","",[1]weekly_demand!F1345)</f>
        <v/>
      </c>
      <c r="C1344" s="60" t="str">
        <f>IF($A1344="","",[1]weekly_demand!H1345)</f>
        <v/>
      </c>
      <c r="D1344" s="61" t="str">
        <f>IF($A1344="","",IF(SUMIFS([1]Fixture_Capacity_Input!$C:$C,[1]Fixture_Capacity_Input!$A:$A,$B1344,[1]Fixture_Capacity_Input!$B:$B,$C1344)&gt;0,SUMIFS([1]Fixture_Capacity_Input!$C:$C,[1]Fixture_Capacity_Input!$A:$A,$B1344,[1]Fixture_Capacity_Input!$B:$B,$C1344),[1]weekly_demand!G1345))</f>
        <v/>
      </c>
      <c r="E1344" s="62" t="str">
        <f>IF($A1344="","",[1]weekly_demand!I1345)</f>
        <v/>
      </c>
      <c r="F1344" s="61" t="str">
        <f>IF($A1344="","",IF($A1344&lt;&gt;$A1343,IFERROR(INDEX([1]FG_Begin_Inventory!$B:$B,MATCH($A1344,[1]FG_Begin_Inventory!$A:$A,0)),0),J1343))</f>
        <v/>
      </c>
      <c r="G1344" s="61" t="str">
        <f t="shared" si="150"/>
        <v/>
      </c>
      <c r="H1344" s="61" t="str">
        <f t="shared" si="144"/>
        <v/>
      </c>
      <c r="I1344" s="62" t="str">
        <f t="shared" si="145"/>
        <v/>
      </c>
      <c r="J1344" s="61" t="str">
        <f t="shared" si="146"/>
        <v/>
      </c>
      <c r="K1344" s="61" t="str">
        <f t="shared" si="147"/>
        <v/>
      </c>
      <c r="L1344" s="61" t="str">
        <f t="shared" si="148"/>
        <v/>
      </c>
      <c r="M1344" s="63" t="str">
        <f t="shared" si="149"/>
        <v/>
      </c>
      <c r="N1344" s="64"/>
    </row>
    <row r="1345" spans="1:14" x14ac:dyDescent="0.3">
      <c r="A1345" s="58" t="str">
        <f>IF([1]weekly_demand!A1346="","",[1]weekly_demand!A1346)</f>
        <v/>
      </c>
      <c r="B1345" s="59" t="str">
        <f>IF($A1345="","",[1]weekly_demand!F1346)</f>
        <v/>
      </c>
      <c r="C1345" s="60" t="str">
        <f>IF($A1345="","",[1]weekly_demand!H1346)</f>
        <v/>
      </c>
      <c r="D1345" s="61" t="str">
        <f>IF($A1345="","",IF(SUMIFS([1]Fixture_Capacity_Input!$C:$C,[1]Fixture_Capacity_Input!$A:$A,$B1345,[1]Fixture_Capacity_Input!$B:$B,$C1345)&gt;0,SUMIFS([1]Fixture_Capacity_Input!$C:$C,[1]Fixture_Capacity_Input!$A:$A,$B1345,[1]Fixture_Capacity_Input!$B:$B,$C1345),[1]weekly_demand!G1346))</f>
        <v/>
      </c>
      <c r="E1345" s="62" t="str">
        <f>IF($A1345="","",[1]weekly_demand!I1346)</f>
        <v/>
      </c>
      <c r="F1345" s="61" t="str">
        <f>IF($A1345="","",IF($A1345&lt;&gt;$A1344,IFERROR(INDEX([1]FG_Begin_Inventory!$B:$B,MATCH($A1345,[1]FG_Begin_Inventory!$A:$A,0)),0),J1344))</f>
        <v/>
      </c>
      <c r="G1345" s="61" t="str">
        <f t="shared" si="150"/>
        <v/>
      </c>
      <c r="H1345" s="61" t="str">
        <f t="shared" si="144"/>
        <v/>
      </c>
      <c r="I1345" s="62" t="str">
        <f t="shared" si="145"/>
        <v/>
      </c>
      <c r="J1345" s="61" t="str">
        <f t="shared" si="146"/>
        <v/>
      </c>
      <c r="K1345" s="61" t="str">
        <f t="shared" si="147"/>
        <v/>
      </c>
      <c r="L1345" s="61" t="str">
        <f t="shared" si="148"/>
        <v/>
      </c>
      <c r="M1345" s="63" t="str">
        <f t="shared" si="149"/>
        <v/>
      </c>
      <c r="N1345" s="64"/>
    </row>
    <row r="1346" spans="1:14" x14ac:dyDescent="0.3">
      <c r="A1346" s="58" t="str">
        <f>IF([1]weekly_demand!A1347="","",[1]weekly_demand!A1347)</f>
        <v/>
      </c>
      <c r="B1346" s="59" t="str">
        <f>IF($A1346="","",[1]weekly_demand!F1347)</f>
        <v/>
      </c>
      <c r="C1346" s="60" t="str">
        <f>IF($A1346="","",[1]weekly_demand!H1347)</f>
        <v/>
      </c>
      <c r="D1346" s="61" t="str">
        <f>IF($A1346="","",IF(SUMIFS([1]Fixture_Capacity_Input!$C:$C,[1]Fixture_Capacity_Input!$A:$A,$B1346,[1]Fixture_Capacity_Input!$B:$B,$C1346)&gt;0,SUMIFS([1]Fixture_Capacity_Input!$C:$C,[1]Fixture_Capacity_Input!$A:$A,$B1346,[1]Fixture_Capacity_Input!$B:$B,$C1346),[1]weekly_demand!G1347))</f>
        <v/>
      </c>
      <c r="E1346" s="62" t="str">
        <f>IF($A1346="","",[1]weekly_demand!I1347)</f>
        <v/>
      </c>
      <c r="F1346" s="61" t="str">
        <f>IF($A1346="","",IF($A1346&lt;&gt;$A1345,IFERROR(INDEX([1]FG_Begin_Inventory!$B:$B,MATCH($A1346,[1]FG_Begin_Inventory!$A:$A,0)),0),J1345))</f>
        <v/>
      </c>
      <c r="G1346" s="61" t="str">
        <f t="shared" si="150"/>
        <v/>
      </c>
      <c r="H1346" s="61" t="str">
        <f t="shared" ref="H1346:H1409" si="151">IF($A1346="","",MAX(0,E1346+G1346-F1346))</f>
        <v/>
      </c>
      <c r="I1346" s="62" t="str">
        <f t="shared" ref="I1346:I1409" si="152">IF($A1346="","",MIN(D1346,H1346))</f>
        <v/>
      </c>
      <c r="J1346" s="61" t="str">
        <f t="shared" ref="J1346:J1409" si="153">IF($A1346="","",MAX(0,F1346+I1346-E1346))</f>
        <v/>
      </c>
      <c r="K1346" s="61" t="str">
        <f t="shared" ref="K1346:K1409" si="154">IF($A1346="","",MAX(0,E1346-F1346-I1346))</f>
        <v/>
      </c>
      <c r="L1346" s="61" t="str">
        <f t="shared" ref="L1346:L1409" si="155">IF($A1346="","",MAX(0,F1346+I1346-E1346))</f>
        <v/>
      </c>
      <c r="M1346" s="63" t="str">
        <f t="shared" ref="M1346:M1409" si="156">IF($A1346="","",IFERROR(I1346/D1346,0))</f>
        <v/>
      </c>
      <c r="N1346" s="64"/>
    </row>
    <row r="1347" spans="1:14" x14ac:dyDescent="0.3">
      <c r="A1347" s="58" t="str">
        <f>IF([1]weekly_demand!A1348="","",[1]weekly_demand!A1348)</f>
        <v/>
      </c>
      <c r="B1347" s="59" t="str">
        <f>IF($A1347="","",[1]weekly_demand!F1348)</f>
        <v/>
      </c>
      <c r="C1347" s="60" t="str">
        <f>IF($A1347="","",[1]weekly_demand!H1348)</f>
        <v/>
      </c>
      <c r="D1347" s="61" t="str">
        <f>IF($A1347="","",IF(SUMIFS([1]Fixture_Capacity_Input!$C:$C,[1]Fixture_Capacity_Input!$A:$A,$B1347,[1]Fixture_Capacity_Input!$B:$B,$C1347)&gt;0,SUMIFS([1]Fixture_Capacity_Input!$C:$C,[1]Fixture_Capacity_Input!$A:$A,$B1347,[1]Fixture_Capacity_Input!$B:$B,$C1347),[1]weekly_demand!G1348))</f>
        <v/>
      </c>
      <c r="E1347" s="62" t="str">
        <f>IF($A1347="","",[1]weekly_demand!I1348)</f>
        <v/>
      </c>
      <c r="F1347" s="61" t="str">
        <f>IF($A1347="","",IF($A1347&lt;&gt;$A1346,IFERROR(INDEX([1]FG_Begin_Inventory!$B:$B,MATCH($A1347,[1]FG_Begin_Inventory!$A:$A,0)),0),J1346))</f>
        <v/>
      </c>
      <c r="G1347" s="61" t="str">
        <f t="shared" si="150"/>
        <v/>
      </c>
      <c r="H1347" s="61" t="str">
        <f t="shared" si="151"/>
        <v/>
      </c>
      <c r="I1347" s="62" t="str">
        <f t="shared" si="152"/>
        <v/>
      </c>
      <c r="J1347" s="61" t="str">
        <f t="shared" si="153"/>
        <v/>
      </c>
      <c r="K1347" s="61" t="str">
        <f t="shared" si="154"/>
        <v/>
      </c>
      <c r="L1347" s="61" t="str">
        <f t="shared" si="155"/>
        <v/>
      </c>
      <c r="M1347" s="63" t="str">
        <f t="shared" si="156"/>
        <v/>
      </c>
      <c r="N1347" s="64"/>
    </row>
    <row r="1348" spans="1:14" x14ac:dyDescent="0.3">
      <c r="A1348" s="58" t="str">
        <f>IF([1]weekly_demand!A1349="","",[1]weekly_demand!A1349)</f>
        <v/>
      </c>
      <c r="B1348" s="59" t="str">
        <f>IF($A1348="","",[1]weekly_demand!F1349)</f>
        <v/>
      </c>
      <c r="C1348" s="60" t="str">
        <f>IF($A1348="","",[1]weekly_demand!H1349)</f>
        <v/>
      </c>
      <c r="D1348" s="61" t="str">
        <f>IF($A1348="","",IF(SUMIFS([1]Fixture_Capacity_Input!$C:$C,[1]Fixture_Capacity_Input!$A:$A,$B1348,[1]Fixture_Capacity_Input!$B:$B,$C1348)&gt;0,SUMIFS([1]Fixture_Capacity_Input!$C:$C,[1]Fixture_Capacity_Input!$A:$A,$B1348,[1]Fixture_Capacity_Input!$B:$B,$C1348),[1]weekly_demand!G1349))</f>
        <v/>
      </c>
      <c r="E1348" s="62" t="str">
        <f>IF($A1348="","",[1]weekly_demand!I1349)</f>
        <v/>
      </c>
      <c r="F1348" s="61" t="str">
        <f>IF($A1348="","",IF($A1348&lt;&gt;$A1347,IFERROR(INDEX([1]FG_Begin_Inventory!$B:$B,MATCH($A1348,[1]FG_Begin_Inventory!$A:$A,0)),0),J1347))</f>
        <v/>
      </c>
      <c r="G1348" s="61" t="str">
        <f t="shared" si="150"/>
        <v/>
      </c>
      <c r="H1348" s="61" t="str">
        <f t="shared" si="151"/>
        <v/>
      </c>
      <c r="I1348" s="62" t="str">
        <f t="shared" si="152"/>
        <v/>
      </c>
      <c r="J1348" s="61" t="str">
        <f t="shared" si="153"/>
        <v/>
      </c>
      <c r="K1348" s="61" t="str">
        <f t="shared" si="154"/>
        <v/>
      </c>
      <c r="L1348" s="61" t="str">
        <f t="shared" si="155"/>
        <v/>
      </c>
      <c r="M1348" s="63" t="str">
        <f t="shared" si="156"/>
        <v/>
      </c>
      <c r="N1348" s="64"/>
    </row>
    <row r="1349" spans="1:14" x14ac:dyDescent="0.3">
      <c r="A1349" s="58" t="str">
        <f>IF([1]weekly_demand!A1350="","",[1]weekly_demand!A1350)</f>
        <v/>
      </c>
      <c r="B1349" s="59" t="str">
        <f>IF($A1349="","",[1]weekly_demand!F1350)</f>
        <v/>
      </c>
      <c r="C1349" s="60" t="str">
        <f>IF($A1349="","",[1]weekly_demand!H1350)</f>
        <v/>
      </c>
      <c r="D1349" s="61" t="str">
        <f>IF($A1349="","",IF(SUMIFS([1]Fixture_Capacity_Input!$C:$C,[1]Fixture_Capacity_Input!$A:$A,$B1349,[1]Fixture_Capacity_Input!$B:$B,$C1349)&gt;0,SUMIFS([1]Fixture_Capacity_Input!$C:$C,[1]Fixture_Capacity_Input!$A:$A,$B1349,[1]Fixture_Capacity_Input!$B:$B,$C1349),[1]weekly_demand!G1350))</f>
        <v/>
      </c>
      <c r="E1349" s="62" t="str">
        <f>IF($A1349="","",[1]weekly_demand!I1350)</f>
        <v/>
      </c>
      <c r="F1349" s="61" t="str">
        <f>IF($A1349="","",IF($A1349&lt;&gt;$A1348,IFERROR(INDEX([1]FG_Begin_Inventory!$B:$B,MATCH($A1349,[1]FG_Begin_Inventory!$A:$A,0)),0),J1348))</f>
        <v/>
      </c>
      <c r="G1349" s="61" t="str">
        <f t="shared" si="150"/>
        <v/>
      </c>
      <c r="H1349" s="61" t="str">
        <f t="shared" si="151"/>
        <v/>
      </c>
      <c r="I1349" s="62" t="str">
        <f t="shared" si="152"/>
        <v/>
      </c>
      <c r="J1349" s="61" t="str">
        <f t="shared" si="153"/>
        <v/>
      </c>
      <c r="K1349" s="61" t="str">
        <f t="shared" si="154"/>
        <v/>
      </c>
      <c r="L1349" s="61" t="str">
        <f t="shared" si="155"/>
        <v/>
      </c>
      <c r="M1349" s="63" t="str">
        <f t="shared" si="156"/>
        <v/>
      </c>
      <c r="N1349" s="64"/>
    </row>
    <row r="1350" spans="1:14" x14ac:dyDescent="0.3">
      <c r="A1350" s="58" t="str">
        <f>IF([1]weekly_demand!A1351="","",[1]weekly_demand!A1351)</f>
        <v/>
      </c>
      <c r="B1350" s="59" t="str">
        <f>IF($A1350="","",[1]weekly_demand!F1351)</f>
        <v/>
      </c>
      <c r="C1350" s="60" t="str">
        <f>IF($A1350="","",[1]weekly_demand!H1351)</f>
        <v/>
      </c>
      <c r="D1350" s="61" t="str">
        <f>IF($A1350="","",IF(SUMIFS([1]Fixture_Capacity_Input!$C:$C,[1]Fixture_Capacity_Input!$A:$A,$B1350,[1]Fixture_Capacity_Input!$B:$B,$C1350)&gt;0,SUMIFS([1]Fixture_Capacity_Input!$C:$C,[1]Fixture_Capacity_Input!$A:$A,$B1350,[1]Fixture_Capacity_Input!$B:$B,$C1350),[1]weekly_demand!G1351))</f>
        <v/>
      </c>
      <c r="E1350" s="62" t="str">
        <f>IF($A1350="","",[1]weekly_demand!I1351)</f>
        <v/>
      </c>
      <c r="F1350" s="61" t="str">
        <f>IF($A1350="","",IF($A1350&lt;&gt;$A1349,IFERROR(INDEX([1]FG_Begin_Inventory!$B:$B,MATCH($A1350,[1]FG_Begin_Inventory!$A:$A,0)),0),J1349))</f>
        <v/>
      </c>
      <c r="G1350" s="61" t="str">
        <f t="shared" si="150"/>
        <v/>
      </c>
      <c r="H1350" s="61" t="str">
        <f t="shared" si="151"/>
        <v/>
      </c>
      <c r="I1350" s="62" t="str">
        <f t="shared" si="152"/>
        <v/>
      </c>
      <c r="J1350" s="61" t="str">
        <f t="shared" si="153"/>
        <v/>
      </c>
      <c r="K1350" s="61" t="str">
        <f t="shared" si="154"/>
        <v/>
      </c>
      <c r="L1350" s="61" t="str">
        <f t="shared" si="155"/>
        <v/>
      </c>
      <c r="M1350" s="63" t="str">
        <f t="shared" si="156"/>
        <v/>
      </c>
      <c r="N1350" s="64"/>
    </row>
    <row r="1351" spans="1:14" x14ac:dyDescent="0.3">
      <c r="A1351" s="58" t="str">
        <f>IF([1]weekly_demand!A1352="","",[1]weekly_demand!A1352)</f>
        <v/>
      </c>
      <c r="B1351" s="59" t="str">
        <f>IF($A1351="","",[1]weekly_demand!F1352)</f>
        <v/>
      </c>
      <c r="C1351" s="60" t="str">
        <f>IF($A1351="","",[1]weekly_demand!H1352)</f>
        <v/>
      </c>
      <c r="D1351" s="61" t="str">
        <f>IF($A1351="","",IF(SUMIFS([1]Fixture_Capacity_Input!$C:$C,[1]Fixture_Capacity_Input!$A:$A,$B1351,[1]Fixture_Capacity_Input!$B:$B,$C1351)&gt;0,SUMIFS([1]Fixture_Capacity_Input!$C:$C,[1]Fixture_Capacity_Input!$A:$A,$B1351,[1]Fixture_Capacity_Input!$B:$B,$C1351),[1]weekly_demand!G1352))</f>
        <v/>
      </c>
      <c r="E1351" s="62" t="str">
        <f>IF($A1351="","",[1]weekly_demand!I1352)</f>
        <v/>
      </c>
      <c r="F1351" s="61" t="str">
        <f>IF($A1351="","",IF($A1351&lt;&gt;$A1350,IFERROR(INDEX([1]FG_Begin_Inventory!$B:$B,MATCH($A1351,[1]FG_Begin_Inventory!$A:$A,0)),0),J1350))</f>
        <v/>
      </c>
      <c r="G1351" s="61" t="str">
        <f t="shared" si="150"/>
        <v/>
      </c>
      <c r="H1351" s="61" t="str">
        <f t="shared" si="151"/>
        <v/>
      </c>
      <c r="I1351" s="62" t="str">
        <f t="shared" si="152"/>
        <v/>
      </c>
      <c r="J1351" s="61" t="str">
        <f t="shared" si="153"/>
        <v/>
      </c>
      <c r="K1351" s="61" t="str">
        <f t="shared" si="154"/>
        <v/>
      </c>
      <c r="L1351" s="61" t="str">
        <f t="shared" si="155"/>
        <v/>
      </c>
      <c r="M1351" s="63" t="str">
        <f t="shared" si="156"/>
        <v/>
      </c>
      <c r="N1351" s="64"/>
    </row>
    <row r="1352" spans="1:14" x14ac:dyDescent="0.3">
      <c r="A1352" s="58" t="str">
        <f>IF([1]weekly_demand!A1353="","",[1]weekly_demand!A1353)</f>
        <v/>
      </c>
      <c r="B1352" s="59" t="str">
        <f>IF($A1352="","",[1]weekly_demand!F1353)</f>
        <v/>
      </c>
      <c r="C1352" s="60" t="str">
        <f>IF($A1352="","",[1]weekly_demand!H1353)</f>
        <v/>
      </c>
      <c r="D1352" s="61" t="str">
        <f>IF($A1352="","",IF(SUMIFS([1]Fixture_Capacity_Input!$C:$C,[1]Fixture_Capacity_Input!$A:$A,$B1352,[1]Fixture_Capacity_Input!$B:$B,$C1352)&gt;0,SUMIFS([1]Fixture_Capacity_Input!$C:$C,[1]Fixture_Capacity_Input!$A:$A,$B1352,[1]Fixture_Capacity_Input!$B:$B,$C1352),[1]weekly_demand!G1353))</f>
        <v/>
      </c>
      <c r="E1352" s="62" t="str">
        <f>IF($A1352="","",[1]weekly_demand!I1353)</f>
        <v/>
      </c>
      <c r="F1352" s="61" t="str">
        <f>IF($A1352="","",IF($A1352&lt;&gt;$A1351,IFERROR(INDEX([1]FG_Begin_Inventory!$B:$B,MATCH($A1352,[1]FG_Begin_Inventory!$A:$A,0)),0),J1351))</f>
        <v/>
      </c>
      <c r="G1352" s="61" t="str">
        <f t="shared" si="150"/>
        <v/>
      </c>
      <c r="H1352" s="61" t="str">
        <f t="shared" si="151"/>
        <v/>
      </c>
      <c r="I1352" s="62" t="str">
        <f t="shared" si="152"/>
        <v/>
      </c>
      <c r="J1352" s="61" t="str">
        <f t="shared" si="153"/>
        <v/>
      </c>
      <c r="K1352" s="61" t="str">
        <f t="shared" si="154"/>
        <v/>
      </c>
      <c r="L1352" s="61" t="str">
        <f t="shared" si="155"/>
        <v/>
      </c>
      <c r="M1352" s="63" t="str">
        <f t="shared" si="156"/>
        <v/>
      </c>
      <c r="N1352" s="64"/>
    </row>
    <row r="1353" spans="1:14" x14ac:dyDescent="0.3">
      <c r="A1353" s="58" t="str">
        <f>IF([1]weekly_demand!A1354="","",[1]weekly_demand!A1354)</f>
        <v/>
      </c>
      <c r="B1353" s="59" t="str">
        <f>IF($A1353="","",[1]weekly_demand!F1354)</f>
        <v/>
      </c>
      <c r="C1353" s="60" t="str">
        <f>IF($A1353="","",[1]weekly_demand!H1354)</f>
        <v/>
      </c>
      <c r="D1353" s="61" t="str">
        <f>IF($A1353="","",IF(SUMIFS([1]Fixture_Capacity_Input!$C:$C,[1]Fixture_Capacity_Input!$A:$A,$B1353,[1]Fixture_Capacity_Input!$B:$B,$C1353)&gt;0,SUMIFS([1]Fixture_Capacity_Input!$C:$C,[1]Fixture_Capacity_Input!$A:$A,$B1353,[1]Fixture_Capacity_Input!$B:$B,$C1353),[1]weekly_demand!G1354))</f>
        <v/>
      </c>
      <c r="E1353" s="62" t="str">
        <f>IF($A1353="","",[1]weekly_demand!I1354)</f>
        <v/>
      </c>
      <c r="F1353" s="61" t="str">
        <f>IF($A1353="","",IF($A1353&lt;&gt;$A1352,IFERROR(INDEX([1]FG_Begin_Inventory!$B:$B,MATCH($A1353,[1]FG_Begin_Inventory!$A:$A,0)),0),J1352))</f>
        <v/>
      </c>
      <c r="G1353" s="61" t="str">
        <f t="shared" si="150"/>
        <v/>
      </c>
      <c r="H1353" s="61" t="str">
        <f t="shared" si="151"/>
        <v/>
      </c>
      <c r="I1353" s="62" t="str">
        <f t="shared" si="152"/>
        <v/>
      </c>
      <c r="J1353" s="61" t="str">
        <f t="shared" si="153"/>
        <v/>
      </c>
      <c r="K1353" s="61" t="str">
        <f t="shared" si="154"/>
        <v/>
      </c>
      <c r="L1353" s="61" t="str">
        <f t="shared" si="155"/>
        <v/>
      </c>
      <c r="M1353" s="63" t="str">
        <f t="shared" si="156"/>
        <v/>
      </c>
      <c r="N1353" s="64"/>
    </row>
    <row r="1354" spans="1:14" x14ac:dyDescent="0.3">
      <c r="A1354" s="58" t="str">
        <f>IF([1]weekly_demand!A1355="","",[1]weekly_demand!A1355)</f>
        <v/>
      </c>
      <c r="B1354" s="59" t="str">
        <f>IF($A1354="","",[1]weekly_demand!F1355)</f>
        <v/>
      </c>
      <c r="C1354" s="60" t="str">
        <f>IF($A1354="","",[1]weekly_demand!H1355)</f>
        <v/>
      </c>
      <c r="D1354" s="61" t="str">
        <f>IF($A1354="","",IF(SUMIFS([1]Fixture_Capacity_Input!$C:$C,[1]Fixture_Capacity_Input!$A:$A,$B1354,[1]Fixture_Capacity_Input!$B:$B,$C1354)&gt;0,SUMIFS([1]Fixture_Capacity_Input!$C:$C,[1]Fixture_Capacity_Input!$A:$A,$B1354,[1]Fixture_Capacity_Input!$B:$B,$C1354),[1]weekly_demand!G1355))</f>
        <v/>
      </c>
      <c r="E1354" s="62" t="str">
        <f>IF($A1354="","",[1]weekly_demand!I1355)</f>
        <v/>
      </c>
      <c r="F1354" s="61" t="str">
        <f>IF($A1354="","",IF($A1354&lt;&gt;$A1353,IFERROR(INDEX([1]FG_Begin_Inventory!$B:$B,MATCH($A1354,[1]FG_Begin_Inventory!$A:$A,0)),0),J1353))</f>
        <v/>
      </c>
      <c r="G1354" s="61" t="str">
        <f t="shared" si="150"/>
        <v/>
      </c>
      <c r="H1354" s="61" t="str">
        <f t="shared" si="151"/>
        <v/>
      </c>
      <c r="I1354" s="62" t="str">
        <f t="shared" si="152"/>
        <v/>
      </c>
      <c r="J1354" s="61" t="str">
        <f t="shared" si="153"/>
        <v/>
      </c>
      <c r="K1354" s="61" t="str">
        <f t="shared" si="154"/>
        <v/>
      </c>
      <c r="L1354" s="61" t="str">
        <f t="shared" si="155"/>
        <v/>
      </c>
      <c r="M1354" s="63" t="str">
        <f t="shared" si="156"/>
        <v/>
      </c>
      <c r="N1354" s="64"/>
    </row>
    <row r="1355" spans="1:14" x14ac:dyDescent="0.3">
      <c r="A1355" s="58" t="str">
        <f>IF([1]weekly_demand!A1356="","",[1]weekly_demand!A1356)</f>
        <v/>
      </c>
      <c r="B1355" s="59" t="str">
        <f>IF($A1355="","",[1]weekly_demand!F1356)</f>
        <v/>
      </c>
      <c r="C1355" s="60" t="str">
        <f>IF($A1355="","",[1]weekly_demand!H1356)</f>
        <v/>
      </c>
      <c r="D1355" s="61" t="str">
        <f>IF($A1355="","",IF(SUMIFS([1]Fixture_Capacity_Input!$C:$C,[1]Fixture_Capacity_Input!$A:$A,$B1355,[1]Fixture_Capacity_Input!$B:$B,$C1355)&gt;0,SUMIFS([1]Fixture_Capacity_Input!$C:$C,[1]Fixture_Capacity_Input!$A:$A,$B1355,[1]Fixture_Capacity_Input!$B:$B,$C1355),[1]weekly_demand!G1356))</f>
        <v/>
      </c>
      <c r="E1355" s="62" t="str">
        <f>IF($A1355="","",[1]weekly_demand!I1356)</f>
        <v/>
      </c>
      <c r="F1355" s="61" t="str">
        <f>IF($A1355="","",IF($A1355&lt;&gt;$A1354,IFERROR(INDEX([1]FG_Begin_Inventory!$B:$B,MATCH($A1355,[1]FG_Begin_Inventory!$A:$A,0)),0),J1354))</f>
        <v/>
      </c>
      <c r="G1355" s="61" t="str">
        <f t="shared" si="150"/>
        <v/>
      </c>
      <c r="H1355" s="61" t="str">
        <f t="shared" si="151"/>
        <v/>
      </c>
      <c r="I1355" s="62" t="str">
        <f t="shared" si="152"/>
        <v/>
      </c>
      <c r="J1355" s="61" t="str">
        <f t="shared" si="153"/>
        <v/>
      </c>
      <c r="K1355" s="61" t="str">
        <f t="shared" si="154"/>
        <v/>
      </c>
      <c r="L1355" s="61" t="str">
        <f t="shared" si="155"/>
        <v/>
      </c>
      <c r="M1355" s="63" t="str">
        <f t="shared" si="156"/>
        <v/>
      </c>
      <c r="N1355" s="64"/>
    </row>
    <row r="1356" spans="1:14" x14ac:dyDescent="0.3">
      <c r="A1356" s="58" t="str">
        <f>IF([1]weekly_demand!A1357="","",[1]weekly_demand!A1357)</f>
        <v/>
      </c>
      <c r="B1356" s="59" t="str">
        <f>IF($A1356="","",[1]weekly_demand!F1357)</f>
        <v/>
      </c>
      <c r="C1356" s="60" t="str">
        <f>IF($A1356="","",[1]weekly_demand!H1357)</f>
        <v/>
      </c>
      <c r="D1356" s="61" t="str">
        <f>IF($A1356="","",IF(SUMIFS([1]Fixture_Capacity_Input!$C:$C,[1]Fixture_Capacity_Input!$A:$A,$B1356,[1]Fixture_Capacity_Input!$B:$B,$C1356)&gt;0,SUMIFS([1]Fixture_Capacity_Input!$C:$C,[1]Fixture_Capacity_Input!$A:$A,$B1356,[1]Fixture_Capacity_Input!$B:$B,$C1356),[1]weekly_demand!G1357))</f>
        <v/>
      </c>
      <c r="E1356" s="62" t="str">
        <f>IF($A1356="","",[1]weekly_demand!I1357)</f>
        <v/>
      </c>
      <c r="F1356" s="61" t="str">
        <f>IF($A1356="","",IF($A1356&lt;&gt;$A1355,IFERROR(INDEX([1]FG_Begin_Inventory!$B:$B,MATCH($A1356,[1]FG_Begin_Inventory!$A:$A,0)),0),J1355))</f>
        <v/>
      </c>
      <c r="G1356" s="61" t="str">
        <f t="shared" si="150"/>
        <v/>
      </c>
      <c r="H1356" s="61" t="str">
        <f t="shared" si="151"/>
        <v/>
      </c>
      <c r="I1356" s="62" t="str">
        <f t="shared" si="152"/>
        <v/>
      </c>
      <c r="J1356" s="61" t="str">
        <f t="shared" si="153"/>
        <v/>
      </c>
      <c r="K1356" s="61" t="str">
        <f t="shared" si="154"/>
        <v/>
      </c>
      <c r="L1356" s="61" t="str">
        <f t="shared" si="155"/>
        <v/>
      </c>
      <c r="M1356" s="63" t="str">
        <f t="shared" si="156"/>
        <v/>
      </c>
      <c r="N1356" s="64"/>
    </row>
    <row r="1357" spans="1:14" x14ac:dyDescent="0.3">
      <c r="A1357" s="58" t="str">
        <f>IF([1]weekly_demand!A1358="","",[1]weekly_demand!A1358)</f>
        <v/>
      </c>
      <c r="B1357" s="59" t="str">
        <f>IF($A1357="","",[1]weekly_demand!F1358)</f>
        <v/>
      </c>
      <c r="C1357" s="60" t="str">
        <f>IF($A1357="","",[1]weekly_demand!H1358)</f>
        <v/>
      </c>
      <c r="D1357" s="61" t="str">
        <f>IF($A1357="","",IF(SUMIFS([1]Fixture_Capacity_Input!$C:$C,[1]Fixture_Capacity_Input!$A:$A,$B1357,[1]Fixture_Capacity_Input!$B:$B,$C1357)&gt;0,SUMIFS([1]Fixture_Capacity_Input!$C:$C,[1]Fixture_Capacity_Input!$A:$A,$B1357,[1]Fixture_Capacity_Input!$B:$B,$C1357),[1]weekly_demand!G1358))</f>
        <v/>
      </c>
      <c r="E1357" s="62" t="str">
        <f>IF($A1357="","",[1]weekly_demand!I1358)</f>
        <v/>
      </c>
      <c r="F1357" s="61" t="str">
        <f>IF($A1357="","",IF($A1357&lt;&gt;$A1356,IFERROR(INDEX([1]FG_Begin_Inventory!$B:$B,MATCH($A1357,[1]FG_Begin_Inventory!$A:$A,0)),0),J1356))</f>
        <v/>
      </c>
      <c r="G1357" s="61" t="str">
        <f t="shared" si="150"/>
        <v/>
      </c>
      <c r="H1357" s="61" t="str">
        <f t="shared" si="151"/>
        <v/>
      </c>
      <c r="I1357" s="62" t="str">
        <f t="shared" si="152"/>
        <v/>
      </c>
      <c r="J1357" s="61" t="str">
        <f t="shared" si="153"/>
        <v/>
      </c>
      <c r="K1357" s="61" t="str">
        <f t="shared" si="154"/>
        <v/>
      </c>
      <c r="L1357" s="61" t="str">
        <f t="shared" si="155"/>
        <v/>
      </c>
      <c r="M1357" s="63" t="str">
        <f t="shared" si="156"/>
        <v/>
      </c>
      <c r="N1357" s="64"/>
    </row>
    <row r="1358" spans="1:14" x14ac:dyDescent="0.3">
      <c r="A1358" s="58" t="str">
        <f>IF([1]weekly_demand!A1359="","",[1]weekly_demand!A1359)</f>
        <v/>
      </c>
      <c r="B1358" s="59" t="str">
        <f>IF($A1358="","",[1]weekly_demand!F1359)</f>
        <v/>
      </c>
      <c r="C1358" s="60" t="str">
        <f>IF($A1358="","",[1]weekly_demand!H1359)</f>
        <v/>
      </c>
      <c r="D1358" s="61" t="str">
        <f>IF($A1358="","",IF(SUMIFS([1]Fixture_Capacity_Input!$C:$C,[1]Fixture_Capacity_Input!$A:$A,$B1358,[1]Fixture_Capacity_Input!$B:$B,$C1358)&gt;0,SUMIFS([1]Fixture_Capacity_Input!$C:$C,[1]Fixture_Capacity_Input!$A:$A,$B1358,[1]Fixture_Capacity_Input!$B:$B,$C1358),[1]weekly_demand!G1359))</f>
        <v/>
      </c>
      <c r="E1358" s="62" t="str">
        <f>IF($A1358="","",[1]weekly_demand!I1359)</f>
        <v/>
      </c>
      <c r="F1358" s="61" t="str">
        <f>IF($A1358="","",IF($A1358&lt;&gt;$A1357,IFERROR(INDEX([1]FG_Begin_Inventory!$B:$B,MATCH($A1358,[1]FG_Begin_Inventory!$A:$A,0)),0),J1357))</f>
        <v/>
      </c>
      <c r="G1358" s="61" t="str">
        <f t="shared" si="150"/>
        <v/>
      </c>
      <c r="H1358" s="61" t="str">
        <f t="shared" si="151"/>
        <v/>
      </c>
      <c r="I1358" s="62" t="str">
        <f t="shared" si="152"/>
        <v/>
      </c>
      <c r="J1358" s="61" t="str">
        <f t="shared" si="153"/>
        <v/>
      </c>
      <c r="K1358" s="61" t="str">
        <f t="shared" si="154"/>
        <v/>
      </c>
      <c r="L1358" s="61" t="str">
        <f t="shared" si="155"/>
        <v/>
      </c>
      <c r="M1358" s="63" t="str">
        <f t="shared" si="156"/>
        <v/>
      </c>
      <c r="N1358" s="64"/>
    </row>
    <row r="1359" spans="1:14" x14ac:dyDescent="0.3">
      <c r="A1359" s="58" t="str">
        <f>IF([1]weekly_demand!A1360="","",[1]weekly_demand!A1360)</f>
        <v/>
      </c>
      <c r="B1359" s="59" t="str">
        <f>IF($A1359="","",[1]weekly_demand!F1360)</f>
        <v/>
      </c>
      <c r="C1359" s="60" t="str">
        <f>IF($A1359="","",[1]weekly_demand!H1360)</f>
        <v/>
      </c>
      <c r="D1359" s="61" t="str">
        <f>IF($A1359="","",IF(SUMIFS([1]Fixture_Capacity_Input!$C:$C,[1]Fixture_Capacity_Input!$A:$A,$B1359,[1]Fixture_Capacity_Input!$B:$B,$C1359)&gt;0,SUMIFS([1]Fixture_Capacity_Input!$C:$C,[1]Fixture_Capacity_Input!$A:$A,$B1359,[1]Fixture_Capacity_Input!$B:$B,$C1359),[1]weekly_demand!G1360))</f>
        <v/>
      </c>
      <c r="E1359" s="62" t="str">
        <f>IF($A1359="","",[1]weekly_demand!I1360)</f>
        <v/>
      </c>
      <c r="F1359" s="61" t="str">
        <f>IF($A1359="","",IF($A1359&lt;&gt;$A1358,IFERROR(INDEX([1]FG_Begin_Inventory!$B:$B,MATCH($A1359,[1]FG_Begin_Inventory!$A:$A,0)),0),J1358))</f>
        <v/>
      </c>
      <c r="G1359" s="61" t="str">
        <f t="shared" si="150"/>
        <v/>
      </c>
      <c r="H1359" s="61" t="str">
        <f t="shared" si="151"/>
        <v/>
      </c>
      <c r="I1359" s="62" t="str">
        <f t="shared" si="152"/>
        <v/>
      </c>
      <c r="J1359" s="61" t="str">
        <f t="shared" si="153"/>
        <v/>
      </c>
      <c r="K1359" s="61" t="str">
        <f t="shared" si="154"/>
        <v/>
      </c>
      <c r="L1359" s="61" t="str">
        <f t="shared" si="155"/>
        <v/>
      </c>
      <c r="M1359" s="63" t="str">
        <f t="shared" si="156"/>
        <v/>
      </c>
      <c r="N1359" s="64"/>
    </row>
    <row r="1360" spans="1:14" x14ac:dyDescent="0.3">
      <c r="A1360" s="58" t="str">
        <f>IF([1]weekly_demand!A1361="","",[1]weekly_demand!A1361)</f>
        <v/>
      </c>
      <c r="B1360" s="59" t="str">
        <f>IF($A1360="","",[1]weekly_demand!F1361)</f>
        <v/>
      </c>
      <c r="C1360" s="60" t="str">
        <f>IF($A1360="","",[1]weekly_demand!H1361)</f>
        <v/>
      </c>
      <c r="D1360" s="61" t="str">
        <f>IF($A1360="","",IF(SUMIFS([1]Fixture_Capacity_Input!$C:$C,[1]Fixture_Capacity_Input!$A:$A,$B1360,[1]Fixture_Capacity_Input!$B:$B,$C1360)&gt;0,SUMIFS([1]Fixture_Capacity_Input!$C:$C,[1]Fixture_Capacity_Input!$A:$A,$B1360,[1]Fixture_Capacity_Input!$B:$B,$C1360),[1]weekly_demand!G1361))</f>
        <v/>
      </c>
      <c r="E1360" s="62" t="str">
        <f>IF($A1360="","",[1]weekly_demand!I1361)</f>
        <v/>
      </c>
      <c r="F1360" s="61" t="str">
        <f>IF($A1360="","",IF($A1360&lt;&gt;$A1359,IFERROR(INDEX([1]FG_Begin_Inventory!$B:$B,MATCH($A1360,[1]FG_Begin_Inventory!$A:$A,0)),0),J1359))</f>
        <v/>
      </c>
      <c r="G1360" s="61" t="str">
        <f t="shared" si="150"/>
        <v/>
      </c>
      <c r="H1360" s="61" t="str">
        <f t="shared" si="151"/>
        <v/>
      </c>
      <c r="I1360" s="62" t="str">
        <f t="shared" si="152"/>
        <v/>
      </c>
      <c r="J1360" s="61" t="str">
        <f t="shared" si="153"/>
        <v/>
      </c>
      <c r="K1360" s="61" t="str">
        <f t="shared" si="154"/>
        <v/>
      </c>
      <c r="L1360" s="61" t="str">
        <f t="shared" si="155"/>
        <v/>
      </c>
      <c r="M1360" s="63" t="str">
        <f t="shared" si="156"/>
        <v/>
      </c>
      <c r="N1360" s="64"/>
    </row>
    <row r="1361" spans="1:14" x14ac:dyDescent="0.3">
      <c r="A1361" s="58" t="str">
        <f>IF([1]weekly_demand!A1362="","",[1]weekly_demand!A1362)</f>
        <v/>
      </c>
      <c r="B1361" s="59" t="str">
        <f>IF($A1361="","",[1]weekly_demand!F1362)</f>
        <v/>
      </c>
      <c r="C1361" s="60" t="str">
        <f>IF($A1361="","",[1]weekly_demand!H1362)</f>
        <v/>
      </c>
      <c r="D1361" s="61" t="str">
        <f>IF($A1361="","",IF(SUMIFS([1]Fixture_Capacity_Input!$C:$C,[1]Fixture_Capacity_Input!$A:$A,$B1361,[1]Fixture_Capacity_Input!$B:$B,$C1361)&gt;0,SUMIFS([1]Fixture_Capacity_Input!$C:$C,[1]Fixture_Capacity_Input!$A:$A,$B1361,[1]Fixture_Capacity_Input!$B:$B,$C1361),[1]weekly_demand!G1362))</f>
        <v/>
      </c>
      <c r="E1361" s="62" t="str">
        <f>IF($A1361="","",[1]weekly_demand!I1362)</f>
        <v/>
      </c>
      <c r="F1361" s="61" t="str">
        <f>IF($A1361="","",IF($A1361&lt;&gt;$A1360,IFERROR(INDEX([1]FG_Begin_Inventory!$B:$B,MATCH($A1361,[1]FG_Begin_Inventory!$A:$A,0)),0),J1360))</f>
        <v/>
      </c>
      <c r="G1361" s="61" t="str">
        <f t="shared" si="150"/>
        <v/>
      </c>
      <c r="H1361" s="61" t="str">
        <f t="shared" si="151"/>
        <v/>
      </c>
      <c r="I1361" s="62" t="str">
        <f t="shared" si="152"/>
        <v/>
      </c>
      <c r="J1361" s="61" t="str">
        <f t="shared" si="153"/>
        <v/>
      </c>
      <c r="K1361" s="61" t="str">
        <f t="shared" si="154"/>
        <v/>
      </c>
      <c r="L1361" s="61" t="str">
        <f t="shared" si="155"/>
        <v/>
      </c>
      <c r="M1361" s="63" t="str">
        <f t="shared" si="156"/>
        <v/>
      </c>
      <c r="N1361" s="64"/>
    </row>
    <row r="1362" spans="1:14" x14ac:dyDescent="0.3">
      <c r="A1362" s="58" t="str">
        <f>IF([1]weekly_demand!A1363="","",[1]weekly_demand!A1363)</f>
        <v/>
      </c>
      <c r="B1362" s="59" t="str">
        <f>IF($A1362="","",[1]weekly_demand!F1363)</f>
        <v/>
      </c>
      <c r="C1362" s="60" t="str">
        <f>IF($A1362="","",[1]weekly_demand!H1363)</f>
        <v/>
      </c>
      <c r="D1362" s="61" t="str">
        <f>IF($A1362="","",IF(SUMIFS([1]Fixture_Capacity_Input!$C:$C,[1]Fixture_Capacity_Input!$A:$A,$B1362,[1]Fixture_Capacity_Input!$B:$B,$C1362)&gt;0,SUMIFS([1]Fixture_Capacity_Input!$C:$C,[1]Fixture_Capacity_Input!$A:$A,$B1362,[1]Fixture_Capacity_Input!$B:$B,$C1362),[1]weekly_demand!G1363))</f>
        <v/>
      </c>
      <c r="E1362" s="62" t="str">
        <f>IF($A1362="","",[1]weekly_demand!I1363)</f>
        <v/>
      </c>
      <c r="F1362" s="61" t="str">
        <f>IF($A1362="","",IF($A1362&lt;&gt;$A1361,IFERROR(INDEX([1]FG_Begin_Inventory!$B:$B,MATCH($A1362,[1]FG_Begin_Inventory!$A:$A,0)),0),J1361))</f>
        <v/>
      </c>
      <c r="G1362" s="61" t="str">
        <f t="shared" si="150"/>
        <v/>
      </c>
      <c r="H1362" s="61" t="str">
        <f t="shared" si="151"/>
        <v/>
      </c>
      <c r="I1362" s="62" t="str">
        <f t="shared" si="152"/>
        <v/>
      </c>
      <c r="J1362" s="61" t="str">
        <f t="shared" si="153"/>
        <v/>
      </c>
      <c r="K1362" s="61" t="str">
        <f t="shared" si="154"/>
        <v/>
      </c>
      <c r="L1362" s="61" t="str">
        <f t="shared" si="155"/>
        <v/>
      </c>
      <c r="M1362" s="63" t="str">
        <f t="shared" si="156"/>
        <v/>
      </c>
      <c r="N1362" s="64"/>
    </row>
    <row r="1363" spans="1:14" x14ac:dyDescent="0.3">
      <c r="A1363" s="58" t="str">
        <f>IF([1]weekly_demand!A1364="","",[1]weekly_demand!A1364)</f>
        <v/>
      </c>
      <c r="B1363" s="59" t="str">
        <f>IF($A1363="","",[1]weekly_demand!F1364)</f>
        <v/>
      </c>
      <c r="C1363" s="60" t="str">
        <f>IF($A1363="","",[1]weekly_demand!H1364)</f>
        <v/>
      </c>
      <c r="D1363" s="61" t="str">
        <f>IF($A1363="","",IF(SUMIFS([1]Fixture_Capacity_Input!$C:$C,[1]Fixture_Capacity_Input!$A:$A,$B1363,[1]Fixture_Capacity_Input!$B:$B,$C1363)&gt;0,SUMIFS([1]Fixture_Capacity_Input!$C:$C,[1]Fixture_Capacity_Input!$A:$A,$B1363,[1]Fixture_Capacity_Input!$B:$B,$C1363),[1]weekly_demand!G1364))</f>
        <v/>
      </c>
      <c r="E1363" s="62" t="str">
        <f>IF($A1363="","",[1]weekly_demand!I1364)</f>
        <v/>
      </c>
      <c r="F1363" s="61" t="str">
        <f>IF($A1363="","",IF($A1363&lt;&gt;$A1362,IFERROR(INDEX([1]FG_Begin_Inventory!$B:$B,MATCH($A1363,[1]FG_Begin_Inventory!$A:$A,0)),0),J1362))</f>
        <v/>
      </c>
      <c r="G1363" s="61" t="str">
        <f t="shared" si="150"/>
        <v/>
      </c>
      <c r="H1363" s="61" t="str">
        <f t="shared" si="151"/>
        <v/>
      </c>
      <c r="I1363" s="62" t="str">
        <f t="shared" si="152"/>
        <v/>
      </c>
      <c r="J1363" s="61" t="str">
        <f t="shared" si="153"/>
        <v/>
      </c>
      <c r="K1363" s="61" t="str">
        <f t="shared" si="154"/>
        <v/>
      </c>
      <c r="L1363" s="61" t="str">
        <f t="shared" si="155"/>
        <v/>
      </c>
      <c r="M1363" s="63" t="str">
        <f t="shared" si="156"/>
        <v/>
      </c>
      <c r="N1363" s="64"/>
    </row>
    <row r="1364" spans="1:14" x14ac:dyDescent="0.3">
      <c r="A1364" s="58" t="str">
        <f>IF([1]weekly_demand!A1365="","",[1]weekly_demand!A1365)</f>
        <v/>
      </c>
      <c r="B1364" s="59" t="str">
        <f>IF($A1364="","",[1]weekly_demand!F1365)</f>
        <v/>
      </c>
      <c r="C1364" s="60" t="str">
        <f>IF($A1364="","",[1]weekly_demand!H1365)</f>
        <v/>
      </c>
      <c r="D1364" s="61" t="str">
        <f>IF($A1364="","",IF(SUMIFS([1]Fixture_Capacity_Input!$C:$C,[1]Fixture_Capacity_Input!$A:$A,$B1364,[1]Fixture_Capacity_Input!$B:$B,$C1364)&gt;0,SUMIFS([1]Fixture_Capacity_Input!$C:$C,[1]Fixture_Capacity_Input!$A:$A,$B1364,[1]Fixture_Capacity_Input!$B:$B,$C1364),[1]weekly_demand!G1365))</f>
        <v/>
      </c>
      <c r="E1364" s="62" t="str">
        <f>IF($A1364="","",[1]weekly_demand!I1365)</f>
        <v/>
      </c>
      <c r="F1364" s="61" t="str">
        <f>IF($A1364="","",IF($A1364&lt;&gt;$A1363,IFERROR(INDEX([1]FG_Begin_Inventory!$B:$B,MATCH($A1364,[1]FG_Begin_Inventory!$A:$A,0)),0),J1363))</f>
        <v/>
      </c>
      <c r="G1364" s="61" t="str">
        <f t="shared" si="150"/>
        <v/>
      </c>
      <c r="H1364" s="61" t="str">
        <f t="shared" si="151"/>
        <v/>
      </c>
      <c r="I1364" s="62" t="str">
        <f t="shared" si="152"/>
        <v/>
      </c>
      <c r="J1364" s="61" t="str">
        <f t="shared" si="153"/>
        <v/>
      </c>
      <c r="K1364" s="61" t="str">
        <f t="shared" si="154"/>
        <v/>
      </c>
      <c r="L1364" s="61" t="str">
        <f t="shared" si="155"/>
        <v/>
      </c>
      <c r="M1364" s="63" t="str">
        <f t="shared" si="156"/>
        <v/>
      </c>
      <c r="N1364" s="64"/>
    </row>
    <row r="1365" spans="1:14" x14ac:dyDescent="0.3">
      <c r="A1365" s="58" t="str">
        <f>IF([1]weekly_demand!A1366="","",[1]weekly_demand!A1366)</f>
        <v/>
      </c>
      <c r="B1365" s="59" t="str">
        <f>IF($A1365="","",[1]weekly_demand!F1366)</f>
        <v/>
      </c>
      <c r="C1365" s="60" t="str">
        <f>IF($A1365="","",[1]weekly_demand!H1366)</f>
        <v/>
      </c>
      <c r="D1365" s="61" t="str">
        <f>IF($A1365="","",IF(SUMIFS([1]Fixture_Capacity_Input!$C:$C,[1]Fixture_Capacity_Input!$A:$A,$B1365,[1]Fixture_Capacity_Input!$B:$B,$C1365)&gt;0,SUMIFS([1]Fixture_Capacity_Input!$C:$C,[1]Fixture_Capacity_Input!$A:$A,$B1365,[1]Fixture_Capacity_Input!$B:$B,$C1365),[1]weekly_demand!G1366))</f>
        <v/>
      </c>
      <c r="E1365" s="62" t="str">
        <f>IF($A1365="","",[1]weekly_demand!I1366)</f>
        <v/>
      </c>
      <c r="F1365" s="61" t="str">
        <f>IF($A1365="","",IF($A1365&lt;&gt;$A1364,IFERROR(INDEX([1]FG_Begin_Inventory!$B:$B,MATCH($A1365,[1]FG_Begin_Inventory!$A:$A,0)),0),J1364))</f>
        <v/>
      </c>
      <c r="G1365" s="61" t="str">
        <f t="shared" si="150"/>
        <v/>
      </c>
      <c r="H1365" s="61" t="str">
        <f t="shared" si="151"/>
        <v/>
      </c>
      <c r="I1365" s="62" t="str">
        <f t="shared" si="152"/>
        <v/>
      </c>
      <c r="J1365" s="61" t="str">
        <f t="shared" si="153"/>
        <v/>
      </c>
      <c r="K1365" s="61" t="str">
        <f t="shared" si="154"/>
        <v/>
      </c>
      <c r="L1365" s="61" t="str">
        <f t="shared" si="155"/>
        <v/>
      </c>
      <c r="M1365" s="63" t="str">
        <f t="shared" si="156"/>
        <v/>
      </c>
      <c r="N1365" s="64"/>
    </row>
    <row r="1366" spans="1:14" x14ac:dyDescent="0.3">
      <c r="A1366" s="58" t="str">
        <f>IF([1]weekly_demand!A1367="","",[1]weekly_demand!A1367)</f>
        <v/>
      </c>
      <c r="B1366" s="59" t="str">
        <f>IF($A1366="","",[1]weekly_demand!F1367)</f>
        <v/>
      </c>
      <c r="C1366" s="60" t="str">
        <f>IF($A1366="","",[1]weekly_demand!H1367)</f>
        <v/>
      </c>
      <c r="D1366" s="61" t="str">
        <f>IF($A1366="","",IF(SUMIFS([1]Fixture_Capacity_Input!$C:$C,[1]Fixture_Capacity_Input!$A:$A,$B1366,[1]Fixture_Capacity_Input!$B:$B,$C1366)&gt;0,SUMIFS([1]Fixture_Capacity_Input!$C:$C,[1]Fixture_Capacity_Input!$A:$A,$B1366,[1]Fixture_Capacity_Input!$B:$B,$C1366),[1]weekly_demand!G1367))</f>
        <v/>
      </c>
      <c r="E1366" s="62" t="str">
        <f>IF($A1366="","",[1]weekly_demand!I1367)</f>
        <v/>
      </c>
      <c r="F1366" s="61" t="str">
        <f>IF($A1366="","",IF($A1366&lt;&gt;$A1365,IFERROR(INDEX([1]FG_Begin_Inventory!$B:$B,MATCH($A1366,[1]FG_Begin_Inventory!$A:$A,0)),0),J1365))</f>
        <v/>
      </c>
      <c r="G1366" s="61" t="str">
        <f t="shared" si="150"/>
        <v/>
      </c>
      <c r="H1366" s="61" t="str">
        <f t="shared" si="151"/>
        <v/>
      </c>
      <c r="I1366" s="62" t="str">
        <f t="shared" si="152"/>
        <v/>
      </c>
      <c r="J1366" s="61" t="str">
        <f t="shared" si="153"/>
        <v/>
      </c>
      <c r="K1366" s="61" t="str">
        <f t="shared" si="154"/>
        <v/>
      </c>
      <c r="L1366" s="61" t="str">
        <f t="shared" si="155"/>
        <v/>
      </c>
      <c r="M1366" s="63" t="str">
        <f t="shared" si="156"/>
        <v/>
      </c>
      <c r="N1366" s="64"/>
    </row>
    <row r="1367" spans="1:14" x14ac:dyDescent="0.3">
      <c r="A1367" s="58" t="str">
        <f>IF([1]weekly_demand!A1368="","",[1]weekly_demand!A1368)</f>
        <v/>
      </c>
      <c r="B1367" s="59" t="str">
        <f>IF($A1367="","",[1]weekly_demand!F1368)</f>
        <v/>
      </c>
      <c r="C1367" s="60" t="str">
        <f>IF($A1367="","",[1]weekly_demand!H1368)</f>
        <v/>
      </c>
      <c r="D1367" s="61" t="str">
        <f>IF($A1367="","",IF(SUMIFS([1]Fixture_Capacity_Input!$C:$C,[1]Fixture_Capacity_Input!$A:$A,$B1367,[1]Fixture_Capacity_Input!$B:$B,$C1367)&gt;0,SUMIFS([1]Fixture_Capacity_Input!$C:$C,[1]Fixture_Capacity_Input!$A:$A,$B1367,[1]Fixture_Capacity_Input!$B:$B,$C1367),[1]weekly_demand!G1368))</f>
        <v/>
      </c>
      <c r="E1367" s="62" t="str">
        <f>IF($A1367="","",[1]weekly_demand!I1368)</f>
        <v/>
      </c>
      <c r="F1367" s="61" t="str">
        <f>IF($A1367="","",IF($A1367&lt;&gt;$A1366,IFERROR(INDEX([1]FG_Begin_Inventory!$B:$B,MATCH($A1367,[1]FG_Begin_Inventory!$A:$A,0)),0),J1366))</f>
        <v/>
      </c>
      <c r="G1367" s="61" t="str">
        <f t="shared" si="150"/>
        <v/>
      </c>
      <c r="H1367" s="61" t="str">
        <f t="shared" si="151"/>
        <v/>
      </c>
      <c r="I1367" s="62" t="str">
        <f t="shared" si="152"/>
        <v/>
      </c>
      <c r="J1367" s="61" t="str">
        <f t="shared" si="153"/>
        <v/>
      </c>
      <c r="K1367" s="61" t="str">
        <f t="shared" si="154"/>
        <v/>
      </c>
      <c r="L1367" s="61" t="str">
        <f t="shared" si="155"/>
        <v/>
      </c>
      <c r="M1367" s="63" t="str">
        <f t="shared" si="156"/>
        <v/>
      </c>
      <c r="N1367" s="64"/>
    </row>
    <row r="1368" spans="1:14" x14ac:dyDescent="0.3">
      <c r="A1368" s="58" t="str">
        <f>IF([1]weekly_demand!A1369="","",[1]weekly_demand!A1369)</f>
        <v/>
      </c>
      <c r="B1368" s="59" t="str">
        <f>IF($A1368="","",[1]weekly_demand!F1369)</f>
        <v/>
      </c>
      <c r="C1368" s="60" t="str">
        <f>IF($A1368="","",[1]weekly_demand!H1369)</f>
        <v/>
      </c>
      <c r="D1368" s="61" t="str">
        <f>IF($A1368="","",IF(SUMIFS([1]Fixture_Capacity_Input!$C:$C,[1]Fixture_Capacity_Input!$A:$A,$B1368,[1]Fixture_Capacity_Input!$B:$B,$C1368)&gt;0,SUMIFS([1]Fixture_Capacity_Input!$C:$C,[1]Fixture_Capacity_Input!$A:$A,$B1368,[1]Fixture_Capacity_Input!$B:$B,$C1368),[1]weekly_demand!G1369))</f>
        <v/>
      </c>
      <c r="E1368" s="62" t="str">
        <f>IF($A1368="","",[1]weekly_demand!I1369)</f>
        <v/>
      </c>
      <c r="F1368" s="61" t="str">
        <f>IF($A1368="","",IF($A1368&lt;&gt;$A1367,IFERROR(INDEX([1]FG_Begin_Inventory!$B:$B,MATCH($A1368,[1]FG_Begin_Inventory!$A:$A,0)),0),J1367))</f>
        <v/>
      </c>
      <c r="G1368" s="61" t="str">
        <f t="shared" si="150"/>
        <v/>
      </c>
      <c r="H1368" s="61" t="str">
        <f t="shared" si="151"/>
        <v/>
      </c>
      <c r="I1368" s="62" t="str">
        <f t="shared" si="152"/>
        <v/>
      </c>
      <c r="J1368" s="61" t="str">
        <f t="shared" si="153"/>
        <v/>
      </c>
      <c r="K1368" s="61" t="str">
        <f t="shared" si="154"/>
        <v/>
      </c>
      <c r="L1368" s="61" t="str">
        <f t="shared" si="155"/>
        <v/>
      </c>
      <c r="M1368" s="63" t="str">
        <f t="shared" si="156"/>
        <v/>
      </c>
      <c r="N1368" s="64"/>
    </row>
    <row r="1369" spans="1:14" x14ac:dyDescent="0.3">
      <c r="A1369" s="58" t="str">
        <f>IF([1]weekly_demand!A1370="","",[1]weekly_demand!A1370)</f>
        <v/>
      </c>
      <c r="B1369" s="59" t="str">
        <f>IF($A1369="","",[1]weekly_demand!F1370)</f>
        <v/>
      </c>
      <c r="C1369" s="60" t="str">
        <f>IF($A1369="","",[1]weekly_demand!H1370)</f>
        <v/>
      </c>
      <c r="D1369" s="61" t="str">
        <f>IF($A1369="","",IF(SUMIFS([1]Fixture_Capacity_Input!$C:$C,[1]Fixture_Capacity_Input!$A:$A,$B1369,[1]Fixture_Capacity_Input!$B:$B,$C1369)&gt;0,SUMIFS([1]Fixture_Capacity_Input!$C:$C,[1]Fixture_Capacity_Input!$A:$A,$B1369,[1]Fixture_Capacity_Input!$B:$B,$C1369),[1]weekly_demand!G1370))</f>
        <v/>
      </c>
      <c r="E1369" s="62" t="str">
        <f>IF($A1369="","",[1]weekly_demand!I1370)</f>
        <v/>
      </c>
      <c r="F1369" s="61" t="str">
        <f>IF($A1369="","",IF($A1369&lt;&gt;$A1368,IFERROR(INDEX([1]FG_Begin_Inventory!$B:$B,MATCH($A1369,[1]FG_Begin_Inventory!$A:$A,0)),0),J1368))</f>
        <v/>
      </c>
      <c r="G1369" s="61" t="str">
        <f t="shared" si="150"/>
        <v/>
      </c>
      <c r="H1369" s="61" t="str">
        <f t="shared" si="151"/>
        <v/>
      </c>
      <c r="I1369" s="62" t="str">
        <f t="shared" si="152"/>
        <v/>
      </c>
      <c r="J1369" s="61" t="str">
        <f t="shared" si="153"/>
        <v/>
      </c>
      <c r="K1369" s="61" t="str">
        <f t="shared" si="154"/>
        <v/>
      </c>
      <c r="L1369" s="61" t="str">
        <f t="shared" si="155"/>
        <v/>
      </c>
      <c r="M1369" s="63" t="str">
        <f t="shared" si="156"/>
        <v/>
      </c>
      <c r="N1369" s="64"/>
    </row>
    <row r="1370" spans="1:14" x14ac:dyDescent="0.3">
      <c r="A1370" s="58" t="str">
        <f>IF([1]weekly_demand!A1371="","",[1]weekly_demand!A1371)</f>
        <v/>
      </c>
      <c r="B1370" s="59" t="str">
        <f>IF($A1370="","",[1]weekly_demand!F1371)</f>
        <v/>
      </c>
      <c r="C1370" s="60" t="str">
        <f>IF($A1370="","",[1]weekly_demand!H1371)</f>
        <v/>
      </c>
      <c r="D1370" s="61" t="str">
        <f>IF($A1370="","",IF(SUMIFS([1]Fixture_Capacity_Input!$C:$C,[1]Fixture_Capacity_Input!$A:$A,$B1370,[1]Fixture_Capacity_Input!$B:$B,$C1370)&gt;0,SUMIFS([1]Fixture_Capacity_Input!$C:$C,[1]Fixture_Capacity_Input!$A:$A,$B1370,[1]Fixture_Capacity_Input!$B:$B,$C1370),[1]weekly_demand!G1371))</f>
        <v/>
      </c>
      <c r="E1370" s="62" t="str">
        <f>IF($A1370="","",[1]weekly_demand!I1371)</f>
        <v/>
      </c>
      <c r="F1370" s="61" t="str">
        <f>IF($A1370="","",IF($A1370&lt;&gt;$A1369,IFERROR(INDEX([1]FG_Begin_Inventory!$B:$B,MATCH($A1370,[1]FG_Begin_Inventory!$A:$A,0)),0),J1369))</f>
        <v/>
      </c>
      <c r="G1370" s="61" t="str">
        <f t="shared" si="150"/>
        <v/>
      </c>
      <c r="H1370" s="61" t="str">
        <f t="shared" si="151"/>
        <v/>
      </c>
      <c r="I1370" s="62" t="str">
        <f t="shared" si="152"/>
        <v/>
      </c>
      <c r="J1370" s="61" t="str">
        <f t="shared" si="153"/>
        <v/>
      </c>
      <c r="K1370" s="61" t="str">
        <f t="shared" si="154"/>
        <v/>
      </c>
      <c r="L1370" s="61" t="str">
        <f t="shared" si="155"/>
        <v/>
      </c>
      <c r="M1370" s="63" t="str">
        <f t="shared" si="156"/>
        <v/>
      </c>
      <c r="N1370" s="64"/>
    </row>
    <row r="1371" spans="1:14" x14ac:dyDescent="0.3">
      <c r="A1371" s="58" t="str">
        <f>IF([1]weekly_demand!A1372="","",[1]weekly_demand!A1372)</f>
        <v/>
      </c>
      <c r="B1371" s="59" t="str">
        <f>IF($A1371="","",[1]weekly_demand!F1372)</f>
        <v/>
      </c>
      <c r="C1371" s="60" t="str">
        <f>IF($A1371="","",[1]weekly_demand!H1372)</f>
        <v/>
      </c>
      <c r="D1371" s="61" t="str">
        <f>IF($A1371="","",IF(SUMIFS([1]Fixture_Capacity_Input!$C:$C,[1]Fixture_Capacity_Input!$A:$A,$B1371,[1]Fixture_Capacity_Input!$B:$B,$C1371)&gt;0,SUMIFS([1]Fixture_Capacity_Input!$C:$C,[1]Fixture_Capacity_Input!$A:$A,$B1371,[1]Fixture_Capacity_Input!$B:$B,$C1371),[1]weekly_demand!G1372))</f>
        <v/>
      </c>
      <c r="E1371" s="62" t="str">
        <f>IF($A1371="","",[1]weekly_demand!I1372)</f>
        <v/>
      </c>
      <c r="F1371" s="61" t="str">
        <f>IF($A1371="","",IF($A1371&lt;&gt;$A1370,IFERROR(INDEX([1]FG_Begin_Inventory!$B:$B,MATCH($A1371,[1]FG_Begin_Inventory!$A:$A,0)),0),J1370))</f>
        <v/>
      </c>
      <c r="G1371" s="61" t="str">
        <f t="shared" si="150"/>
        <v/>
      </c>
      <c r="H1371" s="61" t="str">
        <f t="shared" si="151"/>
        <v/>
      </c>
      <c r="I1371" s="62" t="str">
        <f t="shared" si="152"/>
        <v/>
      </c>
      <c r="J1371" s="61" t="str">
        <f t="shared" si="153"/>
        <v/>
      </c>
      <c r="K1371" s="61" t="str">
        <f t="shared" si="154"/>
        <v/>
      </c>
      <c r="L1371" s="61" t="str">
        <f t="shared" si="155"/>
        <v/>
      </c>
      <c r="M1371" s="63" t="str">
        <f t="shared" si="156"/>
        <v/>
      </c>
      <c r="N1371" s="64"/>
    </row>
    <row r="1372" spans="1:14" x14ac:dyDescent="0.3">
      <c r="A1372" s="58" t="str">
        <f>IF([1]weekly_demand!A1373="","",[1]weekly_demand!A1373)</f>
        <v/>
      </c>
      <c r="B1372" s="59" t="str">
        <f>IF($A1372="","",[1]weekly_demand!F1373)</f>
        <v/>
      </c>
      <c r="C1372" s="60" t="str">
        <f>IF($A1372="","",[1]weekly_demand!H1373)</f>
        <v/>
      </c>
      <c r="D1372" s="61" t="str">
        <f>IF($A1372="","",IF(SUMIFS([1]Fixture_Capacity_Input!$C:$C,[1]Fixture_Capacity_Input!$A:$A,$B1372,[1]Fixture_Capacity_Input!$B:$B,$C1372)&gt;0,SUMIFS([1]Fixture_Capacity_Input!$C:$C,[1]Fixture_Capacity_Input!$A:$A,$B1372,[1]Fixture_Capacity_Input!$B:$B,$C1372),[1]weekly_demand!G1373))</f>
        <v/>
      </c>
      <c r="E1372" s="62" t="str">
        <f>IF($A1372="","",[1]weekly_demand!I1373)</f>
        <v/>
      </c>
      <c r="F1372" s="61" t="str">
        <f>IF($A1372="","",IF($A1372&lt;&gt;$A1371,IFERROR(INDEX([1]FG_Begin_Inventory!$B:$B,MATCH($A1372,[1]FG_Begin_Inventory!$A:$A,0)),0),J1371))</f>
        <v/>
      </c>
      <c r="G1372" s="61" t="str">
        <f t="shared" si="150"/>
        <v/>
      </c>
      <c r="H1372" s="61" t="str">
        <f t="shared" si="151"/>
        <v/>
      </c>
      <c r="I1372" s="62" t="str">
        <f t="shared" si="152"/>
        <v/>
      </c>
      <c r="J1372" s="61" t="str">
        <f t="shared" si="153"/>
        <v/>
      </c>
      <c r="K1372" s="61" t="str">
        <f t="shared" si="154"/>
        <v/>
      </c>
      <c r="L1372" s="61" t="str">
        <f t="shared" si="155"/>
        <v/>
      </c>
      <c r="M1372" s="63" t="str">
        <f t="shared" si="156"/>
        <v/>
      </c>
      <c r="N1372" s="64"/>
    </row>
    <row r="1373" spans="1:14" x14ac:dyDescent="0.3">
      <c r="A1373" s="58" t="str">
        <f>IF([1]weekly_demand!A1374="","",[1]weekly_demand!A1374)</f>
        <v/>
      </c>
      <c r="B1373" s="59" t="str">
        <f>IF($A1373="","",[1]weekly_demand!F1374)</f>
        <v/>
      </c>
      <c r="C1373" s="60" t="str">
        <f>IF($A1373="","",[1]weekly_demand!H1374)</f>
        <v/>
      </c>
      <c r="D1373" s="61" t="str">
        <f>IF($A1373="","",IF(SUMIFS([1]Fixture_Capacity_Input!$C:$C,[1]Fixture_Capacity_Input!$A:$A,$B1373,[1]Fixture_Capacity_Input!$B:$B,$C1373)&gt;0,SUMIFS([1]Fixture_Capacity_Input!$C:$C,[1]Fixture_Capacity_Input!$A:$A,$B1373,[1]Fixture_Capacity_Input!$B:$B,$C1373),[1]weekly_demand!G1374))</f>
        <v/>
      </c>
      <c r="E1373" s="62" t="str">
        <f>IF($A1373="","",[1]weekly_demand!I1374)</f>
        <v/>
      </c>
      <c r="F1373" s="61" t="str">
        <f>IF($A1373="","",IF($A1373&lt;&gt;$A1372,IFERROR(INDEX([1]FG_Begin_Inventory!$B:$B,MATCH($A1373,[1]FG_Begin_Inventory!$A:$A,0)),0),J1372))</f>
        <v/>
      </c>
      <c r="G1373" s="61" t="str">
        <f t="shared" si="150"/>
        <v/>
      </c>
      <c r="H1373" s="61" t="str">
        <f t="shared" si="151"/>
        <v/>
      </c>
      <c r="I1373" s="62" t="str">
        <f t="shared" si="152"/>
        <v/>
      </c>
      <c r="J1373" s="61" t="str">
        <f t="shared" si="153"/>
        <v/>
      </c>
      <c r="K1373" s="61" t="str">
        <f t="shared" si="154"/>
        <v/>
      </c>
      <c r="L1373" s="61" t="str">
        <f t="shared" si="155"/>
        <v/>
      </c>
      <c r="M1373" s="63" t="str">
        <f t="shared" si="156"/>
        <v/>
      </c>
      <c r="N1373" s="64"/>
    </row>
    <row r="1374" spans="1:14" x14ac:dyDescent="0.3">
      <c r="A1374" s="58" t="str">
        <f>IF([1]weekly_demand!A1375="","",[1]weekly_demand!A1375)</f>
        <v/>
      </c>
      <c r="B1374" s="59" t="str">
        <f>IF($A1374="","",[1]weekly_demand!F1375)</f>
        <v/>
      </c>
      <c r="C1374" s="60" t="str">
        <f>IF($A1374="","",[1]weekly_demand!H1375)</f>
        <v/>
      </c>
      <c r="D1374" s="61" t="str">
        <f>IF($A1374="","",IF(SUMIFS([1]Fixture_Capacity_Input!$C:$C,[1]Fixture_Capacity_Input!$A:$A,$B1374,[1]Fixture_Capacity_Input!$B:$B,$C1374)&gt;0,SUMIFS([1]Fixture_Capacity_Input!$C:$C,[1]Fixture_Capacity_Input!$A:$A,$B1374,[1]Fixture_Capacity_Input!$B:$B,$C1374),[1]weekly_demand!G1375))</f>
        <v/>
      </c>
      <c r="E1374" s="62" t="str">
        <f>IF($A1374="","",[1]weekly_demand!I1375)</f>
        <v/>
      </c>
      <c r="F1374" s="61" t="str">
        <f>IF($A1374="","",IF($A1374&lt;&gt;$A1373,IFERROR(INDEX([1]FG_Begin_Inventory!$B:$B,MATCH($A1374,[1]FG_Begin_Inventory!$A:$A,0)),0),J1373))</f>
        <v/>
      </c>
      <c r="G1374" s="61" t="str">
        <f t="shared" si="150"/>
        <v/>
      </c>
      <c r="H1374" s="61" t="str">
        <f t="shared" si="151"/>
        <v/>
      </c>
      <c r="I1374" s="62" t="str">
        <f t="shared" si="152"/>
        <v/>
      </c>
      <c r="J1374" s="61" t="str">
        <f t="shared" si="153"/>
        <v/>
      </c>
      <c r="K1374" s="61" t="str">
        <f t="shared" si="154"/>
        <v/>
      </c>
      <c r="L1374" s="61" t="str">
        <f t="shared" si="155"/>
        <v/>
      </c>
      <c r="M1374" s="63" t="str">
        <f t="shared" si="156"/>
        <v/>
      </c>
      <c r="N1374" s="64"/>
    </row>
    <row r="1375" spans="1:14" x14ac:dyDescent="0.3">
      <c r="A1375" s="58" t="str">
        <f>IF([1]weekly_demand!A1376="","",[1]weekly_demand!A1376)</f>
        <v/>
      </c>
      <c r="B1375" s="59" t="str">
        <f>IF($A1375="","",[1]weekly_demand!F1376)</f>
        <v/>
      </c>
      <c r="C1375" s="60" t="str">
        <f>IF($A1375="","",[1]weekly_demand!H1376)</f>
        <v/>
      </c>
      <c r="D1375" s="61" t="str">
        <f>IF($A1375="","",IF(SUMIFS([1]Fixture_Capacity_Input!$C:$C,[1]Fixture_Capacity_Input!$A:$A,$B1375,[1]Fixture_Capacity_Input!$B:$B,$C1375)&gt;0,SUMIFS([1]Fixture_Capacity_Input!$C:$C,[1]Fixture_Capacity_Input!$A:$A,$B1375,[1]Fixture_Capacity_Input!$B:$B,$C1375),[1]weekly_demand!G1376))</f>
        <v/>
      </c>
      <c r="E1375" s="62" t="str">
        <f>IF($A1375="","",[1]weekly_demand!I1376)</f>
        <v/>
      </c>
      <c r="F1375" s="61" t="str">
        <f>IF($A1375="","",IF($A1375&lt;&gt;$A1374,IFERROR(INDEX([1]FG_Begin_Inventory!$B:$B,MATCH($A1375,[1]FG_Begin_Inventory!$A:$A,0)),0),J1374))</f>
        <v/>
      </c>
      <c r="G1375" s="61" t="str">
        <f t="shared" si="150"/>
        <v/>
      </c>
      <c r="H1375" s="61" t="str">
        <f t="shared" si="151"/>
        <v/>
      </c>
      <c r="I1375" s="62" t="str">
        <f t="shared" si="152"/>
        <v/>
      </c>
      <c r="J1375" s="61" t="str">
        <f t="shared" si="153"/>
        <v/>
      </c>
      <c r="K1375" s="61" t="str">
        <f t="shared" si="154"/>
        <v/>
      </c>
      <c r="L1375" s="61" t="str">
        <f t="shared" si="155"/>
        <v/>
      </c>
      <c r="M1375" s="63" t="str">
        <f t="shared" si="156"/>
        <v/>
      </c>
      <c r="N1375" s="64"/>
    </row>
    <row r="1376" spans="1:14" x14ac:dyDescent="0.3">
      <c r="A1376" s="58" t="str">
        <f>IF([1]weekly_demand!A1377="","",[1]weekly_demand!A1377)</f>
        <v/>
      </c>
      <c r="B1376" s="59" t="str">
        <f>IF($A1376="","",[1]weekly_demand!F1377)</f>
        <v/>
      </c>
      <c r="C1376" s="60" t="str">
        <f>IF($A1376="","",[1]weekly_demand!H1377)</f>
        <v/>
      </c>
      <c r="D1376" s="61" t="str">
        <f>IF($A1376="","",IF(SUMIFS([1]Fixture_Capacity_Input!$C:$C,[1]Fixture_Capacity_Input!$A:$A,$B1376,[1]Fixture_Capacity_Input!$B:$B,$C1376)&gt;0,SUMIFS([1]Fixture_Capacity_Input!$C:$C,[1]Fixture_Capacity_Input!$A:$A,$B1376,[1]Fixture_Capacity_Input!$B:$B,$C1376),[1]weekly_demand!G1377))</f>
        <v/>
      </c>
      <c r="E1376" s="62" t="str">
        <f>IF($A1376="","",[1]weekly_demand!I1377)</f>
        <v/>
      </c>
      <c r="F1376" s="61" t="str">
        <f>IF($A1376="","",IF($A1376&lt;&gt;$A1375,IFERROR(INDEX([1]FG_Begin_Inventory!$B:$B,MATCH($A1376,[1]FG_Begin_Inventory!$A:$A,0)),0),J1375))</f>
        <v/>
      </c>
      <c r="G1376" s="61" t="str">
        <f t="shared" si="150"/>
        <v/>
      </c>
      <c r="H1376" s="61" t="str">
        <f t="shared" si="151"/>
        <v/>
      </c>
      <c r="I1376" s="62" t="str">
        <f t="shared" si="152"/>
        <v/>
      </c>
      <c r="J1376" s="61" t="str">
        <f t="shared" si="153"/>
        <v/>
      </c>
      <c r="K1376" s="61" t="str">
        <f t="shared" si="154"/>
        <v/>
      </c>
      <c r="L1376" s="61" t="str">
        <f t="shared" si="155"/>
        <v/>
      </c>
      <c r="M1376" s="63" t="str">
        <f t="shared" si="156"/>
        <v/>
      </c>
      <c r="N1376" s="64"/>
    </row>
    <row r="1377" spans="1:14" x14ac:dyDescent="0.3">
      <c r="A1377" s="58" t="str">
        <f>IF([1]weekly_demand!A1378="","",[1]weekly_demand!A1378)</f>
        <v/>
      </c>
      <c r="B1377" s="59" t="str">
        <f>IF($A1377="","",[1]weekly_demand!F1378)</f>
        <v/>
      </c>
      <c r="C1377" s="60" t="str">
        <f>IF($A1377="","",[1]weekly_demand!H1378)</f>
        <v/>
      </c>
      <c r="D1377" s="61" t="str">
        <f>IF($A1377="","",IF(SUMIFS([1]Fixture_Capacity_Input!$C:$C,[1]Fixture_Capacity_Input!$A:$A,$B1377,[1]Fixture_Capacity_Input!$B:$B,$C1377)&gt;0,SUMIFS([1]Fixture_Capacity_Input!$C:$C,[1]Fixture_Capacity_Input!$A:$A,$B1377,[1]Fixture_Capacity_Input!$B:$B,$C1377),[1]weekly_demand!G1378))</f>
        <v/>
      </c>
      <c r="E1377" s="62" t="str">
        <f>IF($A1377="","",[1]weekly_demand!I1378)</f>
        <v/>
      </c>
      <c r="F1377" s="61" t="str">
        <f>IF($A1377="","",IF($A1377&lt;&gt;$A1376,IFERROR(INDEX([1]FG_Begin_Inventory!$B:$B,MATCH($A1377,[1]FG_Begin_Inventory!$A:$A,0)),0),J1376))</f>
        <v/>
      </c>
      <c r="G1377" s="61" t="str">
        <f t="shared" si="150"/>
        <v/>
      </c>
      <c r="H1377" s="61" t="str">
        <f t="shared" si="151"/>
        <v/>
      </c>
      <c r="I1377" s="62" t="str">
        <f t="shared" si="152"/>
        <v/>
      </c>
      <c r="J1377" s="61" t="str">
        <f t="shared" si="153"/>
        <v/>
      </c>
      <c r="K1377" s="61" t="str">
        <f t="shared" si="154"/>
        <v/>
      </c>
      <c r="L1377" s="61" t="str">
        <f t="shared" si="155"/>
        <v/>
      </c>
      <c r="M1377" s="63" t="str">
        <f t="shared" si="156"/>
        <v/>
      </c>
      <c r="N1377" s="64"/>
    </row>
    <row r="1378" spans="1:14" x14ac:dyDescent="0.3">
      <c r="A1378" s="58" t="str">
        <f>IF([1]weekly_demand!A1379="","",[1]weekly_demand!A1379)</f>
        <v/>
      </c>
      <c r="B1378" s="59" t="str">
        <f>IF($A1378="","",[1]weekly_demand!F1379)</f>
        <v/>
      </c>
      <c r="C1378" s="60" t="str">
        <f>IF($A1378="","",[1]weekly_demand!H1379)</f>
        <v/>
      </c>
      <c r="D1378" s="61" t="str">
        <f>IF($A1378="","",IF(SUMIFS([1]Fixture_Capacity_Input!$C:$C,[1]Fixture_Capacity_Input!$A:$A,$B1378,[1]Fixture_Capacity_Input!$B:$B,$C1378)&gt;0,SUMIFS([1]Fixture_Capacity_Input!$C:$C,[1]Fixture_Capacity_Input!$A:$A,$B1378,[1]Fixture_Capacity_Input!$B:$B,$C1378),[1]weekly_demand!G1379))</f>
        <v/>
      </c>
      <c r="E1378" s="62" t="str">
        <f>IF($A1378="","",[1]weekly_demand!I1379)</f>
        <v/>
      </c>
      <c r="F1378" s="61" t="str">
        <f>IF($A1378="","",IF($A1378&lt;&gt;$A1377,IFERROR(INDEX([1]FG_Begin_Inventory!$B:$B,MATCH($A1378,[1]FG_Begin_Inventory!$A:$A,0)),0),J1377))</f>
        <v/>
      </c>
      <c r="G1378" s="61" t="str">
        <f t="shared" si="150"/>
        <v/>
      </c>
      <c r="H1378" s="61" t="str">
        <f t="shared" si="151"/>
        <v/>
      </c>
      <c r="I1378" s="62" t="str">
        <f t="shared" si="152"/>
        <v/>
      </c>
      <c r="J1378" s="61" t="str">
        <f t="shared" si="153"/>
        <v/>
      </c>
      <c r="K1378" s="61" t="str">
        <f t="shared" si="154"/>
        <v/>
      </c>
      <c r="L1378" s="61" t="str">
        <f t="shared" si="155"/>
        <v/>
      </c>
      <c r="M1378" s="63" t="str">
        <f t="shared" si="156"/>
        <v/>
      </c>
      <c r="N1378" s="64"/>
    </row>
    <row r="1379" spans="1:14" x14ac:dyDescent="0.3">
      <c r="A1379" s="58" t="str">
        <f>IF([1]weekly_demand!A1380="","",[1]weekly_demand!A1380)</f>
        <v/>
      </c>
      <c r="B1379" s="59" t="str">
        <f>IF($A1379="","",[1]weekly_demand!F1380)</f>
        <v/>
      </c>
      <c r="C1379" s="60" t="str">
        <f>IF($A1379="","",[1]weekly_demand!H1380)</f>
        <v/>
      </c>
      <c r="D1379" s="61" t="str">
        <f>IF($A1379="","",IF(SUMIFS([1]Fixture_Capacity_Input!$C:$C,[1]Fixture_Capacity_Input!$A:$A,$B1379,[1]Fixture_Capacity_Input!$B:$B,$C1379)&gt;0,SUMIFS([1]Fixture_Capacity_Input!$C:$C,[1]Fixture_Capacity_Input!$A:$A,$B1379,[1]Fixture_Capacity_Input!$B:$B,$C1379),[1]weekly_demand!G1380))</f>
        <v/>
      </c>
      <c r="E1379" s="62" t="str">
        <f>IF($A1379="","",[1]weekly_demand!I1380)</f>
        <v/>
      </c>
      <c r="F1379" s="61" t="str">
        <f>IF($A1379="","",IF($A1379&lt;&gt;$A1378,IFERROR(INDEX([1]FG_Begin_Inventory!$B:$B,MATCH($A1379,[1]FG_Begin_Inventory!$A:$A,0)),0),J1378))</f>
        <v/>
      </c>
      <c r="G1379" s="61" t="str">
        <f t="shared" si="150"/>
        <v/>
      </c>
      <c r="H1379" s="61" t="str">
        <f t="shared" si="151"/>
        <v/>
      </c>
      <c r="I1379" s="62" t="str">
        <f t="shared" si="152"/>
        <v/>
      </c>
      <c r="J1379" s="61" t="str">
        <f t="shared" si="153"/>
        <v/>
      </c>
      <c r="K1379" s="61" t="str">
        <f t="shared" si="154"/>
        <v/>
      </c>
      <c r="L1379" s="61" t="str">
        <f t="shared" si="155"/>
        <v/>
      </c>
      <c r="M1379" s="63" t="str">
        <f t="shared" si="156"/>
        <v/>
      </c>
      <c r="N1379" s="64"/>
    </row>
    <row r="1380" spans="1:14" x14ac:dyDescent="0.3">
      <c r="A1380" s="58" t="str">
        <f>IF([1]weekly_demand!A1381="","",[1]weekly_demand!A1381)</f>
        <v/>
      </c>
      <c r="B1380" s="59" t="str">
        <f>IF($A1380="","",[1]weekly_demand!F1381)</f>
        <v/>
      </c>
      <c r="C1380" s="60" t="str">
        <f>IF($A1380="","",[1]weekly_demand!H1381)</f>
        <v/>
      </c>
      <c r="D1380" s="61" t="str">
        <f>IF($A1380="","",IF(SUMIFS([1]Fixture_Capacity_Input!$C:$C,[1]Fixture_Capacity_Input!$A:$A,$B1380,[1]Fixture_Capacity_Input!$B:$B,$C1380)&gt;0,SUMIFS([1]Fixture_Capacity_Input!$C:$C,[1]Fixture_Capacity_Input!$A:$A,$B1380,[1]Fixture_Capacity_Input!$B:$B,$C1380),[1]weekly_demand!G1381))</f>
        <v/>
      </c>
      <c r="E1380" s="62" t="str">
        <f>IF($A1380="","",[1]weekly_demand!I1381)</f>
        <v/>
      </c>
      <c r="F1380" s="61" t="str">
        <f>IF($A1380="","",IF($A1380&lt;&gt;$A1379,IFERROR(INDEX([1]FG_Begin_Inventory!$B:$B,MATCH($A1380,[1]FG_Begin_Inventory!$A:$A,0)),0),J1379))</f>
        <v/>
      </c>
      <c r="G1380" s="61" t="str">
        <f t="shared" si="150"/>
        <v/>
      </c>
      <c r="H1380" s="61" t="str">
        <f t="shared" si="151"/>
        <v/>
      </c>
      <c r="I1380" s="62" t="str">
        <f t="shared" si="152"/>
        <v/>
      </c>
      <c r="J1380" s="61" t="str">
        <f t="shared" si="153"/>
        <v/>
      </c>
      <c r="K1380" s="61" t="str">
        <f t="shared" si="154"/>
        <v/>
      </c>
      <c r="L1380" s="61" t="str">
        <f t="shared" si="155"/>
        <v/>
      </c>
      <c r="M1380" s="63" t="str">
        <f t="shared" si="156"/>
        <v/>
      </c>
      <c r="N1380" s="64"/>
    </row>
    <row r="1381" spans="1:14" x14ac:dyDescent="0.3">
      <c r="A1381" s="58" t="str">
        <f>IF([1]weekly_demand!A1382="","",[1]weekly_demand!A1382)</f>
        <v/>
      </c>
      <c r="B1381" s="59" t="str">
        <f>IF($A1381="","",[1]weekly_demand!F1382)</f>
        <v/>
      </c>
      <c r="C1381" s="60" t="str">
        <f>IF($A1381="","",[1]weekly_demand!H1382)</f>
        <v/>
      </c>
      <c r="D1381" s="61" t="str">
        <f>IF($A1381="","",IF(SUMIFS([1]Fixture_Capacity_Input!$C:$C,[1]Fixture_Capacity_Input!$A:$A,$B1381,[1]Fixture_Capacity_Input!$B:$B,$C1381)&gt;0,SUMIFS([1]Fixture_Capacity_Input!$C:$C,[1]Fixture_Capacity_Input!$A:$A,$B1381,[1]Fixture_Capacity_Input!$B:$B,$C1381),[1]weekly_demand!G1382))</f>
        <v/>
      </c>
      <c r="E1381" s="62" t="str">
        <f>IF($A1381="","",[1]weekly_demand!I1382)</f>
        <v/>
      </c>
      <c r="F1381" s="61" t="str">
        <f>IF($A1381="","",IF($A1381&lt;&gt;$A1380,IFERROR(INDEX([1]FG_Begin_Inventory!$B:$B,MATCH($A1381,[1]FG_Begin_Inventory!$A:$A,0)),0),J1380))</f>
        <v/>
      </c>
      <c r="G1381" s="61" t="str">
        <f t="shared" si="150"/>
        <v/>
      </c>
      <c r="H1381" s="61" t="str">
        <f t="shared" si="151"/>
        <v/>
      </c>
      <c r="I1381" s="62" t="str">
        <f t="shared" si="152"/>
        <v/>
      </c>
      <c r="J1381" s="61" t="str">
        <f t="shared" si="153"/>
        <v/>
      </c>
      <c r="K1381" s="61" t="str">
        <f t="shared" si="154"/>
        <v/>
      </c>
      <c r="L1381" s="61" t="str">
        <f t="shared" si="155"/>
        <v/>
      </c>
      <c r="M1381" s="63" t="str">
        <f t="shared" si="156"/>
        <v/>
      </c>
      <c r="N1381" s="64"/>
    </row>
    <row r="1382" spans="1:14" x14ac:dyDescent="0.3">
      <c r="A1382" s="58" t="str">
        <f>IF([1]weekly_demand!A1383="","",[1]weekly_demand!A1383)</f>
        <v/>
      </c>
      <c r="B1382" s="59" t="str">
        <f>IF($A1382="","",[1]weekly_demand!F1383)</f>
        <v/>
      </c>
      <c r="C1382" s="60" t="str">
        <f>IF($A1382="","",[1]weekly_demand!H1383)</f>
        <v/>
      </c>
      <c r="D1382" s="61" t="str">
        <f>IF($A1382="","",IF(SUMIFS([1]Fixture_Capacity_Input!$C:$C,[1]Fixture_Capacity_Input!$A:$A,$B1382,[1]Fixture_Capacity_Input!$B:$B,$C1382)&gt;0,SUMIFS([1]Fixture_Capacity_Input!$C:$C,[1]Fixture_Capacity_Input!$A:$A,$B1382,[1]Fixture_Capacity_Input!$B:$B,$C1382),[1]weekly_demand!G1383))</f>
        <v/>
      </c>
      <c r="E1382" s="62" t="str">
        <f>IF($A1382="","",[1]weekly_demand!I1383)</f>
        <v/>
      </c>
      <c r="F1382" s="61" t="str">
        <f>IF($A1382="","",IF($A1382&lt;&gt;$A1381,IFERROR(INDEX([1]FG_Begin_Inventory!$B:$B,MATCH($A1382,[1]FG_Begin_Inventory!$A:$A,0)),0),J1381))</f>
        <v/>
      </c>
      <c r="G1382" s="61" t="str">
        <f t="shared" si="150"/>
        <v/>
      </c>
      <c r="H1382" s="61" t="str">
        <f t="shared" si="151"/>
        <v/>
      </c>
      <c r="I1382" s="62" t="str">
        <f t="shared" si="152"/>
        <v/>
      </c>
      <c r="J1382" s="61" t="str">
        <f t="shared" si="153"/>
        <v/>
      </c>
      <c r="K1382" s="61" t="str">
        <f t="shared" si="154"/>
        <v/>
      </c>
      <c r="L1382" s="61" t="str">
        <f t="shared" si="155"/>
        <v/>
      </c>
      <c r="M1382" s="63" t="str">
        <f t="shared" si="156"/>
        <v/>
      </c>
      <c r="N1382" s="64"/>
    </row>
    <row r="1383" spans="1:14" x14ac:dyDescent="0.3">
      <c r="A1383" s="58" t="str">
        <f>IF([1]weekly_demand!A1384="","",[1]weekly_demand!A1384)</f>
        <v/>
      </c>
      <c r="B1383" s="59" t="str">
        <f>IF($A1383="","",[1]weekly_demand!F1384)</f>
        <v/>
      </c>
      <c r="C1383" s="60" t="str">
        <f>IF($A1383="","",[1]weekly_demand!H1384)</f>
        <v/>
      </c>
      <c r="D1383" s="61" t="str">
        <f>IF($A1383="","",IF(SUMIFS([1]Fixture_Capacity_Input!$C:$C,[1]Fixture_Capacity_Input!$A:$A,$B1383,[1]Fixture_Capacity_Input!$B:$B,$C1383)&gt;0,SUMIFS([1]Fixture_Capacity_Input!$C:$C,[1]Fixture_Capacity_Input!$A:$A,$B1383,[1]Fixture_Capacity_Input!$B:$B,$C1383),[1]weekly_demand!G1384))</f>
        <v/>
      </c>
      <c r="E1383" s="62" t="str">
        <f>IF($A1383="","",[1]weekly_demand!I1384)</f>
        <v/>
      </c>
      <c r="F1383" s="61" t="str">
        <f>IF($A1383="","",IF($A1383&lt;&gt;$A1382,IFERROR(INDEX([1]FG_Begin_Inventory!$B:$B,MATCH($A1383,[1]FG_Begin_Inventory!$A:$A,0)),0),J1382))</f>
        <v/>
      </c>
      <c r="G1383" s="61" t="str">
        <f t="shared" si="150"/>
        <v/>
      </c>
      <c r="H1383" s="61" t="str">
        <f t="shared" si="151"/>
        <v/>
      </c>
      <c r="I1383" s="62" t="str">
        <f t="shared" si="152"/>
        <v/>
      </c>
      <c r="J1383" s="61" t="str">
        <f t="shared" si="153"/>
        <v/>
      </c>
      <c r="K1383" s="61" t="str">
        <f t="shared" si="154"/>
        <v/>
      </c>
      <c r="L1383" s="61" t="str">
        <f t="shared" si="155"/>
        <v/>
      </c>
      <c r="M1383" s="63" t="str">
        <f t="shared" si="156"/>
        <v/>
      </c>
      <c r="N1383" s="64"/>
    </row>
    <row r="1384" spans="1:14" x14ac:dyDescent="0.3">
      <c r="A1384" s="58" t="str">
        <f>IF([1]weekly_demand!A1385="","",[1]weekly_demand!A1385)</f>
        <v/>
      </c>
      <c r="B1384" s="59" t="str">
        <f>IF($A1384="","",[1]weekly_demand!F1385)</f>
        <v/>
      </c>
      <c r="C1384" s="60" t="str">
        <f>IF($A1384="","",[1]weekly_demand!H1385)</f>
        <v/>
      </c>
      <c r="D1384" s="61" t="str">
        <f>IF($A1384="","",IF(SUMIFS([1]Fixture_Capacity_Input!$C:$C,[1]Fixture_Capacity_Input!$A:$A,$B1384,[1]Fixture_Capacity_Input!$B:$B,$C1384)&gt;0,SUMIFS([1]Fixture_Capacity_Input!$C:$C,[1]Fixture_Capacity_Input!$A:$A,$B1384,[1]Fixture_Capacity_Input!$B:$B,$C1384),[1]weekly_demand!G1385))</f>
        <v/>
      </c>
      <c r="E1384" s="62" t="str">
        <f>IF($A1384="","",[1]weekly_demand!I1385)</f>
        <v/>
      </c>
      <c r="F1384" s="61" t="str">
        <f>IF($A1384="","",IF($A1384&lt;&gt;$A1383,IFERROR(INDEX([1]FG_Begin_Inventory!$B:$B,MATCH($A1384,[1]FG_Begin_Inventory!$A:$A,0)),0),J1383))</f>
        <v/>
      </c>
      <c r="G1384" s="61" t="str">
        <f t="shared" si="150"/>
        <v/>
      </c>
      <c r="H1384" s="61" t="str">
        <f t="shared" si="151"/>
        <v/>
      </c>
      <c r="I1384" s="62" t="str">
        <f t="shared" si="152"/>
        <v/>
      </c>
      <c r="J1384" s="61" t="str">
        <f t="shared" si="153"/>
        <v/>
      </c>
      <c r="K1384" s="61" t="str">
        <f t="shared" si="154"/>
        <v/>
      </c>
      <c r="L1384" s="61" t="str">
        <f t="shared" si="155"/>
        <v/>
      </c>
      <c r="M1384" s="63" t="str">
        <f t="shared" si="156"/>
        <v/>
      </c>
      <c r="N1384" s="64"/>
    </row>
    <row r="1385" spans="1:14" x14ac:dyDescent="0.3">
      <c r="A1385" s="58" t="str">
        <f>IF([1]weekly_demand!A1386="","",[1]weekly_demand!A1386)</f>
        <v/>
      </c>
      <c r="B1385" s="59" t="str">
        <f>IF($A1385="","",[1]weekly_demand!F1386)</f>
        <v/>
      </c>
      <c r="C1385" s="60" t="str">
        <f>IF($A1385="","",[1]weekly_demand!H1386)</f>
        <v/>
      </c>
      <c r="D1385" s="61" t="str">
        <f>IF($A1385="","",IF(SUMIFS([1]Fixture_Capacity_Input!$C:$C,[1]Fixture_Capacity_Input!$A:$A,$B1385,[1]Fixture_Capacity_Input!$B:$B,$C1385)&gt;0,SUMIFS([1]Fixture_Capacity_Input!$C:$C,[1]Fixture_Capacity_Input!$A:$A,$B1385,[1]Fixture_Capacity_Input!$B:$B,$C1385),[1]weekly_demand!G1386))</f>
        <v/>
      </c>
      <c r="E1385" s="62" t="str">
        <f>IF($A1385="","",[1]weekly_demand!I1386)</f>
        <v/>
      </c>
      <c r="F1385" s="61" t="str">
        <f>IF($A1385="","",IF($A1385&lt;&gt;$A1384,IFERROR(INDEX([1]FG_Begin_Inventory!$B:$B,MATCH($A1385,[1]FG_Begin_Inventory!$A:$A,0)),0),J1384))</f>
        <v/>
      </c>
      <c r="G1385" s="61" t="str">
        <f t="shared" si="150"/>
        <v/>
      </c>
      <c r="H1385" s="61" t="str">
        <f t="shared" si="151"/>
        <v/>
      </c>
      <c r="I1385" s="62" t="str">
        <f t="shared" si="152"/>
        <v/>
      </c>
      <c r="J1385" s="61" t="str">
        <f t="shared" si="153"/>
        <v/>
      </c>
      <c r="K1385" s="61" t="str">
        <f t="shared" si="154"/>
        <v/>
      </c>
      <c r="L1385" s="61" t="str">
        <f t="shared" si="155"/>
        <v/>
      </c>
      <c r="M1385" s="63" t="str">
        <f t="shared" si="156"/>
        <v/>
      </c>
      <c r="N1385" s="64"/>
    </row>
    <row r="1386" spans="1:14" x14ac:dyDescent="0.3">
      <c r="A1386" s="58" t="str">
        <f>IF([1]weekly_demand!A1387="","",[1]weekly_demand!A1387)</f>
        <v/>
      </c>
      <c r="B1386" s="59" t="str">
        <f>IF($A1386="","",[1]weekly_demand!F1387)</f>
        <v/>
      </c>
      <c r="C1386" s="60" t="str">
        <f>IF($A1386="","",[1]weekly_demand!H1387)</f>
        <v/>
      </c>
      <c r="D1386" s="61" t="str">
        <f>IF($A1386="","",IF(SUMIFS([1]Fixture_Capacity_Input!$C:$C,[1]Fixture_Capacity_Input!$A:$A,$B1386,[1]Fixture_Capacity_Input!$B:$B,$C1386)&gt;0,SUMIFS([1]Fixture_Capacity_Input!$C:$C,[1]Fixture_Capacity_Input!$A:$A,$B1386,[1]Fixture_Capacity_Input!$B:$B,$C1386),[1]weekly_demand!G1387))</f>
        <v/>
      </c>
      <c r="E1386" s="62" t="str">
        <f>IF($A1386="","",[1]weekly_demand!I1387)</f>
        <v/>
      </c>
      <c r="F1386" s="61" t="str">
        <f>IF($A1386="","",IF($A1386&lt;&gt;$A1385,IFERROR(INDEX([1]FG_Begin_Inventory!$B:$B,MATCH($A1386,[1]FG_Begin_Inventory!$A:$A,0)),0),J1385))</f>
        <v/>
      </c>
      <c r="G1386" s="61" t="str">
        <f t="shared" si="150"/>
        <v/>
      </c>
      <c r="H1386" s="61" t="str">
        <f t="shared" si="151"/>
        <v/>
      </c>
      <c r="I1386" s="62" t="str">
        <f t="shared" si="152"/>
        <v/>
      </c>
      <c r="J1386" s="61" t="str">
        <f t="shared" si="153"/>
        <v/>
      </c>
      <c r="K1386" s="61" t="str">
        <f t="shared" si="154"/>
        <v/>
      </c>
      <c r="L1386" s="61" t="str">
        <f t="shared" si="155"/>
        <v/>
      </c>
      <c r="M1386" s="63" t="str">
        <f t="shared" si="156"/>
        <v/>
      </c>
      <c r="N1386" s="64"/>
    </row>
    <row r="1387" spans="1:14" x14ac:dyDescent="0.3">
      <c r="A1387" s="58" t="str">
        <f>IF([1]weekly_demand!A1388="","",[1]weekly_demand!A1388)</f>
        <v/>
      </c>
      <c r="B1387" s="59" t="str">
        <f>IF($A1387="","",[1]weekly_demand!F1388)</f>
        <v/>
      </c>
      <c r="C1387" s="60" t="str">
        <f>IF($A1387="","",[1]weekly_demand!H1388)</f>
        <v/>
      </c>
      <c r="D1387" s="61" t="str">
        <f>IF($A1387="","",IF(SUMIFS([1]Fixture_Capacity_Input!$C:$C,[1]Fixture_Capacity_Input!$A:$A,$B1387,[1]Fixture_Capacity_Input!$B:$B,$C1387)&gt;0,SUMIFS([1]Fixture_Capacity_Input!$C:$C,[1]Fixture_Capacity_Input!$A:$A,$B1387,[1]Fixture_Capacity_Input!$B:$B,$C1387),[1]weekly_demand!G1388))</f>
        <v/>
      </c>
      <c r="E1387" s="62" t="str">
        <f>IF($A1387="","",[1]weekly_demand!I1388)</f>
        <v/>
      </c>
      <c r="F1387" s="61" t="str">
        <f>IF($A1387="","",IF($A1387&lt;&gt;$A1386,IFERROR(INDEX([1]FG_Begin_Inventory!$B:$B,MATCH($A1387,[1]FG_Begin_Inventory!$A:$A,0)),0),J1386))</f>
        <v/>
      </c>
      <c r="G1387" s="61" t="str">
        <f t="shared" si="150"/>
        <v/>
      </c>
      <c r="H1387" s="61" t="str">
        <f t="shared" si="151"/>
        <v/>
      </c>
      <c r="I1387" s="62" t="str">
        <f t="shared" si="152"/>
        <v/>
      </c>
      <c r="J1387" s="61" t="str">
        <f t="shared" si="153"/>
        <v/>
      </c>
      <c r="K1387" s="61" t="str">
        <f t="shared" si="154"/>
        <v/>
      </c>
      <c r="L1387" s="61" t="str">
        <f t="shared" si="155"/>
        <v/>
      </c>
      <c r="M1387" s="63" t="str">
        <f t="shared" si="156"/>
        <v/>
      </c>
      <c r="N1387" s="64"/>
    </row>
    <row r="1388" spans="1:14" x14ac:dyDescent="0.3">
      <c r="A1388" s="58" t="str">
        <f>IF([1]weekly_demand!A1389="","",[1]weekly_demand!A1389)</f>
        <v/>
      </c>
      <c r="B1388" s="59" t="str">
        <f>IF($A1388="","",[1]weekly_demand!F1389)</f>
        <v/>
      </c>
      <c r="C1388" s="60" t="str">
        <f>IF($A1388="","",[1]weekly_demand!H1389)</f>
        <v/>
      </c>
      <c r="D1388" s="61" t="str">
        <f>IF($A1388="","",IF(SUMIFS([1]Fixture_Capacity_Input!$C:$C,[1]Fixture_Capacity_Input!$A:$A,$B1388,[1]Fixture_Capacity_Input!$B:$B,$C1388)&gt;0,SUMIFS([1]Fixture_Capacity_Input!$C:$C,[1]Fixture_Capacity_Input!$A:$A,$B1388,[1]Fixture_Capacity_Input!$B:$B,$C1388),[1]weekly_demand!G1389))</f>
        <v/>
      </c>
      <c r="E1388" s="62" t="str">
        <f>IF($A1388="","",[1]weekly_demand!I1389)</f>
        <v/>
      </c>
      <c r="F1388" s="61" t="str">
        <f>IF($A1388="","",IF($A1388&lt;&gt;$A1387,IFERROR(INDEX([1]FG_Begin_Inventory!$B:$B,MATCH($A1388,[1]FG_Begin_Inventory!$A:$A,0)),0),J1387))</f>
        <v/>
      </c>
      <c r="G1388" s="61" t="str">
        <f t="shared" si="150"/>
        <v/>
      </c>
      <c r="H1388" s="61" t="str">
        <f t="shared" si="151"/>
        <v/>
      </c>
      <c r="I1388" s="62" t="str">
        <f t="shared" si="152"/>
        <v/>
      </c>
      <c r="J1388" s="61" t="str">
        <f t="shared" si="153"/>
        <v/>
      </c>
      <c r="K1388" s="61" t="str">
        <f t="shared" si="154"/>
        <v/>
      </c>
      <c r="L1388" s="61" t="str">
        <f t="shared" si="155"/>
        <v/>
      </c>
      <c r="M1388" s="63" t="str">
        <f t="shared" si="156"/>
        <v/>
      </c>
      <c r="N1388" s="64"/>
    </row>
    <row r="1389" spans="1:14" x14ac:dyDescent="0.3">
      <c r="A1389" s="58" t="str">
        <f>IF([1]weekly_demand!A1390="","",[1]weekly_demand!A1390)</f>
        <v/>
      </c>
      <c r="B1389" s="59" t="str">
        <f>IF($A1389="","",[1]weekly_demand!F1390)</f>
        <v/>
      </c>
      <c r="C1389" s="60" t="str">
        <f>IF($A1389="","",[1]weekly_demand!H1390)</f>
        <v/>
      </c>
      <c r="D1389" s="61" t="str">
        <f>IF($A1389="","",IF(SUMIFS([1]Fixture_Capacity_Input!$C:$C,[1]Fixture_Capacity_Input!$A:$A,$B1389,[1]Fixture_Capacity_Input!$B:$B,$C1389)&gt;0,SUMIFS([1]Fixture_Capacity_Input!$C:$C,[1]Fixture_Capacity_Input!$A:$A,$B1389,[1]Fixture_Capacity_Input!$B:$B,$C1389),[1]weekly_demand!G1390))</f>
        <v/>
      </c>
      <c r="E1389" s="62" t="str">
        <f>IF($A1389="","",[1]weekly_demand!I1390)</f>
        <v/>
      </c>
      <c r="F1389" s="61" t="str">
        <f>IF($A1389="","",IF($A1389&lt;&gt;$A1388,IFERROR(INDEX([1]FG_Begin_Inventory!$B:$B,MATCH($A1389,[1]FG_Begin_Inventory!$A:$A,0)),0),J1388))</f>
        <v/>
      </c>
      <c r="G1389" s="61" t="str">
        <f t="shared" si="150"/>
        <v/>
      </c>
      <c r="H1389" s="61" t="str">
        <f t="shared" si="151"/>
        <v/>
      </c>
      <c r="I1389" s="62" t="str">
        <f t="shared" si="152"/>
        <v/>
      </c>
      <c r="J1389" s="61" t="str">
        <f t="shared" si="153"/>
        <v/>
      </c>
      <c r="K1389" s="61" t="str">
        <f t="shared" si="154"/>
        <v/>
      </c>
      <c r="L1389" s="61" t="str">
        <f t="shared" si="155"/>
        <v/>
      </c>
      <c r="M1389" s="63" t="str">
        <f t="shared" si="156"/>
        <v/>
      </c>
      <c r="N1389" s="64"/>
    </row>
    <row r="1390" spans="1:14" x14ac:dyDescent="0.3">
      <c r="A1390" s="58" t="str">
        <f>IF([1]weekly_demand!A1391="","",[1]weekly_demand!A1391)</f>
        <v/>
      </c>
      <c r="B1390" s="59" t="str">
        <f>IF($A1390="","",[1]weekly_demand!F1391)</f>
        <v/>
      </c>
      <c r="C1390" s="60" t="str">
        <f>IF($A1390="","",[1]weekly_demand!H1391)</f>
        <v/>
      </c>
      <c r="D1390" s="61" t="str">
        <f>IF($A1390="","",IF(SUMIFS([1]Fixture_Capacity_Input!$C:$C,[1]Fixture_Capacity_Input!$A:$A,$B1390,[1]Fixture_Capacity_Input!$B:$B,$C1390)&gt;0,SUMIFS([1]Fixture_Capacity_Input!$C:$C,[1]Fixture_Capacity_Input!$A:$A,$B1390,[1]Fixture_Capacity_Input!$B:$B,$C1390),[1]weekly_demand!G1391))</f>
        <v/>
      </c>
      <c r="E1390" s="62" t="str">
        <f>IF($A1390="","",[1]weekly_demand!I1391)</f>
        <v/>
      </c>
      <c r="F1390" s="61" t="str">
        <f>IF($A1390="","",IF($A1390&lt;&gt;$A1389,IFERROR(INDEX([1]FG_Begin_Inventory!$B:$B,MATCH($A1390,[1]FG_Begin_Inventory!$A:$A,0)),0),J1389))</f>
        <v/>
      </c>
      <c r="G1390" s="61" t="str">
        <f t="shared" si="150"/>
        <v/>
      </c>
      <c r="H1390" s="61" t="str">
        <f t="shared" si="151"/>
        <v/>
      </c>
      <c r="I1390" s="62" t="str">
        <f t="shared" si="152"/>
        <v/>
      </c>
      <c r="J1390" s="61" t="str">
        <f t="shared" si="153"/>
        <v/>
      </c>
      <c r="K1390" s="61" t="str">
        <f t="shared" si="154"/>
        <v/>
      </c>
      <c r="L1390" s="61" t="str">
        <f t="shared" si="155"/>
        <v/>
      </c>
      <c r="M1390" s="63" t="str">
        <f t="shared" si="156"/>
        <v/>
      </c>
      <c r="N1390" s="64"/>
    </row>
    <row r="1391" spans="1:14" x14ac:dyDescent="0.3">
      <c r="A1391" s="58" t="str">
        <f>IF([1]weekly_demand!A1392="","",[1]weekly_demand!A1392)</f>
        <v/>
      </c>
      <c r="B1391" s="59" t="str">
        <f>IF($A1391="","",[1]weekly_demand!F1392)</f>
        <v/>
      </c>
      <c r="C1391" s="60" t="str">
        <f>IF($A1391="","",[1]weekly_demand!H1392)</f>
        <v/>
      </c>
      <c r="D1391" s="61" t="str">
        <f>IF($A1391="","",IF(SUMIFS([1]Fixture_Capacity_Input!$C:$C,[1]Fixture_Capacity_Input!$A:$A,$B1391,[1]Fixture_Capacity_Input!$B:$B,$C1391)&gt;0,SUMIFS([1]Fixture_Capacity_Input!$C:$C,[1]Fixture_Capacity_Input!$A:$A,$B1391,[1]Fixture_Capacity_Input!$B:$B,$C1391),[1]weekly_demand!G1392))</f>
        <v/>
      </c>
      <c r="E1391" s="62" t="str">
        <f>IF($A1391="","",[1]weekly_demand!I1392)</f>
        <v/>
      </c>
      <c r="F1391" s="61" t="str">
        <f>IF($A1391="","",IF($A1391&lt;&gt;$A1390,IFERROR(INDEX([1]FG_Begin_Inventory!$B:$B,MATCH($A1391,[1]FG_Begin_Inventory!$A:$A,0)),0),J1390))</f>
        <v/>
      </c>
      <c r="G1391" s="61" t="str">
        <f t="shared" si="150"/>
        <v/>
      </c>
      <c r="H1391" s="61" t="str">
        <f t="shared" si="151"/>
        <v/>
      </c>
      <c r="I1391" s="62" t="str">
        <f t="shared" si="152"/>
        <v/>
      </c>
      <c r="J1391" s="61" t="str">
        <f t="shared" si="153"/>
        <v/>
      </c>
      <c r="K1391" s="61" t="str">
        <f t="shared" si="154"/>
        <v/>
      </c>
      <c r="L1391" s="61" t="str">
        <f t="shared" si="155"/>
        <v/>
      </c>
      <c r="M1391" s="63" t="str">
        <f t="shared" si="156"/>
        <v/>
      </c>
      <c r="N1391" s="64"/>
    </row>
    <row r="1392" spans="1:14" x14ac:dyDescent="0.3">
      <c r="A1392" s="58" t="str">
        <f>IF([1]weekly_demand!A1393="","",[1]weekly_demand!A1393)</f>
        <v/>
      </c>
      <c r="B1392" s="59" t="str">
        <f>IF($A1392="","",[1]weekly_demand!F1393)</f>
        <v/>
      </c>
      <c r="C1392" s="60" t="str">
        <f>IF($A1392="","",[1]weekly_demand!H1393)</f>
        <v/>
      </c>
      <c r="D1392" s="61" t="str">
        <f>IF($A1392="","",IF(SUMIFS([1]Fixture_Capacity_Input!$C:$C,[1]Fixture_Capacity_Input!$A:$A,$B1392,[1]Fixture_Capacity_Input!$B:$B,$C1392)&gt;0,SUMIFS([1]Fixture_Capacity_Input!$C:$C,[1]Fixture_Capacity_Input!$A:$A,$B1392,[1]Fixture_Capacity_Input!$B:$B,$C1392),[1]weekly_demand!G1393))</f>
        <v/>
      </c>
      <c r="E1392" s="62" t="str">
        <f>IF($A1392="","",[1]weekly_demand!I1393)</f>
        <v/>
      </c>
      <c r="F1392" s="61" t="str">
        <f>IF($A1392="","",IF($A1392&lt;&gt;$A1391,IFERROR(INDEX([1]FG_Begin_Inventory!$B:$B,MATCH($A1392,[1]FG_Begin_Inventory!$A:$A,0)),0),J1391))</f>
        <v/>
      </c>
      <c r="G1392" s="61" t="str">
        <f t="shared" si="150"/>
        <v/>
      </c>
      <c r="H1392" s="61" t="str">
        <f t="shared" si="151"/>
        <v/>
      </c>
      <c r="I1392" s="62" t="str">
        <f t="shared" si="152"/>
        <v/>
      </c>
      <c r="J1392" s="61" t="str">
        <f t="shared" si="153"/>
        <v/>
      </c>
      <c r="K1392" s="61" t="str">
        <f t="shared" si="154"/>
        <v/>
      </c>
      <c r="L1392" s="61" t="str">
        <f t="shared" si="155"/>
        <v/>
      </c>
      <c r="M1392" s="63" t="str">
        <f t="shared" si="156"/>
        <v/>
      </c>
      <c r="N1392" s="64"/>
    </row>
    <row r="1393" spans="1:14" x14ac:dyDescent="0.3">
      <c r="A1393" s="58" t="str">
        <f>IF([1]weekly_demand!A1394="","",[1]weekly_demand!A1394)</f>
        <v/>
      </c>
      <c r="B1393" s="59" t="str">
        <f>IF($A1393="","",[1]weekly_demand!F1394)</f>
        <v/>
      </c>
      <c r="C1393" s="60" t="str">
        <f>IF($A1393="","",[1]weekly_demand!H1394)</f>
        <v/>
      </c>
      <c r="D1393" s="61" t="str">
        <f>IF($A1393="","",IF(SUMIFS([1]Fixture_Capacity_Input!$C:$C,[1]Fixture_Capacity_Input!$A:$A,$B1393,[1]Fixture_Capacity_Input!$B:$B,$C1393)&gt;0,SUMIFS([1]Fixture_Capacity_Input!$C:$C,[1]Fixture_Capacity_Input!$A:$A,$B1393,[1]Fixture_Capacity_Input!$B:$B,$C1393),[1]weekly_demand!G1394))</f>
        <v/>
      </c>
      <c r="E1393" s="62" t="str">
        <f>IF($A1393="","",[1]weekly_demand!I1394)</f>
        <v/>
      </c>
      <c r="F1393" s="61" t="str">
        <f>IF($A1393="","",IF($A1393&lt;&gt;$A1392,IFERROR(INDEX([1]FG_Begin_Inventory!$B:$B,MATCH($A1393,[1]FG_Begin_Inventory!$A:$A,0)),0),J1392))</f>
        <v/>
      </c>
      <c r="G1393" s="61" t="str">
        <f t="shared" si="150"/>
        <v/>
      </c>
      <c r="H1393" s="61" t="str">
        <f t="shared" si="151"/>
        <v/>
      </c>
      <c r="I1393" s="62" t="str">
        <f t="shared" si="152"/>
        <v/>
      </c>
      <c r="J1393" s="61" t="str">
        <f t="shared" si="153"/>
        <v/>
      </c>
      <c r="K1393" s="61" t="str">
        <f t="shared" si="154"/>
        <v/>
      </c>
      <c r="L1393" s="61" t="str">
        <f t="shared" si="155"/>
        <v/>
      </c>
      <c r="M1393" s="63" t="str">
        <f t="shared" si="156"/>
        <v/>
      </c>
      <c r="N1393" s="64"/>
    </row>
    <row r="1394" spans="1:14" x14ac:dyDescent="0.3">
      <c r="A1394" s="58" t="str">
        <f>IF([1]weekly_demand!A1395="","",[1]weekly_demand!A1395)</f>
        <v/>
      </c>
      <c r="B1394" s="59" t="str">
        <f>IF($A1394="","",[1]weekly_demand!F1395)</f>
        <v/>
      </c>
      <c r="C1394" s="60" t="str">
        <f>IF($A1394="","",[1]weekly_demand!H1395)</f>
        <v/>
      </c>
      <c r="D1394" s="61" t="str">
        <f>IF($A1394="","",IF(SUMIFS([1]Fixture_Capacity_Input!$C:$C,[1]Fixture_Capacity_Input!$A:$A,$B1394,[1]Fixture_Capacity_Input!$B:$B,$C1394)&gt;0,SUMIFS([1]Fixture_Capacity_Input!$C:$C,[1]Fixture_Capacity_Input!$A:$A,$B1394,[1]Fixture_Capacity_Input!$B:$B,$C1394),[1]weekly_demand!G1395))</f>
        <v/>
      </c>
      <c r="E1394" s="62" t="str">
        <f>IF($A1394="","",[1]weekly_demand!I1395)</f>
        <v/>
      </c>
      <c r="F1394" s="61" t="str">
        <f>IF($A1394="","",IF($A1394&lt;&gt;$A1393,IFERROR(INDEX([1]FG_Begin_Inventory!$B:$B,MATCH($A1394,[1]FG_Begin_Inventory!$A:$A,0)),0),J1393))</f>
        <v/>
      </c>
      <c r="G1394" s="61" t="str">
        <f t="shared" si="150"/>
        <v/>
      </c>
      <c r="H1394" s="61" t="str">
        <f t="shared" si="151"/>
        <v/>
      </c>
      <c r="I1394" s="62" t="str">
        <f t="shared" si="152"/>
        <v/>
      </c>
      <c r="J1394" s="61" t="str">
        <f t="shared" si="153"/>
        <v/>
      </c>
      <c r="K1394" s="61" t="str">
        <f t="shared" si="154"/>
        <v/>
      </c>
      <c r="L1394" s="61" t="str">
        <f t="shared" si="155"/>
        <v/>
      </c>
      <c r="M1394" s="63" t="str">
        <f t="shared" si="156"/>
        <v/>
      </c>
      <c r="N1394" s="64"/>
    </row>
    <row r="1395" spans="1:14" x14ac:dyDescent="0.3">
      <c r="A1395" s="58" t="str">
        <f>IF([1]weekly_demand!A1396="","",[1]weekly_demand!A1396)</f>
        <v/>
      </c>
      <c r="B1395" s="59" t="str">
        <f>IF($A1395="","",[1]weekly_demand!F1396)</f>
        <v/>
      </c>
      <c r="C1395" s="60" t="str">
        <f>IF($A1395="","",[1]weekly_demand!H1396)</f>
        <v/>
      </c>
      <c r="D1395" s="61" t="str">
        <f>IF($A1395="","",IF(SUMIFS([1]Fixture_Capacity_Input!$C:$C,[1]Fixture_Capacity_Input!$A:$A,$B1395,[1]Fixture_Capacity_Input!$B:$B,$C1395)&gt;0,SUMIFS([1]Fixture_Capacity_Input!$C:$C,[1]Fixture_Capacity_Input!$A:$A,$B1395,[1]Fixture_Capacity_Input!$B:$B,$C1395),[1]weekly_demand!G1396))</f>
        <v/>
      </c>
      <c r="E1395" s="62" t="str">
        <f>IF($A1395="","",[1]weekly_demand!I1396)</f>
        <v/>
      </c>
      <c r="F1395" s="61" t="str">
        <f>IF($A1395="","",IF($A1395&lt;&gt;$A1394,IFERROR(INDEX([1]FG_Begin_Inventory!$B:$B,MATCH($A1395,[1]FG_Begin_Inventory!$A:$A,0)),0),J1394))</f>
        <v/>
      </c>
      <c r="G1395" s="61" t="str">
        <f t="shared" ref="G1395:G1458" si="157">IF($A1395="","",IF($A1395&lt;&gt;$A1396,0,MAX(0,G1396+E1396-D1396)))</f>
        <v/>
      </c>
      <c r="H1395" s="61" t="str">
        <f t="shared" si="151"/>
        <v/>
      </c>
      <c r="I1395" s="62" t="str">
        <f t="shared" si="152"/>
        <v/>
      </c>
      <c r="J1395" s="61" t="str">
        <f t="shared" si="153"/>
        <v/>
      </c>
      <c r="K1395" s="61" t="str">
        <f t="shared" si="154"/>
        <v/>
      </c>
      <c r="L1395" s="61" t="str">
        <f t="shared" si="155"/>
        <v/>
      </c>
      <c r="M1395" s="63" t="str">
        <f t="shared" si="156"/>
        <v/>
      </c>
      <c r="N1395" s="64"/>
    </row>
    <row r="1396" spans="1:14" x14ac:dyDescent="0.3">
      <c r="A1396" s="58" t="str">
        <f>IF([1]weekly_demand!A1397="","",[1]weekly_demand!A1397)</f>
        <v/>
      </c>
      <c r="B1396" s="59" t="str">
        <f>IF($A1396="","",[1]weekly_demand!F1397)</f>
        <v/>
      </c>
      <c r="C1396" s="60" t="str">
        <f>IF($A1396="","",[1]weekly_demand!H1397)</f>
        <v/>
      </c>
      <c r="D1396" s="61" t="str">
        <f>IF($A1396="","",IF(SUMIFS([1]Fixture_Capacity_Input!$C:$C,[1]Fixture_Capacity_Input!$A:$A,$B1396,[1]Fixture_Capacity_Input!$B:$B,$C1396)&gt;0,SUMIFS([1]Fixture_Capacity_Input!$C:$C,[1]Fixture_Capacity_Input!$A:$A,$B1396,[1]Fixture_Capacity_Input!$B:$B,$C1396),[1]weekly_demand!G1397))</f>
        <v/>
      </c>
      <c r="E1396" s="62" t="str">
        <f>IF($A1396="","",[1]weekly_demand!I1397)</f>
        <v/>
      </c>
      <c r="F1396" s="61" t="str">
        <f>IF($A1396="","",IF($A1396&lt;&gt;$A1395,IFERROR(INDEX([1]FG_Begin_Inventory!$B:$B,MATCH($A1396,[1]FG_Begin_Inventory!$A:$A,0)),0),J1395))</f>
        <v/>
      </c>
      <c r="G1396" s="61" t="str">
        <f t="shared" si="157"/>
        <v/>
      </c>
      <c r="H1396" s="61" t="str">
        <f t="shared" si="151"/>
        <v/>
      </c>
      <c r="I1396" s="62" t="str">
        <f t="shared" si="152"/>
        <v/>
      </c>
      <c r="J1396" s="61" t="str">
        <f t="shared" si="153"/>
        <v/>
      </c>
      <c r="K1396" s="61" t="str">
        <f t="shared" si="154"/>
        <v/>
      </c>
      <c r="L1396" s="61" t="str">
        <f t="shared" si="155"/>
        <v/>
      </c>
      <c r="M1396" s="63" t="str">
        <f t="shared" si="156"/>
        <v/>
      </c>
      <c r="N1396" s="64"/>
    </row>
    <row r="1397" spans="1:14" x14ac:dyDescent="0.3">
      <c r="A1397" s="58" t="str">
        <f>IF([1]weekly_demand!A1398="","",[1]weekly_demand!A1398)</f>
        <v/>
      </c>
      <c r="B1397" s="59" t="str">
        <f>IF($A1397="","",[1]weekly_demand!F1398)</f>
        <v/>
      </c>
      <c r="C1397" s="60" t="str">
        <f>IF($A1397="","",[1]weekly_demand!H1398)</f>
        <v/>
      </c>
      <c r="D1397" s="61" t="str">
        <f>IF($A1397="","",IF(SUMIFS([1]Fixture_Capacity_Input!$C:$C,[1]Fixture_Capacity_Input!$A:$A,$B1397,[1]Fixture_Capacity_Input!$B:$B,$C1397)&gt;0,SUMIFS([1]Fixture_Capacity_Input!$C:$C,[1]Fixture_Capacity_Input!$A:$A,$B1397,[1]Fixture_Capacity_Input!$B:$B,$C1397),[1]weekly_demand!G1398))</f>
        <v/>
      </c>
      <c r="E1397" s="62" t="str">
        <f>IF($A1397="","",[1]weekly_demand!I1398)</f>
        <v/>
      </c>
      <c r="F1397" s="61" t="str">
        <f>IF($A1397="","",IF($A1397&lt;&gt;$A1396,IFERROR(INDEX([1]FG_Begin_Inventory!$B:$B,MATCH($A1397,[1]FG_Begin_Inventory!$A:$A,0)),0),J1396))</f>
        <v/>
      </c>
      <c r="G1397" s="61" t="str">
        <f t="shared" si="157"/>
        <v/>
      </c>
      <c r="H1397" s="61" t="str">
        <f t="shared" si="151"/>
        <v/>
      </c>
      <c r="I1397" s="62" t="str">
        <f t="shared" si="152"/>
        <v/>
      </c>
      <c r="J1397" s="61" t="str">
        <f t="shared" si="153"/>
        <v/>
      </c>
      <c r="K1397" s="61" t="str">
        <f t="shared" si="154"/>
        <v/>
      </c>
      <c r="L1397" s="61" t="str">
        <f t="shared" si="155"/>
        <v/>
      </c>
      <c r="M1397" s="63" t="str">
        <f t="shared" si="156"/>
        <v/>
      </c>
      <c r="N1397" s="64"/>
    </row>
    <row r="1398" spans="1:14" x14ac:dyDescent="0.3">
      <c r="A1398" s="58" t="str">
        <f>IF([1]weekly_demand!A1399="","",[1]weekly_demand!A1399)</f>
        <v/>
      </c>
      <c r="B1398" s="59" t="str">
        <f>IF($A1398="","",[1]weekly_demand!F1399)</f>
        <v/>
      </c>
      <c r="C1398" s="60" t="str">
        <f>IF($A1398="","",[1]weekly_demand!H1399)</f>
        <v/>
      </c>
      <c r="D1398" s="61" t="str">
        <f>IF($A1398="","",IF(SUMIFS([1]Fixture_Capacity_Input!$C:$C,[1]Fixture_Capacity_Input!$A:$A,$B1398,[1]Fixture_Capacity_Input!$B:$B,$C1398)&gt;0,SUMIFS([1]Fixture_Capacity_Input!$C:$C,[1]Fixture_Capacity_Input!$A:$A,$B1398,[1]Fixture_Capacity_Input!$B:$B,$C1398),[1]weekly_demand!G1399))</f>
        <v/>
      </c>
      <c r="E1398" s="62" t="str">
        <f>IF($A1398="","",[1]weekly_demand!I1399)</f>
        <v/>
      </c>
      <c r="F1398" s="61" t="str">
        <f>IF($A1398="","",IF($A1398&lt;&gt;$A1397,IFERROR(INDEX([1]FG_Begin_Inventory!$B:$B,MATCH($A1398,[1]FG_Begin_Inventory!$A:$A,0)),0),J1397))</f>
        <v/>
      </c>
      <c r="G1398" s="61" t="str">
        <f t="shared" si="157"/>
        <v/>
      </c>
      <c r="H1398" s="61" t="str">
        <f t="shared" si="151"/>
        <v/>
      </c>
      <c r="I1398" s="62" t="str">
        <f t="shared" si="152"/>
        <v/>
      </c>
      <c r="J1398" s="61" t="str">
        <f t="shared" si="153"/>
        <v/>
      </c>
      <c r="K1398" s="61" t="str">
        <f t="shared" si="154"/>
        <v/>
      </c>
      <c r="L1398" s="61" t="str">
        <f t="shared" si="155"/>
        <v/>
      </c>
      <c r="M1398" s="63" t="str">
        <f t="shared" si="156"/>
        <v/>
      </c>
      <c r="N1398" s="64"/>
    </row>
    <row r="1399" spans="1:14" x14ac:dyDescent="0.3">
      <c r="A1399" s="58" t="str">
        <f>IF([1]weekly_demand!A1400="","",[1]weekly_demand!A1400)</f>
        <v/>
      </c>
      <c r="B1399" s="59" t="str">
        <f>IF($A1399="","",[1]weekly_demand!F1400)</f>
        <v/>
      </c>
      <c r="C1399" s="60" t="str">
        <f>IF($A1399="","",[1]weekly_demand!H1400)</f>
        <v/>
      </c>
      <c r="D1399" s="61" t="str">
        <f>IF($A1399="","",IF(SUMIFS([1]Fixture_Capacity_Input!$C:$C,[1]Fixture_Capacity_Input!$A:$A,$B1399,[1]Fixture_Capacity_Input!$B:$B,$C1399)&gt;0,SUMIFS([1]Fixture_Capacity_Input!$C:$C,[1]Fixture_Capacity_Input!$A:$A,$B1399,[1]Fixture_Capacity_Input!$B:$B,$C1399),[1]weekly_demand!G1400))</f>
        <v/>
      </c>
      <c r="E1399" s="62" t="str">
        <f>IF($A1399="","",[1]weekly_demand!I1400)</f>
        <v/>
      </c>
      <c r="F1399" s="61" t="str">
        <f>IF($A1399="","",IF($A1399&lt;&gt;$A1398,IFERROR(INDEX([1]FG_Begin_Inventory!$B:$B,MATCH($A1399,[1]FG_Begin_Inventory!$A:$A,0)),0),J1398))</f>
        <v/>
      </c>
      <c r="G1399" s="61" t="str">
        <f t="shared" si="157"/>
        <v/>
      </c>
      <c r="H1399" s="61" t="str">
        <f t="shared" si="151"/>
        <v/>
      </c>
      <c r="I1399" s="62" t="str">
        <f t="shared" si="152"/>
        <v/>
      </c>
      <c r="J1399" s="61" t="str">
        <f t="shared" si="153"/>
        <v/>
      </c>
      <c r="K1399" s="61" t="str">
        <f t="shared" si="154"/>
        <v/>
      </c>
      <c r="L1399" s="61" t="str">
        <f t="shared" si="155"/>
        <v/>
      </c>
      <c r="M1399" s="63" t="str">
        <f t="shared" si="156"/>
        <v/>
      </c>
      <c r="N1399" s="64"/>
    </row>
    <row r="1400" spans="1:14" x14ac:dyDescent="0.3">
      <c r="A1400" s="58" t="str">
        <f>IF([1]weekly_demand!A1401="","",[1]weekly_demand!A1401)</f>
        <v/>
      </c>
      <c r="B1400" s="59" t="str">
        <f>IF($A1400="","",[1]weekly_demand!F1401)</f>
        <v/>
      </c>
      <c r="C1400" s="60" t="str">
        <f>IF($A1400="","",[1]weekly_demand!H1401)</f>
        <v/>
      </c>
      <c r="D1400" s="61" t="str">
        <f>IF($A1400="","",IF(SUMIFS([1]Fixture_Capacity_Input!$C:$C,[1]Fixture_Capacity_Input!$A:$A,$B1400,[1]Fixture_Capacity_Input!$B:$B,$C1400)&gt;0,SUMIFS([1]Fixture_Capacity_Input!$C:$C,[1]Fixture_Capacity_Input!$A:$A,$B1400,[1]Fixture_Capacity_Input!$B:$B,$C1400),[1]weekly_demand!G1401))</f>
        <v/>
      </c>
      <c r="E1400" s="62" t="str">
        <f>IF($A1400="","",[1]weekly_demand!I1401)</f>
        <v/>
      </c>
      <c r="F1400" s="61" t="str">
        <f>IF($A1400="","",IF($A1400&lt;&gt;$A1399,IFERROR(INDEX([1]FG_Begin_Inventory!$B:$B,MATCH($A1400,[1]FG_Begin_Inventory!$A:$A,0)),0),J1399))</f>
        <v/>
      </c>
      <c r="G1400" s="61" t="str">
        <f t="shared" si="157"/>
        <v/>
      </c>
      <c r="H1400" s="61" t="str">
        <f t="shared" si="151"/>
        <v/>
      </c>
      <c r="I1400" s="62" t="str">
        <f t="shared" si="152"/>
        <v/>
      </c>
      <c r="J1400" s="61" t="str">
        <f t="shared" si="153"/>
        <v/>
      </c>
      <c r="K1400" s="61" t="str">
        <f t="shared" si="154"/>
        <v/>
      </c>
      <c r="L1400" s="61" t="str">
        <f t="shared" si="155"/>
        <v/>
      </c>
      <c r="M1400" s="63" t="str">
        <f t="shared" si="156"/>
        <v/>
      </c>
      <c r="N1400" s="64"/>
    </row>
    <row r="1401" spans="1:14" x14ac:dyDescent="0.3">
      <c r="A1401" s="58" t="str">
        <f>IF([1]weekly_demand!A1402="","",[1]weekly_demand!A1402)</f>
        <v/>
      </c>
      <c r="B1401" s="59" t="str">
        <f>IF($A1401="","",[1]weekly_demand!F1402)</f>
        <v/>
      </c>
      <c r="C1401" s="60" t="str">
        <f>IF($A1401="","",[1]weekly_demand!H1402)</f>
        <v/>
      </c>
      <c r="D1401" s="61" t="str">
        <f>IF($A1401="","",IF(SUMIFS([1]Fixture_Capacity_Input!$C:$C,[1]Fixture_Capacity_Input!$A:$A,$B1401,[1]Fixture_Capacity_Input!$B:$B,$C1401)&gt;0,SUMIFS([1]Fixture_Capacity_Input!$C:$C,[1]Fixture_Capacity_Input!$A:$A,$B1401,[1]Fixture_Capacity_Input!$B:$B,$C1401),[1]weekly_demand!G1402))</f>
        <v/>
      </c>
      <c r="E1401" s="62" t="str">
        <f>IF($A1401="","",[1]weekly_demand!I1402)</f>
        <v/>
      </c>
      <c r="F1401" s="61" t="str">
        <f>IF($A1401="","",IF($A1401&lt;&gt;$A1400,IFERROR(INDEX([1]FG_Begin_Inventory!$B:$B,MATCH($A1401,[1]FG_Begin_Inventory!$A:$A,0)),0),J1400))</f>
        <v/>
      </c>
      <c r="G1401" s="61" t="str">
        <f t="shared" si="157"/>
        <v/>
      </c>
      <c r="H1401" s="61" t="str">
        <f t="shared" si="151"/>
        <v/>
      </c>
      <c r="I1401" s="62" t="str">
        <f t="shared" si="152"/>
        <v/>
      </c>
      <c r="J1401" s="61" t="str">
        <f t="shared" si="153"/>
        <v/>
      </c>
      <c r="K1401" s="61" t="str">
        <f t="shared" si="154"/>
        <v/>
      </c>
      <c r="L1401" s="61" t="str">
        <f t="shared" si="155"/>
        <v/>
      </c>
      <c r="M1401" s="63" t="str">
        <f t="shared" si="156"/>
        <v/>
      </c>
      <c r="N1401" s="64"/>
    </row>
    <row r="1402" spans="1:14" x14ac:dyDescent="0.3">
      <c r="A1402" s="58" t="str">
        <f>IF([1]weekly_demand!A1403="","",[1]weekly_demand!A1403)</f>
        <v/>
      </c>
      <c r="B1402" s="59" t="str">
        <f>IF($A1402="","",[1]weekly_demand!F1403)</f>
        <v/>
      </c>
      <c r="C1402" s="60" t="str">
        <f>IF($A1402="","",[1]weekly_demand!H1403)</f>
        <v/>
      </c>
      <c r="D1402" s="61" t="str">
        <f>IF($A1402="","",IF(SUMIFS([1]Fixture_Capacity_Input!$C:$C,[1]Fixture_Capacity_Input!$A:$A,$B1402,[1]Fixture_Capacity_Input!$B:$B,$C1402)&gt;0,SUMIFS([1]Fixture_Capacity_Input!$C:$C,[1]Fixture_Capacity_Input!$A:$A,$B1402,[1]Fixture_Capacity_Input!$B:$B,$C1402),[1]weekly_demand!G1403))</f>
        <v/>
      </c>
      <c r="E1402" s="62" t="str">
        <f>IF($A1402="","",[1]weekly_demand!I1403)</f>
        <v/>
      </c>
      <c r="F1402" s="61" t="str">
        <f>IF($A1402="","",IF($A1402&lt;&gt;$A1401,IFERROR(INDEX([1]FG_Begin_Inventory!$B:$B,MATCH($A1402,[1]FG_Begin_Inventory!$A:$A,0)),0),J1401))</f>
        <v/>
      </c>
      <c r="G1402" s="61" t="str">
        <f t="shared" si="157"/>
        <v/>
      </c>
      <c r="H1402" s="61" t="str">
        <f t="shared" si="151"/>
        <v/>
      </c>
      <c r="I1402" s="62" t="str">
        <f t="shared" si="152"/>
        <v/>
      </c>
      <c r="J1402" s="61" t="str">
        <f t="shared" si="153"/>
        <v/>
      </c>
      <c r="K1402" s="61" t="str">
        <f t="shared" si="154"/>
        <v/>
      </c>
      <c r="L1402" s="61" t="str">
        <f t="shared" si="155"/>
        <v/>
      </c>
      <c r="M1402" s="63" t="str">
        <f t="shared" si="156"/>
        <v/>
      </c>
      <c r="N1402" s="64"/>
    </row>
    <row r="1403" spans="1:14" x14ac:dyDescent="0.3">
      <c r="A1403" s="58" t="str">
        <f>IF([1]weekly_demand!A1404="","",[1]weekly_demand!A1404)</f>
        <v/>
      </c>
      <c r="B1403" s="59" t="str">
        <f>IF($A1403="","",[1]weekly_demand!F1404)</f>
        <v/>
      </c>
      <c r="C1403" s="60" t="str">
        <f>IF($A1403="","",[1]weekly_demand!H1404)</f>
        <v/>
      </c>
      <c r="D1403" s="61" t="str">
        <f>IF($A1403="","",IF(SUMIFS([1]Fixture_Capacity_Input!$C:$C,[1]Fixture_Capacity_Input!$A:$A,$B1403,[1]Fixture_Capacity_Input!$B:$B,$C1403)&gt;0,SUMIFS([1]Fixture_Capacity_Input!$C:$C,[1]Fixture_Capacity_Input!$A:$A,$B1403,[1]Fixture_Capacity_Input!$B:$B,$C1403),[1]weekly_demand!G1404))</f>
        <v/>
      </c>
      <c r="E1403" s="62" t="str">
        <f>IF($A1403="","",[1]weekly_demand!I1404)</f>
        <v/>
      </c>
      <c r="F1403" s="61" t="str">
        <f>IF($A1403="","",IF($A1403&lt;&gt;$A1402,IFERROR(INDEX([1]FG_Begin_Inventory!$B:$B,MATCH($A1403,[1]FG_Begin_Inventory!$A:$A,0)),0),J1402))</f>
        <v/>
      </c>
      <c r="G1403" s="61" t="str">
        <f t="shared" si="157"/>
        <v/>
      </c>
      <c r="H1403" s="61" t="str">
        <f t="shared" si="151"/>
        <v/>
      </c>
      <c r="I1403" s="62" t="str">
        <f t="shared" si="152"/>
        <v/>
      </c>
      <c r="J1403" s="61" t="str">
        <f t="shared" si="153"/>
        <v/>
      </c>
      <c r="K1403" s="61" t="str">
        <f t="shared" si="154"/>
        <v/>
      </c>
      <c r="L1403" s="61" t="str">
        <f t="shared" si="155"/>
        <v/>
      </c>
      <c r="M1403" s="63" t="str">
        <f t="shared" si="156"/>
        <v/>
      </c>
      <c r="N1403" s="64"/>
    </row>
    <row r="1404" spans="1:14" x14ac:dyDescent="0.3">
      <c r="A1404" s="58" t="str">
        <f>IF([1]weekly_demand!A1405="","",[1]weekly_demand!A1405)</f>
        <v/>
      </c>
      <c r="B1404" s="59" t="str">
        <f>IF($A1404="","",[1]weekly_demand!F1405)</f>
        <v/>
      </c>
      <c r="C1404" s="60" t="str">
        <f>IF($A1404="","",[1]weekly_demand!H1405)</f>
        <v/>
      </c>
      <c r="D1404" s="61" t="str">
        <f>IF($A1404="","",IF(SUMIFS([1]Fixture_Capacity_Input!$C:$C,[1]Fixture_Capacity_Input!$A:$A,$B1404,[1]Fixture_Capacity_Input!$B:$B,$C1404)&gt;0,SUMIFS([1]Fixture_Capacity_Input!$C:$C,[1]Fixture_Capacity_Input!$A:$A,$B1404,[1]Fixture_Capacity_Input!$B:$B,$C1404),[1]weekly_demand!G1405))</f>
        <v/>
      </c>
      <c r="E1404" s="62" t="str">
        <f>IF($A1404="","",[1]weekly_demand!I1405)</f>
        <v/>
      </c>
      <c r="F1404" s="61" t="str">
        <f>IF($A1404="","",IF($A1404&lt;&gt;$A1403,IFERROR(INDEX([1]FG_Begin_Inventory!$B:$B,MATCH($A1404,[1]FG_Begin_Inventory!$A:$A,0)),0),J1403))</f>
        <v/>
      </c>
      <c r="G1404" s="61" t="str">
        <f t="shared" si="157"/>
        <v/>
      </c>
      <c r="H1404" s="61" t="str">
        <f t="shared" si="151"/>
        <v/>
      </c>
      <c r="I1404" s="62" t="str">
        <f t="shared" si="152"/>
        <v/>
      </c>
      <c r="J1404" s="61" t="str">
        <f t="shared" si="153"/>
        <v/>
      </c>
      <c r="K1404" s="61" t="str">
        <f t="shared" si="154"/>
        <v/>
      </c>
      <c r="L1404" s="61" t="str">
        <f t="shared" si="155"/>
        <v/>
      </c>
      <c r="M1404" s="63" t="str">
        <f t="shared" si="156"/>
        <v/>
      </c>
      <c r="N1404" s="64"/>
    </row>
    <row r="1405" spans="1:14" x14ac:dyDescent="0.3">
      <c r="A1405" s="58" t="str">
        <f>IF([1]weekly_demand!A1406="","",[1]weekly_demand!A1406)</f>
        <v/>
      </c>
      <c r="B1405" s="59" t="str">
        <f>IF($A1405="","",[1]weekly_demand!F1406)</f>
        <v/>
      </c>
      <c r="C1405" s="60" t="str">
        <f>IF($A1405="","",[1]weekly_demand!H1406)</f>
        <v/>
      </c>
      <c r="D1405" s="61" t="str">
        <f>IF($A1405="","",IF(SUMIFS([1]Fixture_Capacity_Input!$C:$C,[1]Fixture_Capacity_Input!$A:$A,$B1405,[1]Fixture_Capacity_Input!$B:$B,$C1405)&gt;0,SUMIFS([1]Fixture_Capacity_Input!$C:$C,[1]Fixture_Capacity_Input!$A:$A,$B1405,[1]Fixture_Capacity_Input!$B:$B,$C1405),[1]weekly_demand!G1406))</f>
        <v/>
      </c>
      <c r="E1405" s="62" t="str">
        <f>IF($A1405="","",[1]weekly_demand!I1406)</f>
        <v/>
      </c>
      <c r="F1405" s="61" t="str">
        <f>IF($A1405="","",IF($A1405&lt;&gt;$A1404,IFERROR(INDEX([1]FG_Begin_Inventory!$B:$B,MATCH($A1405,[1]FG_Begin_Inventory!$A:$A,0)),0),J1404))</f>
        <v/>
      </c>
      <c r="G1405" s="61" t="str">
        <f t="shared" si="157"/>
        <v/>
      </c>
      <c r="H1405" s="61" t="str">
        <f t="shared" si="151"/>
        <v/>
      </c>
      <c r="I1405" s="62" t="str">
        <f t="shared" si="152"/>
        <v/>
      </c>
      <c r="J1405" s="61" t="str">
        <f t="shared" si="153"/>
        <v/>
      </c>
      <c r="K1405" s="61" t="str">
        <f t="shared" si="154"/>
        <v/>
      </c>
      <c r="L1405" s="61" t="str">
        <f t="shared" si="155"/>
        <v/>
      </c>
      <c r="M1405" s="63" t="str">
        <f t="shared" si="156"/>
        <v/>
      </c>
      <c r="N1405" s="64"/>
    </row>
    <row r="1406" spans="1:14" x14ac:dyDescent="0.3">
      <c r="A1406" s="58" t="str">
        <f>IF([1]weekly_demand!A1407="","",[1]weekly_demand!A1407)</f>
        <v/>
      </c>
      <c r="B1406" s="59" t="str">
        <f>IF($A1406="","",[1]weekly_demand!F1407)</f>
        <v/>
      </c>
      <c r="C1406" s="60" t="str">
        <f>IF($A1406="","",[1]weekly_demand!H1407)</f>
        <v/>
      </c>
      <c r="D1406" s="61" t="str">
        <f>IF($A1406="","",IF(SUMIFS([1]Fixture_Capacity_Input!$C:$C,[1]Fixture_Capacity_Input!$A:$A,$B1406,[1]Fixture_Capacity_Input!$B:$B,$C1406)&gt;0,SUMIFS([1]Fixture_Capacity_Input!$C:$C,[1]Fixture_Capacity_Input!$A:$A,$B1406,[1]Fixture_Capacity_Input!$B:$B,$C1406),[1]weekly_demand!G1407))</f>
        <v/>
      </c>
      <c r="E1406" s="62" t="str">
        <f>IF($A1406="","",[1]weekly_demand!I1407)</f>
        <v/>
      </c>
      <c r="F1406" s="61" t="str">
        <f>IF($A1406="","",IF($A1406&lt;&gt;$A1405,IFERROR(INDEX([1]FG_Begin_Inventory!$B:$B,MATCH($A1406,[1]FG_Begin_Inventory!$A:$A,0)),0),J1405))</f>
        <v/>
      </c>
      <c r="G1406" s="61" t="str">
        <f t="shared" si="157"/>
        <v/>
      </c>
      <c r="H1406" s="61" t="str">
        <f t="shared" si="151"/>
        <v/>
      </c>
      <c r="I1406" s="62" t="str">
        <f t="shared" si="152"/>
        <v/>
      </c>
      <c r="J1406" s="61" t="str">
        <f t="shared" si="153"/>
        <v/>
      </c>
      <c r="K1406" s="61" t="str">
        <f t="shared" si="154"/>
        <v/>
      </c>
      <c r="L1406" s="61" t="str">
        <f t="shared" si="155"/>
        <v/>
      </c>
      <c r="M1406" s="63" t="str">
        <f t="shared" si="156"/>
        <v/>
      </c>
      <c r="N1406" s="64"/>
    </row>
    <row r="1407" spans="1:14" x14ac:dyDescent="0.3">
      <c r="A1407" s="58" t="str">
        <f>IF([1]weekly_demand!A1408="","",[1]weekly_demand!A1408)</f>
        <v/>
      </c>
      <c r="B1407" s="59" t="str">
        <f>IF($A1407="","",[1]weekly_demand!F1408)</f>
        <v/>
      </c>
      <c r="C1407" s="60" t="str">
        <f>IF($A1407="","",[1]weekly_demand!H1408)</f>
        <v/>
      </c>
      <c r="D1407" s="61" t="str">
        <f>IF($A1407="","",IF(SUMIFS([1]Fixture_Capacity_Input!$C:$C,[1]Fixture_Capacity_Input!$A:$A,$B1407,[1]Fixture_Capacity_Input!$B:$B,$C1407)&gt;0,SUMIFS([1]Fixture_Capacity_Input!$C:$C,[1]Fixture_Capacity_Input!$A:$A,$B1407,[1]Fixture_Capacity_Input!$B:$B,$C1407),[1]weekly_demand!G1408))</f>
        <v/>
      </c>
      <c r="E1407" s="62" t="str">
        <f>IF($A1407="","",[1]weekly_demand!I1408)</f>
        <v/>
      </c>
      <c r="F1407" s="61" t="str">
        <f>IF($A1407="","",IF($A1407&lt;&gt;$A1406,IFERROR(INDEX([1]FG_Begin_Inventory!$B:$B,MATCH($A1407,[1]FG_Begin_Inventory!$A:$A,0)),0),J1406))</f>
        <v/>
      </c>
      <c r="G1407" s="61" t="str">
        <f t="shared" si="157"/>
        <v/>
      </c>
      <c r="H1407" s="61" t="str">
        <f t="shared" si="151"/>
        <v/>
      </c>
      <c r="I1407" s="62" t="str">
        <f t="shared" si="152"/>
        <v/>
      </c>
      <c r="J1407" s="61" t="str">
        <f t="shared" si="153"/>
        <v/>
      </c>
      <c r="K1407" s="61" t="str">
        <f t="shared" si="154"/>
        <v/>
      </c>
      <c r="L1407" s="61" t="str">
        <f t="shared" si="155"/>
        <v/>
      </c>
      <c r="M1407" s="63" t="str">
        <f t="shared" si="156"/>
        <v/>
      </c>
      <c r="N1407" s="64"/>
    </row>
    <row r="1408" spans="1:14" x14ac:dyDescent="0.3">
      <c r="A1408" s="58" t="str">
        <f>IF([1]weekly_demand!A1409="","",[1]weekly_demand!A1409)</f>
        <v/>
      </c>
      <c r="B1408" s="59" t="str">
        <f>IF($A1408="","",[1]weekly_demand!F1409)</f>
        <v/>
      </c>
      <c r="C1408" s="60" t="str">
        <f>IF($A1408="","",[1]weekly_demand!H1409)</f>
        <v/>
      </c>
      <c r="D1408" s="61" t="str">
        <f>IF($A1408="","",IF(SUMIFS([1]Fixture_Capacity_Input!$C:$C,[1]Fixture_Capacity_Input!$A:$A,$B1408,[1]Fixture_Capacity_Input!$B:$B,$C1408)&gt;0,SUMIFS([1]Fixture_Capacity_Input!$C:$C,[1]Fixture_Capacity_Input!$A:$A,$B1408,[1]Fixture_Capacity_Input!$B:$B,$C1408),[1]weekly_demand!G1409))</f>
        <v/>
      </c>
      <c r="E1408" s="62" t="str">
        <f>IF($A1408="","",[1]weekly_demand!I1409)</f>
        <v/>
      </c>
      <c r="F1408" s="61" t="str">
        <f>IF($A1408="","",IF($A1408&lt;&gt;$A1407,IFERROR(INDEX([1]FG_Begin_Inventory!$B:$B,MATCH($A1408,[1]FG_Begin_Inventory!$A:$A,0)),0),J1407))</f>
        <v/>
      </c>
      <c r="G1408" s="61" t="str">
        <f t="shared" si="157"/>
        <v/>
      </c>
      <c r="H1408" s="61" t="str">
        <f t="shared" si="151"/>
        <v/>
      </c>
      <c r="I1408" s="62" t="str">
        <f t="shared" si="152"/>
        <v/>
      </c>
      <c r="J1408" s="61" t="str">
        <f t="shared" si="153"/>
        <v/>
      </c>
      <c r="K1408" s="61" t="str">
        <f t="shared" si="154"/>
        <v/>
      </c>
      <c r="L1408" s="61" t="str">
        <f t="shared" si="155"/>
        <v/>
      </c>
      <c r="M1408" s="63" t="str">
        <f t="shared" si="156"/>
        <v/>
      </c>
      <c r="N1408" s="64"/>
    </row>
    <row r="1409" spans="1:14" x14ac:dyDescent="0.3">
      <c r="A1409" s="58" t="str">
        <f>IF([1]weekly_demand!A1410="","",[1]weekly_demand!A1410)</f>
        <v/>
      </c>
      <c r="B1409" s="59" t="str">
        <f>IF($A1409="","",[1]weekly_demand!F1410)</f>
        <v/>
      </c>
      <c r="C1409" s="60" t="str">
        <f>IF($A1409="","",[1]weekly_demand!H1410)</f>
        <v/>
      </c>
      <c r="D1409" s="61" t="str">
        <f>IF($A1409="","",IF(SUMIFS([1]Fixture_Capacity_Input!$C:$C,[1]Fixture_Capacity_Input!$A:$A,$B1409,[1]Fixture_Capacity_Input!$B:$B,$C1409)&gt;0,SUMIFS([1]Fixture_Capacity_Input!$C:$C,[1]Fixture_Capacity_Input!$A:$A,$B1409,[1]Fixture_Capacity_Input!$B:$B,$C1409),[1]weekly_demand!G1410))</f>
        <v/>
      </c>
      <c r="E1409" s="62" t="str">
        <f>IF($A1409="","",[1]weekly_demand!I1410)</f>
        <v/>
      </c>
      <c r="F1409" s="61" t="str">
        <f>IF($A1409="","",IF($A1409&lt;&gt;$A1408,IFERROR(INDEX([1]FG_Begin_Inventory!$B:$B,MATCH($A1409,[1]FG_Begin_Inventory!$A:$A,0)),0),J1408))</f>
        <v/>
      </c>
      <c r="G1409" s="61" t="str">
        <f t="shared" si="157"/>
        <v/>
      </c>
      <c r="H1409" s="61" t="str">
        <f t="shared" si="151"/>
        <v/>
      </c>
      <c r="I1409" s="62" t="str">
        <f t="shared" si="152"/>
        <v/>
      </c>
      <c r="J1409" s="61" t="str">
        <f t="shared" si="153"/>
        <v/>
      </c>
      <c r="K1409" s="61" t="str">
        <f t="shared" si="154"/>
        <v/>
      </c>
      <c r="L1409" s="61" t="str">
        <f t="shared" si="155"/>
        <v/>
      </c>
      <c r="M1409" s="63" t="str">
        <f t="shared" si="156"/>
        <v/>
      </c>
      <c r="N1409" s="64"/>
    </row>
    <row r="1410" spans="1:14" x14ac:dyDescent="0.3">
      <c r="A1410" s="58" t="str">
        <f>IF([1]weekly_demand!A1411="","",[1]weekly_demand!A1411)</f>
        <v/>
      </c>
      <c r="B1410" s="59" t="str">
        <f>IF($A1410="","",[1]weekly_demand!F1411)</f>
        <v/>
      </c>
      <c r="C1410" s="60" t="str">
        <f>IF($A1410="","",[1]weekly_demand!H1411)</f>
        <v/>
      </c>
      <c r="D1410" s="61" t="str">
        <f>IF($A1410="","",IF(SUMIFS([1]Fixture_Capacity_Input!$C:$C,[1]Fixture_Capacity_Input!$A:$A,$B1410,[1]Fixture_Capacity_Input!$B:$B,$C1410)&gt;0,SUMIFS([1]Fixture_Capacity_Input!$C:$C,[1]Fixture_Capacity_Input!$A:$A,$B1410,[1]Fixture_Capacity_Input!$B:$B,$C1410),[1]weekly_demand!G1411))</f>
        <v/>
      </c>
      <c r="E1410" s="62" t="str">
        <f>IF($A1410="","",[1]weekly_demand!I1411)</f>
        <v/>
      </c>
      <c r="F1410" s="61" t="str">
        <f>IF($A1410="","",IF($A1410&lt;&gt;$A1409,IFERROR(INDEX([1]FG_Begin_Inventory!$B:$B,MATCH($A1410,[1]FG_Begin_Inventory!$A:$A,0)),0),J1409))</f>
        <v/>
      </c>
      <c r="G1410" s="61" t="str">
        <f t="shared" si="157"/>
        <v/>
      </c>
      <c r="H1410" s="61" t="str">
        <f t="shared" ref="H1410:H1473" si="158">IF($A1410="","",MAX(0,E1410+G1410-F1410))</f>
        <v/>
      </c>
      <c r="I1410" s="62" t="str">
        <f t="shared" ref="I1410:I1473" si="159">IF($A1410="","",MIN(D1410,H1410))</f>
        <v/>
      </c>
      <c r="J1410" s="61" t="str">
        <f t="shared" ref="J1410:J1473" si="160">IF($A1410="","",MAX(0,F1410+I1410-E1410))</f>
        <v/>
      </c>
      <c r="K1410" s="61" t="str">
        <f t="shared" ref="K1410:K1473" si="161">IF($A1410="","",MAX(0,E1410-F1410-I1410))</f>
        <v/>
      </c>
      <c r="L1410" s="61" t="str">
        <f t="shared" ref="L1410:L1473" si="162">IF($A1410="","",MAX(0,F1410+I1410-E1410))</f>
        <v/>
      </c>
      <c r="M1410" s="63" t="str">
        <f t="shared" ref="M1410:M1473" si="163">IF($A1410="","",IFERROR(I1410/D1410,0))</f>
        <v/>
      </c>
      <c r="N1410" s="64"/>
    </row>
    <row r="1411" spans="1:14" x14ac:dyDescent="0.3">
      <c r="A1411" s="58" t="str">
        <f>IF([1]weekly_demand!A1412="","",[1]weekly_demand!A1412)</f>
        <v/>
      </c>
      <c r="B1411" s="59" t="str">
        <f>IF($A1411="","",[1]weekly_demand!F1412)</f>
        <v/>
      </c>
      <c r="C1411" s="60" t="str">
        <f>IF($A1411="","",[1]weekly_demand!H1412)</f>
        <v/>
      </c>
      <c r="D1411" s="61" t="str">
        <f>IF($A1411="","",IF(SUMIFS([1]Fixture_Capacity_Input!$C:$C,[1]Fixture_Capacity_Input!$A:$A,$B1411,[1]Fixture_Capacity_Input!$B:$B,$C1411)&gt;0,SUMIFS([1]Fixture_Capacity_Input!$C:$C,[1]Fixture_Capacity_Input!$A:$A,$B1411,[1]Fixture_Capacity_Input!$B:$B,$C1411),[1]weekly_demand!G1412))</f>
        <v/>
      </c>
      <c r="E1411" s="62" t="str">
        <f>IF($A1411="","",[1]weekly_demand!I1412)</f>
        <v/>
      </c>
      <c r="F1411" s="61" t="str">
        <f>IF($A1411="","",IF($A1411&lt;&gt;$A1410,IFERROR(INDEX([1]FG_Begin_Inventory!$B:$B,MATCH($A1411,[1]FG_Begin_Inventory!$A:$A,0)),0),J1410))</f>
        <v/>
      </c>
      <c r="G1411" s="61" t="str">
        <f t="shared" si="157"/>
        <v/>
      </c>
      <c r="H1411" s="61" t="str">
        <f t="shared" si="158"/>
        <v/>
      </c>
      <c r="I1411" s="62" t="str">
        <f t="shared" si="159"/>
        <v/>
      </c>
      <c r="J1411" s="61" t="str">
        <f t="shared" si="160"/>
        <v/>
      </c>
      <c r="K1411" s="61" t="str">
        <f t="shared" si="161"/>
        <v/>
      </c>
      <c r="L1411" s="61" t="str">
        <f t="shared" si="162"/>
        <v/>
      </c>
      <c r="M1411" s="63" t="str">
        <f t="shared" si="163"/>
        <v/>
      </c>
      <c r="N1411" s="64"/>
    </row>
    <row r="1412" spans="1:14" x14ac:dyDescent="0.3">
      <c r="A1412" s="58" t="str">
        <f>IF([1]weekly_demand!A1413="","",[1]weekly_demand!A1413)</f>
        <v/>
      </c>
      <c r="B1412" s="59" t="str">
        <f>IF($A1412="","",[1]weekly_demand!F1413)</f>
        <v/>
      </c>
      <c r="C1412" s="60" t="str">
        <f>IF($A1412="","",[1]weekly_demand!H1413)</f>
        <v/>
      </c>
      <c r="D1412" s="61" t="str">
        <f>IF($A1412="","",IF(SUMIFS([1]Fixture_Capacity_Input!$C:$C,[1]Fixture_Capacity_Input!$A:$A,$B1412,[1]Fixture_Capacity_Input!$B:$B,$C1412)&gt;0,SUMIFS([1]Fixture_Capacity_Input!$C:$C,[1]Fixture_Capacity_Input!$A:$A,$B1412,[1]Fixture_Capacity_Input!$B:$B,$C1412),[1]weekly_demand!G1413))</f>
        <v/>
      </c>
      <c r="E1412" s="62" t="str">
        <f>IF($A1412="","",[1]weekly_demand!I1413)</f>
        <v/>
      </c>
      <c r="F1412" s="61" t="str">
        <f>IF($A1412="","",IF($A1412&lt;&gt;$A1411,IFERROR(INDEX([1]FG_Begin_Inventory!$B:$B,MATCH($A1412,[1]FG_Begin_Inventory!$A:$A,0)),0),J1411))</f>
        <v/>
      </c>
      <c r="G1412" s="61" t="str">
        <f t="shared" si="157"/>
        <v/>
      </c>
      <c r="H1412" s="61" t="str">
        <f t="shared" si="158"/>
        <v/>
      </c>
      <c r="I1412" s="62" t="str">
        <f t="shared" si="159"/>
        <v/>
      </c>
      <c r="J1412" s="61" t="str">
        <f t="shared" si="160"/>
        <v/>
      </c>
      <c r="K1412" s="61" t="str">
        <f t="shared" si="161"/>
        <v/>
      </c>
      <c r="L1412" s="61" t="str">
        <f t="shared" si="162"/>
        <v/>
      </c>
      <c r="M1412" s="63" t="str">
        <f t="shared" si="163"/>
        <v/>
      </c>
      <c r="N1412" s="64"/>
    </row>
    <row r="1413" spans="1:14" x14ac:dyDescent="0.3">
      <c r="A1413" s="58" t="str">
        <f>IF([1]weekly_demand!A1414="","",[1]weekly_demand!A1414)</f>
        <v/>
      </c>
      <c r="B1413" s="59" t="str">
        <f>IF($A1413="","",[1]weekly_demand!F1414)</f>
        <v/>
      </c>
      <c r="C1413" s="60" t="str">
        <f>IF($A1413="","",[1]weekly_demand!H1414)</f>
        <v/>
      </c>
      <c r="D1413" s="61" t="str">
        <f>IF($A1413="","",IF(SUMIFS([1]Fixture_Capacity_Input!$C:$C,[1]Fixture_Capacity_Input!$A:$A,$B1413,[1]Fixture_Capacity_Input!$B:$B,$C1413)&gt;0,SUMIFS([1]Fixture_Capacity_Input!$C:$C,[1]Fixture_Capacity_Input!$A:$A,$B1413,[1]Fixture_Capacity_Input!$B:$B,$C1413),[1]weekly_demand!G1414))</f>
        <v/>
      </c>
      <c r="E1413" s="62" t="str">
        <f>IF($A1413="","",[1]weekly_demand!I1414)</f>
        <v/>
      </c>
      <c r="F1413" s="61" t="str">
        <f>IF($A1413="","",IF($A1413&lt;&gt;$A1412,IFERROR(INDEX([1]FG_Begin_Inventory!$B:$B,MATCH($A1413,[1]FG_Begin_Inventory!$A:$A,0)),0),J1412))</f>
        <v/>
      </c>
      <c r="G1413" s="61" t="str">
        <f t="shared" si="157"/>
        <v/>
      </c>
      <c r="H1413" s="61" t="str">
        <f t="shared" si="158"/>
        <v/>
      </c>
      <c r="I1413" s="62" t="str">
        <f t="shared" si="159"/>
        <v/>
      </c>
      <c r="J1413" s="61" t="str">
        <f t="shared" si="160"/>
        <v/>
      </c>
      <c r="K1413" s="61" t="str">
        <f t="shared" si="161"/>
        <v/>
      </c>
      <c r="L1413" s="61" t="str">
        <f t="shared" si="162"/>
        <v/>
      </c>
      <c r="M1413" s="63" t="str">
        <f t="shared" si="163"/>
        <v/>
      </c>
      <c r="N1413" s="64"/>
    </row>
    <row r="1414" spans="1:14" x14ac:dyDescent="0.3">
      <c r="A1414" s="58" t="str">
        <f>IF([1]weekly_demand!A1415="","",[1]weekly_demand!A1415)</f>
        <v/>
      </c>
      <c r="B1414" s="59" t="str">
        <f>IF($A1414="","",[1]weekly_demand!F1415)</f>
        <v/>
      </c>
      <c r="C1414" s="60" t="str">
        <f>IF($A1414="","",[1]weekly_demand!H1415)</f>
        <v/>
      </c>
      <c r="D1414" s="61" t="str">
        <f>IF($A1414="","",IF(SUMIFS([1]Fixture_Capacity_Input!$C:$C,[1]Fixture_Capacity_Input!$A:$A,$B1414,[1]Fixture_Capacity_Input!$B:$B,$C1414)&gt;0,SUMIFS([1]Fixture_Capacity_Input!$C:$C,[1]Fixture_Capacity_Input!$A:$A,$B1414,[1]Fixture_Capacity_Input!$B:$B,$C1414),[1]weekly_demand!G1415))</f>
        <v/>
      </c>
      <c r="E1414" s="62" t="str">
        <f>IF($A1414="","",[1]weekly_demand!I1415)</f>
        <v/>
      </c>
      <c r="F1414" s="61" t="str">
        <f>IF($A1414="","",IF($A1414&lt;&gt;$A1413,IFERROR(INDEX([1]FG_Begin_Inventory!$B:$B,MATCH($A1414,[1]FG_Begin_Inventory!$A:$A,0)),0),J1413))</f>
        <v/>
      </c>
      <c r="G1414" s="61" t="str">
        <f t="shared" si="157"/>
        <v/>
      </c>
      <c r="H1414" s="61" t="str">
        <f t="shared" si="158"/>
        <v/>
      </c>
      <c r="I1414" s="62" t="str">
        <f t="shared" si="159"/>
        <v/>
      </c>
      <c r="J1414" s="61" t="str">
        <f t="shared" si="160"/>
        <v/>
      </c>
      <c r="K1414" s="61" t="str">
        <f t="shared" si="161"/>
        <v/>
      </c>
      <c r="L1414" s="61" t="str">
        <f t="shared" si="162"/>
        <v/>
      </c>
      <c r="M1414" s="63" t="str">
        <f t="shared" si="163"/>
        <v/>
      </c>
      <c r="N1414" s="64"/>
    </row>
    <row r="1415" spans="1:14" x14ac:dyDescent="0.3">
      <c r="A1415" s="58" t="str">
        <f>IF([1]weekly_demand!A1416="","",[1]weekly_demand!A1416)</f>
        <v/>
      </c>
      <c r="B1415" s="59" t="str">
        <f>IF($A1415="","",[1]weekly_demand!F1416)</f>
        <v/>
      </c>
      <c r="C1415" s="60" t="str">
        <f>IF($A1415="","",[1]weekly_demand!H1416)</f>
        <v/>
      </c>
      <c r="D1415" s="61" t="str">
        <f>IF($A1415="","",IF(SUMIFS([1]Fixture_Capacity_Input!$C:$C,[1]Fixture_Capacity_Input!$A:$A,$B1415,[1]Fixture_Capacity_Input!$B:$B,$C1415)&gt;0,SUMIFS([1]Fixture_Capacity_Input!$C:$C,[1]Fixture_Capacity_Input!$A:$A,$B1415,[1]Fixture_Capacity_Input!$B:$B,$C1415),[1]weekly_demand!G1416))</f>
        <v/>
      </c>
      <c r="E1415" s="62" t="str">
        <f>IF($A1415="","",[1]weekly_demand!I1416)</f>
        <v/>
      </c>
      <c r="F1415" s="61" t="str">
        <f>IF($A1415="","",IF($A1415&lt;&gt;$A1414,IFERROR(INDEX([1]FG_Begin_Inventory!$B:$B,MATCH($A1415,[1]FG_Begin_Inventory!$A:$A,0)),0),J1414))</f>
        <v/>
      </c>
      <c r="G1415" s="61" t="str">
        <f t="shared" si="157"/>
        <v/>
      </c>
      <c r="H1415" s="61" t="str">
        <f t="shared" si="158"/>
        <v/>
      </c>
      <c r="I1415" s="62" t="str">
        <f t="shared" si="159"/>
        <v/>
      </c>
      <c r="J1415" s="61" t="str">
        <f t="shared" si="160"/>
        <v/>
      </c>
      <c r="K1415" s="61" t="str">
        <f t="shared" si="161"/>
        <v/>
      </c>
      <c r="L1415" s="61" t="str">
        <f t="shared" si="162"/>
        <v/>
      </c>
      <c r="M1415" s="63" t="str">
        <f t="shared" si="163"/>
        <v/>
      </c>
      <c r="N1415" s="64"/>
    </row>
    <row r="1416" spans="1:14" x14ac:dyDescent="0.3">
      <c r="A1416" s="58" t="str">
        <f>IF([1]weekly_demand!A1417="","",[1]weekly_demand!A1417)</f>
        <v/>
      </c>
      <c r="B1416" s="59" t="str">
        <f>IF($A1416="","",[1]weekly_demand!F1417)</f>
        <v/>
      </c>
      <c r="C1416" s="60" t="str">
        <f>IF($A1416="","",[1]weekly_demand!H1417)</f>
        <v/>
      </c>
      <c r="D1416" s="61" t="str">
        <f>IF($A1416="","",IF(SUMIFS([1]Fixture_Capacity_Input!$C:$C,[1]Fixture_Capacity_Input!$A:$A,$B1416,[1]Fixture_Capacity_Input!$B:$B,$C1416)&gt;0,SUMIFS([1]Fixture_Capacity_Input!$C:$C,[1]Fixture_Capacity_Input!$A:$A,$B1416,[1]Fixture_Capacity_Input!$B:$B,$C1416),[1]weekly_demand!G1417))</f>
        <v/>
      </c>
      <c r="E1416" s="62" t="str">
        <f>IF($A1416="","",[1]weekly_demand!I1417)</f>
        <v/>
      </c>
      <c r="F1416" s="61" t="str">
        <f>IF($A1416="","",IF($A1416&lt;&gt;$A1415,IFERROR(INDEX([1]FG_Begin_Inventory!$B:$B,MATCH($A1416,[1]FG_Begin_Inventory!$A:$A,0)),0),J1415))</f>
        <v/>
      </c>
      <c r="G1416" s="61" t="str">
        <f t="shared" si="157"/>
        <v/>
      </c>
      <c r="H1416" s="61" t="str">
        <f t="shared" si="158"/>
        <v/>
      </c>
      <c r="I1416" s="62" t="str">
        <f t="shared" si="159"/>
        <v/>
      </c>
      <c r="J1416" s="61" t="str">
        <f t="shared" si="160"/>
        <v/>
      </c>
      <c r="K1416" s="61" t="str">
        <f t="shared" si="161"/>
        <v/>
      </c>
      <c r="L1416" s="61" t="str">
        <f t="shared" si="162"/>
        <v/>
      </c>
      <c r="M1416" s="63" t="str">
        <f t="shared" si="163"/>
        <v/>
      </c>
      <c r="N1416" s="64"/>
    </row>
    <row r="1417" spans="1:14" x14ac:dyDescent="0.3">
      <c r="A1417" s="58" t="str">
        <f>IF([1]weekly_demand!A1418="","",[1]weekly_demand!A1418)</f>
        <v/>
      </c>
      <c r="B1417" s="59" t="str">
        <f>IF($A1417="","",[1]weekly_demand!F1418)</f>
        <v/>
      </c>
      <c r="C1417" s="60" t="str">
        <f>IF($A1417="","",[1]weekly_demand!H1418)</f>
        <v/>
      </c>
      <c r="D1417" s="61" t="str">
        <f>IF($A1417="","",IF(SUMIFS([1]Fixture_Capacity_Input!$C:$C,[1]Fixture_Capacity_Input!$A:$A,$B1417,[1]Fixture_Capacity_Input!$B:$B,$C1417)&gt;0,SUMIFS([1]Fixture_Capacity_Input!$C:$C,[1]Fixture_Capacity_Input!$A:$A,$B1417,[1]Fixture_Capacity_Input!$B:$B,$C1417),[1]weekly_demand!G1418))</f>
        <v/>
      </c>
      <c r="E1417" s="62" t="str">
        <f>IF($A1417="","",[1]weekly_demand!I1418)</f>
        <v/>
      </c>
      <c r="F1417" s="61" t="str">
        <f>IF($A1417="","",IF($A1417&lt;&gt;$A1416,IFERROR(INDEX([1]FG_Begin_Inventory!$B:$B,MATCH($A1417,[1]FG_Begin_Inventory!$A:$A,0)),0),J1416))</f>
        <v/>
      </c>
      <c r="G1417" s="61" t="str">
        <f t="shared" si="157"/>
        <v/>
      </c>
      <c r="H1417" s="61" t="str">
        <f t="shared" si="158"/>
        <v/>
      </c>
      <c r="I1417" s="62" t="str">
        <f t="shared" si="159"/>
        <v/>
      </c>
      <c r="J1417" s="61" t="str">
        <f t="shared" si="160"/>
        <v/>
      </c>
      <c r="K1417" s="61" t="str">
        <f t="shared" si="161"/>
        <v/>
      </c>
      <c r="L1417" s="61" t="str">
        <f t="shared" si="162"/>
        <v/>
      </c>
      <c r="M1417" s="63" t="str">
        <f t="shared" si="163"/>
        <v/>
      </c>
      <c r="N1417" s="64"/>
    </row>
    <row r="1418" spans="1:14" x14ac:dyDescent="0.3">
      <c r="A1418" s="58" t="str">
        <f>IF([1]weekly_demand!A1419="","",[1]weekly_demand!A1419)</f>
        <v/>
      </c>
      <c r="B1418" s="59" t="str">
        <f>IF($A1418="","",[1]weekly_demand!F1419)</f>
        <v/>
      </c>
      <c r="C1418" s="60" t="str">
        <f>IF($A1418="","",[1]weekly_demand!H1419)</f>
        <v/>
      </c>
      <c r="D1418" s="61" t="str">
        <f>IF($A1418="","",IF(SUMIFS([1]Fixture_Capacity_Input!$C:$C,[1]Fixture_Capacity_Input!$A:$A,$B1418,[1]Fixture_Capacity_Input!$B:$B,$C1418)&gt;0,SUMIFS([1]Fixture_Capacity_Input!$C:$C,[1]Fixture_Capacity_Input!$A:$A,$B1418,[1]Fixture_Capacity_Input!$B:$B,$C1418),[1]weekly_demand!G1419))</f>
        <v/>
      </c>
      <c r="E1418" s="62" t="str">
        <f>IF($A1418="","",[1]weekly_demand!I1419)</f>
        <v/>
      </c>
      <c r="F1418" s="61" t="str">
        <f>IF($A1418="","",IF($A1418&lt;&gt;$A1417,IFERROR(INDEX([1]FG_Begin_Inventory!$B:$B,MATCH($A1418,[1]FG_Begin_Inventory!$A:$A,0)),0),J1417))</f>
        <v/>
      </c>
      <c r="G1418" s="61" t="str">
        <f t="shared" si="157"/>
        <v/>
      </c>
      <c r="H1418" s="61" t="str">
        <f t="shared" si="158"/>
        <v/>
      </c>
      <c r="I1418" s="62" t="str">
        <f t="shared" si="159"/>
        <v/>
      </c>
      <c r="J1418" s="61" t="str">
        <f t="shared" si="160"/>
        <v/>
      </c>
      <c r="K1418" s="61" t="str">
        <f t="shared" si="161"/>
        <v/>
      </c>
      <c r="L1418" s="61" t="str">
        <f t="shared" si="162"/>
        <v/>
      </c>
      <c r="M1418" s="63" t="str">
        <f t="shared" si="163"/>
        <v/>
      </c>
      <c r="N1418" s="64"/>
    </row>
    <row r="1419" spans="1:14" x14ac:dyDescent="0.3">
      <c r="A1419" s="58" t="str">
        <f>IF([1]weekly_demand!A1420="","",[1]weekly_demand!A1420)</f>
        <v/>
      </c>
      <c r="B1419" s="59" t="str">
        <f>IF($A1419="","",[1]weekly_demand!F1420)</f>
        <v/>
      </c>
      <c r="C1419" s="60" t="str">
        <f>IF($A1419="","",[1]weekly_demand!H1420)</f>
        <v/>
      </c>
      <c r="D1419" s="61" t="str">
        <f>IF($A1419="","",IF(SUMIFS([1]Fixture_Capacity_Input!$C:$C,[1]Fixture_Capacity_Input!$A:$A,$B1419,[1]Fixture_Capacity_Input!$B:$B,$C1419)&gt;0,SUMIFS([1]Fixture_Capacity_Input!$C:$C,[1]Fixture_Capacity_Input!$A:$A,$B1419,[1]Fixture_Capacity_Input!$B:$B,$C1419),[1]weekly_demand!G1420))</f>
        <v/>
      </c>
      <c r="E1419" s="62" t="str">
        <f>IF($A1419="","",[1]weekly_demand!I1420)</f>
        <v/>
      </c>
      <c r="F1419" s="61" t="str">
        <f>IF($A1419="","",IF($A1419&lt;&gt;$A1418,IFERROR(INDEX([1]FG_Begin_Inventory!$B:$B,MATCH($A1419,[1]FG_Begin_Inventory!$A:$A,0)),0),J1418))</f>
        <v/>
      </c>
      <c r="G1419" s="61" t="str">
        <f t="shared" si="157"/>
        <v/>
      </c>
      <c r="H1419" s="61" t="str">
        <f t="shared" si="158"/>
        <v/>
      </c>
      <c r="I1419" s="62" t="str">
        <f t="shared" si="159"/>
        <v/>
      </c>
      <c r="J1419" s="61" t="str">
        <f t="shared" si="160"/>
        <v/>
      </c>
      <c r="K1419" s="61" t="str">
        <f t="shared" si="161"/>
        <v/>
      </c>
      <c r="L1419" s="61" t="str">
        <f t="shared" si="162"/>
        <v/>
      </c>
      <c r="M1419" s="63" t="str">
        <f t="shared" si="163"/>
        <v/>
      </c>
      <c r="N1419" s="64"/>
    </row>
    <row r="1420" spans="1:14" x14ac:dyDescent="0.3">
      <c r="A1420" s="58" t="str">
        <f>IF([1]weekly_demand!A1421="","",[1]weekly_demand!A1421)</f>
        <v/>
      </c>
      <c r="B1420" s="59" t="str">
        <f>IF($A1420="","",[1]weekly_demand!F1421)</f>
        <v/>
      </c>
      <c r="C1420" s="60" t="str">
        <f>IF($A1420="","",[1]weekly_demand!H1421)</f>
        <v/>
      </c>
      <c r="D1420" s="61" t="str">
        <f>IF($A1420="","",IF(SUMIFS([1]Fixture_Capacity_Input!$C:$C,[1]Fixture_Capacity_Input!$A:$A,$B1420,[1]Fixture_Capacity_Input!$B:$B,$C1420)&gt;0,SUMIFS([1]Fixture_Capacity_Input!$C:$C,[1]Fixture_Capacity_Input!$A:$A,$B1420,[1]Fixture_Capacity_Input!$B:$B,$C1420),[1]weekly_demand!G1421))</f>
        <v/>
      </c>
      <c r="E1420" s="62" t="str">
        <f>IF($A1420="","",[1]weekly_demand!I1421)</f>
        <v/>
      </c>
      <c r="F1420" s="61" t="str">
        <f>IF($A1420="","",IF($A1420&lt;&gt;$A1419,IFERROR(INDEX([1]FG_Begin_Inventory!$B:$B,MATCH($A1420,[1]FG_Begin_Inventory!$A:$A,0)),0),J1419))</f>
        <v/>
      </c>
      <c r="G1420" s="61" t="str">
        <f t="shared" si="157"/>
        <v/>
      </c>
      <c r="H1420" s="61" t="str">
        <f t="shared" si="158"/>
        <v/>
      </c>
      <c r="I1420" s="62" t="str">
        <f t="shared" si="159"/>
        <v/>
      </c>
      <c r="J1420" s="61" t="str">
        <f t="shared" si="160"/>
        <v/>
      </c>
      <c r="K1420" s="61" t="str">
        <f t="shared" si="161"/>
        <v/>
      </c>
      <c r="L1420" s="61" t="str">
        <f t="shared" si="162"/>
        <v/>
      </c>
      <c r="M1420" s="63" t="str">
        <f t="shared" si="163"/>
        <v/>
      </c>
      <c r="N1420" s="64"/>
    </row>
    <row r="1421" spans="1:14" x14ac:dyDescent="0.3">
      <c r="A1421" s="58" t="str">
        <f>IF([1]weekly_demand!A1422="","",[1]weekly_demand!A1422)</f>
        <v/>
      </c>
      <c r="B1421" s="59" t="str">
        <f>IF($A1421="","",[1]weekly_demand!F1422)</f>
        <v/>
      </c>
      <c r="C1421" s="60" t="str">
        <f>IF($A1421="","",[1]weekly_demand!H1422)</f>
        <v/>
      </c>
      <c r="D1421" s="61" t="str">
        <f>IF($A1421="","",IF(SUMIFS([1]Fixture_Capacity_Input!$C:$C,[1]Fixture_Capacity_Input!$A:$A,$B1421,[1]Fixture_Capacity_Input!$B:$B,$C1421)&gt;0,SUMIFS([1]Fixture_Capacity_Input!$C:$C,[1]Fixture_Capacity_Input!$A:$A,$B1421,[1]Fixture_Capacity_Input!$B:$B,$C1421),[1]weekly_demand!G1422))</f>
        <v/>
      </c>
      <c r="E1421" s="62" t="str">
        <f>IF($A1421="","",[1]weekly_demand!I1422)</f>
        <v/>
      </c>
      <c r="F1421" s="61" t="str">
        <f>IF($A1421="","",IF($A1421&lt;&gt;$A1420,IFERROR(INDEX([1]FG_Begin_Inventory!$B:$B,MATCH($A1421,[1]FG_Begin_Inventory!$A:$A,0)),0),J1420))</f>
        <v/>
      </c>
      <c r="G1421" s="61" t="str">
        <f t="shared" si="157"/>
        <v/>
      </c>
      <c r="H1421" s="61" t="str">
        <f t="shared" si="158"/>
        <v/>
      </c>
      <c r="I1421" s="62" t="str">
        <f t="shared" si="159"/>
        <v/>
      </c>
      <c r="J1421" s="61" t="str">
        <f t="shared" si="160"/>
        <v/>
      </c>
      <c r="K1421" s="61" t="str">
        <f t="shared" si="161"/>
        <v/>
      </c>
      <c r="L1421" s="61" t="str">
        <f t="shared" si="162"/>
        <v/>
      </c>
      <c r="M1421" s="63" t="str">
        <f t="shared" si="163"/>
        <v/>
      </c>
      <c r="N1421" s="64"/>
    </row>
    <row r="1422" spans="1:14" x14ac:dyDescent="0.3">
      <c r="A1422" s="58" t="str">
        <f>IF([1]weekly_demand!A1423="","",[1]weekly_demand!A1423)</f>
        <v/>
      </c>
      <c r="B1422" s="59" t="str">
        <f>IF($A1422="","",[1]weekly_demand!F1423)</f>
        <v/>
      </c>
      <c r="C1422" s="60" t="str">
        <f>IF($A1422="","",[1]weekly_demand!H1423)</f>
        <v/>
      </c>
      <c r="D1422" s="61" t="str">
        <f>IF($A1422="","",IF(SUMIFS([1]Fixture_Capacity_Input!$C:$C,[1]Fixture_Capacity_Input!$A:$A,$B1422,[1]Fixture_Capacity_Input!$B:$B,$C1422)&gt;0,SUMIFS([1]Fixture_Capacity_Input!$C:$C,[1]Fixture_Capacity_Input!$A:$A,$B1422,[1]Fixture_Capacity_Input!$B:$B,$C1422),[1]weekly_demand!G1423))</f>
        <v/>
      </c>
      <c r="E1422" s="62" t="str">
        <f>IF($A1422="","",[1]weekly_demand!I1423)</f>
        <v/>
      </c>
      <c r="F1422" s="61" t="str">
        <f>IF($A1422="","",IF($A1422&lt;&gt;$A1421,IFERROR(INDEX([1]FG_Begin_Inventory!$B:$B,MATCH($A1422,[1]FG_Begin_Inventory!$A:$A,0)),0),J1421))</f>
        <v/>
      </c>
      <c r="G1422" s="61" t="str">
        <f t="shared" si="157"/>
        <v/>
      </c>
      <c r="H1422" s="61" t="str">
        <f t="shared" si="158"/>
        <v/>
      </c>
      <c r="I1422" s="62" t="str">
        <f t="shared" si="159"/>
        <v/>
      </c>
      <c r="J1422" s="61" t="str">
        <f t="shared" si="160"/>
        <v/>
      </c>
      <c r="K1422" s="61" t="str">
        <f t="shared" si="161"/>
        <v/>
      </c>
      <c r="L1422" s="61" t="str">
        <f t="shared" si="162"/>
        <v/>
      </c>
      <c r="M1422" s="63" t="str">
        <f t="shared" si="163"/>
        <v/>
      </c>
      <c r="N1422" s="64"/>
    </row>
    <row r="1423" spans="1:14" x14ac:dyDescent="0.3">
      <c r="A1423" s="58" t="str">
        <f>IF([1]weekly_demand!A1424="","",[1]weekly_demand!A1424)</f>
        <v/>
      </c>
      <c r="B1423" s="59" t="str">
        <f>IF($A1423="","",[1]weekly_demand!F1424)</f>
        <v/>
      </c>
      <c r="C1423" s="60" t="str">
        <f>IF($A1423="","",[1]weekly_demand!H1424)</f>
        <v/>
      </c>
      <c r="D1423" s="61" t="str">
        <f>IF($A1423="","",IF(SUMIFS([1]Fixture_Capacity_Input!$C:$C,[1]Fixture_Capacity_Input!$A:$A,$B1423,[1]Fixture_Capacity_Input!$B:$B,$C1423)&gt;0,SUMIFS([1]Fixture_Capacity_Input!$C:$C,[1]Fixture_Capacity_Input!$A:$A,$B1423,[1]Fixture_Capacity_Input!$B:$B,$C1423),[1]weekly_demand!G1424))</f>
        <v/>
      </c>
      <c r="E1423" s="62" t="str">
        <f>IF($A1423="","",[1]weekly_demand!I1424)</f>
        <v/>
      </c>
      <c r="F1423" s="61" t="str">
        <f>IF($A1423="","",IF($A1423&lt;&gt;$A1422,IFERROR(INDEX([1]FG_Begin_Inventory!$B:$B,MATCH($A1423,[1]FG_Begin_Inventory!$A:$A,0)),0),J1422))</f>
        <v/>
      </c>
      <c r="G1423" s="61" t="str">
        <f t="shared" si="157"/>
        <v/>
      </c>
      <c r="H1423" s="61" t="str">
        <f t="shared" si="158"/>
        <v/>
      </c>
      <c r="I1423" s="62" t="str">
        <f t="shared" si="159"/>
        <v/>
      </c>
      <c r="J1423" s="61" t="str">
        <f t="shared" si="160"/>
        <v/>
      </c>
      <c r="K1423" s="61" t="str">
        <f t="shared" si="161"/>
        <v/>
      </c>
      <c r="L1423" s="61" t="str">
        <f t="shared" si="162"/>
        <v/>
      </c>
      <c r="M1423" s="63" t="str">
        <f t="shared" si="163"/>
        <v/>
      </c>
      <c r="N1423" s="64"/>
    </row>
    <row r="1424" spans="1:14" x14ac:dyDescent="0.3">
      <c r="A1424" s="58" t="str">
        <f>IF([1]weekly_demand!A1425="","",[1]weekly_demand!A1425)</f>
        <v/>
      </c>
      <c r="B1424" s="59" t="str">
        <f>IF($A1424="","",[1]weekly_demand!F1425)</f>
        <v/>
      </c>
      <c r="C1424" s="60" t="str">
        <f>IF($A1424="","",[1]weekly_demand!H1425)</f>
        <v/>
      </c>
      <c r="D1424" s="61" t="str">
        <f>IF($A1424="","",IF(SUMIFS([1]Fixture_Capacity_Input!$C:$C,[1]Fixture_Capacity_Input!$A:$A,$B1424,[1]Fixture_Capacity_Input!$B:$B,$C1424)&gt;0,SUMIFS([1]Fixture_Capacity_Input!$C:$C,[1]Fixture_Capacity_Input!$A:$A,$B1424,[1]Fixture_Capacity_Input!$B:$B,$C1424),[1]weekly_demand!G1425))</f>
        <v/>
      </c>
      <c r="E1424" s="62" t="str">
        <f>IF($A1424="","",[1]weekly_demand!I1425)</f>
        <v/>
      </c>
      <c r="F1424" s="61" t="str">
        <f>IF($A1424="","",IF($A1424&lt;&gt;$A1423,IFERROR(INDEX([1]FG_Begin_Inventory!$B:$B,MATCH($A1424,[1]FG_Begin_Inventory!$A:$A,0)),0),J1423))</f>
        <v/>
      </c>
      <c r="G1424" s="61" t="str">
        <f t="shared" si="157"/>
        <v/>
      </c>
      <c r="H1424" s="61" t="str">
        <f t="shared" si="158"/>
        <v/>
      </c>
      <c r="I1424" s="62" t="str">
        <f t="shared" si="159"/>
        <v/>
      </c>
      <c r="J1424" s="61" t="str">
        <f t="shared" si="160"/>
        <v/>
      </c>
      <c r="K1424" s="61" t="str">
        <f t="shared" si="161"/>
        <v/>
      </c>
      <c r="L1424" s="61" t="str">
        <f t="shared" si="162"/>
        <v/>
      </c>
      <c r="M1424" s="63" t="str">
        <f t="shared" si="163"/>
        <v/>
      </c>
      <c r="N1424" s="64"/>
    </row>
    <row r="1425" spans="1:14" x14ac:dyDescent="0.3">
      <c r="A1425" s="58" t="str">
        <f>IF([1]weekly_demand!A1426="","",[1]weekly_demand!A1426)</f>
        <v/>
      </c>
      <c r="B1425" s="59" t="str">
        <f>IF($A1425="","",[1]weekly_demand!F1426)</f>
        <v/>
      </c>
      <c r="C1425" s="60" t="str">
        <f>IF($A1425="","",[1]weekly_demand!H1426)</f>
        <v/>
      </c>
      <c r="D1425" s="61" t="str">
        <f>IF($A1425="","",IF(SUMIFS([1]Fixture_Capacity_Input!$C:$C,[1]Fixture_Capacity_Input!$A:$A,$B1425,[1]Fixture_Capacity_Input!$B:$B,$C1425)&gt;0,SUMIFS([1]Fixture_Capacity_Input!$C:$C,[1]Fixture_Capacity_Input!$A:$A,$B1425,[1]Fixture_Capacity_Input!$B:$B,$C1425),[1]weekly_demand!G1426))</f>
        <v/>
      </c>
      <c r="E1425" s="62" t="str">
        <f>IF($A1425="","",[1]weekly_demand!I1426)</f>
        <v/>
      </c>
      <c r="F1425" s="61" t="str">
        <f>IF($A1425="","",IF($A1425&lt;&gt;$A1424,IFERROR(INDEX([1]FG_Begin_Inventory!$B:$B,MATCH($A1425,[1]FG_Begin_Inventory!$A:$A,0)),0),J1424))</f>
        <v/>
      </c>
      <c r="G1425" s="61" t="str">
        <f t="shared" si="157"/>
        <v/>
      </c>
      <c r="H1425" s="61" t="str">
        <f t="shared" si="158"/>
        <v/>
      </c>
      <c r="I1425" s="62" t="str">
        <f t="shared" si="159"/>
        <v/>
      </c>
      <c r="J1425" s="61" t="str">
        <f t="shared" si="160"/>
        <v/>
      </c>
      <c r="K1425" s="61" t="str">
        <f t="shared" si="161"/>
        <v/>
      </c>
      <c r="L1425" s="61" t="str">
        <f t="shared" si="162"/>
        <v/>
      </c>
      <c r="M1425" s="63" t="str">
        <f t="shared" si="163"/>
        <v/>
      </c>
      <c r="N1425" s="64"/>
    </row>
    <row r="1426" spans="1:14" x14ac:dyDescent="0.3">
      <c r="A1426" s="58" t="str">
        <f>IF([1]weekly_demand!A1427="","",[1]weekly_demand!A1427)</f>
        <v/>
      </c>
      <c r="B1426" s="59" t="str">
        <f>IF($A1426="","",[1]weekly_demand!F1427)</f>
        <v/>
      </c>
      <c r="C1426" s="60" t="str">
        <f>IF($A1426="","",[1]weekly_demand!H1427)</f>
        <v/>
      </c>
      <c r="D1426" s="61" t="str">
        <f>IF($A1426="","",IF(SUMIFS([1]Fixture_Capacity_Input!$C:$C,[1]Fixture_Capacity_Input!$A:$A,$B1426,[1]Fixture_Capacity_Input!$B:$B,$C1426)&gt;0,SUMIFS([1]Fixture_Capacity_Input!$C:$C,[1]Fixture_Capacity_Input!$A:$A,$B1426,[1]Fixture_Capacity_Input!$B:$B,$C1426),[1]weekly_demand!G1427))</f>
        <v/>
      </c>
      <c r="E1426" s="62" t="str">
        <f>IF($A1426="","",[1]weekly_demand!I1427)</f>
        <v/>
      </c>
      <c r="F1426" s="61" t="str">
        <f>IF($A1426="","",IF($A1426&lt;&gt;$A1425,IFERROR(INDEX([1]FG_Begin_Inventory!$B:$B,MATCH($A1426,[1]FG_Begin_Inventory!$A:$A,0)),0),J1425))</f>
        <v/>
      </c>
      <c r="G1426" s="61" t="str">
        <f t="shared" si="157"/>
        <v/>
      </c>
      <c r="H1426" s="61" t="str">
        <f t="shared" si="158"/>
        <v/>
      </c>
      <c r="I1426" s="62" t="str">
        <f t="shared" si="159"/>
        <v/>
      </c>
      <c r="J1426" s="61" t="str">
        <f t="shared" si="160"/>
        <v/>
      </c>
      <c r="K1426" s="61" t="str">
        <f t="shared" si="161"/>
        <v/>
      </c>
      <c r="L1426" s="61" t="str">
        <f t="shared" si="162"/>
        <v/>
      </c>
      <c r="M1426" s="63" t="str">
        <f t="shared" si="163"/>
        <v/>
      </c>
      <c r="N1426" s="64"/>
    </row>
    <row r="1427" spans="1:14" x14ac:dyDescent="0.3">
      <c r="A1427" s="58" t="str">
        <f>IF([1]weekly_demand!A1428="","",[1]weekly_demand!A1428)</f>
        <v/>
      </c>
      <c r="B1427" s="59" t="str">
        <f>IF($A1427="","",[1]weekly_demand!F1428)</f>
        <v/>
      </c>
      <c r="C1427" s="60" t="str">
        <f>IF($A1427="","",[1]weekly_demand!H1428)</f>
        <v/>
      </c>
      <c r="D1427" s="61" t="str">
        <f>IF($A1427="","",IF(SUMIFS([1]Fixture_Capacity_Input!$C:$C,[1]Fixture_Capacity_Input!$A:$A,$B1427,[1]Fixture_Capacity_Input!$B:$B,$C1427)&gt;0,SUMIFS([1]Fixture_Capacity_Input!$C:$C,[1]Fixture_Capacity_Input!$A:$A,$B1427,[1]Fixture_Capacity_Input!$B:$B,$C1427),[1]weekly_demand!G1428))</f>
        <v/>
      </c>
      <c r="E1427" s="62" t="str">
        <f>IF($A1427="","",[1]weekly_demand!I1428)</f>
        <v/>
      </c>
      <c r="F1427" s="61" t="str">
        <f>IF($A1427="","",IF($A1427&lt;&gt;$A1426,IFERROR(INDEX([1]FG_Begin_Inventory!$B:$B,MATCH($A1427,[1]FG_Begin_Inventory!$A:$A,0)),0),J1426))</f>
        <v/>
      </c>
      <c r="G1427" s="61" t="str">
        <f t="shared" si="157"/>
        <v/>
      </c>
      <c r="H1427" s="61" t="str">
        <f t="shared" si="158"/>
        <v/>
      </c>
      <c r="I1427" s="62" t="str">
        <f t="shared" si="159"/>
        <v/>
      </c>
      <c r="J1427" s="61" t="str">
        <f t="shared" si="160"/>
        <v/>
      </c>
      <c r="K1427" s="61" t="str">
        <f t="shared" si="161"/>
        <v/>
      </c>
      <c r="L1427" s="61" t="str">
        <f t="shared" si="162"/>
        <v/>
      </c>
      <c r="M1427" s="63" t="str">
        <f t="shared" si="163"/>
        <v/>
      </c>
      <c r="N1427" s="64"/>
    </row>
    <row r="1428" spans="1:14" x14ac:dyDescent="0.3">
      <c r="A1428" s="58" t="str">
        <f>IF([1]weekly_demand!A1429="","",[1]weekly_demand!A1429)</f>
        <v/>
      </c>
      <c r="B1428" s="59" t="str">
        <f>IF($A1428="","",[1]weekly_demand!F1429)</f>
        <v/>
      </c>
      <c r="C1428" s="60" t="str">
        <f>IF($A1428="","",[1]weekly_demand!H1429)</f>
        <v/>
      </c>
      <c r="D1428" s="61" t="str">
        <f>IF($A1428="","",IF(SUMIFS([1]Fixture_Capacity_Input!$C:$C,[1]Fixture_Capacity_Input!$A:$A,$B1428,[1]Fixture_Capacity_Input!$B:$B,$C1428)&gt;0,SUMIFS([1]Fixture_Capacity_Input!$C:$C,[1]Fixture_Capacity_Input!$A:$A,$B1428,[1]Fixture_Capacity_Input!$B:$B,$C1428),[1]weekly_demand!G1429))</f>
        <v/>
      </c>
      <c r="E1428" s="62" t="str">
        <f>IF($A1428="","",[1]weekly_demand!I1429)</f>
        <v/>
      </c>
      <c r="F1428" s="61" t="str">
        <f>IF($A1428="","",IF($A1428&lt;&gt;$A1427,IFERROR(INDEX([1]FG_Begin_Inventory!$B:$B,MATCH($A1428,[1]FG_Begin_Inventory!$A:$A,0)),0),J1427))</f>
        <v/>
      </c>
      <c r="G1428" s="61" t="str">
        <f t="shared" si="157"/>
        <v/>
      </c>
      <c r="H1428" s="61" t="str">
        <f t="shared" si="158"/>
        <v/>
      </c>
      <c r="I1428" s="62" t="str">
        <f t="shared" si="159"/>
        <v/>
      </c>
      <c r="J1428" s="61" t="str">
        <f t="shared" si="160"/>
        <v/>
      </c>
      <c r="K1428" s="61" t="str">
        <f t="shared" si="161"/>
        <v/>
      </c>
      <c r="L1428" s="61" t="str">
        <f t="shared" si="162"/>
        <v/>
      </c>
      <c r="M1428" s="63" t="str">
        <f t="shared" si="163"/>
        <v/>
      </c>
      <c r="N1428" s="64"/>
    </row>
    <row r="1429" spans="1:14" x14ac:dyDescent="0.3">
      <c r="A1429" s="58" t="str">
        <f>IF([1]weekly_demand!A1430="","",[1]weekly_demand!A1430)</f>
        <v/>
      </c>
      <c r="B1429" s="59" t="str">
        <f>IF($A1429="","",[1]weekly_demand!F1430)</f>
        <v/>
      </c>
      <c r="C1429" s="60" t="str">
        <f>IF($A1429="","",[1]weekly_demand!H1430)</f>
        <v/>
      </c>
      <c r="D1429" s="61" t="str">
        <f>IF($A1429="","",IF(SUMIFS([1]Fixture_Capacity_Input!$C:$C,[1]Fixture_Capacity_Input!$A:$A,$B1429,[1]Fixture_Capacity_Input!$B:$B,$C1429)&gt;0,SUMIFS([1]Fixture_Capacity_Input!$C:$C,[1]Fixture_Capacity_Input!$A:$A,$B1429,[1]Fixture_Capacity_Input!$B:$B,$C1429),[1]weekly_demand!G1430))</f>
        <v/>
      </c>
      <c r="E1429" s="62" t="str">
        <f>IF($A1429="","",[1]weekly_demand!I1430)</f>
        <v/>
      </c>
      <c r="F1429" s="61" t="str">
        <f>IF($A1429="","",IF($A1429&lt;&gt;$A1428,IFERROR(INDEX([1]FG_Begin_Inventory!$B:$B,MATCH($A1429,[1]FG_Begin_Inventory!$A:$A,0)),0),J1428))</f>
        <v/>
      </c>
      <c r="G1429" s="61" t="str">
        <f t="shared" si="157"/>
        <v/>
      </c>
      <c r="H1429" s="61" t="str">
        <f t="shared" si="158"/>
        <v/>
      </c>
      <c r="I1429" s="62" t="str">
        <f t="shared" si="159"/>
        <v/>
      </c>
      <c r="J1429" s="61" t="str">
        <f t="shared" si="160"/>
        <v/>
      </c>
      <c r="K1429" s="61" t="str">
        <f t="shared" si="161"/>
        <v/>
      </c>
      <c r="L1429" s="61" t="str">
        <f t="shared" si="162"/>
        <v/>
      </c>
      <c r="M1429" s="63" t="str">
        <f t="shared" si="163"/>
        <v/>
      </c>
      <c r="N1429" s="64"/>
    </row>
    <row r="1430" spans="1:14" x14ac:dyDescent="0.3">
      <c r="A1430" s="58" t="str">
        <f>IF([1]weekly_demand!A1431="","",[1]weekly_demand!A1431)</f>
        <v/>
      </c>
      <c r="B1430" s="59" t="str">
        <f>IF($A1430="","",[1]weekly_demand!F1431)</f>
        <v/>
      </c>
      <c r="C1430" s="60" t="str">
        <f>IF($A1430="","",[1]weekly_demand!H1431)</f>
        <v/>
      </c>
      <c r="D1430" s="61" t="str">
        <f>IF($A1430="","",IF(SUMIFS([1]Fixture_Capacity_Input!$C:$C,[1]Fixture_Capacity_Input!$A:$A,$B1430,[1]Fixture_Capacity_Input!$B:$B,$C1430)&gt;0,SUMIFS([1]Fixture_Capacity_Input!$C:$C,[1]Fixture_Capacity_Input!$A:$A,$B1430,[1]Fixture_Capacity_Input!$B:$B,$C1430),[1]weekly_demand!G1431))</f>
        <v/>
      </c>
      <c r="E1430" s="62" t="str">
        <f>IF($A1430="","",[1]weekly_demand!I1431)</f>
        <v/>
      </c>
      <c r="F1430" s="61" t="str">
        <f>IF($A1430="","",IF($A1430&lt;&gt;$A1429,IFERROR(INDEX([1]FG_Begin_Inventory!$B:$B,MATCH($A1430,[1]FG_Begin_Inventory!$A:$A,0)),0),J1429))</f>
        <v/>
      </c>
      <c r="G1430" s="61" t="str">
        <f t="shared" si="157"/>
        <v/>
      </c>
      <c r="H1430" s="61" t="str">
        <f t="shared" si="158"/>
        <v/>
      </c>
      <c r="I1430" s="62" t="str">
        <f t="shared" si="159"/>
        <v/>
      </c>
      <c r="J1430" s="61" t="str">
        <f t="shared" si="160"/>
        <v/>
      </c>
      <c r="K1430" s="61" t="str">
        <f t="shared" si="161"/>
        <v/>
      </c>
      <c r="L1430" s="61" t="str">
        <f t="shared" si="162"/>
        <v/>
      </c>
      <c r="M1430" s="63" t="str">
        <f t="shared" si="163"/>
        <v/>
      </c>
      <c r="N1430" s="64"/>
    </row>
    <row r="1431" spans="1:14" x14ac:dyDescent="0.3">
      <c r="A1431" s="58" t="str">
        <f>IF([1]weekly_demand!A1432="","",[1]weekly_demand!A1432)</f>
        <v/>
      </c>
      <c r="B1431" s="59" t="str">
        <f>IF($A1431="","",[1]weekly_demand!F1432)</f>
        <v/>
      </c>
      <c r="C1431" s="60" t="str">
        <f>IF($A1431="","",[1]weekly_demand!H1432)</f>
        <v/>
      </c>
      <c r="D1431" s="61" t="str">
        <f>IF($A1431="","",IF(SUMIFS([1]Fixture_Capacity_Input!$C:$C,[1]Fixture_Capacity_Input!$A:$A,$B1431,[1]Fixture_Capacity_Input!$B:$B,$C1431)&gt;0,SUMIFS([1]Fixture_Capacity_Input!$C:$C,[1]Fixture_Capacity_Input!$A:$A,$B1431,[1]Fixture_Capacity_Input!$B:$B,$C1431),[1]weekly_demand!G1432))</f>
        <v/>
      </c>
      <c r="E1431" s="62" t="str">
        <f>IF($A1431="","",[1]weekly_demand!I1432)</f>
        <v/>
      </c>
      <c r="F1431" s="61" t="str">
        <f>IF($A1431="","",IF($A1431&lt;&gt;$A1430,IFERROR(INDEX([1]FG_Begin_Inventory!$B:$B,MATCH($A1431,[1]FG_Begin_Inventory!$A:$A,0)),0),J1430))</f>
        <v/>
      </c>
      <c r="G1431" s="61" t="str">
        <f t="shared" si="157"/>
        <v/>
      </c>
      <c r="H1431" s="61" t="str">
        <f t="shared" si="158"/>
        <v/>
      </c>
      <c r="I1431" s="62" t="str">
        <f t="shared" si="159"/>
        <v/>
      </c>
      <c r="J1431" s="61" t="str">
        <f t="shared" si="160"/>
        <v/>
      </c>
      <c r="K1431" s="61" t="str">
        <f t="shared" si="161"/>
        <v/>
      </c>
      <c r="L1431" s="61" t="str">
        <f t="shared" si="162"/>
        <v/>
      </c>
      <c r="M1431" s="63" t="str">
        <f t="shared" si="163"/>
        <v/>
      </c>
      <c r="N1431" s="64"/>
    </row>
    <row r="1432" spans="1:14" x14ac:dyDescent="0.3">
      <c r="A1432" s="58" t="str">
        <f>IF([1]weekly_demand!A1433="","",[1]weekly_demand!A1433)</f>
        <v/>
      </c>
      <c r="B1432" s="59" t="str">
        <f>IF($A1432="","",[1]weekly_demand!F1433)</f>
        <v/>
      </c>
      <c r="C1432" s="60" t="str">
        <f>IF($A1432="","",[1]weekly_demand!H1433)</f>
        <v/>
      </c>
      <c r="D1432" s="61" t="str">
        <f>IF($A1432="","",IF(SUMIFS([1]Fixture_Capacity_Input!$C:$C,[1]Fixture_Capacity_Input!$A:$A,$B1432,[1]Fixture_Capacity_Input!$B:$B,$C1432)&gt;0,SUMIFS([1]Fixture_Capacity_Input!$C:$C,[1]Fixture_Capacity_Input!$A:$A,$B1432,[1]Fixture_Capacity_Input!$B:$B,$C1432),[1]weekly_demand!G1433))</f>
        <v/>
      </c>
      <c r="E1432" s="62" t="str">
        <f>IF($A1432="","",[1]weekly_demand!I1433)</f>
        <v/>
      </c>
      <c r="F1432" s="61" t="str">
        <f>IF($A1432="","",IF($A1432&lt;&gt;$A1431,IFERROR(INDEX([1]FG_Begin_Inventory!$B:$B,MATCH($A1432,[1]FG_Begin_Inventory!$A:$A,0)),0),J1431))</f>
        <v/>
      </c>
      <c r="G1432" s="61" t="str">
        <f t="shared" si="157"/>
        <v/>
      </c>
      <c r="H1432" s="61" t="str">
        <f t="shared" si="158"/>
        <v/>
      </c>
      <c r="I1432" s="62" t="str">
        <f t="shared" si="159"/>
        <v/>
      </c>
      <c r="J1432" s="61" t="str">
        <f t="shared" si="160"/>
        <v/>
      </c>
      <c r="K1432" s="61" t="str">
        <f t="shared" si="161"/>
        <v/>
      </c>
      <c r="L1432" s="61" t="str">
        <f t="shared" si="162"/>
        <v/>
      </c>
      <c r="M1432" s="63" t="str">
        <f t="shared" si="163"/>
        <v/>
      </c>
      <c r="N1432" s="64"/>
    </row>
    <row r="1433" spans="1:14" x14ac:dyDescent="0.3">
      <c r="A1433" s="58" t="str">
        <f>IF([1]weekly_demand!A1434="","",[1]weekly_demand!A1434)</f>
        <v/>
      </c>
      <c r="B1433" s="59" t="str">
        <f>IF($A1433="","",[1]weekly_demand!F1434)</f>
        <v/>
      </c>
      <c r="C1433" s="60" t="str">
        <f>IF($A1433="","",[1]weekly_demand!H1434)</f>
        <v/>
      </c>
      <c r="D1433" s="61" t="str">
        <f>IF($A1433="","",IF(SUMIFS([1]Fixture_Capacity_Input!$C:$C,[1]Fixture_Capacity_Input!$A:$A,$B1433,[1]Fixture_Capacity_Input!$B:$B,$C1433)&gt;0,SUMIFS([1]Fixture_Capacity_Input!$C:$C,[1]Fixture_Capacity_Input!$A:$A,$B1433,[1]Fixture_Capacity_Input!$B:$B,$C1433),[1]weekly_demand!G1434))</f>
        <v/>
      </c>
      <c r="E1433" s="62" t="str">
        <f>IF($A1433="","",[1]weekly_demand!I1434)</f>
        <v/>
      </c>
      <c r="F1433" s="61" t="str">
        <f>IF($A1433="","",IF($A1433&lt;&gt;$A1432,IFERROR(INDEX([1]FG_Begin_Inventory!$B:$B,MATCH($A1433,[1]FG_Begin_Inventory!$A:$A,0)),0),J1432))</f>
        <v/>
      </c>
      <c r="G1433" s="61" t="str">
        <f t="shared" si="157"/>
        <v/>
      </c>
      <c r="H1433" s="61" t="str">
        <f t="shared" si="158"/>
        <v/>
      </c>
      <c r="I1433" s="62" t="str">
        <f t="shared" si="159"/>
        <v/>
      </c>
      <c r="J1433" s="61" t="str">
        <f t="shared" si="160"/>
        <v/>
      </c>
      <c r="K1433" s="61" t="str">
        <f t="shared" si="161"/>
        <v/>
      </c>
      <c r="L1433" s="61" t="str">
        <f t="shared" si="162"/>
        <v/>
      </c>
      <c r="M1433" s="63" t="str">
        <f t="shared" si="163"/>
        <v/>
      </c>
      <c r="N1433" s="64"/>
    </row>
    <row r="1434" spans="1:14" x14ac:dyDescent="0.3">
      <c r="A1434" s="58" t="str">
        <f>IF([1]weekly_demand!A1435="","",[1]weekly_demand!A1435)</f>
        <v/>
      </c>
      <c r="B1434" s="59" t="str">
        <f>IF($A1434="","",[1]weekly_demand!F1435)</f>
        <v/>
      </c>
      <c r="C1434" s="60" t="str">
        <f>IF($A1434="","",[1]weekly_demand!H1435)</f>
        <v/>
      </c>
      <c r="D1434" s="61" t="str">
        <f>IF($A1434="","",IF(SUMIFS([1]Fixture_Capacity_Input!$C:$C,[1]Fixture_Capacity_Input!$A:$A,$B1434,[1]Fixture_Capacity_Input!$B:$B,$C1434)&gt;0,SUMIFS([1]Fixture_Capacity_Input!$C:$C,[1]Fixture_Capacity_Input!$A:$A,$B1434,[1]Fixture_Capacity_Input!$B:$B,$C1434),[1]weekly_demand!G1435))</f>
        <v/>
      </c>
      <c r="E1434" s="62" t="str">
        <f>IF($A1434="","",[1]weekly_demand!I1435)</f>
        <v/>
      </c>
      <c r="F1434" s="61" t="str">
        <f>IF($A1434="","",IF($A1434&lt;&gt;$A1433,IFERROR(INDEX([1]FG_Begin_Inventory!$B:$B,MATCH($A1434,[1]FG_Begin_Inventory!$A:$A,0)),0),J1433))</f>
        <v/>
      </c>
      <c r="G1434" s="61" t="str">
        <f t="shared" si="157"/>
        <v/>
      </c>
      <c r="H1434" s="61" t="str">
        <f t="shared" si="158"/>
        <v/>
      </c>
      <c r="I1434" s="62" t="str">
        <f t="shared" si="159"/>
        <v/>
      </c>
      <c r="J1434" s="61" t="str">
        <f t="shared" si="160"/>
        <v/>
      </c>
      <c r="K1434" s="61" t="str">
        <f t="shared" si="161"/>
        <v/>
      </c>
      <c r="L1434" s="61" t="str">
        <f t="shared" si="162"/>
        <v/>
      </c>
      <c r="M1434" s="63" t="str">
        <f t="shared" si="163"/>
        <v/>
      </c>
      <c r="N1434" s="64"/>
    </row>
    <row r="1435" spans="1:14" x14ac:dyDescent="0.3">
      <c r="A1435" s="58" t="str">
        <f>IF([1]weekly_demand!A1436="","",[1]weekly_demand!A1436)</f>
        <v/>
      </c>
      <c r="B1435" s="59" t="str">
        <f>IF($A1435="","",[1]weekly_demand!F1436)</f>
        <v/>
      </c>
      <c r="C1435" s="60" t="str">
        <f>IF($A1435="","",[1]weekly_demand!H1436)</f>
        <v/>
      </c>
      <c r="D1435" s="61" t="str">
        <f>IF($A1435="","",IF(SUMIFS([1]Fixture_Capacity_Input!$C:$C,[1]Fixture_Capacity_Input!$A:$A,$B1435,[1]Fixture_Capacity_Input!$B:$B,$C1435)&gt;0,SUMIFS([1]Fixture_Capacity_Input!$C:$C,[1]Fixture_Capacity_Input!$A:$A,$B1435,[1]Fixture_Capacity_Input!$B:$B,$C1435),[1]weekly_demand!G1436))</f>
        <v/>
      </c>
      <c r="E1435" s="62" t="str">
        <f>IF($A1435="","",[1]weekly_demand!I1436)</f>
        <v/>
      </c>
      <c r="F1435" s="61" t="str">
        <f>IF($A1435="","",IF($A1435&lt;&gt;$A1434,IFERROR(INDEX([1]FG_Begin_Inventory!$B:$B,MATCH($A1435,[1]FG_Begin_Inventory!$A:$A,0)),0),J1434))</f>
        <v/>
      </c>
      <c r="G1435" s="61" t="str">
        <f t="shared" si="157"/>
        <v/>
      </c>
      <c r="H1435" s="61" t="str">
        <f t="shared" si="158"/>
        <v/>
      </c>
      <c r="I1435" s="62" t="str">
        <f t="shared" si="159"/>
        <v/>
      </c>
      <c r="J1435" s="61" t="str">
        <f t="shared" si="160"/>
        <v/>
      </c>
      <c r="K1435" s="61" t="str">
        <f t="shared" si="161"/>
        <v/>
      </c>
      <c r="L1435" s="61" t="str">
        <f t="shared" si="162"/>
        <v/>
      </c>
      <c r="M1435" s="63" t="str">
        <f t="shared" si="163"/>
        <v/>
      </c>
      <c r="N1435" s="64"/>
    </row>
    <row r="1436" spans="1:14" x14ac:dyDescent="0.3">
      <c r="A1436" s="58" t="str">
        <f>IF([1]weekly_demand!A1437="","",[1]weekly_demand!A1437)</f>
        <v/>
      </c>
      <c r="B1436" s="59" t="str">
        <f>IF($A1436="","",[1]weekly_demand!F1437)</f>
        <v/>
      </c>
      <c r="C1436" s="60" t="str">
        <f>IF($A1436="","",[1]weekly_demand!H1437)</f>
        <v/>
      </c>
      <c r="D1436" s="61" t="str">
        <f>IF($A1436="","",IF(SUMIFS([1]Fixture_Capacity_Input!$C:$C,[1]Fixture_Capacity_Input!$A:$A,$B1436,[1]Fixture_Capacity_Input!$B:$B,$C1436)&gt;0,SUMIFS([1]Fixture_Capacity_Input!$C:$C,[1]Fixture_Capacity_Input!$A:$A,$B1436,[1]Fixture_Capacity_Input!$B:$B,$C1436),[1]weekly_demand!G1437))</f>
        <v/>
      </c>
      <c r="E1436" s="62" t="str">
        <f>IF($A1436="","",[1]weekly_demand!I1437)</f>
        <v/>
      </c>
      <c r="F1436" s="61" t="str">
        <f>IF($A1436="","",IF($A1436&lt;&gt;$A1435,IFERROR(INDEX([1]FG_Begin_Inventory!$B:$B,MATCH($A1436,[1]FG_Begin_Inventory!$A:$A,0)),0),J1435))</f>
        <v/>
      </c>
      <c r="G1436" s="61" t="str">
        <f t="shared" si="157"/>
        <v/>
      </c>
      <c r="H1436" s="61" t="str">
        <f t="shared" si="158"/>
        <v/>
      </c>
      <c r="I1436" s="62" t="str">
        <f t="shared" si="159"/>
        <v/>
      </c>
      <c r="J1436" s="61" t="str">
        <f t="shared" si="160"/>
        <v/>
      </c>
      <c r="K1436" s="61" t="str">
        <f t="shared" si="161"/>
        <v/>
      </c>
      <c r="L1436" s="61" t="str">
        <f t="shared" si="162"/>
        <v/>
      </c>
      <c r="M1436" s="63" t="str">
        <f t="shared" si="163"/>
        <v/>
      </c>
      <c r="N1436" s="64"/>
    </row>
    <row r="1437" spans="1:14" x14ac:dyDescent="0.3">
      <c r="A1437" s="58" t="str">
        <f>IF([1]weekly_demand!A1438="","",[1]weekly_demand!A1438)</f>
        <v/>
      </c>
      <c r="B1437" s="59" t="str">
        <f>IF($A1437="","",[1]weekly_demand!F1438)</f>
        <v/>
      </c>
      <c r="C1437" s="60" t="str">
        <f>IF($A1437="","",[1]weekly_demand!H1438)</f>
        <v/>
      </c>
      <c r="D1437" s="61" t="str">
        <f>IF($A1437="","",IF(SUMIFS([1]Fixture_Capacity_Input!$C:$C,[1]Fixture_Capacity_Input!$A:$A,$B1437,[1]Fixture_Capacity_Input!$B:$B,$C1437)&gt;0,SUMIFS([1]Fixture_Capacity_Input!$C:$C,[1]Fixture_Capacity_Input!$A:$A,$B1437,[1]Fixture_Capacity_Input!$B:$B,$C1437),[1]weekly_demand!G1438))</f>
        <v/>
      </c>
      <c r="E1437" s="62" t="str">
        <f>IF($A1437="","",[1]weekly_demand!I1438)</f>
        <v/>
      </c>
      <c r="F1437" s="61" t="str">
        <f>IF($A1437="","",IF($A1437&lt;&gt;$A1436,IFERROR(INDEX([1]FG_Begin_Inventory!$B:$B,MATCH($A1437,[1]FG_Begin_Inventory!$A:$A,0)),0),J1436))</f>
        <v/>
      </c>
      <c r="G1437" s="61" t="str">
        <f t="shared" si="157"/>
        <v/>
      </c>
      <c r="H1437" s="61" t="str">
        <f t="shared" si="158"/>
        <v/>
      </c>
      <c r="I1437" s="62" t="str">
        <f t="shared" si="159"/>
        <v/>
      </c>
      <c r="J1437" s="61" t="str">
        <f t="shared" si="160"/>
        <v/>
      </c>
      <c r="K1437" s="61" t="str">
        <f t="shared" si="161"/>
        <v/>
      </c>
      <c r="L1437" s="61" t="str">
        <f t="shared" si="162"/>
        <v/>
      </c>
      <c r="M1437" s="63" t="str">
        <f t="shared" si="163"/>
        <v/>
      </c>
      <c r="N1437" s="64"/>
    </row>
    <row r="1438" spans="1:14" x14ac:dyDescent="0.3">
      <c r="A1438" s="58" t="str">
        <f>IF([1]weekly_demand!A1439="","",[1]weekly_demand!A1439)</f>
        <v/>
      </c>
      <c r="B1438" s="59" t="str">
        <f>IF($A1438="","",[1]weekly_demand!F1439)</f>
        <v/>
      </c>
      <c r="C1438" s="60" t="str">
        <f>IF($A1438="","",[1]weekly_demand!H1439)</f>
        <v/>
      </c>
      <c r="D1438" s="61" t="str">
        <f>IF($A1438="","",IF(SUMIFS([1]Fixture_Capacity_Input!$C:$C,[1]Fixture_Capacity_Input!$A:$A,$B1438,[1]Fixture_Capacity_Input!$B:$B,$C1438)&gt;0,SUMIFS([1]Fixture_Capacity_Input!$C:$C,[1]Fixture_Capacity_Input!$A:$A,$B1438,[1]Fixture_Capacity_Input!$B:$B,$C1438),[1]weekly_demand!G1439))</f>
        <v/>
      </c>
      <c r="E1438" s="62" t="str">
        <f>IF($A1438="","",[1]weekly_demand!I1439)</f>
        <v/>
      </c>
      <c r="F1438" s="61" t="str">
        <f>IF($A1438="","",IF($A1438&lt;&gt;$A1437,IFERROR(INDEX([1]FG_Begin_Inventory!$B:$B,MATCH($A1438,[1]FG_Begin_Inventory!$A:$A,0)),0),J1437))</f>
        <v/>
      </c>
      <c r="G1438" s="61" t="str">
        <f t="shared" si="157"/>
        <v/>
      </c>
      <c r="H1438" s="61" t="str">
        <f t="shared" si="158"/>
        <v/>
      </c>
      <c r="I1438" s="62" t="str">
        <f t="shared" si="159"/>
        <v/>
      </c>
      <c r="J1438" s="61" t="str">
        <f t="shared" si="160"/>
        <v/>
      </c>
      <c r="K1438" s="61" t="str">
        <f t="shared" si="161"/>
        <v/>
      </c>
      <c r="L1438" s="61" t="str">
        <f t="shared" si="162"/>
        <v/>
      </c>
      <c r="M1438" s="63" t="str">
        <f t="shared" si="163"/>
        <v/>
      </c>
      <c r="N1438" s="64"/>
    </row>
    <row r="1439" spans="1:14" x14ac:dyDescent="0.3">
      <c r="A1439" s="58" t="str">
        <f>IF([1]weekly_demand!A1440="","",[1]weekly_demand!A1440)</f>
        <v/>
      </c>
      <c r="B1439" s="59" t="str">
        <f>IF($A1439="","",[1]weekly_demand!F1440)</f>
        <v/>
      </c>
      <c r="C1439" s="60" t="str">
        <f>IF($A1439="","",[1]weekly_demand!H1440)</f>
        <v/>
      </c>
      <c r="D1439" s="61" t="str">
        <f>IF($A1439="","",IF(SUMIFS([1]Fixture_Capacity_Input!$C:$C,[1]Fixture_Capacity_Input!$A:$A,$B1439,[1]Fixture_Capacity_Input!$B:$B,$C1439)&gt;0,SUMIFS([1]Fixture_Capacity_Input!$C:$C,[1]Fixture_Capacity_Input!$A:$A,$B1439,[1]Fixture_Capacity_Input!$B:$B,$C1439),[1]weekly_demand!G1440))</f>
        <v/>
      </c>
      <c r="E1439" s="62" t="str">
        <f>IF($A1439="","",[1]weekly_demand!I1440)</f>
        <v/>
      </c>
      <c r="F1439" s="61" t="str">
        <f>IF($A1439="","",IF($A1439&lt;&gt;$A1438,IFERROR(INDEX([1]FG_Begin_Inventory!$B:$B,MATCH($A1439,[1]FG_Begin_Inventory!$A:$A,0)),0),J1438))</f>
        <v/>
      </c>
      <c r="G1439" s="61" t="str">
        <f t="shared" si="157"/>
        <v/>
      </c>
      <c r="H1439" s="61" t="str">
        <f t="shared" si="158"/>
        <v/>
      </c>
      <c r="I1439" s="62" t="str">
        <f t="shared" si="159"/>
        <v/>
      </c>
      <c r="J1439" s="61" t="str">
        <f t="shared" si="160"/>
        <v/>
      </c>
      <c r="K1439" s="61" t="str">
        <f t="shared" si="161"/>
        <v/>
      </c>
      <c r="L1439" s="61" t="str">
        <f t="shared" si="162"/>
        <v/>
      </c>
      <c r="M1439" s="63" t="str">
        <f t="shared" si="163"/>
        <v/>
      </c>
      <c r="N1439" s="64"/>
    </row>
    <row r="1440" spans="1:14" x14ac:dyDescent="0.3">
      <c r="A1440" s="58" t="str">
        <f>IF([1]weekly_demand!A1441="","",[1]weekly_demand!A1441)</f>
        <v/>
      </c>
      <c r="B1440" s="59" t="str">
        <f>IF($A1440="","",[1]weekly_demand!F1441)</f>
        <v/>
      </c>
      <c r="C1440" s="60" t="str">
        <f>IF($A1440="","",[1]weekly_demand!H1441)</f>
        <v/>
      </c>
      <c r="D1440" s="61" t="str">
        <f>IF($A1440="","",IF(SUMIFS([1]Fixture_Capacity_Input!$C:$C,[1]Fixture_Capacity_Input!$A:$A,$B1440,[1]Fixture_Capacity_Input!$B:$B,$C1440)&gt;0,SUMIFS([1]Fixture_Capacity_Input!$C:$C,[1]Fixture_Capacity_Input!$A:$A,$B1440,[1]Fixture_Capacity_Input!$B:$B,$C1440),[1]weekly_demand!G1441))</f>
        <v/>
      </c>
      <c r="E1440" s="62" t="str">
        <f>IF($A1440="","",[1]weekly_demand!I1441)</f>
        <v/>
      </c>
      <c r="F1440" s="61" t="str">
        <f>IF($A1440="","",IF($A1440&lt;&gt;$A1439,IFERROR(INDEX([1]FG_Begin_Inventory!$B:$B,MATCH($A1440,[1]FG_Begin_Inventory!$A:$A,0)),0),J1439))</f>
        <v/>
      </c>
      <c r="G1440" s="61" t="str">
        <f t="shared" si="157"/>
        <v/>
      </c>
      <c r="H1440" s="61" t="str">
        <f t="shared" si="158"/>
        <v/>
      </c>
      <c r="I1440" s="62" t="str">
        <f t="shared" si="159"/>
        <v/>
      </c>
      <c r="J1440" s="61" t="str">
        <f t="shared" si="160"/>
        <v/>
      </c>
      <c r="K1440" s="61" t="str">
        <f t="shared" si="161"/>
        <v/>
      </c>
      <c r="L1440" s="61" t="str">
        <f t="shared" si="162"/>
        <v/>
      </c>
      <c r="M1440" s="63" t="str">
        <f t="shared" si="163"/>
        <v/>
      </c>
      <c r="N1440" s="64"/>
    </row>
    <row r="1441" spans="1:14" x14ac:dyDescent="0.3">
      <c r="A1441" s="58" t="str">
        <f>IF([1]weekly_demand!A1442="","",[1]weekly_demand!A1442)</f>
        <v/>
      </c>
      <c r="B1441" s="59" t="str">
        <f>IF($A1441="","",[1]weekly_demand!F1442)</f>
        <v/>
      </c>
      <c r="C1441" s="60" t="str">
        <f>IF($A1441="","",[1]weekly_demand!H1442)</f>
        <v/>
      </c>
      <c r="D1441" s="61" t="str">
        <f>IF($A1441="","",IF(SUMIFS([1]Fixture_Capacity_Input!$C:$C,[1]Fixture_Capacity_Input!$A:$A,$B1441,[1]Fixture_Capacity_Input!$B:$B,$C1441)&gt;0,SUMIFS([1]Fixture_Capacity_Input!$C:$C,[1]Fixture_Capacity_Input!$A:$A,$B1441,[1]Fixture_Capacity_Input!$B:$B,$C1441),[1]weekly_demand!G1442))</f>
        <v/>
      </c>
      <c r="E1441" s="62" t="str">
        <f>IF($A1441="","",[1]weekly_demand!I1442)</f>
        <v/>
      </c>
      <c r="F1441" s="61" t="str">
        <f>IF($A1441="","",IF($A1441&lt;&gt;$A1440,IFERROR(INDEX([1]FG_Begin_Inventory!$B:$B,MATCH($A1441,[1]FG_Begin_Inventory!$A:$A,0)),0),J1440))</f>
        <v/>
      </c>
      <c r="G1441" s="61" t="str">
        <f t="shared" si="157"/>
        <v/>
      </c>
      <c r="H1441" s="61" t="str">
        <f t="shared" si="158"/>
        <v/>
      </c>
      <c r="I1441" s="62" t="str">
        <f t="shared" si="159"/>
        <v/>
      </c>
      <c r="J1441" s="61" t="str">
        <f t="shared" si="160"/>
        <v/>
      </c>
      <c r="K1441" s="61" t="str">
        <f t="shared" si="161"/>
        <v/>
      </c>
      <c r="L1441" s="61" t="str">
        <f t="shared" si="162"/>
        <v/>
      </c>
      <c r="M1441" s="63" t="str">
        <f t="shared" si="163"/>
        <v/>
      </c>
      <c r="N1441" s="64"/>
    </row>
    <row r="1442" spans="1:14" x14ac:dyDescent="0.3">
      <c r="A1442" s="58" t="str">
        <f>IF([1]weekly_demand!A1443="","",[1]weekly_demand!A1443)</f>
        <v/>
      </c>
      <c r="B1442" s="59" t="str">
        <f>IF($A1442="","",[1]weekly_demand!F1443)</f>
        <v/>
      </c>
      <c r="C1442" s="60" t="str">
        <f>IF($A1442="","",[1]weekly_demand!H1443)</f>
        <v/>
      </c>
      <c r="D1442" s="61" t="str">
        <f>IF($A1442="","",IF(SUMIFS([1]Fixture_Capacity_Input!$C:$C,[1]Fixture_Capacity_Input!$A:$A,$B1442,[1]Fixture_Capacity_Input!$B:$B,$C1442)&gt;0,SUMIFS([1]Fixture_Capacity_Input!$C:$C,[1]Fixture_Capacity_Input!$A:$A,$B1442,[1]Fixture_Capacity_Input!$B:$B,$C1442),[1]weekly_demand!G1443))</f>
        <v/>
      </c>
      <c r="E1442" s="62" t="str">
        <f>IF($A1442="","",[1]weekly_demand!I1443)</f>
        <v/>
      </c>
      <c r="F1442" s="61" t="str">
        <f>IF($A1442="","",IF($A1442&lt;&gt;$A1441,IFERROR(INDEX([1]FG_Begin_Inventory!$B:$B,MATCH($A1442,[1]FG_Begin_Inventory!$A:$A,0)),0),J1441))</f>
        <v/>
      </c>
      <c r="G1442" s="61" t="str">
        <f t="shared" si="157"/>
        <v/>
      </c>
      <c r="H1442" s="61" t="str">
        <f t="shared" si="158"/>
        <v/>
      </c>
      <c r="I1442" s="62" t="str">
        <f t="shared" si="159"/>
        <v/>
      </c>
      <c r="J1442" s="61" t="str">
        <f t="shared" si="160"/>
        <v/>
      </c>
      <c r="K1442" s="61" t="str">
        <f t="shared" si="161"/>
        <v/>
      </c>
      <c r="L1442" s="61" t="str">
        <f t="shared" si="162"/>
        <v/>
      </c>
      <c r="M1442" s="63" t="str">
        <f t="shared" si="163"/>
        <v/>
      </c>
      <c r="N1442" s="64"/>
    </row>
    <row r="1443" spans="1:14" x14ac:dyDescent="0.3">
      <c r="A1443" s="58" t="str">
        <f>IF([1]weekly_demand!A1444="","",[1]weekly_demand!A1444)</f>
        <v/>
      </c>
      <c r="B1443" s="59" t="str">
        <f>IF($A1443="","",[1]weekly_demand!F1444)</f>
        <v/>
      </c>
      <c r="C1443" s="60" t="str">
        <f>IF($A1443="","",[1]weekly_demand!H1444)</f>
        <v/>
      </c>
      <c r="D1443" s="61" t="str">
        <f>IF($A1443="","",IF(SUMIFS([1]Fixture_Capacity_Input!$C:$C,[1]Fixture_Capacity_Input!$A:$A,$B1443,[1]Fixture_Capacity_Input!$B:$B,$C1443)&gt;0,SUMIFS([1]Fixture_Capacity_Input!$C:$C,[1]Fixture_Capacity_Input!$A:$A,$B1443,[1]Fixture_Capacity_Input!$B:$B,$C1443),[1]weekly_demand!G1444))</f>
        <v/>
      </c>
      <c r="E1443" s="62" t="str">
        <f>IF($A1443="","",[1]weekly_demand!I1444)</f>
        <v/>
      </c>
      <c r="F1443" s="61" t="str">
        <f>IF($A1443="","",IF($A1443&lt;&gt;$A1442,IFERROR(INDEX([1]FG_Begin_Inventory!$B:$B,MATCH($A1443,[1]FG_Begin_Inventory!$A:$A,0)),0),J1442))</f>
        <v/>
      </c>
      <c r="G1443" s="61" t="str">
        <f t="shared" si="157"/>
        <v/>
      </c>
      <c r="H1443" s="61" t="str">
        <f t="shared" si="158"/>
        <v/>
      </c>
      <c r="I1443" s="62" t="str">
        <f t="shared" si="159"/>
        <v/>
      </c>
      <c r="J1443" s="61" t="str">
        <f t="shared" si="160"/>
        <v/>
      </c>
      <c r="K1443" s="61" t="str">
        <f t="shared" si="161"/>
        <v/>
      </c>
      <c r="L1443" s="61" t="str">
        <f t="shared" si="162"/>
        <v/>
      </c>
      <c r="M1443" s="63" t="str">
        <f t="shared" si="163"/>
        <v/>
      </c>
      <c r="N1443" s="64"/>
    </row>
    <row r="1444" spans="1:14" x14ac:dyDescent="0.3">
      <c r="A1444" s="58" t="str">
        <f>IF([1]weekly_demand!A1445="","",[1]weekly_demand!A1445)</f>
        <v/>
      </c>
      <c r="B1444" s="59" t="str">
        <f>IF($A1444="","",[1]weekly_demand!F1445)</f>
        <v/>
      </c>
      <c r="C1444" s="60" t="str">
        <f>IF($A1444="","",[1]weekly_demand!H1445)</f>
        <v/>
      </c>
      <c r="D1444" s="61" t="str">
        <f>IF($A1444="","",IF(SUMIFS([1]Fixture_Capacity_Input!$C:$C,[1]Fixture_Capacity_Input!$A:$A,$B1444,[1]Fixture_Capacity_Input!$B:$B,$C1444)&gt;0,SUMIFS([1]Fixture_Capacity_Input!$C:$C,[1]Fixture_Capacity_Input!$A:$A,$B1444,[1]Fixture_Capacity_Input!$B:$B,$C1444),[1]weekly_demand!G1445))</f>
        <v/>
      </c>
      <c r="E1444" s="62" t="str">
        <f>IF($A1444="","",[1]weekly_demand!I1445)</f>
        <v/>
      </c>
      <c r="F1444" s="61" t="str">
        <f>IF($A1444="","",IF($A1444&lt;&gt;$A1443,IFERROR(INDEX([1]FG_Begin_Inventory!$B:$B,MATCH($A1444,[1]FG_Begin_Inventory!$A:$A,0)),0),J1443))</f>
        <v/>
      </c>
      <c r="G1444" s="61" t="str">
        <f t="shared" si="157"/>
        <v/>
      </c>
      <c r="H1444" s="61" t="str">
        <f t="shared" si="158"/>
        <v/>
      </c>
      <c r="I1444" s="62" t="str">
        <f t="shared" si="159"/>
        <v/>
      </c>
      <c r="J1444" s="61" t="str">
        <f t="shared" si="160"/>
        <v/>
      </c>
      <c r="K1444" s="61" t="str">
        <f t="shared" si="161"/>
        <v/>
      </c>
      <c r="L1444" s="61" t="str">
        <f t="shared" si="162"/>
        <v/>
      </c>
      <c r="M1444" s="63" t="str">
        <f t="shared" si="163"/>
        <v/>
      </c>
      <c r="N1444" s="64"/>
    </row>
    <row r="1445" spans="1:14" x14ac:dyDescent="0.3">
      <c r="A1445" s="58" t="str">
        <f>IF([1]weekly_demand!A1446="","",[1]weekly_demand!A1446)</f>
        <v/>
      </c>
      <c r="B1445" s="59" t="str">
        <f>IF($A1445="","",[1]weekly_demand!F1446)</f>
        <v/>
      </c>
      <c r="C1445" s="60" t="str">
        <f>IF($A1445="","",[1]weekly_demand!H1446)</f>
        <v/>
      </c>
      <c r="D1445" s="61" t="str">
        <f>IF($A1445="","",IF(SUMIFS([1]Fixture_Capacity_Input!$C:$C,[1]Fixture_Capacity_Input!$A:$A,$B1445,[1]Fixture_Capacity_Input!$B:$B,$C1445)&gt;0,SUMIFS([1]Fixture_Capacity_Input!$C:$C,[1]Fixture_Capacity_Input!$A:$A,$B1445,[1]Fixture_Capacity_Input!$B:$B,$C1445),[1]weekly_demand!G1446))</f>
        <v/>
      </c>
      <c r="E1445" s="62" t="str">
        <f>IF($A1445="","",[1]weekly_demand!I1446)</f>
        <v/>
      </c>
      <c r="F1445" s="61" t="str">
        <f>IF($A1445="","",IF($A1445&lt;&gt;$A1444,IFERROR(INDEX([1]FG_Begin_Inventory!$B:$B,MATCH($A1445,[1]FG_Begin_Inventory!$A:$A,0)),0),J1444))</f>
        <v/>
      </c>
      <c r="G1445" s="61" t="str">
        <f t="shared" si="157"/>
        <v/>
      </c>
      <c r="H1445" s="61" t="str">
        <f t="shared" si="158"/>
        <v/>
      </c>
      <c r="I1445" s="62" t="str">
        <f t="shared" si="159"/>
        <v/>
      </c>
      <c r="J1445" s="61" t="str">
        <f t="shared" si="160"/>
        <v/>
      </c>
      <c r="K1445" s="61" t="str">
        <f t="shared" si="161"/>
        <v/>
      </c>
      <c r="L1445" s="61" t="str">
        <f t="shared" si="162"/>
        <v/>
      </c>
      <c r="M1445" s="63" t="str">
        <f t="shared" si="163"/>
        <v/>
      </c>
      <c r="N1445" s="64"/>
    </row>
    <row r="1446" spans="1:14" x14ac:dyDescent="0.3">
      <c r="A1446" s="58" t="str">
        <f>IF([1]weekly_demand!A1447="","",[1]weekly_demand!A1447)</f>
        <v/>
      </c>
      <c r="B1446" s="59" t="str">
        <f>IF($A1446="","",[1]weekly_demand!F1447)</f>
        <v/>
      </c>
      <c r="C1446" s="60" t="str">
        <f>IF($A1446="","",[1]weekly_demand!H1447)</f>
        <v/>
      </c>
      <c r="D1446" s="61" t="str">
        <f>IF($A1446="","",IF(SUMIFS([1]Fixture_Capacity_Input!$C:$C,[1]Fixture_Capacity_Input!$A:$A,$B1446,[1]Fixture_Capacity_Input!$B:$B,$C1446)&gt;0,SUMIFS([1]Fixture_Capacity_Input!$C:$C,[1]Fixture_Capacity_Input!$A:$A,$B1446,[1]Fixture_Capacity_Input!$B:$B,$C1446),[1]weekly_demand!G1447))</f>
        <v/>
      </c>
      <c r="E1446" s="62" t="str">
        <f>IF($A1446="","",[1]weekly_demand!I1447)</f>
        <v/>
      </c>
      <c r="F1446" s="61" t="str">
        <f>IF($A1446="","",IF($A1446&lt;&gt;$A1445,IFERROR(INDEX([1]FG_Begin_Inventory!$B:$B,MATCH($A1446,[1]FG_Begin_Inventory!$A:$A,0)),0),J1445))</f>
        <v/>
      </c>
      <c r="G1446" s="61" t="str">
        <f t="shared" si="157"/>
        <v/>
      </c>
      <c r="H1446" s="61" t="str">
        <f t="shared" si="158"/>
        <v/>
      </c>
      <c r="I1446" s="62" t="str">
        <f t="shared" si="159"/>
        <v/>
      </c>
      <c r="J1446" s="61" t="str">
        <f t="shared" si="160"/>
        <v/>
      </c>
      <c r="K1446" s="61" t="str">
        <f t="shared" si="161"/>
        <v/>
      </c>
      <c r="L1446" s="61" t="str">
        <f t="shared" si="162"/>
        <v/>
      </c>
      <c r="M1446" s="63" t="str">
        <f t="shared" si="163"/>
        <v/>
      </c>
      <c r="N1446" s="64"/>
    </row>
    <row r="1447" spans="1:14" x14ac:dyDescent="0.3">
      <c r="A1447" s="58" t="str">
        <f>IF([1]weekly_demand!A1448="","",[1]weekly_demand!A1448)</f>
        <v/>
      </c>
      <c r="B1447" s="59" t="str">
        <f>IF($A1447="","",[1]weekly_demand!F1448)</f>
        <v/>
      </c>
      <c r="C1447" s="60" t="str">
        <f>IF($A1447="","",[1]weekly_demand!H1448)</f>
        <v/>
      </c>
      <c r="D1447" s="61" t="str">
        <f>IF($A1447="","",IF(SUMIFS([1]Fixture_Capacity_Input!$C:$C,[1]Fixture_Capacity_Input!$A:$A,$B1447,[1]Fixture_Capacity_Input!$B:$B,$C1447)&gt;0,SUMIFS([1]Fixture_Capacity_Input!$C:$C,[1]Fixture_Capacity_Input!$A:$A,$B1447,[1]Fixture_Capacity_Input!$B:$B,$C1447),[1]weekly_demand!G1448))</f>
        <v/>
      </c>
      <c r="E1447" s="62" t="str">
        <f>IF($A1447="","",[1]weekly_demand!I1448)</f>
        <v/>
      </c>
      <c r="F1447" s="61" t="str">
        <f>IF($A1447="","",IF($A1447&lt;&gt;$A1446,IFERROR(INDEX([1]FG_Begin_Inventory!$B:$B,MATCH($A1447,[1]FG_Begin_Inventory!$A:$A,0)),0),J1446))</f>
        <v/>
      </c>
      <c r="G1447" s="61" t="str">
        <f t="shared" si="157"/>
        <v/>
      </c>
      <c r="H1447" s="61" t="str">
        <f t="shared" si="158"/>
        <v/>
      </c>
      <c r="I1447" s="62" t="str">
        <f t="shared" si="159"/>
        <v/>
      </c>
      <c r="J1447" s="61" t="str">
        <f t="shared" si="160"/>
        <v/>
      </c>
      <c r="K1447" s="61" t="str">
        <f t="shared" si="161"/>
        <v/>
      </c>
      <c r="L1447" s="61" t="str">
        <f t="shared" si="162"/>
        <v/>
      </c>
      <c r="M1447" s="63" t="str">
        <f t="shared" si="163"/>
        <v/>
      </c>
      <c r="N1447" s="64"/>
    </row>
    <row r="1448" spans="1:14" x14ac:dyDescent="0.3">
      <c r="A1448" s="58" t="str">
        <f>IF([1]weekly_demand!A1449="","",[1]weekly_demand!A1449)</f>
        <v/>
      </c>
      <c r="B1448" s="59" t="str">
        <f>IF($A1448="","",[1]weekly_demand!F1449)</f>
        <v/>
      </c>
      <c r="C1448" s="60" t="str">
        <f>IF($A1448="","",[1]weekly_demand!H1449)</f>
        <v/>
      </c>
      <c r="D1448" s="61" t="str">
        <f>IF($A1448="","",IF(SUMIFS([1]Fixture_Capacity_Input!$C:$C,[1]Fixture_Capacity_Input!$A:$A,$B1448,[1]Fixture_Capacity_Input!$B:$B,$C1448)&gt;0,SUMIFS([1]Fixture_Capacity_Input!$C:$C,[1]Fixture_Capacity_Input!$A:$A,$B1448,[1]Fixture_Capacity_Input!$B:$B,$C1448),[1]weekly_demand!G1449))</f>
        <v/>
      </c>
      <c r="E1448" s="62" t="str">
        <f>IF($A1448="","",[1]weekly_demand!I1449)</f>
        <v/>
      </c>
      <c r="F1448" s="61" t="str">
        <f>IF($A1448="","",IF($A1448&lt;&gt;$A1447,IFERROR(INDEX([1]FG_Begin_Inventory!$B:$B,MATCH($A1448,[1]FG_Begin_Inventory!$A:$A,0)),0),J1447))</f>
        <v/>
      </c>
      <c r="G1448" s="61" t="str">
        <f t="shared" si="157"/>
        <v/>
      </c>
      <c r="H1448" s="61" t="str">
        <f t="shared" si="158"/>
        <v/>
      </c>
      <c r="I1448" s="62" t="str">
        <f t="shared" si="159"/>
        <v/>
      </c>
      <c r="J1448" s="61" t="str">
        <f t="shared" si="160"/>
        <v/>
      </c>
      <c r="K1448" s="61" t="str">
        <f t="shared" si="161"/>
        <v/>
      </c>
      <c r="L1448" s="61" t="str">
        <f t="shared" si="162"/>
        <v/>
      </c>
      <c r="M1448" s="63" t="str">
        <f t="shared" si="163"/>
        <v/>
      </c>
      <c r="N1448" s="64"/>
    </row>
    <row r="1449" spans="1:14" x14ac:dyDescent="0.3">
      <c r="A1449" s="58" t="str">
        <f>IF([1]weekly_demand!A1450="","",[1]weekly_demand!A1450)</f>
        <v/>
      </c>
      <c r="B1449" s="59" t="str">
        <f>IF($A1449="","",[1]weekly_demand!F1450)</f>
        <v/>
      </c>
      <c r="C1449" s="60" t="str">
        <f>IF($A1449="","",[1]weekly_demand!H1450)</f>
        <v/>
      </c>
      <c r="D1449" s="61" t="str">
        <f>IF($A1449="","",IF(SUMIFS([1]Fixture_Capacity_Input!$C:$C,[1]Fixture_Capacity_Input!$A:$A,$B1449,[1]Fixture_Capacity_Input!$B:$B,$C1449)&gt;0,SUMIFS([1]Fixture_Capacity_Input!$C:$C,[1]Fixture_Capacity_Input!$A:$A,$B1449,[1]Fixture_Capacity_Input!$B:$B,$C1449),[1]weekly_demand!G1450))</f>
        <v/>
      </c>
      <c r="E1449" s="62" t="str">
        <f>IF($A1449="","",[1]weekly_demand!I1450)</f>
        <v/>
      </c>
      <c r="F1449" s="61" t="str">
        <f>IF($A1449="","",IF($A1449&lt;&gt;$A1448,IFERROR(INDEX([1]FG_Begin_Inventory!$B:$B,MATCH($A1449,[1]FG_Begin_Inventory!$A:$A,0)),0),J1448))</f>
        <v/>
      </c>
      <c r="G1449" s="61" t="str">
        <f t="shared" si="157"/>
        <v/>
      </c>
      <c r="H1449" s="61" t="str">
        <f t="shared" si="158"/>
        <v/>
      </c>
      <c r="I1449" s="62" t="str">
        <f t="shared" si="159"/>
        <v/>
      </c>
      <c r="J1449" s="61" t="str">
        <f t="shared" si="160"/>
        <v/>
      </c>
      <c r="K1449" s="61" t="str">
        <f t="shared" si="161"/>
        <v/>
      </c>
      <c r="L1449" s="61" t="str">
        <f t="shared" si="162"/>
        <v/>
      </c>
      <c r="M1449" s="63" t="str">
        <f t="shared" si="163"/>
        <v/>
      </c>
      <c r="N1449" s="64"/>
    </row>
    <row r="1450" spans="1:14" x14ac:dyDescent="0.3">
      <c r="A1450" s="58" t="str">
        <f>IF([1]weekly_demand!A1451="","",[1]weekly_demand!A1451)</f>
        <v/>
      </c>
      <c r="B1450" s="59" t="str">
        <f>IF($A1450="","",[1]weekly_demand!F1451)</f>
        <v/>
      </c>
      <c r="C1450" s="60" t="str">
        <f>IF($A1450="","",[1]weekly_demand!H1451)</f>
        <v/>
      </c>
      <c r="D1450" s="61" t="str">
        <f>IF($A1450="","",IF(SUMIFS([1]Fixture_Capacity_Input!$C:$C,[1]Fixture_Capacity_Input!$A:$A,$B1450,[1]Fixture_Capacity_Input!$B:$B,$C1450)&gt;0,SUMIFS([1]Fixture_Capacity_Input!$C:$C,[1]Fixture_Capacity_Input!$A:$A,$B1450,[1]Fixture_Capacity_Input!$B:$B,$C1450),[1]weekly_demand!G1451))</f>
        <v/>
      </c>
      <c r="E1450" s="62" t="str">
        <f>IF($A1450="","",[1]weekly_demand!I1451)</f>
        <v/>
      </c>
      <c r="F1450" s="61" t="str">
        <f>IF($A1450="","",IF($A1450&lt;&gt;$A1449,IFERROR(INDEX([1]FG_Begin_Inventory!$B:$B,MATCH($A1450,[1]FG_Begin_Inventory!$A:$A,0)),0),J1449))</f>
        <v/>
      </c>
      <c r="G1450" s="61" t="str">
        <f t="shared" si="157"/>
        <v/>
      </c>
      <c r="H1450" s="61" t="str">
        <f t="shared" si="158"/>
        <v/>
      </c>
      <c r="I1450" s="62" t="str">
        <f t="shared" si="159"/>
        <v/>
      </c>
      <c r="J1450" s="61" t="str">
        <f t="shared" si="160"/>
        <v/>
      </c>
      <c r="K1450" s="61" t="str">
        <f t="shared" si="161"/>
        <v/>
      </c>
      <c r="L1450" s="61" t="str">
        <f t="shared" si="162"/>
        <v/>
      </c>
      <c r="M1450" s="63" t="str">
        <f t="shared" si="163"/>
        <v/>
      </c>
      <c r="N1450" s="64"/>
    </row>
    <row r="1451" spans="1:14" x14ac:dyDescent="0.3">
      <c r="A1451" s="58" t="str">
        <f>IF([1]weekly_demand!A1452="","",[1]weekly_demand!A1452)</f>
        <v/>
      </c>
      <c r="B1451" s="59" t="str">
        <f>IF($A1451="","",[1]weekly_demand!F1452)</f>
        <v/>
      </c>
      <c r="C1451" s="60" t="str">
        <f>IF($A1451="","",[1]weekly_demand!H1452)</f>
        <v/>
      </c>
      <c r="D1451" s="61" t="str">
        <f>IF($A1451="","",IF(SUMIFS([1]Fixture_Capacity_Input!$C:$C,[1]Fixture_Capacity_Input!$A:$A,$B1451,[1]Fixture_Capacity_Input!$B:$B,$C1451)&gt;0,SUMIFS([1]Fixture_Capacity_Input!$C:$C,[1]Fixture_Capacity_Input!$A:$A,$B1451,[1]Fixture_Capacity_Input!$B:$B,$C1451),[1]weekly_demand!G1452))</f>
        <v/>
      </c>
      <c r="E1451" s="62" t="str">
        <f>IF($A1451="","",[1]weekly_demand!I1452)</f>
        <v/>
      </c>
      <c r="F1451" s="61" t="str">
        <f>IF($A1451="","",IF($A1451&lt;&gt;$A1450,IFERROR(INDEX([1]FG_Begin_Inventory!$B:$B,MATCH($A1451,[1]FG_Begin_Inventory!$A:$A,0)),0),J1450))</f>
        <v/>
      </c>
      <c r="G1451" s="61" t="str">
        <f t="shared" si="157"/>
        <v/>
      </c>
      <c r="H1451" s="61" t="str">
        <f t="shared" si="158"/>
        <v/>
      </c>
      <c r="I1451" s="62" t="str">
        <f t="shared" si="159"/>
        <v/>
      </c>
      <c r="J1451" s="61" t="str">
        <f t="shared" si="160"/>
        <v/>
      </c>
      <c r="K1451" s="61" t="str">
        <f t="shared" si="161"/>
        <v/>
      </c>
      <c r="L1451" s="61" t="str">
        <f t="shared" si="162"/>
        <v/>
      </c>
      <c r="M1451" s="63" t="str">
        <f t="shared" si="163"/>
        <v/>
      </c>
      <c r="N1451" s="64"/>
    </row>
    <row r="1452" spans="1:14" x14ac:dyDescent="0.3">
      <c r="A1452" s="58" t="str">
        <f>IF([1]weekly_demand!A1453="","",[1]weekly_demand!A1453)</f>
        <v/>
      </c>
      <c r="B1452" s="59" t="str">
        <f>IF($A1452="","",[1]weekly_demand!F1453)</f>
        <v/>
      </c>
      <c r="C1452" s="60" t="str">
        <f>IF($A1452="","",[1]weekly_demand!H1453)</f>
        <v/>
      </c>
      <c r="D1452" s="61" t="str">
        <f>IF($A1452="","",IF(SUMIFS([1]Fixture_Capacity_Input!$C:$C,[1]Fixture_Capacity_Input!$A:$A,$B1452,[1]Fixture_Capacity_Input!$B:$B,$C1452)&gt;0,SUMIFS([1]Fixture_Capacity_Input!$C:$C,[1]Fixture_Capacity_Input!$A:$A,$B1452,[1]Fixture_Capacity_Input!$B:$B,$C1452),[1]weekly_demand!G1453))</f>
        <v/>
      </c>
      <c r="E1452" s="62" t="str">
        <f>IF($A1452="","",[1]weekly_demand!I1453)</f>
        <v/>
      </c>
      <c r="F1452" s="61" t="str">
        <f>IF($A1452="","",IF($A1452&lt;&gt;$A1451,IFERROR(INDEX([1]FG_Begin_Inventory!$B:$B,MATCH($A1452,[1]FG_Begin_Inventory!$A:$A,0)),0),J1451))</f>
        <v/>
      </c>
      <c r="G1452" s="61" t="str">
        <f t="shared" si="157"/>
        <v/>
      </c>
      <c r="H1452" s="61" t="str">
        <f t="shared" si="158"/>
        <v/>
      </c>
      <c r="I1452" s="62" t="str">
        <f t="shared" si="159"/>
        <v/>
      </c>
      <c r="J1452" s="61" t="str">
        <f t="shared" si="160"/>
        <v/>
      </c>
      <c r="K1452" s="61" t="str">
        <f t="shared" si="161"/>
        <v/>
      </c>
      <c r="L1452" s="61" t="str">
        <f t="shared" si="162"/>
        <v/>
      </c>
      <c r="M1452" s="63" t="str">
        <f t="shared" si="163"/>
        <v/>
      </c>
      <c r="N1452" s="64"/>
    </row>
    <row r="1453" spans="1:14" x14ac:dyDescent="0.3">
      <c r="A1453" s="58" t="str">
        <f>IF([1]weekly_demand!A1454="","",[1]weekly_demand!A1454)</f>
        <v/>
      </c>
      <c r="B1453" s="59" t="str">
        <f>IF($A1453="","",[1]weekly_demand!F1454)</f>
        <v/>
      </c>
      <c r="C1453" s="60" t="str">
        <f>IF($A1453="","",[1]weekly_demand!H1454)</f>
        <v/>
      </c>
      <c r="D1453" s="61" t="str">
        <f>IF($A1453="","",IF(SUMIFS([1]Fixture_Capacity_Input!$C:$C,[1]Fixture_Capacity_Input!$A:$A,$B1453,[1]Fixture_Capacity_Input!$B:$B,$C1453)&gt;0,SUMIFS([1]Fixture_Capacity_Input!$C:$C,[1]Fixture_Capacity_Input!$A:$A,$B1453,[1]Fixture_Capacity_Input!$B:$B,$C1453),[1]weekly_demand!G1454))</f>
        <v/>
      </c>
      <c r="E1453" s="62" t="str">
        <f>IF($A1453="","",[1]weekly_demand!I1454)</f>
        <v/>
      </c>
      <c r="F1453" s="61" t="str">
        <f>IF($A1453="","",IF($A1453&lt;&gt;$A1452,IFERROR(INDEX([1]FG_Begin_Inventory!$B:$B,MATCH($A1453,[1]FG_Begin_Inventory!$A:$A,0)),0),J1452))</f>
        <v/>
      </c>
      <c r="G1453" s="61" t="str">
        <f t="shared" si="157"/>
        <v/>
      </c>
      <c r="H1453" s="61" t="str">
        <f t="shared" si="158"/>
        <v/>
      </c>
      <c r="I1453" s="62" t="str">
        <f t="shared" si="159"/>
        <v/>
      </c>
      <c r="J1453" s="61" t="str">
        <f t="shared" si="160"/>
        <v/>
      </c>
      <c r="K1453" s="61" t="str">
        <f t="shared" si="161"/>
        <v/>
      </c>
      <c r="L1453" s="61" t="str">
        <f t="shared" si="162"/>
        <v/>
      </c>
      <c r="M1453" s="63" t="str">
        <f t="shared" si="163"/>
        <v/>
      </c>
      <c r="N1453" s="64"/>
    </row>
    <row r="1454" spans="1:14" x14ac:dyDescent="0.3">
      <c r="A1454" s="58" t="str">
        <f>IF([1]weekly_demand!A1455="","",[1]weekly_demand!A1455)</f>
        <v/>
      </c>
      <c r="B1454" s="59" t="str">
        <f>IF($A1454="","",[1]weekly_demand!F1455)</f>
        <v/>
      </c>
      <c r="C1454" s="60" t="str">
        <f>IF($A1454="","",[1]weekly_demand!H1455)</f>
        <v/>
      </c>
      <c r="D1454" s="61" t="str">
        <f>IF($A1454="","",IF(SUMIFS([1]Fixture_Capacity_Input!$C:$C,[1]Fixture_Capacity_Input!$A:$A,$B1454,[1]Fixture_Capacity_Input!$B:$B,$C1454)&gt;0,SUMIFS([1]Fixture_Capacity_Input!$C:$C,[1]Fixture_Capacity_Input!$A:$A,$B1454,[1]Fixture_Capacity_Input!$B:$B,$C1454),[1]weekly_demand!G1455))</f>
        <v/>
      </c>
      <c r="E1454" s="62" t="str">
        <f>IF($A1454="","",[1]weekly_demand!I1455)</f>
        <v/>
      </c>
      <c r="F1454" s="61" t="str">
        <f>IF($A1454="","",IF($A1454&lt;&gt;$A1453,IFERROR(INDEX([1]FG_Begin_Inventory!$B:$B,MATCH($A1454,[1]FG_Begin_Inventory!$A:$A,0)),0),J1453))</f>
        <v/>
      </c>
      <c r="G1454" s="61" t="str">
        <f t="shared" si="157"/>
        <v/>
      </c>
      <c r="H1454" s="61" t="str">
        <f t="shared" si="158"/>
        <v/>
      </c>
      <c r="I1454" s="62" t="str">
        <f t="shared" si="159"/>
        <v/>
      </c>
      <c r="J1454" s="61" t="str">
        <f t="shared" si="160"/>
        <v/>
      </c>
      <c r="K1454" s="61" t="str">
        <f t="shared" si="161"/>
        <v/>
      </c>
      <c r="L1454" s="61" t="str">
        <f t="shared" si="162"/>
        <v/>
      </c>
      <c r="M1454" s="63" t="str">
        <f t="shared" si="163"/>
        <v/>
      </c>
      <c r="N1454" s="64"/>
    </row>
    <row r="1455" spans="1:14" x14ac:dyDescent="0.3">
      <c r="A1455" s="58" t="str">
        <f>IF([1]weekly_demand!A1456="","",[1]weekly_demand!A1456)</f>
        <v/>
      </c>
      <c r="B1455" s="59" t="str">
        <f>IF($A1455="","",[1]weekly_demand!F1456)</f>
        <v/>
      </c>
      <c r="C1455" s="60" t="str">
        <f>IF($A1455="","",[1]weekly_demand!H1456)</f>
        <v/>
      </c>
      <c r="D1455" s="61" t="str">
        <f>IF($A1455="","",IF(SUMIFS([1]Fixture_Capacity_Input!$C:$C,[1]Fixture_Capacity_Input!$A:$A,$B1455,[1]Fixture_Capacity_Input!$B:$B,$C1455)&gt;0,SUMIFS([1]Fixture_Capacity_Input!$C:$C,[1]Fixture_Capacity_Input!$A:$A,$B1455,[1]Fixture_Capacity_Input!$B:$B,$C1455),[1]weekly_demand!G1456))</f>
        <v/>
      </c>
      <c r="E1455" s="62" t="str">
        <f>IF($A1455="","",[1]weekly_demand!I1456)</f>
        <v/>
      </c>
      <c r="F1455" s="61" t="str">
        <f>IF($A1455="","",IF($A1455&lt;&gt;$A1454,IFERROR(INDEX([1]FG_Begin_Inventory!$B:$B,MATCH($A1455,[1]FG_Begin_Inventory!$A:$A,0)),0),J1454))</f>
        <v/>
      </c>
      <c r="G1455" s="61" t="str">
        <f t="shared" si="157"/>
        <v/>
      </c>
      <c r="H1455" s="61" t="str">
        <f t="shared" si="158"/>
        <v/>
      </c>
      <c r="I1455" s="62" t="str">
        <f t="shared" si="159"/>
        <v/>
      </c>
      <c r="J1455" s="61" t="str">
        <f t="shared" si="160"/>
        <v/>
      </c>
      <c r="K1455" s="61" t="str">
        <f t="shared" si="161"/>
        <v/>
      </c>
      <c r="L1455" s="61" t="str">
        <f t="shared" si="162"/>
        <v/>
      </c>
      <c r="M1455" s="63" t="str">
        <f t="shared" si="163"/>
        <v/>
      </c>
      <c r="N1455" s="64"/>
    </row>
    <row r="1456" spans="1:14" x14ac:dyDescent="0.3">
      <c r="A1456" s="58" t="str">
        <f>IF([1]weekly_demand!A1457="","",[1]weekly_demand!A1457)</f>
        <v/>
      </c>
      <c r="B1456" s="59" t="str">
        <f>IF($A1456="","",[1]weekly_demand!F1457)</f>
        <v/>
      </c>
      <c r="C1456" s="60" t="str">
        <f>IF($A1456="","",[1]weekly_demand!H1457)</f>
        <v/>
      </c>
      <c r="D1456" s="61" t="str">
        <f>IF($A1456="","",IF(SUMIFS([1]Fixture_Capacity_Input!$C:$C,[1]Fixture_Capacity_Input!$A:$A,$B1456,[1]Fixture_Capacity_Input!$B:$B,$C1456)&gt;0,SUMIFS([1]Fixture_Capacity_Input!$C:$C,[1]Fixture_Capacity_Input!$A:$A,$B1456,[1]Fixture_Capacity_Input!$B:$B,$C1456),[1]weekly_demand!G1457))</f>
        <v/>
      </c>
      <c r="E1456" s="62" t="str">
        <f>IF($A1456="","",[1]weekly_demand!I1457)</f>
        <v/>
      </c>
      <c r="F1456" s="61" t="str">
        <f>IF($A1456="","",IF($A1456&lt;&gt;$A1455,IFERROR(INDEX([1]FG_Begin_Inventory!$B:$B,MATCH($A1456,[1]FG_Begin_Inventory!$A:$A,0)),0),J1455))</f>
        <v/>
      </c>
      <c r="G1456" s="61" t="str">
        <f t="shared" si="157"/>
        <v/>
      </c>
      <c r="H1456" s="61" t="str">
        <f t="shared" si="158"/>
        <v/>
      </c>
      <c r="I1456" s="62" t="str">
        <f t="shared" si="159"/>
        <v/>
      </c>
      <c r="J1456" s="61" t="str">
        <f t="shared" si="160"/>
        <v/>
      </c>
      <c r="K1456" s="61" t="str">
        <f t="shared" si="161"/>
        <v/>
      </c>
      <c r="L1456" s="61" t="str">
        <f t="shared" si="162"/>
        <v/>
      </c>
      <c r="M1456" s="63" t="str">
        <f t="shared" si="163"/>
        <v/>
      </c>
      <c r="N1456" s="64"/>
    </row>
    <row r="1457" spans="1:14" x14ac:dyDescent="0.3">
      <c r="A1457" s="58" t="str">
        <f>IF([1]weekly_demand!A1458="","",[1]weekly_demand!A1458)</f>
        <v/>
      </c>
      <c r="B1457" s="59" t="str">
        <f>IF($A1457="","",[1]weekly_demand!F1458)</f>
        <v/>
      </c>
      <c r="C1457" s="60" t="str">
        <f>IF($A1457="","",[1]weekly_demand!H1458)</f>
        <v/>
      </c>
      <c r="D1457" s="61" t="str">
        <f>IF($A1457="","",IF(SUMIFS([1]Fixture_Capacity_Input!$C:$C,[1]Fixture_Capacity_Input!$A:$A,$B1457,[1]Fixture_Capacity_Input!$B:$B,$C1457)&gt;0,SUMIFS([1]Fixture_Capacity_Input!$C:$C,[1]Fixture_Capacity_Input!$A:$A,$B1457,[1]Fixture_Capacity_Input!$B:$B,$C1457),[1]weekly_demand!G1458))</f>
        <v/>
      </c>
      <c r="E1457" s="62" t="str">
        <f>IF($A1457="","",[1]weekly_demand!I1458)</f>
        <v/>
      </c>
      <c r="F1457" s="61" t="str">
        <f>IF($A1457="","",IF($A1457&lt;&gt;$A1456,IFERROR(INDEX([1]FG_Begin_Inventory!$B:$B,MATCH($A1457,[1]FG_Begin_Inventory!$A:$A,0)),0),J1456))</f>
        <v/>
      </c>
      <c r="G1457" s="61" t="str">
        <f t="shared" si="157"/>
        <v/>
      </c>
      <c r="H1457" s="61" t="str">
        <f t="shared" si="158"/>
        <v/>
      </c>
      <c r="I1457" s="62" t="str">
        <f t="shared" si="159"/>
        <v/>
      </c>
      <c r="J1457" s="61" t="str">
        <f t="shared" si="160"/>
        <v/>
      </c>
      <c r="K1457" s="61" t="str">
        <f t="shared" si="161"/>
        <v/>
      </c>
      <c r="L1457" s="61" t="str">
        <f t="shared" si="162"/>
        <v/>
      </c>
      <c r="M1457" s="63" t="str">
        <f t="shared" si="163"/>
        <v/>
      </c>
      <c r="N1457" s="64"/>
    </row>
    <row r="1458" spans="1:14" x14ac:dyDescent="0.3">
      <c r="A1458" s="58" t="str">
        <f>IF([1]weekly_demand!A1459="","",[1]weekly_demand!A1459)</f>
        <v/>
      </c>
      <c r="B1458" s="59" t="str">
        <f>IF($A1458="","",[1]weekly_demand!F1459)</f>
        <v/>
      </c>
      <c r="C1458" s="60" t="str">
        <f>IF($A1458="","",[1]weekly_demand!H1459)</f>
        <v/>
      </c>
      <c r="D1458" s="61" t="str">
        <f>IF($A1458="","",IF(SUMIFS([1]Fixture_Capacity_Input!$C:$C,[1]Fixture_Capacity_Input!$A:$A,$B1458,[1]Fixture_Capacity_Input!$B:$B,$C1458)&gt;0,SUMIFS([1]Fixture_Capacity_Input!$C:$C,[1]Fixture_Capacity_Input!$A:$A,$B1458,[1]Fixture_Capacity_Input!$B:$B,$C1458),[1]weekly_demand!G1459))</f>
        <v/>
      </c>
      <c r="E1458" s="62" t="str">
        <f>IF($A1458="","",[1]weekly_demand!I1459)</f>
        <v/>
      </c>
      <c r="F1458" s="61" t="str">
        <f>IF($A1458="","",IF($A1458&lt;&gt;$A1457,IFERROR(INDEX([1]FG_Begin_Inventory!$B:$B,MATCH($A1458,[1]FG_Begin_Inventory!$A:$A,0)),0),J1457))</f>
        <v/>
      </c>
      <c r="G1458" s="61" t="str">
        <f t="shared" si="157"/>
        <v/>
      </c>
      <c r="H1458" s="61" t="str">
        <f t="shared" si="158"/>
        <v/>
      </c>
      <c r="I1458" s="62" t="str">
        <f t="shared" si="159"/>
        <v/>
      </c>
      <c r="J1458" s="61" t="str">
        <f t="shared" si="160"/>
        <v/>
      </c>
      <c r="K1458" s="61" t="str">
        <f t="shared" si="161"/>
        <v/>
      </c>
      <c r="L1458" s="61" t="str">
        <f t="shared" si="162"/>
        <v/>
      </c>
      <c r="M1458" s="63" t="str">
        <f t="shared" si="163"/>
        <v/>
      </c>
      <c r="N1458" s="64"/>
    </row>
    <row r="1459" spans="1:14" x14ac:dyDescent="0.3">
      <c r="A1459" s="58" t="str">
        <f>IF([1]weekly_demand!A1460="","",[1]weekly_demand!A1460)</f>
        <v/>
      </c>
      <c r="B1459" s="59" t="str">
        <f>IF($A1459="","",[1]weekly_demand!F1460)</f>
        <v/>
      </c>
      <c r="C1459" s="60" t="str">
        <f>IF($A1459="","",[1]weekly_demand!H1460)</f>
        <v/>
      </c>
      <c r="D1459" s="61" t="str">
        <f>IF($A1459="","",IF(SUMIFS([1]Fixture_Capacity_Input!$C:$C,[1]Fixture_Capacity_Input!$A:$A,$B1459,[1]Fixture_Capacity_Input!$B:$B,$C1459)&gt;0,SUMIFS([1]Fixture_Capacity_Input!$C:$C,[1]Fixture_Capacity_Input!$A:$A,$B1459,[1]Fixture_Capacity_Input!$B:$B,$C1459),[1]weekly_demand!G1460))</f>
        <v/>
      </c>
      <c r="E1459" s="62" t="str">
        <f>IF($A1459="","",[1]weekly_demand!I1460)</f>
        <v/>
      </c>
      <c r="F1459" s="61" t="str">
        <f>IF($A1459="","",IF($A1459&lt;&gt;$A1458,IFERROR(INDEX([1]FG_Begin_Inventory!$B:$B,MATCH($A1459,[1]FG_Begin_Inventory!$A:$A,0)),0),J1458))</f>
        <v/>
      </c>
      <c r="G1459" s="61" t="str">
        <f t="shared" ref="G1459:G1522" si="164">IF($A1459="","",IF($A1459&lt;&gt;$A1460,0,MAX(0,G1460+E1460-D1460)))</f>
        <v/>
      </c>
      <c r="H1459" s="61" t="str">
        <f t="shared" si="158"/>
        <v/>
      </c>
      <c r="I1459" s="62" t="str">
        <f t="shared" si="159"/>
        <v/>
      </c>
      <c r="J1459" s="61" t="str">
        <f t="shared" si="160"/>
        <v/>
      </c>
      <c r="K1459" s="61" t="str">
        <f t="shared" si="161"/>
        <v/>
      </c>
      <c r="L1459" s="61" t="str">
        <f t="shared" si="162"/>
        <v/>
      </c>
      <c r="M1459" s="63" t="str">
        <f t="shared" si="163"/>
        <v/>
      </c>
      <c r="N1459" s="64"/>
    </row>
    <row r="1460" spans="1:14" x14ac:dyDescent="0.3">
      <c r="A1460" s="58" t="str">
        <f>IF([1]weekly_demand!A1461="","",[1]weekly_demand!A1461)</f>
        <v/>
      </c>
      <c r="B1460" s="59" t="str">
        <f>IF($A1460="","",[1]weekly_demand!F1461)</f>
        <v/>
      </c>
      <c r="C1460" s="60" t="str">
        <f>IF($A1460="","",[1]weekly_demand!H1461)</f>
        <v/>
      </c>
      <c r="D1460" s="61" t="str">
        <f>IF($A1460="","",IF(SUMIFS([1]Fixture_Capacity_Input!$C:$C,[1]Fixture_Capacity_Input!$A:$A,$B1460,[1]Fixture_Capacity_Input!$B:$B,$C1460)&gt;0,SUMIFS([1]Fixture_Capacity_Input!$C:$C,[1]Fixture_Capacity_Input!$A:$A,$B1460,[1]Fixture_Capacity_Input!$B:$B,$C1460),[1]weekly_demand!G1461))</f>
        <v/>
      </c>
      <c r="E1460" s="62" t="str">
        <f>IF($A1460="","",[1]weekly_demand!I1461)</f>
        <v/>
      </c>
      <c r="F1460" s="61" t="str">
        <f>IF($A1460="","",IF($A1460&lt;&gt;$A1459,IFERROR(INDEX([1]FG_Begin_Inventory!$B:$B,MATCH($A1460,[1]FG_Begin_Inventory!$A:$A,0)),0),J1459))</f>
        <v/>
      </c>
      <c r="G1460" s="61" t="str">
        <f t="shared" si="164"/>
        <v/>
      </c>
      <c r="H1460" s="61" t="str">
        <f t="shared" si="158"/>
        <v/>
      </c>
      <c r="I1460" s="62" t="str">
        <f t="shared" si="159"/>
        <v/>
      </c>
      <c r="J1460" s="61" t="str">
        <f t="shared" si="160"/>
        <v/>
      </c>
      <c r="K1460" s="61" t="str">
        <f t="shared" si="161"/>
        <v/>
      </c>
      <c r="L1460" s="61" t="str">
        <f t="shared" si="162"/>
        <v/>
      </c>
      <c r="M1460" s="63" t="str">
        <f t="shared" si="163"/>
        <v/>
      </c>
      <c r="N1460" s="64"/>
    </row>
    <row r="1461" spans="1:14" x14ac:dyDescent="0.3">
      <c r="A1461" s="58" t="str">
        <f>IF([1]weekly_demand!A1462="","",[1]weekly_demand!A1462)</f>
        <v/>
      </c>
      <c r="B1461" s="59" t="str">
        <f>IF($A1461="","",[1]weekly_demand!F1462)</f>
        <v/>
      </c>
      <c r="C1461" s="60" t="str">
        <f>IF($A1461="","",[1]weekly_demand!H1462)</f>
        <v/>
      </c>
      <c r="D1461" s="61" t="str">
        <f>IF($A1461="","",IF(SUMIFS([1]Fixture_Capacity_Input!$C:$C,[1]Fixture_Capacity_Input!$A:$A,$B1461,[1]Fixture_Capacity_Input!$B:$B,$C1461)&gt;0,SUMIFS([1]Fixture_Capacity_Input!$C:$C,[1]Fixture_Capacity_Input!$A:$A,$B1461,[1]Fixture_Capacity_Input!$B:$B,$C1461),[1]weekly_demand!G1462))</f>
        <v/>
      </c>
      <c r="E1461" s="62" t="str">
        <f>IF($A1461="","",[1]weekly_demand!I1462)</f>
        <v/>
      </c>
      <c r="F1461" s="61" t="str">
        <f>IF($A1461="","",IF($A1461&lt;&gt;$A1460,IFERROR(INDEX([1]FG_Begin_Inventory!$B:$B,MATCH($A1461,[1]FG_Begin_Inventory!$A:$A,0)),0),J1460))</f>
        <v/>
      </c>
      <c r="G1461" s="61" t="str">
        <f t="shared" si="164"/>
        <v/>
      </c>
      <c r="H1461" s="61" t="str">
        <f t="shared" si="158"/>
        <v/>
      </c>
      <c r="I1461" s="62" t="str">
        <f t="shared" si="159"/>
        <v/>
      </c>
      <c r="J1461" s="61" t="str">
        <f t="shared" si="160"/>
        <v/>
      </c>
      <c r="K1461" s="61" t="str">
        <f t="shared" si="161"/>
        <v/>
      </c>
      <c r="L1461" s="61" t="str">
        <f t="shared" si="162"/>
        <v/>
      </c>
      <c r="M1461" s="63" t="str">
        <f t="shared" si="163"/>
        <v/>
      </c>
      <c r="N1461" s="64"/>
    </row>
    <row r="1462" spans="1:14" x14ac:dyDescent="0.3">
      <c r="A1462" s="58" t="str">
        <f>IF([1]weekly_demand!A1463="","",[1]weekly_demand!A1463)</f>
        <v/>
      </c>
      <c r="B1462" s="59" t="str">
        <f>IF($A1462="","",[1]weekly_demand!F1463)</f>
        <v/>
      </c>
      <c r="C1462" s="60" t="str">
        <f>IF($A1462="","",[1]weekly_demand!H1463)</f>
        <v/>
      </c>
      <c r="D1462" s="61" t="str">
        <f>IF($A1462="","",IF(SUMIFS([1]Fixture_Capacity_Input!$C:$C,[1]Fixture_Capacity_Input!$A:$A,$B1462,[1]Fixture_Capacity_Input!$B:$B,$C1462)&gt;0,SUMIFS([1]Fixture_Capacity_Input!$C:$C,[1]Fixture_Capacity_Input!$A:$A,$B1462,[1]Fixture_Capacity_Input!$B:$B,$C1462),[1]weekly_demand!G1463))</f>
        <v/>
      </c>
      <c r="E1462" s="62" t="str">
        <f>IF($A1462="","",[1]weekly_demand!I1463)</f>
        <v/>
      </c>
      <c r="F1462" s="61" t="str">
        <f>IF($A1462="","",IF($A1462&lt;&gt;$A1461,IFERROR(INDEX([1]FG_Begin_Inventory!$B:$B,MATCH($A1462,[1]FG_Begin_Inventory!$A:$A,0)),0),J1461))</f>
        <v/>
      </c>
      <c r="G1462" s="61" t="str">
        <f t="shared" si="164"/>
        <v/>
      </c>
      <c r="H1462" s="61" t="str">
        <f t="shared" si="158"/>
        <v/>
      </c>
      <c r="I1462" s="62" t="str">
        <f t="shared" si="159"/>
        <v/>
      </c>
      <c r="J1462" s="61" t="str">
        <f t="shared" si="160"/>
        <v/>
      </c>
      <c r="K1462" s="61" t="str">
        <f t="shared" si="161"/>
        <v/>
      </c>
      <c r="L1462" s="61" t="str">
        <f t="shared" si="162"/>
        <v/>
      </c>
      <c r="M1462" s="63" t="str">
        <f t="shared" si="163"/>
        <v/>
      </c>
      <c r="N1462" s="64"/>
    </row>
    <row r="1463" spans="1:14" x14ac:dyDescent="0.3">
      <c r="A1463" s="58" t="str">
        <f>IF([1]weekly_demand!A1464="","",[1]weekly_demand!A1464)</f>
        <v/>
      </c>
      <c r="B1463" s="59" t="str">
        <f>IF($A1463="","",[1]weekly_demand!F1464)</f>
        <v/>
      </c>
      <c r="C1463" s="60" t="str">
        <f>IF($A1463="","",[1]weekly_demand!H1464)</f>
        <v/>
      </c>
      <c r="D1463" s="61" t="str">
        <f>IF($A1463="","",IF(SUMIFS([1]Fixture_Capacity_Input!$C:$C,[1]Fixture_Capacity_Input!$A:$A,$B1463,[1]Fixture_Capacity_Input!$B:$B,$C1463)&gt;0,SUMIFS([1]Fixture_Capacity_Input!$C:$C,[1]Fixture_Capacity_Input!$A:$A,$B1463,[1]Fixture_Capacity_Input!$B:$B,$C1463),[1]weekly_demand!G1464))</f>
        <v/>
      </c>
      <c r="E1463" s="62" t="str">
        <f>IF($A1463="","",[1]weekly_demand!I1464)</f>
        <v/>
      </c>
      <c r="F1463" s="61" t="str">
        <f>IF($A1463="","",IF($A1463&lt;&gt;$A1462,IFERROR(INDEX([1]FG_Begin_Inventory!$B:$B,MATCH($A1463,[1]FG_Begin_Inventory!$A:$A,0)),0),J1462))</f>
        <v/>
      </c>
      <c r="G1463" s="61" t="str">
        <f t="shared" si="164"/>
        <v/>
      </c>
      <c r="H1463" s="61" t="str">
        <f t="shared" si="158"/>
        <v/>
      </c>
      <c r="I1463" s="62" t="str">
        <f t="shared" si="159"/>
        <v/>
      </c>
      <c r="J1463" s="61" t="str">
        <f t="shared" si="160"/>
        <v/>
      </c>
      <c r="K1463" s="61" t="str">
        <f t="shared" si="161"/>
        <v/>
      </c>
      <c r="L1463" s="61" t="str">
        <f t="shared" si="162"/>
        <v/>
      </c>
      <c r="M1463" s="63" t="str">
        <f t="shared" si="163"/>
        <v/>
      </c>
      <c r="N1463" s="64"/>
    </row>
    <row r="1464" spans="1:14" x14ac:dyDescent="0.3">
      <c r="A1464" s="58" t="str">
        <f>IF([1]weekly_demand!A1465="","",[1]weekly_demand!A1465)</f>
        <v/>
      </c>
      <c r="B1464" s="59" t="str">
        <f>IF($A1464="","",[1]weekly_demand!F1465)</f>
        <v/>
      </c>
      <c r="C1464" s="60" t="str">
        <f>IF($A1464="","",[1]weekly_demand!H1465)</f>
        <v/>
      </c>
      <c r="D1464" s="61" t="str">
        <f>IF($A1464="","",IF(SUMIFS([1]Fixture_Capacity_Input!$C:$C,[1]Fixture_Capacity_Input!$A:$A,$B1464,[1]Fixture_Capacity_Input!$B:$B,$C1464)&gt;0,SUMIFS([1]Fixture_Capacity_Input!$C:$C,[1]Fixture_Capacity_Input!$A:$A,$B1464,[1]Fixture_Capacity_Input!$B:$B,$C1464),[1]weekly_demand!G1465))</f>
        <v/>
      </c>
      <c r="E1464" s="62" t="str">
        <f>IF($A1464="","",[1]weekly_demand!I1465)</f>
        <v/>
      </c>
      <c r="F1464" s="61" t="str">
        <f>IF($A1464="","",IF($A1464&lt;&gt;$A1463,IFERROR(INDEX([1]FG_Begin_Inventory!$B:$B,MATCH($A1464,[1]FG_Begin_Inventory!$A:$A,0)),0),J1463))</f>
        <v/>
      </c>
      <c r="G1464" s="61" t="str">
        <f t="shared" si="164"/>
        <v/>
      </c>
      <c r="H1464" s="61" t="str">
        <f t="shared" si="158"/>
        <v/>
      </c>
      <c r="I1464" s="62" t="str">
        <f t="shared" si="159"/>
        <v/>
      </c>
      <c r="J1464" s="61" t="str">
        <f t="shared" si="160"/>
        <v/>
      </c>
      <c r="K1464" s="61" t="str">
        <f t="shared" si="161"/>
        <v/>
      </c>
      <c r="L1464" s="61" t="str">
        <f t="shared" si="162"/>
        <v/>
      </c>
      <c r="M1464" s="63" t="str">
        <f t="shared" si="163"/>
        <v/>
      </c>
      <c r="N1464" s="64"/>
    </row>
    <row r="1465" spans="1:14" x14ac:dyDescent="0.3">
      <c r="A1465" s="58" t="str">
        <f>IF([1]weekly_demand!A1466="","",[1]weekly_demand!A1466)</f>
        <v/>
      </c>
      <c r="B1465" s="59" t="str">
        <f>IF($A1465="","",[1]weekly_demand!F1466)</f>
        <v/>
      </c>
      <c r="C1465" s="60" t="str">
        <f>IF($A1465="","",[1]weekly_demand!H1466)</f>
        <v/>
      </c>
      <c r="D1465" s="61" t="str">
        <f>IF($A1465="","",IF(SUMIFS([1]Fixture_Capacity_Input!$C:$C,[1]Fixture_Capacity_Input!$A:$A,$B1465,[1]Fixture_Capacity_Input!$B:$B,$C1465)&gt;0,SUMIFS([1]Fixture_Capacity_Input!$C:$C,[1]Fixture_Capacity_Input!$A:$A,$B1465,[1]Fixture_Capacity_Input!$B:$B,$C1465),[1]weekly_demand!G1466))</f>
        <v/>
      </c>
      <c r="E1465" s="62" t="str">
        <f>IF($A1465="","",[1]weekly_demand!I1466)</f>
        <v/>
      </c>
      <c r="F1465" s="61" t="str">
        <f>IF($A1465="","",IF($A1465&lt;&gt;$A1464,IFERROR(INDEX([1]FG_Begin_Inventory!$B:$B,MATCH($A1465,[1]FG_Begin_Inventory!$A:$A,0)),0),J1464))</f>
        <v/>
      </c>
      <c r="G1465" s="61" t="str">
        <f t="shared" si="164"/>
        <v/>
      </c>
      <c r="H1465" s="61" t="str">
        <f t="shared" si="158"/>
        <v/>
      </c>
      <c r="I1465" s="62" t="str">
        <f t="shared" si="159"/>
        <v/>
      </c>
      <c r="J1465" s="61" t="str">
        <f t="shared" si="160"/>
        <v/>
      </c>
      <c r="K1465" s="61" t="str">
        <f t="shared" si="161"/>
        <v/>
      </c>
      <c r="L1465" s="61" t="str">
        <f t="shared" si="162"/>
        <v/>
      </c>
      <c r="M1465" s="63" t="str">
        <f t="shared" si="163"/>
        <v/>
      </c>
      <c r="N1465" s="64"/>
    </row>
    <row r="1466" spans="1:14" x14ac:dyDescent="0.3">
      <c r="A1466" s="58" t="str">
        <f>IF([1]weekly_demand!A1467="","",[1]weekly_demand!A1467)</f>
        <v/>
      </c>
      <c r="B1466" s="59" t="str">
        <f>IF($A1466="","",[1]weekly_demand!F1467)</f>
        <v/>
      </c>
      <c r="C1466" s="60" t="str">
        <f>IF($A1466="","",[1]weekly_demand!H1467)</f>
        <v/>
      </c>
      <c r="D1466" s="61" t="str">
        <f>IF($A1466="","",IF(SUMIFS([1]Fixture_Capacity_Input!$C:$C,[1]Fixture_Capacity_Input!$A:$A,$B1466,[1]Fixture_Capacity_Input!$B:$B,$C1466)&gt;0,SUMIFS([1]Fixture_Capacity_Input!$C:$C,[1]Fixture_Capacity_Input!$A:$A,$B1466,[1]Fixture_Capacity_Input!$B:$B,$C1466),[1]weekly_demand!G1467))</f>
        <v/>
      </c>
      <c r="E1466" s="62" t="str">
        <f>IF($A1466="","",[1]weekly_demand!I1467)</f>
        <v/>
      </c>
      <c r="F1466" s="61" t="str">
        <f>IF($A1466="","",IF($A1466&lt;&gt;$A1465,IFERROR(INDEX([1]FG_Begin_Inventory!$B:$B,MATCH($A1466,[1]FG_Begin_Inventory!$A:$A,0)),0),J1465))</f>
        <v/>
      </c>
      <c r="G1466" s="61" t="str">
        <f t="shared" si="164"/>
        <v/>
      </c>
      <c r="H1466" s="61" t="str">
        <f t="shared" si="158"/>
        <v/>
      </c>
      <c r="I1466" s="62" t="str">
        <f t="shared" si="159"/>
        <v/>
      </c>
      <c r="J1466" s="61" t="str">
        <f t="shared" si="160"/>
        <v/>
      </c>
      <c r="K1466" s="61" t="str">
        <f t="shared" si="161"/>
        <v/>
      </c>
      <c r="L1466" s="61" t="str">
        <f t="shared" si="162"/>
        <v/>
      </c>
      <c r="M1466" s="63" t="str">
        <f t="shared" si="163"/>
        <v/>
      </c>
      <c r="N1466" s="64"/>
    </row>
    <row r="1467" spans="1:14" x14ac:dyDescent="0.3">
      <c r="A1467" s="58" t="str">
        <f>IF([1]weekly_demand!A1468="","",[1]weekly_demand!A1468)</f>
        <v/>
      </c>
      <c r="B1467" s="59" t="str">
        <f>IF($A1467="","",[1]weekly_demand!F1468)</f>
        <v/>
      </c>
      <c r="C1467" s="60" t="str">
        <f>IF($A1467="","",[1]weekly_demand!H1468)</f>
        <v/>
      </c>
      <c r="D1467" s="61" t="str">
        <f>IF($A1467="","",IF(SUMIFS([1]Fixture_Capacity_Input!$C:$C,[1]Fixture_Capacity_Input!$A:$A,$B1467,[1]Fixture_Capacity_Input!$B:$B,$C1467)&gt;0,SUMIFS([1]Fixture_Capacity_Input!$C:$C,[1]Fixture_Capacity_Input!$A:$A,$B1467,[1]Fixture_Capacity_Input!$B:$B,$C1467),[1]weekly_demand!G1468))</f>
        <v/>
      </c>
      <c r="E1467" s="62" t="str">
        <f>IF($A1467="","",[1]weekly_demand!I1468)</f>
        <v/>
      </c>
      <c r="F1467" s="61" t="str">
        <f>IF($A1467="","",IF($A1467&lt;&gt;$A1466,IFERROR(INDEX([1]FG_Begin_Inventory!$B:$B,MATCH($A1467,[1]FG_Begin_Inventory!$A:$A,0)),0),J1466))</f>
        <v/>
      </c>
      <c r="G1467" s="61" t="str">
        <f t="shared" si="164"/>
        <v/>
      </c>
      <c r="H1467" s="61" t="str">
        <f t="shared" si="158"/>
        <v/>
      </c>
      <c r="I1467" s="62" t="str">
        <f t="shared" si="159"/>
        <v/>
      </c>
      <c r="J1467" s="61" t="str">
        <f t="shared" si="160"/>
        <v/>
      </c>
      <c r="K1467" s="61" t="str">
        <f t="shared" si="161"/>
        <v/>
      </c>
      <c r="L1467" s="61" t="str">
        <f t="shared" si="162"/>
        <v/>
      </c>
      <c r="M1467" s="63" t="str">
        <f t="shared" si="163"/>
        <v/>
      </c>
      <c r="N1467" s="64"/>
    </row>
    <row r="1468" spans="1:14" x14ac:dyDescent="0.3">
      <c r="A1468" s="58" t="str">
        <f>IF([1]weekly_demand!A1469="","",[1]weekly_demand!A1469)</f>
        <v/>
      </c>
      <c r="B1468" s="59" t="str">
        <f>IF($A1468="","",[1]weekly_demand!F1469)</f>
        <v/>
      </c>
      <c r="C1468" s="60" t="str">
        <f>IF($A1468="","",[1]weekly_demand!H1469)</f>
        <v/>
      </c>
      <c r="D1468" s="61" t="str">
        <f>IF($A1468="","",IF(SUMIFS([1]Fixture_Capacity_Input!$C:$C,[1]Fixture_Capacity_Input!$A:$A,$B1468,[1]Fixture_Capacity_Input!$B:$B,$C1468)&gt;0,SUMIFS([1]Fixture_Capacity_Input!$C:$C,[1]Fixture_Capacity_Input!$A:$A,$B1468,[1]Fixture_Capacity_Input!$B:$B,$C1468),[1]weekly_demand!G1469))</f>
        <v/>
      </c>
      <c r="E1468" s="62" t="str">
        <f>IF($A1468="","",[1]weekly_demand!I1469)</f>
        <v/>
      </c>
      <c r="F1468" s="61" t="str">
        <f>IF($A1468="","",IF($A1468&lt;&gt;$A1467,IFERROR(INDEX([1]FG_Begin_Inventory!$B:$B,MATCH($A1468,[1]FG_Begin_Inventory!$A:$A,0)),0),J1467))</f>
        <v/>
      </c>
      <c r="G1468" s="61" t="str">
        <f t="shared" si="164"/>
        <v/>
      </c>
      <c r="H1468" s="61" t="str">
        <f t="shared" si="158"/>
        <v/>
      </c>
      <c r="I1468" s="62" t="str">
        <f t="shared" si="159"/>
        <v/>
      </c>
      <c r="J1468" s="61" t="str">
        <f t="shared" si="160"/>
        <v/>
      </c>
      <c r="K1468" s="61" t="str">
        <f t="shared" si="161"/>
        <v/>
      </c>
      <c r="L1468" s="61" t="str">
        <f t="shared" si="162"/>
        <v/>
      </c>
      <c r="M1468" s="63" t="str">
        <f t="shared" si="163"/>
        <v/>
      </c>
      <c r="N1468" s="64"/>
    </row>
    <row r="1469" spans="1:14" x14ac:dyDescent="0.3">
      <c r="A1469" s="58" t="str">
        <f>IF([1]weekly_demand!A1470="","",[1]weekly_demand!A1470)</f>
        <v/>
      </c>
      <c r="B1469" s="59" t="str">
        <f>IF($A1469="","",[1]weekly_demand!F1470)</f>
        <v/>
      </c>
      <c r="C1469" s="60" t="str">
        <f>IF($A1469="","",[1]weekly_demand!H1470)</f>
        <v/>
      </c>
      <c r="D1469" s="61" t="str">
        <f>IF($A1469="","",IF(SUMIFS([1]Fixture_Capacity_Input!$C:$C,[1]Fixture_Capacity_Input!$A:$A,$B1469,[1]Fixture_Capacity_Input!$B:$B,$C1469)&gt;0,SUMIFS([1]Fixture_Capacity_Input!$C:$C,[1]Fixture_Capacity_Input!$A:$A,$B1469,[1]Fixture_Capacity_Input!$B:$B,$C1469),[1]weekly_demand!G1470))</f>
        <v/>
      </c>
      <c r="E1469" s="62" t="str">
        <f>IF($A1469="","",[1]weekly_demand!I1470)</f>
        <v/>
      </c>
      <c r="F1469" s="61" t="str">
        <f>IF($A1469="","",IF($A1469&lt;&gt;$A1468,IFERROR(INDEX([1]FG_Begin_Inventory!$B:$B,MATCH($A1469,[1]FG_Begin_Inventory!$A:$A,0)),0),J1468))</f>
        <v/>
      </c>
      <c r="G1469" s="61" t="str">
        <f t="shared" si="164"/>
        <v/>
      </c>
      <c r="H1469" s="61" t="str">
        <f t="shared" si="158"/>
        <v/>
      </c>
      <c r="I1469" s="62" t="str">
        <f t="shared" si="159"/>
        <v/>
      </c>
      <c r="J1469" s="61" t="str">
        <f t="shared" si="160"/>
        <v/>
      </c>
      <c r="K1469" s="61" t="str">
        <f t="shared" si="161"/>
        <v/>
      </c>
      <c r="L1469" s="61" t="str">
        <f t="shared" si="162"/>
        <v/>
      </c>
      <c r="M1469" s="63" t="str">
        <f t="shared" si="163"/>
        <v/>
      </c>
      <c r="N1469" s="64"/>
    </row>
    <row r="1470" spans="1:14" x14ac:dyDescent="0.3">
      <c r="A1470" s="58" t="str">
        <f>IF([1]weekly_demand!A1471="","",[1]weekly_demand!A1471)</f>
        <v/>
      </c>
      <c r="B1470" s="59" t="str">
        <f>IF($A1470="","",[1]weekly_demand!F1471)</f>
        <v/>
      </c>
      <c r="C1470" s="60" t="str">
        <f>IF($A1470="","",[1]weekly_demand!H1471)</f>
        <v/>
      </c>
      <c r="D1470" s="61" t="str">
        <f>IF($A1470="","",IF(SUMIFS([1]Fixture_Capacity_Input!$C:$C,[1]Fixture_Capacity_Input!$A:$A,$B1470,[1]Fixture_Capacity_Input!$B:$B,$C1470)&gt;0,SUMIFS([1]Fixture_Capacity_Input!$C:$C,[1]Fixture_Capacity_Input!$A:$A,$B1470,[1]Fixture_Capacity_Input!$B:$B,$C1470),[1]weekly_demand!G1471))</f>
        <v/>
      </c>
      <c r="E1470" s="62" t="str">
        <f>IF($A1470="","",[1]weekly_demand!I1471)</f>
        <v/>
      </c>
      <c r="F1470" s="61" t="str">
        <f>IF($A1470="","",IF($A1470&lt;&gt;$A1469,IFERROR(INDEX([1]FG_Begin_Inventory!$B:$B,MATCH($A1470,[1]FG_Begin_Inventory!$A:$A,0)),0),J1469))</f>
        <v/>
      </c>
      <c r="G1470" s="61" t="str">
        <f t="shared" si="164"/>
        <v/>
      </c>
      <c r="H1470" s="61" t="str">
        <f t="shared" si="158"/>
        <v/>
      </c>
      <c r="I1470" s="62" t="str">
        <f t="shared" si="159"/>
        <v/>
      </c>
      <c r="J1470" s="61" t="str">
        <f t="shared" si="160"/>
        <v/>
      </c>
      <c r="K1470" s="61" t="str">
        <f t="shared" si="161"/>
        <v/>
      </c>
      <c r="L1470" s="61" t="str">
        <f t="shared" si="162"/>
        <v/>
      </c>
      <c r="M1470" s="63" t="str">
        <f t="shared" si="163"/>
        <v/>
      </c>
      <c r="N1470" s="64"/>
    </row>
    <row r="1471" spans="1:14" x14ac:dyDescent="0.3">
      <c r="A1471" s="58" t="str">
        <f>IF([1]weekly_demand!A1472="","",[1]weekly_demand!A1472)</f>
        <v/>
      </c>
      <c r="B1471" s="59" t="str">
        <f>IF($A1471="","",[1]weekly_demand!F1472)</f>
        <v/>
      </c>
      <c r="C1471" s="60" t="str">
        <f>IF($A1471="","",[1]weekly_demand!H1472)</f>
        <v/>
      </c>
      <c r="D1471" s="61" t="str">
        <f>IF($A1471="","",IF(SUMIFS([1]Fixture_Capacity_Input!$C:$C,[1]Fixture_Capacity_Input!$A:$A,$B1471,[1]Fixture_Capacity_Input!$B:$B,$C1471)&gt;0,SUMIFS([1]Fixture_Capacity_Input!$C:$C,[1]Fixture_Capacity_Input!$A:$A,$B1471,[1]Fixture_Capacity_Input!$B:$B,$C1471),[1]weekly_demand!G1472))</f>
        <v/>
      </c>
      <c r="E1471" s="62" t="str">
        <f>IF($A1471="","",[1]weekly_demand!I1472)</f>
        <v/>
      </c>
      <c r="F1471" s="61" t="str">
        <f>IF($A1471="","",IF($A1471&lt;&gt;$A1470,IFERROR(INDEX([1]FG_Begin_Inventory!$B:$B,MATCH($A1471,[1]FG_Begin_Inventory!$A:$A,0)),0),J1470))</f>
        <v/>
      </c>
      <c r="G1471" s="61" t="str">
        <f t="shared" si="164"/>
        <v/>
      </c>
      <c r="H1471" s="61" t="str">
        <f t="shared" si="158"/>
        <v/>
      </c>
      <c r="I1471" s="62" t="str">
        <f t="shared" si="159"/>
        <v/>
      </c>
      <c r="J1471" s="61" t="str">
        <f t="shared" si="160"/>
        <v/>
      </c>
      <c r="K1471" s="61" t="str">
        <f t="shared" si="161"/>
        <v/>
      </c>
      <c r="L1471" s="61" t="str">
        <f t="shared" si="162"/>
        <v/>
      </c>
      <c r="M1471" s="63" t="str">
        <f t="shared" si="163"/>
        <v/>
      </c>
      <c r="N1471" s="64"/>
    </row>
    <row r="1472" spans="1:14" x14ac:dyDescent="0.3">
      <c r="A1472" s="58" t="str">
        <f>IF([1]weekly_demand!A1473="","",[1]weekly_demand!A1473)</f>
        <v/>
      </c>
      <c r="B1472" s="59" t="str">
        <f>IF($A1472="","",[1]weekly_demand!F1473)</f>
        <v/>
      </c>
      <c r="C1472" s="60" t="str">
        <f>IF($A1472="","",[1]weekly_demand!H1473)</f>
        <v/>
      </c>
      <c r="D1472" s="61" t="str">
        <f>IF($A1472="","",IF(SUMIFS([1]Fixture_Capacity_Input!$C:$C,[1]Fixture_Capacity_Input!$A:$A,$B1472,[1]Fixture_Capacity_Input!$B:$B,$C1472)&gt;0,SUMIFS([1]Fixture_Capacity_Input!$C:$C,[1]Fixture_Capacity_Input!$A:$A,$B1472,[1]Fixture_Capacity_Input!$B:$B,$C1472),[1]weekly_demand!G1473))</f>
        <v/>
      </c>
      <c r="E1472" s="62" t="str">
        <f>IF($A1472="","",[1]weekly_demand!I1473)</f>
        <v/>
      </c>
      <c r="F1472" s="61" t="str">
        <f>IF($A1472="","",IF($A1472&lt;&gt;$A1471,IFERROR(INDEX([1]FG_Begin_Inventory!$B:$B,MATCH($A1472,[1]FG_Begin_Inventory!$A:$A,0)),0),J1471))</f>
        <v/>
      </c>
      <c r="G1472" s="61" t="str">
        <f t="shared" si="164"/>
        <v/>
      </c>
      <c r="H1472" s="61" t="str">
        <f t="shared" si="158"/>
        <v/>
      </c>
      <c r="I1472" s="62" t="str">
        <f t="shared" si="159"/>
        <v/>
      </c>
      <c r="J1472" s="61" t="str">
        <f t="shared" si="160"/>
        <v/>
      </c>
      <c r="K1472" s="61" t="str">
        <f t="shared" si="161"/>
        <v/>
      </c>
      <c r="L1472" s="61" t="str">
        <f t="shared" si="162"/>
        <v/>
      </c>
      <c r="M1472" s="63" t="str">
        <f t="shared" si="163"/>
        <v/>
      </c>
      <c r="N1472" s="64"/>
    </row>
    <row r="1473" spans="1:14" x14ac:dyDescent="0.3">
      <c r="A1473" s="58" t="str">
        <f>IF([1]weekly_demand!A1474="","",[1]weekly_demand!A1474)</f>
        <v/>
      </c>
      <c r="B1473" s="59" t="str">
        <f>IF($A1473="","",[1]weekly_demand!F1474)</f>
        <v/>
      </c>
      <c r="C1473" s="60" t="str">
        <f>IF($A1473="","",[1]weekly_demand!H1474)</f>
        <v/>
      </c>
      <c r="D1473" s="61" t="str">
        <f>IF($A1473="","",IF(SUMIFS([1]Fixture_Capacity_Input!$C:$C,[1]Fixture_Capacity_Input!$A:$A,$B1473,[1]Fixture_Capacity_Input!$B:$B,$C1473)&gt;0,SUMIFS([1]Fixture_Capacity_Input!$C:$C,[1]Fixture_Capacity_Input!$A:$A,$B1473,[1]Fixture_Capacity_Input!$B:$B,$C1473),[1]weekly_demand!G1474))</f>
        <v/>
      </c>
      <c r="E1473" s="62" t="str">
        <f>IF($A1473="","",[1]weekly_demand!I1474)</f>
        <v/>
      </c>
      <c r="F1473" s="61" t="str">
        <f>IF($A1473="","",IF($A1473&lt;&gt;$A1472,IFERROR(INDEX([1]FG_Begin_Inventory!$B:$B,MATCH($A1473,[1]FG_Begin_Inventory!$A:$A,0)),0),J1472))</f>
        <v/>
      </c>
      <c r="G1473" s="61" t="str">
        <f t="shared" si="164"/>
        <v/>
      </c>
      <c r="H1473" s="61" t="str">
        <f t="shared" si="158"/>
        <v/>
      </c>
      <c r="I1473" s="62" t="str">
        <f t="shared" si="159"/>
        <v/>
      </c>
      <c r="J1473" s="61" t="str">
        <f t="shared" si="160"/>
        <v/>
      </c>
      <c r="K1473" s="61" t="str">
        <f t="shared" si="161"/>
        <v/>
      </c>
      <c r="L1473" s="61" t="str">
        <f t="shared" si="162"/>
        <v/>
      </c>
      <c r="M1473" s="63" t="str">
        <f t="shared" si="163"/>
        <v/>
      </c>
      <c r="N1473" s="64"/>
    </row>
    <row r="1474" spans="1:14" x14ac:dyDescent="0.3">
      <c r="A1474" s="58" t="str">
        <f>IF([1]weekly_demand!A1475="","",[1]weekly_demand!A1475)</f>
        <v/>
      </c>
      <c r="B1474" s="59" t="str">
        <f>IF($A1474="","",[1]weekly_demand!F1475)</f>
        <v/>
      </c>
      <c r="C1474" s="60" t="str">
        <f>IF($A1474="","",[1]weekly_demand!H1475)</f>
        <v/>
      </c>
      <c r="D1474" s="61" t="str">
        <f>IF($A1474="","",IF(SUMIFS([1]Fixture_Capacity_Input!$C:$C,[1]Fixture_Capacity_Input!$A:$A,$B1474,[1]Fixture_Capacity_Input!$B:$B,$C1474)&gt;0,SUMIFS([1]Fixture_Capacity_Input!$C:$C,[1]Fixture_Capacity_Input!$A:$A,$B1474,[1]Fixture_Capacity_Input!$B:$B,$C1474),[1]weekly_demand!G1475))</f>
        <v/>
      </c>
      <c r="E1474" s="62" t="str">
        <f>IF($A1474="","",[1]weekly_demand!I1475)</f>
        <v/>
      </c>
      <c r="F1474" s="61" t="str">
        <f>IF($A1474="","",IF($A1474&lt;&gt;$A1473,IFERROR(INDEX([1]FG_Begin_Inventory!$B:$B,MATCH($A1474,[1]FG_Begin_Inventory!$A:$A,0)),0),J1473))</f>
        <v/>
      </c>
      <c r="G1474" s="61" t="str">
        <f t="shared" si="164"/>
        <v/>
      </c>
      <c r="H1474" s="61" t="str">
        <f t="shared" ref="H1474:H1537" si="165">IF($A1474="","",MAX(0,E1474+G1474-F1474))</f>
        <v/>
      </c>
      <c r="I1474" s="62" t="str">
        <f t="shared" ref="I1474:I1537" si="166">IF($A1474="","",MIN(D1474,H1474))</f>
        <v/>
      </c>
      <c r="J1474" s="61" t="str">
        <f t="shared" ref="J1474:J1537" si="167">IF($A1474="","",MAX(0,F1474+I1474-E1474))</f>
        <v/>
      </c>
      <c r="K1474" s="61" t="str">
        <f t="shared" ref="K1474:K1537" si="168">IF($A1474="","",MAX(0,E1474-F1474-I1474))</f>
        <v/>
      </c>
      <c r="L1474" s="61" t="str">
        <f t="shared" ref="L1474:L1537" si="169">IF($A1474="","",MAX(0,F1474+I1474-E1474))</f>
        <v/>
      </c>
      <c r="M1474" s="63" t="str">
        <f t="shared" ref="M1474:M1537" si="170">IF($A1474="","",IFERROR(I1474/D1474,0))</f>
        <v/>
      </c>
      <c r="N1474" s="64"/>
    </row>
    <row r="1475" spans="1:14" x14ac:dyDescent="0.3">
      <c r="A1475" s="58" t="str">
        <f>IF([1]weekly_demand!A1476="","",[1]weekly_demand!A1476)</f>
        <v/>
      </c>
      <c r="B1475" s="59" t="str">
        <f>IF($A1475="","",[1]weekly_demand!F1476)</f>
        <v/>
      </c>
      <c r="C1475" s="60" t="str">
        <f>IF($A1475="","",[1]weekly_demand!H1476)</f>
        <v/>
      </c>
      <c r="D1475" s="61" t="str">
        <f>IF($A1475="","",IF(SUMIFS([1]Fixture_Capacity_Input!$C:$C,[1]Fixture_Capacity_Input!$A:$A,$B1475,[1]Fixture_Capacity_Input!$B:$B,$C1475)&gt;0,SUMIFS([1]Fixture_Capacity_Input!$C:$C,[1]Fixture_Capacity_Input!$A:$A,$B1475,[1]Fixture_Capacity_Input!$B:$B,$C1475),[1]weekly_demand!G1476))</f>
        <v/>
      </c>
      <c r="E1475" s="62" t="str">
        <f>IF($A1475="","",[1]weekly_demand!I1476)</f>
        <v/>
      </c>
      <c r="F1475" s="61" t="str">
        <f>IF($A1475="","",IF($A1475&lt;&gt;$A1474,IFERROR(INDEX([1]FG_Begin_Inventory!$B:$B,MATCH($A1475,[1]FG_Begin_Inventory!$A:$A,0)),0),J1474))</f>
        <v/>
      </c>
      <c r="G1475" s="61" t="str">
        <f t="shared" si="164"/>
        <v/>
      </c>
      <c r="H1475" s="61" t="str">
        <f t="shared" si="165"/>
        <v/>
      </c>
      <c r="I1475" s="62" t="str">
        <f t="shared" si="166"/>
        <v/>
      </c>
      <c r="J1475" s="61" t="str">
        <f t="shared" si="167"/>
        <v/>
      </c>
      <c r="K1475" s="61" t="str">
        <f t="shared" si="168"/>
        <v/>
      </c>
      <c r="L1475" s="61" t="str">
        <f t="shared" si="169"/>
        <v/>
      </c>
      <c r="M1475" s="63" t="str">
        <f t="shared" si="170"/>
        <v/>
      </c>
      <c r="N1475" s="64"/>
    </row>
    <row r="1476" spans="1:14" x14ac:dyDescent="0.3">
      <c r="A1476" s="58" t="str">
        <f>IF([1]weekly_demand!A1477="","",[1]weekly_demand!A1477)</f>
        <v/>
      </c>
      <c r="B1476" s="59" t="str">
        <f>IF($A1476="","",[1]weekly_demand!F1477)</f>
        <v/>
      </c>
      <c r="C1476" s="60" t="str">
        <f>IF($A1476="","",[1]weekly_demand!H1477)</f>
        <v/>
      </c>
      <c r="D1476" s="61" t="str">
        <f>IF($A1476="","",IF(SUMIFS([1]Fixture_Capacity_Input!$C:$C,[1]Fixture_Capacity_Input!$A:$A,$B1476,[1]Fixture_Capacity_Input!$B:$B,$C1476)&gt;0,SUMIFS([1]Fixture_Capacity_Input!$C:$C,[1]Fixture_Capacity_Input!$A:$A,$B1476,[1]Fixture_Capacity_Input!$B:$B,$C1476),[1]weekly_demand!G1477))</f>
        <v/>
      </c>
      <c r="E1476" s="62" t="str">
        <f>IF($A1476="","",[1]weekly_demand!I1477)</f>
        <v/>
      </c>
      <c r="F1476" s="61" t="str">
        <f>IF($A1476="","",IF($A1476&lt;&gt;$A1475,IFERROR(INDEX([1]FG_Begin_Inventory!$B:$B,MATCH($A1476,[1]FG_Begin_Inventory!$A:$A,0)),0),J1475))</f>
        <v/>
      </c>
      <c r="G1476" s="61" t="str">
        <f t="shared" si="164"/>
        <v/>
      </c>
      <c r="H1476" s="61" t="str">
        <f t="shared" si="165"/>
        <v/>
      </c>
      <c r="I1476" s="62" t="str">
        <f t="shared" si="166"/>
        <v/>
      </c>
      <c r="J1476" s="61" t="str">
        <f t="shared" si="167"/>
        <v/>
      </c>
      <c r="K1476" s="61" t="str">
        <f t="shared" si="168"/>
        <v/>
      </c>
      <c r="L1476" s="61" t="str">
        <f t="shared" si="169"/>
        <v/>
      </c>
      <c r="M1476" s="63" t="str">
        <f t="shared" si="170"/>
        <v/>
      </c>
      <c r="N1476" s="64"/>
    </row>
    <row r="1477" spans="1:14" x14ac:dyDescent="0.3">
      <c r="A1477" s="58" t="str">
        <f>IF([1]weekly_demand!A1478="","",[1]weekly_demand!A1478)</f>
        <v/>
      </c>
      <c r="B1477" s="59" t="str">
        <f>IF($A1477="","",[1]weekly_demand!F1478)</f>
        <v/>
      </c>
      <c r="C1477" s="60" t="str">
        <f>IF($A1477="","",[1]weekly_demand!H1478)</f>
        <v/>
      </c>
      <c r="D1477" s="61" t="str">
        <f>IF($A1477="","",IF(SUMIFS([1]Fixture_Capacity_Input!$C:$C,[1]Fixture_Capacity_Input!$A:$A,$B1477,[1]Fixture_Capacity_Input!$B:$B,$C1477)&gt;0,SUMIFS([1]Fixture_Capacity_Input!$C:$C,[1]Fixture_Capacity_Input!$A:$A,$B1477,[1]Fixture_Capacity_Input!$B:$B,$C1477),[1]weekly_demand!G1478))</f>
        <v/>
      </c>
      <c r="E1477" s="62" t="str">
        <f>IF($A1477="","",[1]weekly_demand!I1478)</f>
        <v/>
      </c>
      <c r="F1477" s="61" t="str">
        <f>IF($A1477="","",IF($A1477&lt;&gt;$A1476,IFERROR(INDEX([1]FG_Begin_Inventory!$B:$B,MATCH($A1477,[1]FG_Begin_Inventory!$A:$A,0)),0),J1476))</f>
        <v/>
      </c>
      <c r="G1477" s="61" t="str">
        <f t="shared" si="164"/>
        <v/>
      </c>
      <c r="H1477" s="61" t="str">
        <f t="shared" si="165"/>
        <v/>
      </c>
      <c r="I1477" s="62" t="str">
        <f t="shared" si="166"/>
        <v/>
      </c>
      <c r="J1477" s="61" t="str">
        <f t="shared" si="167"/>
        <v/>
      </c>
      <c r="K1477" s="61" t="str">
        <f t="shared" si="168"/>
        <v/>
      </c>
      <c r="L1477" s="61" t="str">
        <f t="shared" si="169"/>
        <v/>
      </c>
      <c r="M1477" s="63" t="str">
        <f t="shared" si="170"/>
        <v/>
      </c>
      <c r="N1477" s="64"/>
    </row>
    <row r="1478" spans="1:14" x14ac:dyDescent="0.3">
      <c r="A1478" s="58" t="str">
        <f>IF([1]weekly_demand!A1479="","",[1]weekly_demand!A1479)</f>
        <v/>
      </c>
      <c r="B1478" s="59" t="str">
        <f>IF($A1478="","",[1]weekly_demand!F1479)</f>
        <v/>
      </c>
      <c r="C1478" s="60" t="str">
        <f>IF($A1478="","",[1]weekly_demand!H1479)</f>
        <v/>
      </c>
      <c r="D1478" s="61" t="str">
        <f>IF($A1478="","",IF(SUMIFS([1]Fixture_Capacity_Input!$C:$C,[1]Fixture_Capacity_Input!$A:$A,$B1478,[1]Fixture_Capacity_Input!$B:$B,$C1478)&gt;0,SUMIFS([1]Fixture_Capacity_Input!$C:$C,[1]Fixture_Capacity_Input!$A:$A,$B1478,[1]Fixture_Capacity_Input!$B:$B,$C1478),[1]weekly_demand!G1479))</f>
        <v/>
      </c>
      <c r="E1478" s="62" t="str">
        <f>IF($A1478="","",[1]weekly_demand!I1479)</f>
        <v/>
      </c>
      <c r="F1478" s="61" t="str">
        <f>IF($A1478="","",IF($A1478&lt;&gt;$A1477,IFERROR(INDEX([1]FG_Begin_Inventory!$B:$B,MATCH($A1478,[1]FG_Begin_Inventory!$A:$A,0)),0),J1477))</f>
        <v/>
      </c>
      <c r="G1478" s="61" t="str">
        <f t="shared" si="164"/>
        <v/>
      </c>
      <c r="H1478" s="61" t="str">
        <f t="shared" si="165"/>
        <v/>
      </c>
      <c r="I1478" s="62" t="str">
        <f t="shared" si="166"/>
        <v/>
      </c>
      <c r="J1478" s="61" t="str">
        <f t="shared" si="167"/>
        <v/>
      </c>
      <c r="K1478" s="61" t="str">
        <f t="shared" si="168"/>
        <v/>
      </c>
      <c r="L1478" s="61" t="str">
        <f t="shared" si="169"/>
        <v/>
      </c>
      <c r="M1478" s="63" t="str">
        <f t="shared" si="170"/>
        <v/>
      </c>
      <c r="N1478" s="64"/>
    </row>
    <row r="1479" spans="1:14" x14ac:dyDescent="0.3">
      <c r="A1479" s="58" t="str">
        <f>IF([1]weekly_demand!A1480="","",[1]weekly_demand!A1480)</f>
        <v/>
      </c>
      <c r="B1479" s="59" t="str">
        <f>IF($A1479="","",[1]weekly_demand!F1480)</f>
        <v/>
      </c>
      <c r="C1479" s="60" t="str">
        <f>IF($A1479="","",[1]weekly_demand!H1480)</f>
        <v/>
      </c>
      <c r="D1479" s="61" t="str">
        <f>IF($A1479="","",IF(SUMIFS([1]Fixture_Capacity_Input!$C:$C,[1]Fixture_Capacity_Input!$A:$A,$B1479,[1]Fixture_Capacity_Input!$B:$B,$C1479)&gt;0,SUMIFS([1]Fixture_Capacity_Input!$C:$C,[1]Fixture_Capacity_Input!$A:$A,$B1479,[1]Fixture_Capacity_Input!$B:$B,$C1479),[1]weekly_demand!G1480))</f>
        <v/>
      </c>
      <c r="E1479" s="62" t="str">
        <f>IF($A1479="","",[1]weekly_demand!I1480)</f>
        <v/>
      </c>
      <c r="F1479" s="61" t="str">
        <f>IF($A1479="","",IF($A1479&lt;&gt;$A1478,IFERROR(INDEX([1]FG_Begin_Inventory!$B:$B,MATCH($A1479,[1]FG_Begin_Inventory!$A:$A,0)),0),J1478))</f>
        <v/>
      </c>
      <c r="G1479" s="61" t="str">
        <f t="shared" si="164"/>
        <v/>
      </c>
      <c r="H1479" s="61" t="str">
        <f t="shared" si="165"/>
        <v/>
      </c>
      <c r="I1479" s="62" t="str">
        <f t="shared" si="166"/>
        <v/>
      </c>
      <c r="J1479" s="61" t="str">
        <f t="shared" si="167"/>
        <v/>
      </c>
      <c r="K1479" s="61" t="str">
        <f t="shared" si="168"/>
        <v/>
      </c>
      <c r="L1479" s="61" t="str">
        <f t="shared" si="169"/>
        <v/>
      </c>
      <c r="M1479" s="63" t="str">
        <f t="shared" si="170"/>
        <v/>
      </c>
      <c r="N1479" s="64"/>
    </row>
    <row r="1480" spans="1:14" x14ac:dyDescent="0.3">
      <c r="A1480" s="58" t="str">
        <f>IF([1]weekly_demand!A1481="","",[1]weekly_demand!A1481)</f>
        <v/>
      </c>
      <c r="B1480" s="59" t="str">
        <f>IF($A1480="","",[1]weekly_demand!F1481)</f>
        <v/>
      </c>
      <c r="C1480" s="60" t="str">
        <f>IF($A1480="","",[1]weekly_demand!H1481)</f>
        <v/>
      </c>
      <c r="D1480" s="61" t="str">
        <f>IF($A1480="","",IF(SUMIFS([1]Fixture_Capacity_Input!$C:$C,[1]Fixture_Capacity_Input!$A:$A,$B1480,[1]Fixture_Capacity_Input!$B:$B,$C1480)&gt;0,SUMIFS([1]Fixture_Capacity_Input!$C:$C,[1]Fixture_Capacity_Input!$A:$A,$B1480,[1]Fixture_Capacity_Input!$B:$B,$C1480),[1]weekly_demand!G1481))</f>
        <v/>
      </c>
      <c r="E1480" s="62" t="str">
        <f>IF($A1480="","",[1]weekly_demand!I1481)</f>
        <v/>
      </c>
      <c r="F1480" s="61" t="str">
        <f>IF($A1480="","",IF($A1480&lt;&gt;$A1479,IFERROR(INDEX([1]FG_Begin_Inventory!$B:$B,MATCH($A1480,[1]FG_Begin_Inventory!$A:$A,0)),0),J1479))</f>
        <v/>
      </c>
      <c r="G1480" s="61" t="str">
        <f t="shared" si="164"/>
        <v/>
      </c>
      <c r="H1480" s="61" t="str">
        <f t="shared" si="165"/>
        <v/>
      </c>
      <c r="I1480" s="62" t="str">
        <f t="shared" si="166"/>
        <v/>
      </c>
      <c r="J1480" s="61" t="str">
        <f t="shared" si="167"/>
        <v/>
      </c>
      <c r="K1480" s="61" t="str">
        <f t="shared" si="168"/>
        <v/>
      </c>
      <c r="L1480" s="61" t="str">
        <f t="shared" si="169"/>
        <v/>
      </c>
      <c r="M1480" s="63" t="str">
        <f t="shared" si="170"/>
        <v/>
      </c>
      <c r="N1480" s="64"/>
    </row>
    <row r="1481" spans="1:14" x14ac:dyDescent="0.3">
      <c r="A1481" s="58" t="str">
        <f>IF([1]weekly_demand!A1482="","",[1]weekly_demand!A1482)</f>
        <v/>
      </c>
      <c r="B1481" s="59" t="str">
        <f>IF($A1481="","",[1]weekly_demand!F1482)</f>
        <v/>
      </c>
      <c r="C1481" s="60" t="str">
        <f>IF($A1481="","",[1]weekly_demand!H1482)</f>
        <v/>
      </c>
      <c r="D1481" s="61" t="str">
        <f>IF($A1481="","",IF(SUMIFS([1]Fixture_Capacity_Input!$C:$C,[1]Fixture_Capacity_Input!$A:$A,$B1481,[1]Fixture_Capacity_Input!$B:$B,$C1481)&gt;0,SUMIFS([1]Fixture_Capacity_Input!$C:$C,[1]Fixture_Capacity_Input!$A:$A,$B1481,[1]Fixture_Capacity_Input!$B:$B,$C1481),[1]weekly_demand!G1482))</f>
        <v/>
      </c>
      <c r="E1481" s="62" t="str">
        <f>IF($A1481="","",[1]weekly_demand!I1482)</f>
        <v/>
      </c>
      <c r="F1481" s="61" t="str">
        <f>IF($A1481="","",IF($A1481&lt;&gt;$A1480,IFERROR(INDEX([1]FG_Begin_Inventory!$B:$B,MATCH($A1481,[1]FG_Begin_Inventory!$A:$A,0)),0),J1480))</f>
        <v/>
      </c>
      <c r="G1481" s="61" t="str">
        <f t="shared" si="164"/>
        <v/>
      </c>
      <c r="H1481" s="61" t="str">
        <f t="shared" si="165"/>
        <v/>
      </c>
      <c r="I1481" s="62" t="str">
        <f t="shared" si="166"/>
        <v/>
      </c>
      <c r="J1481" s="61" t="str">
        <f t="shared" si="167"/>
        <v/>
      </c>
      <c r="K1481" s="61" t="str">
        <f t="shared" si="168"/>
        <v/>
      </c>
      <c r="L1481" s="61" t="str">
        <f t="shared" si="169"/>
        <v/>
      </c>
      <c r="M1481" s="63" t="str">
        <f t="shared" si="170"/>
        <v/>
      </c>
      <c r="N1481" s="64"/>
    </row>
    <row r="1482" spans="1:14" x14ac:dyDescent="0.3">
      <c r="A1482" s="58" t="str">
        <f>IF([1]weekly_demand!A1483="","",[1]weekly_demand!A1483)</f>
        <v/>
      </c>
      <c r="B1482" s="59" t="str">
        <f>IF($A1482="","",[1]weekly_demand!F1483)</f>
        <v/>
      </c>
      <c r="C1482" s="60" t="str">
        <f>IF($A1482="","",[1]weekly_demand!H1483)</f>
        <v/>
      </c>
      <c r="D1482" s="61" t="str">
        <f>IF($A1482="","",IF(SUMIFS([1]Fixture_Capacity_Input!$C:$C,[1]Fixture_Capacity_Input!$A:$A,$B1482,[1]Fixture_Capacity_Input!$B:$B,$C1482)&gt;0,SUMIFS([1]Fixture_Capacity_Input!$C:$C,[1]Fixture_Capacity_Input!$A:$A,$B1482,[1]Fixture_Capacity_Input!$B:$B,$C1482),[1]weekly_demand!G1483))</f>
        <v/>
      </c>
      <c r="E1482" s="62" t="str">
        <f>IF($A1482="","",[1]weekly_demand!I1483)</f>
        <v/>
      </c>
      <c r="F1482" s="61" t="str">
        <f>IF($A1482="","",IF($A1482&lt;&gt;$A1481,IFERROR(INDEX([1]FG_Begin_Inventory!$B:$B,MATCH($A1482,[1]FG_Begin_Inventory!$A:$A,0)),0),J1481))</f>
        <v/>
      </c>
      <c r="G1482" s="61" t="str">
        <f t="shared" si="164"/>
        <v/>
      </c>
      <c r="H1482" s="61" t="str">
        <f t="shared" si="165"/>
        <v/>
      </c>
      <c r="I1482" s="62" t="str">
        <f t="shared" si="166"/>
        <v/>
      </c>
      <c r="J1482" s="61" t="str">
        <f t="shared" si="167"/>
        <v/>
      </c>
      <c r="K1482" s="61" t="str">
        <f t="shared" si="168"/>
        <v/>
      </c>
      <c r="L1482" s="61" t="str">
        <f t="shared" si="169"/>
        <v/>
      </c>
      <c r="M1482" s="63" t="str">
        <f t="shared" si="170"/>
        <v/>
      </c>
      <c r="N1482" s="64"/>
    </row>
    <row r="1483" spans="1:14" x14ac:dyDescent="0.3">
      <c r="A1483" s="58" t="str">
        <f>IF([1]weekly_demand!A1484="","",[1]weekly_demand!A1484)</f>
        <v/>
      </c>
      <c r="B1483" s="59" t="str">
        <f>IF($A1483="","",[1]weekly_demand!F1484)</f>
        <v/>
      </c>
      <c r="C1483" s="60" t="str">
        <f>IF($A1483="","",[1]weekly_demand!H1484)</f>
        <v/>
      </c>
      <c r="D1483" s="61" t="str">
        <f>IF($A1483="","",IF(SUMIFS([1]Fixture_Capacity_Input!$C:$C,[1]Fixture_Capacity_Input!$A:$A,$B1483,[1]Fixture_Capacity_Input!$B:$B,$C1483)&gt;0,SUMIFS([1]Fixture_Capacity_Input!$C:$C,[1]Fixture_Capacity_Input!$A:$A,$B1483,[1]Fixture_Capacity_Input!$B:$B,$C1483),[1]weekly_demand!G1484))</f>
        <v/>
      </c>
      <c r="E1483" s="62" t="str">
        <f>IF($A1483="","",[1]weekly_demand!I1484)</f>
        <v/>
      </c>
      <c r="F1483" s="61" t="str">
        <f>IF($A1483="","",IF($A1483&lt;&gt;$A1482,IFERROR(INDEX([1]FG_Begin_Inventory!$B:$B,MATCH($A1483,[1]FG_Begin_Inventory!$A:$A,0)),0),J1482))</f>
        <v/>
      </c>
      <c r="G1483" s="61" t="str">
        <f t="shared" si="164"/>
        <v/>
      </c>
      <c r="H1483" s="61" t="str">
        <f t="shared" si="165"/>
        <v/>
      </c>
      <c r="I1483" s="62" t="str">
        <f t="shared" si="166"/>
        <v/>
      </c>
      <c r="J1483" s="61" t="str">
        <f t="shared" si="167"/>
        <v/>
      </c>
      <c r="K1483" s="61" t="str">
        <f t="shared" si="168"/>
        <v/>
      </c>
      <c r="L1483" s="61" t="str">
        <f t="shared" si="169"/>
        <v/>
      </c>
      <c r="M1483" s="63" t="str">
        <f t="shared" si="170"/>
        <v/>
      </c>
      <c r="N1483" s="64"/>
    </row>
    <row r="1484" spans="1:14" x14ac:dyDescent="0.3">
      <c r="A1484" s="58" t="str">
        <f>IF([1]weekly_demand!A1485="","",[1]weekly_demand!A1485)</f>
        <v/>
      </c>
      <c r="B1484" s="59" t="str">
        <f>IF($A1484="","",[1]weekly_demand!F1485)</f>
        <v/>
      </c>
      <c r="C1484" s="60" t="str">
        <f>IF($A1484="","",[1]weekly_demand!H1485)</f>
        <v/>
      </c>
      <c r="D1484" s="61" t="str">
        <f>IF($A1484="","",IF(SUMIFS([1]Fixture_Capacity_Input!$C:$C,[1]Fixture_Capacity_Input!$A:$A,$B1484,[1]Fixture_Capacity_Input!$B:$B,$C1484)&gt;0,SUMIFS([1]Fixture_Capacity_Input!$C:$C,[1]Fixture_Capacity_Input!$A:$A,$B1484,[1]Fixture_Capacity_Input!$B:$B,$C1484),[1]weekly_demand!G1485))</f>
        <v/>
      </c>
      <c r="E1484" s="62" t="str">
        <f>IF($A1484="","",[1]weekly_demand!I1485)</f>
        <v/>
      </c>
      <c r="F1484" s="61" t="str">
        <f>IF($A1484="","",IF($A1484&lt;&gt;$A1483,IFERROR(INDEX([1]FG_Begin_Inventory!$B:$B,MATCH($A1484,[1]FG_Begin_Inventory!$A:$A,0)),0),J1483))</f>
        <v/>
      </c>
      <c r="G1484" s="61" t="str">
        <f t="shared" si="164"/>
        <v/>
      </c>
      <c r="H1484" s="61" t="str">
        <f t="shared" si="165"/>
        <v/>
      </c>
      <c r="I1484" s="62" t="str">
        <f t="shared" si="166"/>
        <v/>
      </c>
      <c r="J1484" s="61" t="str">
        <f t="shared" si="167"/>
        <v/>
      </c>
      <c r="K1484" s="61" t="str">
        <f t="shared" si="168"/>
        <v/>
      </c>
      <c r="L1484" s="61" t="str">
        <f t="shared" si="169"/>
        <v/>
      </c>
      <c r="M1484" s="63" t="str">
        <f t="shared" si="170"/>
        <v/>
      </c>
      <c r="N1484" s="64"/>
    </row>
    <row r="1485" spans="1:14" x14ac:dyDescent="0.3">
      <c r="A1485" s="58" t="str">
        <f>IF([1]weekly_demand!A1486="","",[1]weekly_demand!A1486)</f>
        <v/>
      </c>
      <c r="B1485" s="59" t="str">
        <f>IF($A1485="","",[1]weekly_demand!F1486)</f>
        <v/>
      </c>
      <c r="C1485" s="60" t="str">
        <f>IF($A1485="","",[1]weekly_demand!H1486)</f>
        <v/>
      </c>
      <c r="D1485" s="61" t="str">
        <f>IF($A1485="","",IF(SUMIFS([1]Fixture_Capacity_Input!$C:$C,[1]Fixture_Capacity_Input!$A:$A,$B1485,[1]Fixture_Capacity_Input!$B:$B,$C1485)&gt;0,SUMIFS([1]Fixture_Capacity_Input!$C:$C,[1]Fixture_Capacity_Input!$A:$A,$B1485,[1]Fixture_Capacity_Input!$B:$B,$C1485),[1]weekly_demand!G1486))</f>
        <v/>
      </c>
      <c r="E1485" s="62" t="str">
        <f>IF($A1485="","",[1]weekly_demand!I1486)</f>
        <v/>
      </c>
      <c r="F1485" s="61" t="str">
        <f>IF($A1485="","",IF($A1485&lt;&gt;$A1484,IFERROR(INDEX([1]FG_Begin_Inventory!$B:$B,MATCH($A1485,[1]FG_Begin_Inventory!$A:$A,0)),0),J1484))</f>
        <v/>
      </c>
      <c r="G1485" s="61" t="str">
        <f t="shared" si="164"/>
        <v/>
      </c>
      <c r="H1485" s="61" t="str">
        <f t="shared" si="165"/>
        <v/>
      </c>
      <c r="I1485" s="62" t="str">
        <f t="shared" si="166"/>
        <v/>
      </c>
      <c r="J1485" s="61" t="str">
        <f t="shared" si="167"/>
        <v/>
      </c>
      <c r="K1485" s="61" t="str">
        <f t="shared" si="168"/>
        <v/>
      </c>
      <c r="L1485" s="61" t="str">
        <f t="shared" si="169"/>
        <v/>
      </c>
      <c r="M1485" s="63" t="str">
        <f t="shared" si="170"/>
        <v/>
      </c>
      <c r="N1485" s="64"/>
    </row>
    <row r="1486" spans="1:14" x14ac:dyDescent="0.3">
      <c r="A1486" s="58" t="str">
        <f>IF([1]weekly_demand!A1487="","",[1]weekly_demand!A1487)</f>
        <v/>
      </c>
      <c r="B1486" s="59" t="str">
        <f>IF($A1486="","",[1]weekly_demand!F1487)</f>
        <v/>
      </c>
      <c r="C1486" s="60" t="str">
        <f>IF($A1486="","",[1]weekly_demand!H1487)</f>
        <v/>
      </c>
      <c r="D1486" s="61" t="str">
        <f>IF($A1486="","",IF(SUMIFS([1]Fixture_Capacity_Input!$C:$C,[1]Fixture_Capacity_Input!$A:$A,$B1486,[1]Fixture_Capacity_Input!$B:$B,$C1486)&gt;0,SUMIFS([1]Fixture_Capacity_Input!$C:$C,[1]Fixture_Capacity_Input!$A:$A,$B1486,[1]Fixture_Capacity_Input!$B:$B,$C1486),[1]weekly_demand!G1487))</f>
        <v/>
      </c>
      <c r="E1486" s="62" t="str">
        <f>IF($A1486="","",[1]weekly_demand!I1487)</f>
        <v/>
      </c>
      <c r="F1486" s="61" t="str">
        <f>IF($A1486="","",IF($A1486&lt;&gt;$A1485,IFERROR(INDEX([1]FG_Begin_Inventory!$B:$B,MATCH($A1486,[1]FG_Begin_Inventory!$A:$A,0)),0),J1485))</f>
        <v/>
      </c>
      <c r="G1486" s="61" t="str">
        <f t="shared" si="164"/>
        <v/>
      </c>
      <c r="H1486" s="61" t="str">
        <f t="shared" si="165"/>
        <v/>
      </c>
      <c r="I1486" s="62" t="str">
        <f t="shared" si="166"/>
        <v/>
      </c>
      <c r="J1486" s="61" t="str">
        <f t="shared" si="167"/>
        <v/>
      </c>
      <c r="K1486" s="61" t="str">
        <f t="shared" si="168"/>
        <v/>
      </c>
      <c r="L1486" s="61" t="str">
        <f t="shared" si="169"/>
        <v/>
      </c>
      <c r="M1486" s="63" t="str">
        <f t="shared" si="170"/>
        <v/>
      </c>
      <c r="N1486" s="64"/>
    </row>
    <row r="1487" spans="1:14" x14ac:dyDescent="0.3">
      <c r="A1487" s="58" t="str">
        <f>IF([1]weekly_demand!A1488="","",[1]weekly_demand!A1488)</f>
        <v/>
      </c>
      <c r="B1487" s="59" t="str">
        <f>IF($A1487="","",[1]weekly_demand!F1488)</f>
        <v/>
      </c>
      <c r="C1487" s="60" t="str">
        <f>IF($A1487="","",[1]weekly_demand!H1488)</f>
        <v/>
      </c>
      <c r="D1487" s="61" t="str">
        <f>IF($A1487="","",IF(SUMIFS([1]Fixture_Capacity_Input!$C:$C,[1]Fixture_Capacity_Input!$A:$A,$B1487,[1]Fixture_Capacity_Input!$B:$B,$C1487)&gt;0,SUMIFS([1]Fixture_Capacity_Input!$C:$C,[1]Fixture_Capacity_Input!$A:$A,$B1487,[1]Fixture_Capacity_Input!$B:$B,$C1487),[1]weekly_demand!G1488))</f>
        <v/>
      </c>
      <c r="E1487" s="62" t="str">
        <f>IF($A1487="","",[1]weekly_demand!I1488)</f>
        <v/>
      </c>
      <c r="F1487" s="61" t="str">
        <f>IF($A1487="","",IF($A1487&lt;&gt;$A1486,IFERROR(INDEX([1]FG_Begin_Inventory!$B:$B,MATCH($A1487,[1]FG_Begin_Inventory!$A:$A,0)),0),J1486))</f>
        <v/>
      </c>
      <c r="G1487" s="61" t="str">
        <f t="shared" si="164"/>
        <v/>
      </c>
      <c r="H1487" s="61" t="str">
        <f t="shared" si="165"/>
        <v/>
      </c>
      <c r="I1487" s="62" t="str">
        <f t="shared" si="166"/>
        <v/>
      </c>
      <c r="J1487" s="61" t="str">
        <f t="shared" si="167"/>
        <v/>
      </c>
      <c r="K1487" s="61" t="str">
        <f t="shared" si="168"/>
        <v/>
      </c>
      <c r="L1487" s="61" t="str">
        <f t="shared" si="169"/>
        <v/>
      </c>
      <c r="M1487" s="63" t="str">
        <f t="shared" si="170"/>
        <v/>
      </c>
      <c r="N1487" s="64"/>
    </row>
    <row r="1488" spans="1:14" x14ac:dyDescent="0.3">
      <c r="A1488" s="58" t="str">
        <f>IF([1]weekly_demand!A1489="","",[1]weekly_demand!A1489)</f>
        <v/>
      </c>
      <c r="B1488" s="59" t="str">
        <f>IF($A1488="","",[1]weekly_demand!F1489)</f>
        <v/>
      </c>
      <c r="C1488" s="60" t="str">
        <f>IF($A1488="","",[1]weekly_demand!H1489)</f>
        <v/>
      </c>
      <c r="D1488" s="61" t="str">
        <f>IF($A1488="","",IF(SUMIFS([1]Fixture_Capacity_Input!$C:$C,[1]Fixture_Capacity_Input!$A:$A,$B1488,[1]Fixture_Capacity_Input!$B:$B,$C1488)&gt;0,SUMIFS([1]Fixture_Capacity_Input!$C:$C,[1]Fixture_Capacity_Input!$A:$A,$B1488,[1]Fixture_Capacity_Input!$B:$B,$C1488),[1]weekly_demand!G1489))</f>
        <v/>
      </c>
      <c r="E1488" s="62" t="str">
        <f>IF($A1488="","",[1]weekly_demand!I1489)</f>
        <v/>
      </c>
      <c r="F1488" s="61" t="str">
        <f>IF($A1488="","",IF($A1488&lt;&gt;$A1487,IFERROR(INDEX([1]FG_Begin_Inventory!$B:$B,MATCH($A1488,[1]FG_Begin_Inventory!$A:$A,0)),0),J1487))</f>
        <v/>
      </c>
      <c r="G1488" s="61" t="str">
        <f t="shared" si="164"/>
        <v/>
      </c>
      <c r="H1488" s="61" t="str">
        <f t="shared" si="165"/>
        <v/>
      </c>
      <c r="I1488" s="62" t="str">
        <f t="shared" si="166"/>
        <v/>
      </c>
      <c r="J1488" s="61" t="str">
        <f t="shared" si="167"/>
        <v/>
      </c>
      <c r="K1488" s="61" t="str">
        <f t="shared" si="168"/>
        <v/>
      </c>
      <c r="L1488" s="61" t="str">
        <f t="shared" si="169"/>
        <v/>
      </c>
      <c r="M1488" s="63" t="str">
        <f t="shared" si="170"/>
        <v/>
      </c>
      <c r="N1488" s="64"/>
    </row>
    <row r="1489" spans="1:14" x14ac:dyDescent="0.3">
      <c r="A1489" s="58" t="str">
        <f>IF([1]weekly_demand!A1490="","",[1]weekly_demand!A1490)</f>
        <v/>
      </c>
      <c r="B1489" s="59" t="str">
        <f>IF($A1489="","",[1]weekly_demand!F1490)</f>
        <v/>
      </c>
      <c r="C1489" s="60" t="str">
        <f>IF($A1489="","",[1]weekly_demand!H1490)</f>
        <v/>
      </c>
      <c r="D1489" s="61" t="str">
        <f>IF($A1489="","",IF(SUMIFS([1]Fixture_Capacity_Input!$C:$C,[1]Fixture_Capacity_Input!$A:$A,$B1489,[1]Fixture_Capacity_Input!$B:$B,$C1489)&gt;0,SUMIFS([1]Fixture_Capacity_Input!$C:$C,[1]Fixture_Capacity_Input!$A:$A,$B1489,[1]Fixture_Capacity_Input!$B:$B,$C1489),[1]weekly_demand!G1490))</f>
        <v/>
      </c>
      <c r="E1489" s="62" t="str">
        <f>IF($A1489="","",[1]weekly_demand!I1490)</f>
        <v/>
      </c>
      <c r="F1489" s="61" t="str">
        <f>IF($A1489="","",IF($A1489&lt;&gt;$A1488,IFERROR(INDEX([1]FG_Begin_Inventory!$B:$B,MATCH($A1489,[1]FG_Begin_Inventory!$A:$A,0)),0),J1488))</f>
        <v/>
      </c>
      <c r="G1489" s="61" t="str">
        <f t="shared" si="164"/>
        <v/>
      </c>
      <c r="H1489" s="61" t="str">
        <f t="shared" si="165"/>
        <v/>
      </c>
      <c r="I1489" s="62" t="str">
        <f t="shared" si="166"/>
        <v/>
      </c>
      <c r="J1489" s="61" t="str">
        <f t="shared" si="167"/>
        <v/>
      </c>
      <c r="K1489" s="61" t="str">
        <f t="shared" si="168"/>
        <v/>
      </c>
      <c r="L1489" s="61" t="str">
        <f t="shared" si="169"/>
        <v/>
      </c>
      <c r="M1489" s="63" t="str">
        <f t="shared" si="170"/>
        <v/>
      </c>
      <c r="N1489" s="64"/>
    </row>
    <row r="1490" spans="1:14" x14ac:dyDescent="0.3">
      <c r="A1490" s="58" t="str">
        <f>IF([1]weekly_demand!A1491="","",[1]weekly_demand!A1491)</f>
        <v/>
      </c>
      <c r="B1490" s="59" t="str">
        <f>IF($A1490="","",[1]weekly_demand!F1491)</f>
        <v/>
      </c>
      <c r="C1490" s="60" t="str">
        <f>IF($A1490="","",[1]weekly_demand!H1491)</f>
        <v/>
      </c>
      <c r="D1490" s="61" t="str">
        <f>IF($A1490="","",IF(SUMIFS([1]Fixture_Capacity_Input!$C:$C,[1]Fixture_Capacity_Input!$A:$A,$B1490,[1]Fixture_Capacity_Input!$B:$B,$C1490)&gt;0,SUMIFS([1]Fixture_Capacity_Input!$C:$C,[1]Fixture_Capacity_Input!$A:$A,$B1490,[1]Fixture_Capacity_Input!$B:$B,$C1490),[1]weekly_demand!G1491))</f>
        <v/>
      </c>
      <c r="E1490" s="62" t="str">
        <f>IF($A1490="","",[1]weekly_demand!I1491)</f>
        <v/>
      </c>
      <c r="F1490" s="61" t="str">
        <f>IF($A1490="","",IF($A1490&lt;&gt;$A1489,IFERROR(INDEX([1]FG_Begin_Inventory!$B:$B,MATCH($A1490,[1]FG_Begin_Inventory!$A:$A,0)),0),J1489))</f>
        <v/>
      </c>
      <c r="G1490" s="61" t="str">
        <f t="shared" si="164"/>
        <v/>
      </c>
      <c r="H1490" s="61" t="str">
        <f t="shared" si="165"/>
        <v/>
      </c>
      <c r="I1490" s="62" t="str">
        <f t="shared" si="166"/>
        <v/>
      </c>
      <c r="J1490" s="61" t="str">
        <f t="shared" si="167"/>
        <v/>
      </c>
      <c r="K1490" s="61" t="str">
        <f t="shared" si="168"/>
        <v/>
      </c>
      <c r="L1490" s="61" t="str">
        <f t="shared" si="169"/>
        <v/>
      </c>
      <c r="M1490" s="63" t="str">
        <f t="shared" si="170"/>
        <v/>
      </c>
      <c r="N1490" s="64"/>
    </row>
    <row r="1491" spans="1:14" x14ac:dyDescent="0.3">
      <c r="A1491" s="58" t="str">
        <f>IF([1]weekly_demand!A1492="","",[1]weekly_demand!A1492)</f>
        <v/>
      </c>
      <c r="B1491" s="59" t="str">
        <f>IF($A1491="","",[1]weekly_demand!F1492)</f>
        <v/>
      </c>
      <c r="C1491" s="60" t="str">
        <f>IF($A1491="","",[1]weekly_demand!H1492)</f>
        <v/>
      </c>
      <c r="D1491" s="61" t="str">
        <f>IF($A1491="","",IF(SUMIFS([1]Fixture_Capacity_Input!$C:$C,[1]Fixture_Capacity_Input!$A:$A,$B1491,[1]Fixture_Capacity_Input!$B:$B,$C1491)&gt;0,SUMIFS([1]Fixture_Capacity_Input!$C:$C,[1]Fixture_Capacity_Input!$A:$A,$B1491,[1]Fixture_Capacity_Input!$B:$B,$C1491),[1]weekly_demand!G1492))</f>
        <v/>
      </c>
      <c r="E1491" s="62" t="str">
        <f>IF($A1491="","",[1]weekly_demand!I1492)</f>
        <v/>
      </c>
      <c r="F1491" s="61" t="str">
        <f>IF($A1491="","",IF($A1491&lt;&gt;$A1490,IFERROR(INDEX([1]FG_Begin_Inventory!$B:$B,MATCH($A1491,[1]FG_Begin_Inventory!$A:$A,0)),0),J1490))</f>
        <v/>
      </c>
      <c r="G1491" s="61" t="str">
        <f t="shared" si="164"/>
        <v/>
      </c>
      <c r="H1491" s="61" t="str">
        <f t="shared" si="165"/>
        <v/>
      </c>
      <c r="I1491" s="62" t="str">
        <f t="shared" si="166"/>
        <v/>
      </c>
      <c r="J1491" s="61" t="str">
        <f t="shared" si="167"/>
        <v/>
      </c>
      <c r="K1491" s="61" t="str">
        <f t="shared" si="168"/>
        <v/>
      </c>
      <c r="L1491" s="61" t="str">
        <f t="shared" si="169"/>
        <v/>
      </c>
      <c r="M1491" s="63" t="str">
        <f t="shared" si="170"/>
        <v/>
      </c>
      <c r="N1491" s="64"/>
    </row>
    <row r="1492" spans="1:14" x14ac:dyDescent="0.3">
      <c r="A1492" s="58" t="str">
        <f>IF([1]weekly_demand!A1493="","",[1]weekly_demand!A1493)</f>
        <v/>
      </c>
      <c r="B1492" s="59" t="str">
        <f>IF($A1492="","",[1]weekly_demand!F1493)</f>
        <v/>
      </c>
      <c r="C1492" s="60" t="str">
        <f>IF($A1492="","",[1]weekly_demand!H1493)</f>
        <v/>
      </c>
      <c r="D1492" s="61" t="str">
        <f>IF($A1492="","",IF(SUMIFS([1]Fixture_Capacity_Input!$C:$C,[1]Fixture_Capacity_Input!$A:$A,$B1492,[1]Fixture_Capacity_Input!$B:$B,$C1492)&gt;0,SUMIFS([1]Fixture_Capacity_Input!$C:$C,[1]Fixture_Capacity_Input!$A:$A,$B1492,[1]Fixture_Capacity_Input!$B:$B,$C1492),[1]weekly_demand!G1493))</f>
        <v/>
      </c>
      <c r="E1492" s="62" t="str">
        <f>IF($A1492="","",[1]weekly_demand!I1493)</f>
        <v/>
      </c>
      <c r="F1492" s="61" t="str">
        <f>IF($A1492="","",IF($A1492&lt;&gt;$A1491,IFERROR(INDEX([1]FG_Begin_Inventory!$B:$B,MATCH($A1492,[1]FG_Begin_Inventory!$A:$A,0)),0),J1491))</f>
        <v/>
      </c>
      <c r="G1492" s="61" t="str">
        <f t="shared" si="164"/>
        <v/>
      </c>
      <c r="H1492" s="61" t="str">
        <f t="shared" si="165"/>
        <v/>
      </c>
      <c r="I1492" s="62" t="str">
        <f t="shared" si="166"/>
        <v/>
      </c>
      <c r="J1492" s="61" t="str">
        <f t="shared" si="167"/>
        <v/>
      </c>
      <c r="K1492" s="61" t="str">
        <f t="shared" si="168"/>
        <v/>
      </c>
      <c r="L1492" s="61" t="str">
        <f t="shared" si="169"/>
        <v/>
      </c>
      <c r="M1492" s="63" t="str">
        <f t="shared" si="170"/>
        <v/>
      </c>
      <c r="N1492" s="64"/>
    </row>
    <row r="1493" spans="1:14" x14ac:dyDescent="0.3">
      <c r="A1493" s="58" t="str">
        <f>IF([1]weekly_demand!A1494="","",[1]weekly_demand!A1494)</f>
        <v/>
      </c>
      <c r="B1493" s="59" t="str">
        <f>IF($A1493="","",[1]weekly_demand!F1494)</f>
        <v/>
      </c>
      <c r="C1493" s="60" t="str">
        <f>IF($A1493="","",[1]weekly_demand!H1494)</f>
        <v/>
      </c>
      <c r="D1493" s="61" t="str">
        <f>IF($A1493="","",IF(SUMIFS([1]Fixture_Capacity_Input!$C:$C,[1]Fixture_Capacity_Input!$A:$A,$B1493,[1]Fixture_Capacity_Input!$B:$B,$C1493)&gt;0,SUMIFS([1]Fixture_Capacity_Input!$C:$C,[1]Fixture_Capacity_Input!$A:$A,$B1493,[1]Fixture_Capacity_Input!$B:$B,$C1493),[1]weekly_demand!G1494))</f>
        <v/>
      </c>
      <c r="E1493" s="62" t="str">
        <f>IF($A1493="","",[1]weekly_demand!I1494)</f>
        <v/>
      </c>
      <c r="F1493" s="61" t="str">
        <f>IF($A1493="","",IF($A1493&lt;&gt;$A1492,IFERROR(INDEX([1]FG_Begin_Inventory!$B:$B,MATCH($A1493,[1]FG_Begin_Inventory!$A:$A,0)),0),J1492))</f>
        <v/>
      </c>
      <c r="G1493" s="61" t="str">
        <f t="shared" si="164"/>
        <v/>
      </c>
      <c r="H1493" s="61" t="str">
        <f t="shared" si="165"/>
        <v/>
      </c>
      <c r="I1493" s="62" t="str">
        <f t="shared" si="166"/>
        <v/>
      </c>
      <c r="J1493" s="61" t="str">
        <f t="shared" si="167"/>
        <v/>
      </c>
      <c r="K1493" s="61" t="str">
        <f t="shared" si="168"/>
        <v/>
      </c>
      <c r="L1493" s="61" t="str">
        <f t="shared" si="169"/>
        <v/>
      </c>
      <c r="M1493" s="63" t="str">
        <f t="shared" si="170"/>
        <v/>
      </c>
      <c r="N1493" s="64"/>
    </row>
    <row r="1494" spans="1:14" x14ac:dyDescent="0.3">
      <c r="A1494" s="58" t="str">
        <f>IF([1]weekly_demand!A1495="","",[1]weekly_demand!A1495)</f>
        <v/>
      </c>
      <c r="B1494" s="59" t="str">
        <f>IF($A1494="","",[1]weekly_demand!F1495)</f>
        <v/>
      </c>
      <c r="C1494" s="60" t="str">
        <f>IF($A1494="","",[1]weekly_demand!H1495)</f>
        <v/>
      </c>
      <c r="D1494" s="61" t="str">
        <f>IF($A1494="","",IF(SUMIFS([1]Fixture_Capacity_Input!$C:$C,[1]Fixture_Capacity_Input!$A:$A,$B1494,[1]Fixture_Capacity_Input!$B:$B,$C1494)&gt;0,SUMIFS([1]Fixture_Capacity_Input!$C:$C,[1]Fixture_Capacity_Input!$A:$A,$B1494,[1]Fixture_Capacity_Input!$B:$B,$C1494),[1]weekly_demand!G1495))</f>
        <v/>
      </c>
      <c r="E1494" s="62" t="str">
        <f>IF($A1494="","",[1]weekly_demand!I1495)</f>
        <v/>
      </c>
      <c r="F1494" s="61" t="str">
        <f>IF($A1494="","",IF($A1494&lt;&gt;$A1493,IFERROR(INDEX([1]FG_Begin_Inventory!$B:$B,MATCH($A1494,[1]FG_Begin_Inventory!$A:$A,0)),0),J1493))</f>
        <v/>
      </c>
      <c r="G1494" s="61" t="str">
        <f t="shared" si="164"/>
        <v/>
      </c>
      <c r="H1494" s="61" t="str">
        <f t="shared" si="165"/>
        <v/>
      </c>
      <c r="I1494" s="62" t="str">
        <f t="shared" si="166"/>
        <v/>
      </c>
      <c r="J1494" s="61" t="str">
        <f t="shared" si="167"/>
        <v/>
      </c>
      <c r="K1494" s="61" t="str">
        <f t="shared" si="168"/>
        <v/>
      </c>
      <c r="L1494" s="61" t="str">
        <f t="shared" si="169"/>
        <v/>
      </c>
      <c r="M1494" s="63" t="str">
        <f t="shared" si="170"/>
        <v/>
      </c>
      <c r="N1494" s="64"/>
    </row>
    <row r="1495" spans="1:14" x14ac:dyDescent="0.3">
      <c r="A1495" s="58" t="str">
        <f>IF([1]weekly_demand!A1496="","",[1]weekly_demand!A1496)</f>
        <v/>
      </c>
      <c r="B1495" s="59" t="str">
        <f>IF($A1495="","",[1]weekly_demand!F1496)</f>
        <v/>
      </c>
      <c r="C1495" s="60" t="str">
        <f>IF($A1495="","",[1]weekly_demand!H1496)</f>
        <v/>
      </c>
      <c r="D1495" s="61" t="str">
        <f>IF($A1495="","",IF(SUMIFS([1]Fixture_Capacity_Input!$C:$C,[1]Fixture_Capacity_Input!$A:$A,$B1495,[1]Fixture_Capacity_Input!$B:$B,$C1495)&gt;0,SUMIFS([1]Fixture_Capacity_Input!$C:$C,[1]Fixture_Capacity_Input!$A:$A,$B1495,[1]Fixture_Capacity_Input!$B:$B,$C1495),[1]weekly_demand!G1496))</f>
        <v/>
      </c>
      <c r="E1495" s="62" t="str">
        <f>IF($A1495="","",[1]weekly_demand!I1496)</f>
        <v/>
      </c>
      <c r="F1495" s="61" t="str">
        <f>IF($A1495="","",IF($A1495&lt;&gt;$A1494,IFERROR(INDEX([1]FG_Begin_Inventory!$B:$B,MATCH($A1495,[1]FG_Begin_Inventory!$A:$A,0)),0),J1494))</f>
        <v/>
      </c>
      <c r="G1495" s="61" t="str">
        <f t="shared" si="164"/>
        <v/>
      </c>
      <c r="H1495" s="61" t="str">
        <f t="shared" si="165"/>
        <v/>
      </c>
      <c r="I1495" s="62" t="str">
        <f t="shared" si="166"/>
        <v/>
      </c>
      <c r="J1495" s="61" t="str">
        <f t="shared" si="167"/>
        <v/>
      </c>
      <c r="K1495" s="61" t="str">
        <f t="shared" si="168"/>
        <v/>
      </c>
      <c r="L1495" s="61" t="str">
        <f t="shared" si="169"/>
        <v/>
      </c>
      <c r="M1495" s="63" t="str">
        <f t="shared" si="170"/>
        <v/>
      </c>
      <c r="N1495" s="64"/>
    </row>
    <row r="1496" spans="1:14" x14ac:dyDescent="0.3">
      <c r="A1496" s="58" t="str">
        <f>IF([1]weekly_demand!A1497="","",[1]weekly_demand!A1497)</f>
        <v/>
      </c>
      <c r="B1496" s="59" t="str">
        <f>IF($A1496="","",[1]weekly_demand!F1497)</f>
        <v/>
      </c>
      <c r="C1496" s="60" t="str">
        <f>IF($A1496="","",[1]weekly_demand!H1497)</f>
        <v/>
      </c>
      <c r="D1496" s="61" t="str">
        <f>IF($A1496="","",IF(SUMIFS([1]Fixture_Capacity_Input!$C:$C,[1]Fixture_Capacity_Input!$A:$A,$B1496,[1]Fixture_Capacity_Input!$B:$B,$C1496)&gt;0,SUMIFS([1]Fixture_Capacity_Input!$C:$C,[1]Fixture_Capacity_Input!$A:$A,$B1496,[1]Fixture_Capacity_Input!$B:$B,$C1496),[1]weekly_demand!G1497))</f>
        <v/>
      </c>
      <c r="E1496" s="62" t="str">
        <f>IF($A1496="","",[1]weekly_demand!I1497)</f>
        <v/>
      </c>
      <c r="F1496" s="61" t="str">
        <f>IF($A1496="","",IF($A1496&lt;&gt;$A1495,IFERROR(INDEX([1]FG_Begin_Inventory!$B:$B,MATCH($A1496,[1]FG_Begin_Inventory!$A:$A,0)),0),J1495))</f>
        <v/>
      </c>
      <c r="G1496" s="61" t="str">
        <f t="shared" si="164"/>
        <v/>
      </c>
      <c r="H1496" s="61" t="str">
        <f t="shared" si="165"/>
        <v/>
      </c>
      <c r="I1496" s="62" t="str">
        <f t="shared" si="166"/>
        <v/>
      </c>
      <c r="J1496" s="61" t="str">
        <f t="shared" si="167"/>
        <v/>
      </c>
      <c r="K1496" s="61" t="str">
        <f t="shared" si="168"/>
        <v/>
      </c>
      <c r="L1496" s="61" t="str">
        <f t="shared" si="169"/>
        <v/>
      </c>
      <c r="M1496" s="63" t="str">
        <f t="shared" si="170"/>
        <v/>
      </c>
      <c r="N1496" s="64"/>
    </row>
    <row r="1497" spans="1:14" x14ac:dyDescent="0.3">
      <c r="A1497" s="58" t="str">
        <f>IF([1]weekly_demand!A1498="","",[1]weekly_demand!A1498)</f>
        <v/>
      </c>
      <c r="B1497" s="59" t="str">
        <f>IF($A1497="","",[1]weekly_demand!F1498)</f>
        <v/>
      </c>
      <c r="C1497" s="60" t="str">
        <f>IF($A1497="","",[1]weekly_demand!H1498)</f>
        <v/>
      </c>
      <c r="D1497" s="61" t="str">
        <f>IF($A1497="","",IF(SUMIFS([1]Fixture_Capacity_Input!$C:$C,[1]Fixture_Capacity_Input!$A:$A,$B1497,[1]Fixture_Capacity_Input!$B:$B,$C1497)&gt;0,SUMIFS([1]Fixture_Capacity_Input!$C:$C,[1]Fixture_Capacity_Input!$A:$A,$B1497,[1]Fixture_Capacity_Input!$B:$B,$C1497),[1]weekly_demand!G1498))</f>
        <v/>
      </c>
      <c r="E1497" s="62" t="str">
        <f>IF($A1497="","",[1]weekly_demand!I1498)</f>
        <v/>
      </c>
      <c r="F1497" s="61" t="str">
        <f>IF($A1497="","",IF($A1497&lt;&gt;$A1496,IFERROR(INDEX([1]FG_Begin_Inventory!$B:$B,MATCH($A1497,[1]FG_Begin_Inventory!$A:$A,0)),0),J1496))</f>
        <v/>
      </c>
      <c r="G1497" s="61" t="str">
        <f t="shared" si="164"/>
        <v/>
      </c>
      <c r="H1497" s="61" t="str">
        <f t="shared" si="165"/>
        <v/>
      </c>
      <c r="I1497" s="62" t="str">
        <f t="shared" si="166"/>
        <v/>
      </c>
      <c r="J1497" s="61" t="str">
        <f t="shared" si="167"/>
        <v/>
      </c>
      <c r="K1497" s="61" t="str">
        <f t="shared" si="168"/>
        <v/>
      </c>
      <c r="L1497" s="61" t="str">
        <f t="shared" si="169"/>
        <v/>
      </c>
      <c r="M1497" s="63" t="str">
        <f t="shared" si="170"/>
        <v/>
      </c>
      <c r="N1497" s="64"/>
    </row>
    <row r="1498" spans="1:14" x14ac:dyDescent="0.3">
      <c r="A1498" s="58" t="str">
        <f>IF([1]weekly_demand!A1499="","",[1]weekly_demand!A1499)</f>
        <v/>
      </c>
      <c r="B1498" s="59" t="str">
        <f>IF($A1498="","",[1]weekly_demand!F1499)</f>
        <v/>
      </c>
      <c r="C1498" s="60" t="str">
        <f>IF($A1498="","",[1]weekly_demand!H1499)</f>
        <v/>
      </c>
      <c r="D1498" s="61" t="str">
        <f>IF($A1498="","",IF(SUMIFS([1]Fixture_Capacity_Input!$C:$C,[1]Fixture_Capacity_Input!$A:$A,$B1498,[1]Fixture_Capacity_Input!$B:$B,$C1498)&gt;0,SUMIFS([1]Fixture_Capacity_Input!$C:$C,[1]Fixture_Capacity_Input!$A:$A,$B1498,[1]Fixture_Capacity_Input!$B:$B,$C1498),[1]weekly_demand!G1499))</f>
        <v/>
      </c>
      <c r="E1498" s="62" t="str">
        <f>IF($A1498="","",[1]weekly_demand!I1499)</f>
        <v/>
      </c>
      <c r="F1498" s="61" t="str">
        <f>IF($A1498="","",IF($A1498&lt;&gt;$A1497,IFERROR(INDEX([1]FG_Begin_Inventory!$B:$B,MATCH($A1498,[1]FG_Begin_Inventory!$A:$A,0)),0),J1497))</f>
        <v/>
      </c>
      <c r="G1498" s="61" t="str">
        <f t="shared" si="164"/>
        <v/>
      </c>
      <c r="H1498" s="61" t="str">
        <f t="shared" si="165"/>
        <v/>
      </c>
      <c r="I1498" s="62" t="str">
        <f t="shared" si="166"/>
        <v/>
      </c>
      <c r="J1498" s="61" t="str">
        <f t="shared" si="167"/>
        <v/>
      </c>
      <c r="K1498" s="61" t="str">
        <f t="shared" si="168"/>
        <v/>
      </c>
      <c r="L1498" s="61" t="str">
        <f t="shared" si="169"/>
        <v/>
      </c>
      <c r="M1498" s="63" t="str">
        <f t="shared" si="170"/>
        <v/>
      </c>
      <c r="N1498" s="64"/>
    </row>
    <row r="1499" spans="1:14" x14ac:dyDescent="0.3">
      <c r="A1499" s="58" t="str">
        <f>IF([1]weekly_demand!A1500="","",[1]weekly_demand!A1500)</f>
        <v/>
      </c>
      <c r="B1499" s="59" t="str">
        <f>IF($A1499="","",[1]weekly_demand!F1500)</f>
        <v/>
      </c>
      <c r="C1499" s="60" t="str">
        <f>IF($A1499="","",[1]weekly_demand!H1500)</f>
        <v/>
      </c>
      <c r="D1499" s="61" t="str">
        <f>IF($A1499="","",IF(SUMIFS([1]Fixture_Capacity_Input!$C:$C,[1]Fixture_Capacity_Input!$A:$A,$B1499,[1]Fixture_Capacity_Input!$B:$B,$C1499)&gt;0,SUMIFS([1]Fixture_Capacity_Input!$C:$C,[1]Fixture_Capacity_Input!$A:$A,$B1499,[1]Fixture_Capacity_Input!$B:$B,$C1499),[1]weekly_demand!G1500))</f>
        <v/>
      </c>
      <c r="E1499" s="62" t="str">
        <f>IF($A1499="","",[1]weekly_demand!I1500)</f>
        <v/>
      </c>
      <c r="F1499" s="61" t="str">
        <f>IF($A1499="","",IF($A1499&lt;&gt;$A1498,IFERROR(INDEX([1]FG_Begin_Inventory!$B:$B,MATCH($A1499,[1]FG_Begin_Inventory!$A:$A,0)),0),J1498))</f>
        <v/>
      </c>
      <c r="G1499" s="61" t="str">
        <f t="shared" si="164"/>
        <v/>
      </c>
      <c r="H1499" s="61" t="str">
        <f t="shared" si="165"/>
        <v/>
      </c>
      <c r="I1499" s="62" t="str">
        <f t="shared" si="166"/>
        <v/>
      </c>
      <c r="J1499" s="61" t="str">
        <f t="shared" si="167"/>
        <v/>
      </c>
      <c r="K1499" s="61" t="str">
        <f t="shared" si="168"/>
        <v/>
      </c>
      <c r="L1499" s="61" t="str">
        <f t="shared" si="169"/>
        <v/>
      </c>
      <c r="M1499" s="63" t="str">
        <f t="shared" si="170"/>
        <v/>
      </c>
      <c r="N1499" s="64"/>
    </row>
    <row r="1500" spans="1:14" x14ac:dyDescent="0.3">
      <c r="A1500" s="58" t="str">
        <f>IF([1]weekly_demand!A1501="","",[1]weekly_demand!A1501)</f>
        <v/>
      </c>
      <c r="B1500" s="59" t="str">
        <f>IF($A1500="","",[1]weekly_demand!F1501)</f>
        <v/>
      </c>
      <c r="C1500" s="60" t="str">
        <f>IF($A1500="","",[1]weekly_demand!H1501)</f>
        <v/>
      </c>
      <c r="D1500" s="61" t="str">
        <f>IF($A1500="","",IF(SUMIFS([1]Fixture_Capacity_Input!$C:$C,[1]Fixture_Capacity_Input!$A:$A,$B1500,[1]Fixture_Capacity_Input!$B:$B,$C1500)&gt;0,SUMIFS([1]Fixture_Capacity_Input!$C:$C,[1]Fixture_Capacity_Input!$A:$A,$B1500,[1]Fixture_Capacity_Input!$B:$B,$C1500),[1]weekly_demand!G1501))</f>
        <v/>
      </c>
      <c r="E1500" s="62" t="str">
        <f>IF($A1500="","",[1]weekly_demand!I1501)</f>
        <v/>
      </c>
      <c r="F1500" s="61" t="str">
        <f>IF($A1500="","",IF($A1500&lt;&gt;$A1499,IFERROR(INDEX([1]FG_Begin_Inventory!$B:$B,MATCH($A1500,[1]FG_Begin_Inventory!$A:$A,0)),0),J1499))</f>
        <v/>
      </c>
      <c r="G1500" s="61" t="str">
        <f t="shared" si="164"/>
        <v/>
      </c>
      <c r="H1500" s="61" t="str">
        <f t="shared" si="165"/>
        <v/>
      </c>
      <c r="I1500" s="62" t="str">
        <f t="shared" si="166"/>
        <v/>
      </c>
      <c r="J1500" s="61" t="str">
        <f t="shared" si="167"/>
        <v/>
      </c>
      <c r="K1500" s="61" t="str">
        <f t="shared" si="168"/>
        <v/>
      </c>
      <c r="L1500" s="61" t="str">
        <f t="shared" si="169"/>
        <v/>
      </c>
      <c r="M1500" s="63" t="str">
        <f t="shared" si="170"/>
        <v/>
      </c>
      <c r="N1500" s="64"/>
    </row>
    <row r="1501" spans="1:14" x14ac:dyDescent="0.3">
      <c r="A1501" s="58" t="str">
        <f>IF([1]weekly_demand!A1502="","",[1]weekly_demand!A1502)</f>
        <v/>
      </c>
      <c r="B1501" s="59" t="str">
        <f>IF($A1501="","",[1]weekly_demand!F1502)</f>
        <v/>
      </c>
      <c r="C1501" s="60" t="str">
        <f>IF($A1501="","",[1]weekly_demand!H1502)</f>
        <v/>
      </c>
      <c r="D1501" s="61" t="str">
        <f>IF($A1501="","",IF(SUMIFS([1]Fixture_Capacity_Input!$C:$C,[1]Fixture_Capacity_Input!$A:$A,$B1501,[1]Fixture_Capacity_Input!$B:$B,$C1501)&gt;0,SUMIFS([1]Fixture_Capacity_Input!$C:$C,[1]Fixture_Capacity_Input!$A:$A,$B1501,[1]Fixture_Capacity_Input!$B:$B,$C1501),[1]weekly_demand!G1502))</f>
        <v/>
      </c>
      <c r="E1501" s="62" t="str">
        <f>IF($A1501="","",[1]weekly_demand!I1502)</f>
        <v/>
      </c>
      <c r="F1501" s="61" t="str">
        <f>IF($A1501="","",IF($A1501&lt;&gt;$A1500,IFERROR(INDEX([1]FG_Begin_Inventory!$B:$B,MATCH($A1501,[1]FG_Begin_Inventory!$A:$A,0)),0),J1500))</f>
        <v/>
      </c>
      <c r="G1501" s="61" t="str">
        <f t="shared" si="164"/>
        <v/>
      </c>
      <c r="H1501" s="61" t="str">
        <f t="shared" si="165"/>
        <v/>
      </c>
      <c r="I1501" s="62" t="str">
        <f t="shared" si="166"/>
        <v/>
      </c>
      <c r="J1501" s="61" t="str">
        <f t="shared" si="167"/>
        <v/>
      </c>
      <c r="K1501" s="61" t="str">
        <f t="shared" si="168"/>
        <v/>
      </c>
      <c r="L1501" s="61" t="str">
        <f t="shared" si="169"/>
        <v/>
      </c>
      <c r="M1501" s="63" t="str">
        <f t="shared" si="170"/>
        <v/>
      </c>
      <c r="N1501" s="64"/>
    </row>
    <row r="1502" spans="1:14" x14ac:dyDescent="0.3">
      <c r="A1502" s="58" t="str">
        <f>IF([1]weekly_demand!A1503="","",[1]weekly_demand!A1503)</f>
        <v/>
      </c>
      <c r="B1502" s="59" t="str">
        <f>IF($A1502="","",[1]weekly_demand!F1503)</f>
        <v/>
      </c>
      <c r="C1502" s="60" t="str">
        <f>IF($A1502="","",[1]weekly_demand!H1503)</f>
        <v/>
      </c>
      <c r="D1502" s="61" t="str">
        <f>IF($A1502="","",IF(SUMIFS([1]Fixture_Capacity_Input!$C:$C,[1]Fixture_Capacity_Input!$A:$A,$B1502,[1]Fixture_Capacity_Input!$B:$B,$C1502)&gt;0,SUMIFS([1]Fixture_Capacity_Input!$C:$C,[1]Fixture_Capacity_Input!$A:$A,$B1502,[1]Fixture_Capacity_Input!$B:$B,$C1502),[1]weekly_demand!G1503))</f>
        <v/>
      </c>
      <c r="E1502" s="62" t="str">
        <f>IF($A1502="","",[1]weekly_demand!I1503)</f>
        <v/>
      </c>
      <c r="F1502" s="61" t="str">
        <f>IF($A1502="","",IF($A1502&lt;&gt;$A1501,IFERROR(INDEX([1]FG_Begin_Inventory!$B:$B,MATCH($A1502,[1]FG_Begin_Inventory!$A:$A,0)),0),J1501))</f>
        <v/>
      </c>
      <c r="G1502" s="61" t="str">
        <f t="shared" si="164"/>
        <v/>
      </c>
      <c r="H1502" s="61" t="str">
        <f t="shared" si="165"/>
        <v/>
      </c>
      <c r="I1502" s="62" t="str">
        <f t="shared" si="166"/>
        <v/>
      </c>
      <c r="J1502" s="61" t="str">
        <f t="shared" si="167"/>
        <v/>
      </c>
      <c r="K1502" s="61" t="str">
        <f t="shared" si="168"/>
        <v/>
      </c>
      <c r="L1502" s="61" t="str">
        <f t="shared" si="169"/>
        <v/>
      </c>
      <c r="M1502" s="63" t="str">
        <f t="shared" si="170"/>
        <v/>
      </c>
      <c r="N1502" s="64"/>
    </row>
    <row r="1503" spans="1:14" x14ac:dyDescent="0.3">
      <c r="A1503" s="58" t="str">
        <f>IF([1]weekly_demand!A1504="","",[1]weekly_demand!A1504)</f>
        <v/>
      </c>
      <c r="B1503" s="59" t="str">
        <f>IF($A1503="","",[1]weekly_demand!F1504)</f>
        <v/>
      </c>
      <c r="C1503" s="60" t="str">
        <f>IF($A1503="","",[1]weekly_demand!H1504)</f>
        <v/>
      </c>
      <c r="D1503" s="61" t="str">
        <f>IF($A1503="","",IF(SUMIFS([1]Fixture_Capacity_Input!$C:$C,[1]Fixture_Capacity_Input!$A:$A,$B1503,[1]Fixture_Capacity_Input!$B:$B,$C1503)&gt;0,SUMIFS([1]Fixture_Capacity_Input!$C:$C,[1]Fixture_Capacity_Input!$A:$A,$B1503,[1]Fixture_Capacity_Input!$B:$B,$C1503),[1]weekly_demand!G1504))</f>
        <v/>
      </c>
      <c r="E1503" s="62" t="str">
        <f>IF($A1503="","",[1]weekly_demand!I1504)</f>
        <v/>
      </c>
      <c r="F1503" s="61" t="str">
        <f>IF($A1503="","",IF($A1503&lt;&gt;$A1502,IFERROR(INDEX([1]FG_Begin_Inventory!$B:$B,MATCH($A1503,[1]FG_Begin_Inventory!$A:$A,0)),0),J1502))</f>
        <v/>
      </c>
      <c r="G1503" s="61" t="str">
        <f t="shared" si="164"/>
        <v/>
      </c>
      <c r="H1503" s="61" t="str">
        <f t="shared" si="165"/>
        <v/>
      </c>
      <c r="I1503" s="62" t="str">
        <f t="shared" si="166"/>
        <v/>
      </c>
      <c r="J1503" s="61" t="str">
        <f t="shared" si="167"/>
        <v/>
      </c>
      <c r="K1503" s="61" t="str">
        <f t="shared" si="168"/>
        <v/>
      </c>
      <c r="L1503" s="61" t="str">
        <f t="shared" si="169"/>
        <v/>
      </c>
      <c r="M1503" s="63" t="str">
        <f t="shared" si="170"/>
        <v/>
      </c>
      <c r="N1503" s="64"/>
    </row>
    <row r="1504" spans="1:14" x14ac:dyDescent="0.3">
      <c r="A1504" s="58" t="str">
        <f>IF([1]weekly_demand!A1505="","",[1]weekly_demand!A1505)</f>
        <v/>
      </c>
      <c r="B1504" s="59" t="str">
        <f>IF($A1504="","",[1]weekly_demand!F1505)</f>
        <v/>
      </c>
      <c r="C1504" s="60" t="str">
        <f>IF($A1504="","",[1]weekly_demand!H1505)</f>
        <v/>
      </c>
      <c r="D1504" s="61" t="str">
        <f>IF($A1504="","",IF(SUMIFS([1]Fixture_Capacity_Input!$C:$C,[1]Fixture_Capacity_Input!$A:$A,$B1504,[1]Fixture_Capacity_Input!$B:$B,$C1504)&gt;0,SUMIFS([1]Fixture_Capacity_Input!$C:$C,[1]Fixture_Capacity_Input!$A:$A,$B1504,[1]Fixture_Capacity_Input!$B:$B,$C1504),[1]weekly_demand!G1505))</f>
        <v/>
      </c>
      <c r="E1504" s="62" t="str">
        <f>IF($A1504="","",[1]weekly_demand!I1505)</f>
        <v/>
      </c>
      <c r="F1504" s="61" t="str">
        <f>IF($A1504="","",IF($A1504&lt;&gt;$A1503,IFERROR(INDEX([1]FG_Begin_Inventory!$B:$B,MATCH($A1504,[1]FG_Begin_Inventory!$A:$A,0)),0),J1503))</f>
        <v/>
      </c>
      <c r="G1504" s="61" t="str">
        <f t="shared" si="164"/>
        <v/>
      </c>
      <c r="H1504" s="61" t="str">
        <f t="shared" si="165"/>
        <v/>
      </c>
      <c r="I1504" s="62" t="str">
        <f t="shared" si="166"/>
        <v/>
      </c>
      <c r="J1504" s="61" t="str">
        <f t="shared" si="167"/>
        <v/>
      </c>
      <c r="K1504" s="61" t="str">
        <f t="shared" si="168"/>
        <v/>
      </c>
      <c r="L1504" s="61" t="str">
        <f t="shared" si="169"/>
        <v/>
      </c>
      <c r="M1504" s="63" t="str">
        <f t="shared" si="170"/>
        <v/>
      </c>
      <c r="N1504" s="64"/>
    </row>
    <row r="1505" spans="1:14" x14ac:dyDescent="0.3">
      <c r="A1505" s="58" t="str">
        <f>IF([1]weekly_demand!A1506="","",[1]weekly_demand!A1506)</f>
        <v/>
      </c>
      <c r="B1505" s="59" t="str">
        <f>IF($A1505="","",[1]weekly_demand!F1506)</f>
        <v/>
      </c>
      <c r="C1505" s="60" t="str">
        <f>IF($A1505="","",[1]weekly_demand!H1506)</f>
        <v/>
      </c>
      <c r="D1505" s="61" t="str">
        <f>IF($A1505="","",IF(SUMIFS([1]Fixture_Capacity_Input!$C:$C,[1]Fixture_Capacity_Input!$A:$A,$B1505,[1]Fixture_Capacity_Input!$B:$B,$C1505)&gt;0,SUMIFS([1]Fixture_Capacity_Input!$C:$C,[1]Fixture_Capacity_Input!$A:$A,$B1505,[1]Fixture_Capacity_Input!$B:$B,$C1505),[1]weekly_demand!G1506))</f>
        <v/>
      </c>
      <c r="E1505" s="62" t="str">
        <f>IF($A1505="","",[1]weekly_demand!I1506)</f>
        <v/>
      </c>
      <c r="F1505" s="61" t="str">
        <f>IF($A1505="","",IF($A1505&lt;&gt;$A1504,IFERROR(INDEX([1]FG_Begin_Inventory!$B:$B,MATCH($A1505,[1]FG_Begin_Inventory!$A:$A,0)),0),J1504))</f>
        <v/>
      </c>
      <c r="G1505" s="61" t="str">
        <f t="shared" si="164"/>
        <v/>
      </c>
      <c r="H1505" s="61" t="str">
        <f t="shared" si="165"/>
        <v/>
      </c>
      <c r="I1505" s="62" t="str">
        <f t="shared" si="166"/>
        <v/>
      </c>
      <c r="J1505" s="61" t="str">
        <f t="shared" si="167"/>
        <v/>
      </c>
      <c r="K1505" s="61" t="str">
        <f t="shared" si="168"/>
        <v/>
      </c>
      <c r="L1505" s="61" t="str">
        <f t="shared" si="169"/>
        <v/>
      </c>
      <c r="M1505" s="63" t="str">
        <f t="shared" si="170"/>
        <v/>
      </c>
      <c r="N1505" s="64"/>
    </row>
    <row r="1506" spans="1:14" x14ac:dyDescent="0.3">
      <c r="A1506" s="58" t="str">
        <f>IF([1]weekly_demand!A1507="","",[1]weekly_demand!A1507)</f>
        <v/>
      </c>
      <c r="B1506" s="59" t="str">
        <f>IF($A1506="","",[1]weekly_demand!F1507)</f>
        <v/>
      </c>
      <c r="C1506" s="60" t="str">
        <f>IF($A1506="","",[1]weekly_demand!H1507)</f>
        <v/>
      </c>
      <c r="D1506" s="61" t="str">
        <f>IF($A1506="","",IF(SUMIFS([1]Fixture_Capacity_Input!$C:$C,[1]Fixture_Capacity_Input!$A:$A,$B1506,[1]Fixture_Capacity_Input!$B:$B,$C1506)&gt;0,SUMIFS([1]Fixture_Capacity_Input!$C:$C,[1]Fixture_Capacity_Input!$A:$A,$B1506,[1]Fixture_Capacity_Input!$B:$B,$C1506),[1]weekly_demand!G1507))</f>
        <v/>
      </c>
      <c r="E1506" s="62" t="str">
        <f>IF($A1506="","",[1]weekly_demand!I1507)</f>
        <v/>
      </c>
      <c r="F1506" s="61" t="str">
        <f>IF($A1506="","",IF($A1506&lt;&gt;$A1505,IFERROR(INDEX([1]FG_Begin_Inventory!$B:$B,MATCH($A1506,[1]FG_Begin_Inventory!$A:$A,0)),0),J1505))</f>
        <v/>
      </c>
      <c r="G1506" s="61" t="str">
        <f t="shared" si="164"/>
        <v/>
      </c>
      <c r="H1506" s="61" t="str">
        <f t="shared" si="165"/>
        <v/>
      </c>
      <c r="I1506" s="62" t="str">
        <f t="shared" si="166"/>
        <v/>
      </c>
      <c r="J1506" s="61" t="str">
        <f t="shared" si="167"/>
        <v/>
      </c>
      <c r="K1506" s="61" t="str">
        <f t="shared" si="168"/>
        <v/>
      </c>
      <c r="L1506" s="61" t="str">
        <f t="shared" si="169"/>
        <v/>
      </c>
      <c r="M1506" s="63" t="str">
        <f t="shared" si="170"/>
        <v/>
      </c>
      <c r="N1506" s="64"/>
    </row>
    <row r="1507" spans="1:14" x14ac:dyDescent="0.3">
      <c r="A1507" s="58" t="str">
        <f>IF([1]weekly_demand!A1508="","",[1]weekly_demand!A1508)</f>
        <v/>
      </c>
      <c r="B1507" s="59" t="str">
        <f>IF($A1507="","",[1]weekly_demand!F1508)</f>
        <v/>
      </c>
      <c r="C1507" s="60" t="str">
        <f>IF($A1507="","",[1]weekly_demand!H1508)</f>
        <v/>
      </c>
      <c r="D1507" s="61" t="str">
        <f>IF($A1507="","",IF(SUMIFS([1]Fixture_Capacity_Input!$C:$C,[1]Fixture_Capacity_Input!$A:$A,$B1507,[1]Fixture_Capacity_Input!$B:$B,$C1507)&gt;0,SUMIFS([1]Fixture_Capacity_Input!$C:$C,[1]Fixture_Capacity_Input!$A:$A,$B1507,[1]Fixture_Capacity_Input!$B:$B,$C1507),[1]weekly_demand!G1508))</f>
        <v/>
      </c>
      <c r="E1507" s="62" t="str">
        <f>IF($A1507="","",[1]weekly_demand!I1508)</f>
        <v/>
      </c>
      <c r="F1507" s="61" t="str">
        <f>IF($A1507="","",IF($A1507&lt;&gt;$A1506,IFERROR(INDEX([1]FG_Begin_Inventory!$B:$B,MATCH($A1507,[1]FG_Begin_Inventory!$A:$A,0)),0),J1506))</f>
        <v/>
      </c>
      <c r="G1507" s="61" t="str">
        <f t="shared" si="164"/>
        <v/>
      </c>
      <c r="H1507" s="61" t="str">
        <f t="shared" si="165"/>
        <v/>
      </c>
      <c r="I1507" s="62" t="str">
        <f t="shared" si="166"/>
        <v/>
      </c>
      <c r="J1507" s="61" t="str">
        <f t="shared" si="167"/>
        <v/>
      </c>
      <c r="K1507" s="61" t="str">
        <f t="shared" si="168"/>
        <v/>
      </c>
      <c r="L1507" s="61" t="str">
        <f t="shared" si="169"/>
        <v/>
      </c>
      <c r="M1507" s="63" t="str">
        <f t="shared" si="170"/>
        <v/>
      </c>
      <c r="N1507" s="64"/>
    </row>
    <row r="1508" spans="1:14" x14ac:dyDescent="0.3">
      <c r="A1508" s="58" t="str">
        <f>IF([1]weekly_demand!A1509="","",[1]weekly_demand!A1509)</f>
        <v/>
      </c>
      <c r="B1508" s="59" t="str">
        <f>IF($A1508="","",[1]weekly_demand!F1509)</f>
        <v/>
      </c>
      <c r="C1508" s="60" t="str">
        <f>IF($A1508="","",[1]weekly_demand!H1509)</f>
        <v/>
      </c>
      <c r="D1508" s="61" t="str">
        <f>IF($A1508="","",IF(SUMIFS([1]Fixture_Capacity_Input!$C:$C,[1]Fixture_Capacity_Input!$A:$A,$B1508,[1]Fixture_Capacity_Input!$B:$B,$C1508)&gt;0,SUMIFS([1]Fixture_Capacity_Input!$C:$C,[1]Fixture_Capacity_Input!$A:$A,$B1508,[1]Fixture_Capacity_Input!$B:$B,$C1508),[1]weekly_demand!G1509))</f>
        <v/>
      </c>
      <c r="E1508" s="62" t="str">
        <f>IF($A1508="","",[1]weekly_demand!I1509)</f>
        <v/>
      </c>
      <c r="F1508" s="61" t="str">
        <f>IF($A1508="","",IF($A1508&lt;&gt;$A1507,IFERROR(INDEX([1]FG_Begin_Inventory!$B:$B,MATCH($A1508,[1]FG_Begin_Inventory!$A:$A,0)),0),J1507))</f>
        <v/>
      </c>
      <c r="G1508" s="61" t="str">
        <f t="shared" si="164"/>
        <v/>
      </c>
      <c r="H1508" s="61" t="str">
        <f t="shared" si="165"/>
        <v/>
      </c>
      <c r="I1508" s="62" t="str">
        <f t="shared" si="166"/>
        <v/>
      </c>
      <c r="J1508" s="61" t="str">
        <f t="shared" si="167"/>
        <v/>
      </c>
      <c r="K1508" s="61" t="str">
        <f t="shared" si="168"/>
        <v/>
      </c>
      <c r="L1508" s="61" t="str">
        <f t="shared" si="169"/>
        <v/>
      </c>
      <c r="M1508" s="63" t="str">
        <f t="shared" si="170"/>
        <v/>
      </c>
      <c r="N1508" s="64"/>
    </row>
    <row r="1509" spans="1:14" x14ac:dyDescent="0.3">
      <c r="A1509" s="58" t="str">
        <f>IF([1]weekly_demand!A1510="","",[1]weekly_demand!A1510)</f>
        <v/>
      </c>
      <c r="B1509" s="59" t="str">
        <f>IF($A1509="","",[1]weekly_demand!F1510)</f>
        <v/>
      </c>
      <c r="C1509" s="60" t="str">
        <f>IF($A1509="","",[1]weekly_demand!H1510)</f>
        <v/>
      </c>
      <c r="D1509" s="61" t="str">
        <f>IF($A1509="","",IF(SUMIFS([1]Fixture_Capacity_Input!$C:$C,[1]Fixture_Capacity_Input!$A:$A,$B1509,[1]Fixture_Capacity_Input!$B:$B,$C1509)&gt;0,SUMIFS([1]Fixture_Capacity_Input!$C:$C,[1]Fixture_Capacity_Input!$A:$A,$B1509,[1]Fixture_Capacity_Input!$B:$B,$C1509),[1]weekly_demand!G1510))</f>
        <v/>
      </c>
      <c r="E1509" s="62" t="str">
        <f>IF($A1509="","",[1]weekly_demand!I1510)</f>
        <v/>
      </c>
      <c r="F1509" s="61" t="str">
        <f>IF($A1509="","",IF($A1509&lt;&gt;$A1508,IFERROR(INDEX([1]FG_Begin_Inventory!$B:$B,MATCH($A1509,[1]FG_Begin_Inventory!$A:$A,0)),0),J1508))</f>
        <v/>
      </c>
      <c r="G1509" s="61" t="str">
        <f t="shared" si="164"/>
        <v/>
      </c>
      <c r="H1509" s="61" t="str">
        <f t="shared" si="165"/>
        <v/>
      </c>
      <c r="I1509" s="62" t="str">
        <f t="shared" si="166"/>
        <v/>
      </c>
      <c r="J1509" s="61" t="str">
        <f t="shared" si="167"/>
        <v/>
      </c>
      <c r="K1509" s="61" t="str">
        <f t="shared" si="168"/>
        <v/>
      </c>
      <c r="L1509" s="61" t="str">
        <f t="shared" si="169"/>
        <v/>
      </c>
      <c r="M1509" s="63" t="str">
        <f t="shared" si="170"/>
        <v/>
      </c>
      <c r="N1509" s="64"/>
    </row>
    <row r="1510" spans="1:14" x14ac:dyDescent="0.3">
      <c r="A1510" s="58" t="str">
        <f>IF([1]weekly_demand!A1511="","",[1]weekly_demand!A1511)</f>
        <v/>
      </c>
      <c r="B1510" s="59" t="str">
        <f>IF($A1510="","",[1]weekly_demand!F1511)</f>
        <v/>
      </c>
      <c r="C1510" s="60" t="str">
        <f>IF($A1510="","",[1]weekly_demand!H1511)</f>
        <v/>
      </c>
      <c r="D1510" s="61" t="str">
        <f>IF($A1510="","",IF(SUMIFS([1]Fixture_Capacity_Input!$C:$C,[1]Fixture_Capacity_Input!$A:$A,$B1510,[1]Fixture_Capacity_Input!$B:$B,$C1510)&gt;0,SUMIFS([1]Fixture_Capacity_Input!$C:$C,[1]Fixture_Capacity_Input!$A:$A,$B1510,[1]Fixture_Capacity_Input!$B:$B,$C1510),[1]weekly_demand!G1511))</f>
        <v/>
      </c>
      <c r="E1510" s="62" t="str">
        <f>IF($A1510="","",[1]weekly_demand!I1511)</f>
        <v/>
      </c>
      <c r="F1510" s="61" t="str">
        <f>IF($A1510="","",IF($A1510&lt;&gt;$A1509,IFERROR(INDEX([1]FG_Begin_Inventory!$B:$B,MATCH($A1510,[1]FG_Begin_Inventory!$A:$A,0)),0),J1509))</f>
        <v/>
      </c>
      <c r="G1510" s="61" t="str">
        <f t="shared" si="164"/>
        <v/>
      </c>
      <c r="H1510" s="61" t="str">
        <f t="shared" si="165"/>
        <v/>
      </c>
      <c r="I1510" s="62" t="str">
        <f t="shared" si="166"/>
        <v/>
      </c>
      <c r="J1510" s="61" t="str">
        <f t="shared" si="167"/>
        <v/>
      </c>
      <c r="K1510" s="61" t="str">
        <f t="shared" si="168"/>
        <v/>
      </c>
      <c r="L1510" s="61" t="str">
        <f t="shared" si="169"/>
        <v/>
      </c>
      <c r="M1510" s="63" t="str">
        <f t="shared" si="170"/>
        <v/>
      </c>
      <c r="N1510" s="64"/>
    </row>
    <row r="1511" spans="1:14" x14ac:dyDescent="0.3">
      <c r="A1511" s="58" t="str">
        <f>IF([1]weekly_demand!A1512="","",[1]weekly_demand!A1512)</f>
        <v/>
      </c>
      <c r="B1511" s="59" t="str">
        <f>IF($A1511="","",[1]weekly_demand!F1512)</f>
        <v/>
      </c>
      <c r="C1511" s="60" t="str">
        <f>IF($A1511="","",[1]weekly_demand!H1512)</f>
        <v/>
      </c>
      <c r="D1511" s="61" t="str">
        <f>IF($A1511="","",IF(SUMIFS([1]Fixture_Capacity_Input!$C:$C,[1]Fixture_Capacity_Input!$A:$A,$B1511,[1]Fixture_Capacity_Input!$B:$B,$C1511)&gt;0,SUMIFS([1]Fixture_Capacity_Input!$C:$C,[1]Fixture_Capacity_Input!$A:$A,$B1511,[1]Fixture_Capacity_Input!$B:$B,$C1511),[1]weekly_demand!G1512))</f>
        <v/>
      </c>
      <c r="E1511" s="62" t="str">
        <f>IF($A1511="","",[1]weekly_demand!I1512)</f>
        <v/>
      </c>
      <c r="F1511" s="61" t="str">
        <f>IF($A1511="","",IF($A1511&lt;&gt;$A1510,IFERROR(INDEX([1]FG_Begin_Inventory!$B:$B,MATCH($A1511,[1]FG_Begin_Inventory!$A:$A,0)),0),J1510))</f>
        <v/>
      </c>
      <c r="G1511" s="61" t="str">
        <f t="shared" si="164"/>
        <v/>
      </c>
      <c r="H1511" s="61" t="str">
        <f t="shared" si="165"/>
        <v/>
      </c>
      <c r="I1511" s="62" t="str">
        <f t="shared" si="166"/>
        <v/>
      </c>
      <c r="J1511" s="61" t="str">
        <f t="shared" si="167"/>
        <v/>
      </c>
      <c r="K1511" s="61" t="str">
        <f t="shared" si="168"/>
        <v/>
      </c>
      <c r="L1511" s="61" t="str">
        <f t="shared" si="169"/>
        <v/>
      </c>
      <c r="M1511" s="63" t="str">
        <f t="shared" si="170"/>
        <v/>
      </c>
      <c r="N1511" s="64"/>
    </row>
    <row r="1512" spans="1:14" x14ac:dyDescent="0.3">
      <c r="A1512" s="58" t="str">
        <f>IF([1]weekly_demand!A1513="","",[1]weekly_demand!A1513)</f>
        <v/>
      </c>
      <c r="B1512" s="59" t="str">
        <f>IF($A1512="","",[1]weekly_demand!F1513)</f>
        <v/>
      </c>
      <c r="C1512" s="60" t="str">
        <f>IF($A1512="","",[1]weekly_demand!H1513)</f>
        <v/>
      </c>
      <c r="D1512" s="61" t="str">
        <f>IF($A1512="","",IF(SUMIFS([1]Fixture_Capacity_Input!$C:$C,[1]Fixture_Capacity_Input!$A:$A,$B1512,[1]Fixture_Capacity_Input!$B:$B,$C1512)&gt;0,SUMIFS([1]Fixture_Capacity_Input!$C:$C,[1]Fixture_Capacity_Input!$A:$A,$B1512,[1]Fixture_Capacity_Input!$B:$B,$C1512),[1]weekly_demand!G1513))</f>
        <v/>
      </c>
      <c r="E1512" s="62" t="str">
        <f>IF($A1512="","",[1]weekly_demand!I1513)</f>
        <v/>
      </c>
      <c r="F1512" s="61" t="str">
        <f>IF($A1512="","",IF($A1512&lt;&gt;$A1511,IFERROR(INDEX([1]FG_Begin_Inventory!$B:$B,MATCH($A1512,[1]FG_Begin_Inventory!$A:$A,0)),0),J1511))</f>
        <v/>
      </c>
      <c r="G1512" s="61" t="str">
        <f t="shared" si="164"/>
        <v/>
      </c>
      <c r="H1512" s="61" t="str">
        <f t="shared" si="165"/>
        <v/>
      </c>
      <c r="I1512" s="62" t="str">
        <f t="shared" si="166"/>
        <v/>
      </c>
      <c r="J1512" s="61" t="str">
        <f t="shared" si="167"/>
        <v/>
      </c>
      <c r="K1512" s="61" t="str">
        <f t="shared" si="168"/>
        <v/>
      </c>
      <c r="L1512" s="61" t="str">
        <f t="shared" si="169"/>
        <v/>
      </c>
      <c r="M1512" s="63" t="str">
        <f t="shared" si="170"/>
        <v/>
      </c>
      <c r="N1512" s="64"/>
    </row>
    <row r="1513" spans="1:14" x14ac:dyDescent="0.3">
      <c r="A1513" s="58" t="str">
        <f>IF([1]weekly_demand!A1514="","",[1]weekly_demand!A1514)</f>
        <v/>
      </c>
      <c r="B1513" s="59" t="str">
        <f>IF($A1513="","",[1]weekly_demand!F1514)</f>
        <v/>
      </c>
      <c r="C1513" s="60" t="str">
        <f>IF($A1513="","",[1]weekly_demand!H1514)</f>
        <v/>
      </c>
      <c r="D1513" s="61" t="str">
        <f>IF($A1513="","",IF(SUMIFS([1]Fixture_Capacity_Input!$C:$C,[1]Fixture_Capacity_Input!$A:$A,$B1513,[1]Fixture_Capacity_Input!$B:$B,$C1513)&gt;0,SUMIFS([1]Fixture_Capacity_Input!$C:$C,[1]Fixture_Capacity_Input!$A:$A,$B1513,[1]Fixture_Capacity_Input!$B:$B,$C1513),[1]weekly_demand!G1514))</f>
        <v/>
      </c>
      <c r="E1513" s="62" t="str">
        <f>IF($A1513="","",[1]weekly_demand!I1514)</f>
        <v/>
      </c>
      <c r="F1513" s="61" t="str">
        <f>IF($A1513="","",IF($A1513&lt;&gt;$A1512,IFERROR(INDEX([1]FG_Begin_Inventory!$B:$B,MATCH($A1513,[1]FG_Begin_Inventory!$A:$A,0)),0),J1512))</f>
        <v/>
      </c>
      <c r="G1513" s="61" t="str">
        <f t="shared" si="164"/>
        <v/>
      </c>
      <c r="H1513" s="61" t="str">
        <f t="shared" si="165"/>
        <v/>
      </c>
      <c r="I1513" s="62" t="str">
        <f t="shared" si="166"/>
        <v/>
      </c>
      <c r="J1513" s="61" t="str">
        <f t="shared" si="167"/>
        <v/>
      </c>
      <c r="K1513" s="61" t="str">
        <f t="shared" si="168"/>
        <v/>
      </c>
      <c r="L1513" s="61" t="str">
        <f t="shared" si="169"/>
        <v/>
      </c>
      <c r="M1513" s="63" t="str">
        <f t="shared" si="170"/>
        <v/>
      </c>
      <c r="N1513" s="64"/>
    </row>
    <row r="1514" spans="1:14" x14ac:dyDescent="0.3">
      <c r="A1514" s="58" t="str">
        <f>IF([1]weekly_demand!A1515="","",[1]weekly_demand!A1515)</f>
        <v/>
      </c>
      <c r="B1514" s="59" t="str">
        <f>IF($A1514="","",[1]weekly_demand!F1515)</f>
        <v/>
      </c>
      <c r="C1514" s="60" t="str">
        <f>IF($A1514="","",[1]weekly_demand!H1515)</f>
        <v/>
      </c>
      <c r="D1514" s="61" t="str">
        <f>IF($A1514="","",IF(SUMIFS([1]Fixture_Capacity_Input!$C:$C,[1]Fixture_Capacity_Input!$A:$A,$B1514,[1]Fixture_Capacity_Input!$B:$B,$C1514)&gt;0,SUMIFS([1]Fixture_Capacity_Input!$C:$C,[1]Fixture_Capacity_Input!$A:$A,$B1514,[1]Fixture_Capacity_Input!$B:$B,$C1514),[1]weekly_demand!G1515))</f>
        <v/>
      </c>
      <c r="E1514" s="62" t="str">
        <f>IF($A1514="","",[1]weekly_demand!I1515)</f>
        <v/>
      </c>
      <c r="F1514" s="61" t="str">
        <f>IF($A1514="","",IF($A1514&lt;&gt;$A1513,IFERROR(INDEX([1]FG_Begin_Inventory!$B:$B,MATCH($A1514,[1]FG_Begin_Inventory!$A:$A,0)),0),J1513))</f>
        <v/>
      </c>
      <c r="G1514" s="61" t="str">
        <f t="shared" si="164"/>
        <v/>
      </c>
      <c r="H1514" s="61" t="str">
        <f t="shared" si="165"/>
        <v/>
      </c>
      <c r="I1514" s="62" t="str">
        <f t="shared" si="166"/>
        <v/>
      </c>
      <c r="J1514" s="61" t="str">
        <f t="shared" si="167"/>
        <v/>
      </c>
      <c r="K1514" s="61" t="str">
        <f t="shared" si="168"/>
        <v/>
      </c>
      <c r="L1514" s="61" t="str">
        <f t="shared" si="169"/>
        <v/>
      </c>
      <c r="M1514" s="63" t="str">
        <f t="shared" si="170"/>
        <v/>
      </c>
      <c r="N1514" s="64"/>
    </row>
    <row r="1515" spans="1:14" x14ac:dyDescent="0.3">
      <c r="A1515" s="58" t="str">
        <f>IF([1]weekly_demand!A1516="","",[1]weekly_demand!A1516)</f>
        <v/>
      </c>
      <c r="B1515" s="59" t="str">
        <f>IF($A1515="","",[1]weekly_demand!F1516)</f>
        <v/>
      </c>
      <c r="C1515" s="60" t="str">
        <f>IF($A1515="","",[1]weekly_demand!H1516)</f>
        <v/>
      </c>
      <c r="D1515" s="61" t="str">
        <f>IF($A1515="","",IF(SUMIFS([1]Fixture_Capacity_Input!$C:$C,[1]Fixture_Capacity_Input!$A:$A,$B1515,[1]Fixture_Capacity_Input!$B:$B,$C1515)&gt;0,SUMIFS([1]Fixture_Capacity_Input!$C:$C,[1]Fixture_Capacity_Input!$A:$A,$B1515,[1]Fixture_Capacity_Input!$B:$B,$C1515),[1]weekly_demand!G1516))</f>
        <v/>
      </c>
      <c r="E1515" s="62" t="str">
        <f>IF($A1515="","",[1]weekly_demand!I1516)</f>
        <v/>
      </c>
      <c r="F1515" s="61" t="str">
        <f>IF($A1515="","",IF($A1515&lt;&gt;$A1514,IFERROR(INDEX([1]FG_Begin_Inventory!$B:$B,MATCH($A1515,[1]FG_Begin_Inventory!$A:$A,0)),0),J1514))</f>
        <v/>
      </c>
      <c r="G1515" s="61" t="str">
        <f t="shared" si="164"/>
        <v/>
      </c>
      <c r="H1515" s="61" t="str">
        <f t="shared" si="165"/>
        <v/>
      </c>
      <c r="I1515" s="62" t="str">
        <f t="shared" si="166"/>
        <v/>
      </c>
      <c r="J1515" s="61" t="str">
        <f t="shared" si="167"/>
        <v/>
      </c>
      <c r="K1515" s="61" t="str">
        <f t="shared" si="168"/>
        <v/>
      </c>
      <c r="L1515" s="61" t="str">
        <f t="shared" si="169"/>
        <v/>
      </c>
      <c r="M1515" s="63" t="str">
        <f t="shared" si="170"/>
        <v/>
      </c>
      <c r="N1515" s="64"/>
    </row>
    <row r="1516" spans="1:14" x14ac:dyDescent="0.3">
      <c r="A1516" s="58" t="str">
        <f>IF([1]weekly_demand!A1517="","",[1]weekly_demand!A1517)</f>
        <v/>
      </c>
      <c r="B1516" s="59" t="str">
        <f>IF($A1516="","",[1]weekly_demand!F1517)</f>
        <v/>
      </c>
      <c r="C1516" s="60" t="str">
        <f>IF($A1516="","",[1]weekly_demand!H1517)</f>
        <v/>
      </c>
      <c r="D1516" s="61" t="str">
        <f>IF($A1516="","",IF(SUMIFS([1]Fixture_Capacity_Input!$C:$C,[1]Fixture_Capacity_Input!$A:$A,$B1516,[1]Fixture_Capacity_Input!$B:$B,$C1516)&gt;0,SUMIFS([1]Fixture_Capacity_Input!$C:$C,[1]Fixture_Capacity_Input!$A:$A,$B1516,[1]Fixture_Capacity_Input!$B:$B,$C1516),[1]weekly_demand!G1517))</f>
        <v/>
      </c>
      <c r="E1516" s="62" t="str">
        <f>IF($A1516="","",[1]weekly_demand!I1517)</f>
        <v/>
      </c>
      <c r="F1516" s="61" t="str">
        <f>IF($A1516="","",IF($A1516&lt;&gt;$A1515,IFERROR(INDEX([1]FG_Begin_Inventory!$B:$B,MATCH($A1516,[1]FG_Begin_Inventory!$A:$A,0)),0),J1515))</f>
        <v/>
      </c>
      <c r="G1516" s="61" t="str">
        <f t="shared" si="164"/>
        <v/>
      </c>
      <c r="H1516" s="61" t="str">
        <f t="shared" si="165"/>
        <v/>
      </c>
      <c r="I1516" s="62" t="str">
        <f t="shared" si="166"/>
        <v/>
      </c>
      <c r="J1516" s="61" t="str">
        <f t="shared" si="167"/>
        <v/>
      </c>
      <c r="K1516" s="61" t="str">
        <f t="shared" si="168"/>
        <v/>
      </c>
      <c r="L1516" s="61" t="str">
        <f t="shared" si="169"/>
        <v/>
      </c>
      <c r="M1516" s="63" t="str">
        <f t="shared" si="170"/>
        <v/>
      </c>
      <c r="N1516" s="64"/>
    </row>
    <row r="1517" spans="1:14" x14ac:dyDescent="0.3">
      <c r="A1517" s="58" t="str">
        <f>IF([1]weekly_demand!A1518="","",[1]weekly_demand!A1518)</f>
        <v/>
      </c>
      <c r="B1517" s="59" t="str">
        <f>IF($A1517="","",[1]weekly_demand!F1518)</f>
        <v/>
      </c>
      <c r="C1517" s="60" t="str">
        <f>IF($A1517="","",[1]weekly_demand!H1518)</f>
        <v/>
      </c>
      <c r="D1517" s="61" t="str">
        <f>IF($A1517="","",IF(SUMIFS([1]Fixture_Capacity_Input!$C:$C,[1]Fixture_Capacity_Input!$A:$A,$B1517,[1]Fixture_Capacity_Input!$B:$B,$C1517)&gt;0,SUMIFS([1]Fixture_Capacity_Input!$C:$C,[1]Fixture_Capacity_Input!$A:$A,$B1517,[1]Fixture_Capacity_Input!$B:$B,$C1517),[1]weekly_demand!G1518))</f>
        <v/>
      </c>
      <c r="E1517" s="62" t="str">
        <f>IF($A1517="","",[1]weekly_demand!I1518)</f>
        <v/>
      </c>
      <c r="F1517" s="61" t="str">
        <f>IF($A1517="","",IF($A1517&lt;&gt;$A1516,IFERROR(INDEX([1]FG_Begin_Inventory!$B:$B,MATCH($A1517,[1]FG_Begin_Inventory!$A:$A,0)),0),J1516))</f>
        <v/>
      </c>
      <c r="G1517" s="61" t="str">
        <f t="shared" si="164"/>
        <v/>
      </c>
      <c r="H1517" s="61" t="str">
        <f t="shared" si="165"/>
        <v/>
      </c>
      <c r="I1517" s="62" t="str">
        <f t="shared" si="166"/>
        <v/>
      </c>
      <c r="J1517" s="61" t="str">
        <f t="shared" si="167"/>
        <v/>
      </c>
      <c r="K1517" s="61" t="str">
        <f t="shared" si="168"/>
        <v/>
      </c>
      <c r="L1517" s="61" t="str">
        <f t="shared" si="169"/>
        <v/>
      </c>
      <c r="M1517" s="63" t="str">
        <f t="shared" si="170"/>
        <v/>
      </c>
      <c r="N1517" s="64"/>
    </row>
    <row r="1518" spans="1:14" x14ac:dyDescent="0.3">
      <c r="A1518" s="58" t="str">
        <f>IF([1]weekly_demand!A1519="","",[1]weekly_demand!A1519)</f>
        <v/>
      </c>
      <c r="B1518" s="59" t="str">
        <f>IF($A1518="","",[1]weekly_demand!F1519)</f>
        <v/>
      </c>
      <c r="C1518" s="60" t="str">
        <f>IF($A1518="","",[1]weekly_demand!H1519)</f>
        <v/>
      </c>
      <c r="D1518" s="61" t="str">
        <f>IF($A1518="","",IF(SUMIFS([1]Fixture_Capacity_Input!$C:$C,[1]Fixture_Capacity_Input!$A:$A,$B1518,[1]Fixture_Capacity_Input!$B:$B,$C1518)&gt;0,SUMIFS([1]Fixture_Capacity_Input!$C:$C,[1]Fixture_Capacity_Input!$A:$A,$B1518,[1]Fixture_Capacity_Input!$B:$B,$C1518),[1]weekly_demand!G1519))</f>
        <v/>
      </c>
      <c r="E1518" s="62" t="str">
        <f>IF($A1518="","",[1]weekly_demand!I1519)</f>
        <v/>
      </c>
      <c r="F1518" s="61" t="str">
        <f>IF($A1518="","",IF($A1518&lt;&gt;$A1517,IFERROR(INDEX([1]FG_Begin_Inventory!$B:$B,MATCH($A1518,[1]FG_Begin_Inventory!$A:$A,0)),0),J1517))</f>
        <v/>
      </c>
      <c r="G1518" s="61" t="str">
        <f t="shared" si="164"/>
        <v/>
      </c>
      <c r="H1518" s="61" t="str">
        <f t="shared" si="165"/>
        <v/>
      </c>
      <c r="I1518" s="62" t="str">
        <f t="shared" si="166"/>
        <v/>
      </c>
      <c r="J1518" s="61" t="str">
        <f t="shared" si="167"/>
        <v/>
      </c>
      <c r="K1518" s="61" t="str">
        <f t="shared" si="168"/>
        <v/>
      </c>
      <c r="L1518" s="61" t="str">
        <f t="shared" si="169"/>
        <v/>
      </c>
      <c r="M1518" s="63" t="str">
        <f t="shared" si="170"/>
        <v/>
      </c>
      <c r="N1518" s="64"/>
    </row>
    <row r="1519" spans="1:14" x14ac:dyDescent="0.3">
      <c r="A1519" s="58" t="str">
        <f>IF([1]weekly_demand!A1520="","",[1]weekly_demand!A1520)</f>
        <v/>
      </c>
      <c r="B1519" s="59" t="str">
        <f>IF($A1519="","",[1]weekly_demand!F1520)</f>
        <v/>
      </c>
      <c r="C1519" s="60" t="str">
        <f>IF($A1519="","",[1]weekly_demand!H1520)</f>
        <v/>
      </c>
      <c r="D1519" s="61" t="str">
        <f>IF($A1519="","",IF(SUMIFS([1]Fixture_Capacity_Input!$C:$C,[1]Fixture_Capacity_Input!$A:$A,$B1519,[1]Fixture_Capacity_Input!$B:$B,$C1519)&gt;0,SUMIFS([1]Fixture_Capacity_Input!$C:$C,[1]Fixture_Capacity_Input!$A:$A,$B1519,[1]Fixture_Capacity_Input!$B:$B,$C1519),[1]weekly_demand!G1520))</f>
        <v/>
      </c>
      <c r="E1519" s="62" t="str">
        <f>IF($A1519="","",[1]weekly_demand!I1520)</f>
        <v/>
      </c>
      <c r="F1519" s="61" t="str">
        <f>IF($A1519="","",IF($A1519&lt;&gt;$A1518,IFERROR(INDEX([1]FG_Begin_Inventory!$B:$B,MATCH($A1519,[1]FG_Begin_Inventory!$A:$A,0)),0),J1518))</f>
        <v/>
      </c>
      <c r="G1519" s="61" t="str">
        <f t="shared" si="164"/>
        <v/>
      </c>
      <c r="H1519" s="61" t="str">
        <f t="shared" si="165"/>
        <v/>
      </c>
      <c r="I1519" s="62" t="str">
        <f t="shared" si="166"/>
        <v/>
      </c>
      <c r="J1519" s="61" t="str">
        <f t="shared" si="167"/>
        <v/>
      </c>
      <c r="K1519" s="61" t="str">
        <f t="shared" si="168"/>
        <v/>
      </c>
      <c r="L1519" s="61" t="str">
        <f t="shared" si="169"/>
        <v/>
      </c>
      <c r="M1519" s="63" t="str">
        <f t="shared" si="170"/>
        <v/>
      </c>
      <c r="N1519" s="64"/>
    </row>
    <row r="1520" spans="1:14" x14ac:dyDescent="0.3">
      <c r="A1520" s="58" t="str">
        <f>IF([1]weekly_demand!A1521="","",[1]weekly_demand!A1521)</f>
        <v/>
      </c>
      <c r="B1520" s="59" t="str">
        <f>IF($A1520="","",[1]weekly_demand!F1521)</f>
        <v/>
      </c>
      <c r="C1520" s="60" t="str">
        <f>IF($A1520="","",[1]weekly_demand!H1521)</f>
        <v/>
      </c>
      <c r="D1520" s="61" t="str">
        <f>IF($A1520="","",IF(SUMIFS([1]Fixture_Capacity_Input!$C:$C,[1]Fixture_Capacity_Input!$A:$A,$B1520,[1]Fixture_Capacity_Input!$B:$B,$C1520)&gt;0,SUMIFS([1]Fixture_Capacity_Input!$C:$C,[1]Fixture_Capacity_Input!$A:$A,$B1520,[1]Fixture_Capacity_Input!$B:$B,$C1520),[1]weekly_demand!G1521))</f>
        <v/>
      </c>
      <c r="E1520" s="62" t="str">
        <f>IF($A1520="","",[1]weekly_demand!I1521)</f>
        <v/>
      </c>
      <c r="F1520" s="61" t="str">
        <f>IF($A1520="","",IF($A1520&lt;&gt;$A1519,IFERROR(INDEX([1]FG_Begin_Inventory!$B:$B,MATCH($A1520,[1]FG_Begin_Inventory!$A:$A,0)),0),J1519))</f>
        <v/>
      </c>
      <c r="G1520" s="61" t="str">
        <f t="shared" si="164"/>
        <v/>
      </c>
      <c r="H1520" s="61" t="str">
        <f t="shared" si="165"/>
        <v/>
      </c>
      <c r="I1520" s="62" t="str">
        <f t="shared" si="166"/>
        <v/>
      </c>
      <c r="J1520" s="61" t="str">
        <f t="shared" si="167"/>
        <v/>
      </c>
      <c r="K1520" s="61" t="str">
        <f t="shared" si="168"/>
        <v/>
      </c>
      <c r="L1520" s="61" t="str">
        <f t="shared" si="169"/>
        <v/>
      </c>
      <c r="M1520" s="63" t="str">
        <f t="shared" si="170"/>
        <v/>
      </c>
      <c r="N1520" s="64"/>
    </row>
    <row r="1521" spans="1:14" x14ac:dyDescent="0.3">
      <c r="A1521" s="58" t="str">
        <f>IF([1]weekly_demand!A1522="","",[1]weekly_demand!A1522)</f>
        <v/>
      </c>
      <c r="B1521" s="59" t="str">
        <f>IF($A1521="","",[1]weekly_demand!F1522)</f>
        <v/>
      </c>
      <c r="C1521" s="60" t="str">
        <f>IF($A1521="","",[1]weekly_demand!H1522)</f>
        <v/>
      </c>
      <c r="D1521" s="61" t="str">
        <f>IF($A1521="","",IF(SUMIFS([1]Fixture_Capacity_Input!$C:$C,[1]Fixture_Capacity_Input!$A:$A,$B1521,[1]Fixture_Capacity_Input!$B:$B,$C1521)&gt;0,SUMIFS([1]Fixture_Capacity_Input!$C:$C,[1]Fixture_Capacity_Input!$A:$A,$B1521,[1]Fixture_Capacity_Input!$B:$B,$C1521),[1]weekly_demand!G1522))</f>
        <v/>
      </c>
      <c r="E1521" s="62" t="str">
        <f>IF($A1521="","",[1]weekly_demand!I1522)</f>
        <v/>
      </c>
      <c r="F1521" s="61" t="str">
        <f>IF($A1521="","",IF($A1521&lt;&gt;$A1520,IFERROR(INDEX([1]FG_Begin_Inventory!$B:$B,MATCH($A1521,[1]FG_Begin_Inventory!$A:$A,0)),0),J1520))</f>
        <v/>
      </c>
      <c r="G1521" s="61" t="str">
        <f t="shared" si="164"/>
        <v/>
      </c>
      <c r="H1521" s="61" t="str">
        <f t="shared" si="165"/>
        <v/>
      </c>
      <c r="I1521" s="62" t="str">
        <f t="shared" si="166"/>
        <v/>
      </c>
      <c r="J1521" s="61" t="str">
        <f t="shared" si="167"/>
        <v/>
      </c>
      <c r="K1521" s="61" t="str">
        <f t="shared" si="168"/>
        <v/>
      </c>
      <c r="L1521" s="61" t="str">
        <f t="shared" si="169"/>
        <v/>
      </c>
      <c r="M1521" s="63" t="str">
        <f t="shared" si="170"/>
        <v/>
      </c>
      <c r="N1521" s="64"/>
    </row>
    <row r="1522" spans="1:14" x14ac:dyDescent="0.3">
      <c r="A1522" s="58" t="str">
        <f>IF([1]weekly_demand!A1523="","",[1]weekly_demand!A1523)</f>
        <v/>
      </c>
      <c r="B1522" s="59" t="str">
        <f>IF($A1522="","",[1]weekly_demand!F1523)</f>
        <v/>
      </c>
      <c r="C1522" s="60" t="str">
        <f>IF($A1522="","",[1]weekly_demand!H1523)</f>
        <v/>
      </c>
      <c r="D1522" s="61" t="str">
        <f>IF($A1522="","",IF(SUMIFS([1]Fixture_Capacity_Input!$C:$C,[1]Fixture_Capacity_Input!$A:$A,$B1522,[1]Fixture_Capacity_Input!$B:$B,$C1522)&gt;0,SUMIFS([1]Fixture_Capacity_Input!$C:$C,[1]Fixture_Capacity_Input!$A:$A,$B1522,[1]Fixture_Capacity_Input!$B:$B,$C1522),[1]weekly_demand!G1523))</f>
        <v/>
      </c>
      <c r="E1522" s="62" t="str">
        <f>IF($A1522="","",[1]weekly_demand!I1523)</f>
        <v/>
      </c>
      <c r="F1522" s="61" t="str">
        <f>IF($A1522="","",IF($A1522&lt;&gt;$A1521,IFERROR(INDEX([1]FG_Begin_Inventory!$B:$B,MATCH($A1522,[1]FG_Begin_Inventory!$A:$A,0)),0),J1521))</f>
        <v/>
      </c>
      <c r="G1522" s="61" t="str">
        <f t="shared" si="164"/>
        <v/>
      </c>
      <c r="H1522" s="61" t="str">
        <f t="shared" si="165"/>
        <v/>
      </c>
      <c r="I1522" s="62" t="str">
        <f t="shared" si="166"/>
        <v/>
      </c>
      <c r="J1522" s="61" t="str">
        <f t="shared" si="167"/>
        <v/>
      </c>
      <c r="K1522" s="61" t="str">
        <f t="shared" si="168"/>
        <v/>
      </c>
      <c r="L1522" s="61" t="str">
        <f t="shared" si="169"/>
        <v/>
      </c>
      <c r="M1522" s="63" t="str">
        <f t="shared" si="170"/>
        <v/>
      </c>
      <c r="N1522" s="64"/>
    </row>
    <row r="1523" spans="1:14" x14ac:dyDescent="0.3">
      <c r="A1523" s="58" t="str">
        <f>IF([1]weekly_demand!A1524="","",[1]weekly_demand!A1524)</f>
        <v/>
      </c>
      <c r="B1523" s="59" t="str">
        <f>IF($A1523="","",[1]weekly_demand!F1524)</f>
        <v/>
      </c>
      <c r="C1523" s="60" t="str">
        <f>IF($A1523="","",[1]weekly_demand!H1524)</f>
        <v/>
      </c>
      <c r="D1523" s="61" t="str">
        <f>IF($A1523="","",IF(SUMIFS([1]Fixture_Capacity_Input!$C:$C,[1]Fixture_Capacity_Input!$A:$A,$B1523,[1]Fixture_Capacity_Input!$B:$B,$C1523)&gt;0,SUMIFS([1]Fixture_Capacity_Input!$C:$C,[1]Fixture_Capacity_Input!$A:$A,$B1523,[1]Fixture_Capacity_Input!$B:$B,$C1523),[1]weekly_demand!G1524))</f>
        <v/>
      </c>
      <c r="E1523" s="62" t="str">
        <f>IF($A1523="","",[1]weekly_demand!I1524)</f>
        <v/>
      </c>
      <c r="F1523" s="61" t="str">
        <f>IF($A1523="","",IF($A1523&lt;&gt;$A1522,IFERROR(INDEX([1]FG_Begin_Inventory!$B:$B,MATCH($A1523,[1]FG_Begin_Inventory!$A:$A,0)),0),J1522))</f>
        <v/>
      </c>
      <c r="G1523" s="61" t="str">
        <f t="shared" ref="G1523:G1586" si="171">IF($A1523="","",IF($A1523&lt;&gt;$A1524,0,MAX(0,G1524+E1524-D1524)))</f>
        <v/>
      </c>
      <c r="H1523" s="61" t="str">
        <f t="shared" si="165"/>
        <v/>
      </c>
      <c r="I1523" s="62" t="str">
        <f t="shared" si="166"/>
        <v/>
      </c>
      <c r="J1523" s="61" t="str">
        <f t="shared" si="167"/>
        <v/>
      </c>
      <c r="K1523" s="61" t="str">
        <f t="shared" si="168"/>
        <v/>
      </c>
      <c r="L1523" s="61" t="str">
        <f t="shared" si="169"/>
        <v/>
      </c>
      <c r="M1523" s="63" t="str">
        <f t="shared" si="170"/>
        <v/>
      </c>
      <c r="N1523" s="64"/>
    </row>
    <row r="1524" spans="1:14" x14ac:dyDescent="0.3">
      <c r="A1524" s="58" t="str">
        <f>IF([1]weekly_demand!A1525="","",[1]weekly_demand!A1525)</f>
        <v/>
      </c>
      <c r="B1524" s="59" t="str">
        <f>IF($A1524="","",[1]weekly_demand!F1525)</f>
        <v/>
      </c>
      <c r="C1524" s="60" t="str">
        <f>IF($A1524="","",[1]weekly_demand!H1525)</f>
        <v/>
      </c>
      <c r="D1524" s="61" t="str">
        <f>IF($A1524="","",IF(SUMIFS([1]Fixture_Capacity_Input!$C:$C,[1]Fixture_Capacity_Input!$A:$A,$B1524,[1]Fixture_Capacity_Input!$B:$B,$C1524)&gt;0,SUMIFS([1]Fixture_Capacity_Input!$C:$C,[1]Fixture_Capacity_Input!$A:$A,$B1524,[1]Fixture_Capacity_Input!$B:$B,$C1524),[1]weekly_demand!G1525))</f>
        <v/>
      </c>
      <c r="E1524" s="62" t="str">
        <f>IF($A1524="","",[1]weekly_demand!I1525)</f>
        <v/>
      </c>
      <c r="F1524" s="61" t="str">
        <f>IF($A1524="","",IF($A1524&lt;&gt;$A1523,IFERROR(INDEX([1]FG_Begin_Inventory!$B:$B,MATCH($A1524,[1]FG_Begin_Inventory!$A:$A,0)),0),J1523))</f>
        <v/>
      </c>
      <c r="G1524" s="61" t="str">
        <f t="shared" si="171"/>
        <v/>
      </c>
      <c r="H1524" s="61" t="str">
        <f t="shared" si="165"/>
        <v/>
      </c>
      <c r="I1524" s="62" t="str">
        <f t="shared" si="166"/>
        <v/>
      </c>
      <c r="J1524" s="61" t="str">
        <f t="shared" si="167"/>
        <v/>
      </c>
      <c r="K1524" s="61" t="str">
        <f t="shared" si="168"/>
        <v/>
      </c>
      <c r="L1524" s="61" t="str">
        <f t="shared" si="169"/>
        <v/>
      </c>
      <c r="M1524" s="63" t="str">
        <f t="shared" si="170"/>
        <v/>
      </c>
      <c r="N1524" s="64"/>
    </row>
    <row r="1525" spans="1:14" x14ac:dyDescent="0.3">
      <c r="A1525" s="58" t="str">
        <f>IF([1]weekly_demand!A1526="","",[1]weekly_demand!A1526)</f>
        <v/>
      </c>
      <c r="B1525" s="59" t="str">
        <f>IF($A1525="","",[1]weekly_demand!F1526)</f>
        <v/>
      </c>
      <c r="C1525" s="60" t="str">
        <f>IF($A1525="","",[1]weekly_demand!H1526)</f>
        <v/>
      </c>
      <c r="D1525" s="61" t="str">
        <f>IF($A1525="","",IF(SUMIFS([1]Fixture_Capacity_Input!$C:$C,[1]Fixture_Capacity_Input!$A:$A,$B1525,[1]Fixture_Capacity_Input!$B:$B,$C1525)&gt;0,SUMIFS([1]Fixture_Capacity_Input!$C:$C,[1]Fixture_Capacity_Input!$A:$A,$B1525,[1]Fixture_Capacity_Input!$B:$B,$C1525),[1]weekly_demand!G1526))</f>
        <v/>
      </c>
      <c r="E1525" s="62" t="str">
        <f>IF($A1525="","",[1]weekly_demand!I1526)</f>
        <v/>
      </c>
      <c r="F1525" s="61" t="str">
        <f>IF($A1525="","",IF($A1525&lt;&gt;$A1524,IFERROR(INDEX([1]FG_Begin_Inventory!$B:$B,MATCH($A1525,[1]FG_Begin_Inventory!$A:$A,0)),0),J1524))</f>
        <v/>
      </c>
      <c r="G1525" s="61" t="str">
        <f t="shared" si="171"/>
        <v/>
      </c>
      <c r="H1525" s="61" t="str">
        <f t="shared" si="165"/>
        <v/>
      </c>
      <c r="I1525" s="62" t="str">
        <f t="shared" si="166"/>
        <v/>
      </c>
      <c r="J1525" s="61" t="str">
        <f t="shared" si="167"/>
        <v/>
      </c>
      <c r="K1525" s="61" t="str">
        <f t="shared" si="168"/>
        <v/>
      </c>
      <c r="L1525" s="61" t="str">
        <f t="shared" si="169"/>
        <v/>
      </c>
      <c r="M1525" s="63" t="str">
        <f t="shared" si="170"/>
        <v/>
      </c>
      <c r="N1525" s="64"/>
    </row>
    <row r="1526" spans="1:14" x14ac:dyDescent="0.3">
      <c r="A1526" s="58" t="str">
        <f>IF([1]weekly_demand!A1527="","",[1]weekly_demand!A1527)</f>
        <v/>
      </c>
      <c r="B1526" s="59" t="str">
        <f>IF($A1526="","",[1]weekly_demand!F1527)</f>
        <v/>
      </c>
      <c r="C1526" s="60" t="str">
        <f>IF($A1526="","",[1]weekly_demand!H1527)</f>
        <v/>
      </c>
      <c r="D1526" s="61" t="str">
        <f>IF($A1526="","",IF(SUMIFS([1]Fixture_Capacity_Input!$C:$C,[1]Fixture_Capacity_Input!$A:$A,$B1526,[1]Fixture_Capacity_Input!$B:$B,$C1526)&gt;0,SUMIFS([1]Fixture_Capacity_Input!$C:$C,[1]Fixture_Capacity_Input!$A:$A,$B1526,[1]Fixture_Capacity_Input!$B:$B,$C1526),[1]weekly_demand!G1527))</f>
        <v/>
      </c>
      <c r="E1526" s="62" t="str">
        <f>IF($A1526="","",[1]weekly_demand!I1527)</f>
        <v/>
      </c>
      <c r="F1526" s="61" t="str">
        <f>IF($A1526="","",IF($A1526&lt;&gt;$A1525,IFERROR(INDEX([1]FG_Begin_Inventory!$B:$B,MATCH($A1526,[1]FG_Begin_Inventory!$A:$A,0)),0),J1525))</f>
        <v/>
      </c>
      <c r="G1526" s="61" t="str">
        <f t="shared" si="171"/>
        <v/>
      </c>
      <c r="H1526" s="61" t="str">
        <f t="shared" si="165"/>
        <v/>
      </c>
      <c r="I1526" s="62" t="str">
        <f t="shared" si="166"/>
        <v/>
      </c>
      <c r="J1526" s="61" t="str">
        <f t="shared" si="167"/>
        <v/>
      </c>
      <c r="K1526" s="61" t="str">
        <f t="shared" si="168"/>
        <v/>
      </c>
      <c r="L1526" s="61" t="str">
        <f t="shared" si="169"/>
        <v/>
      </c>
      <c r="M1526" s="63" t="str">
        <f t="shared" si="170"/>
        <v/>
      </c>
      <c r="N1526" s="64"/>
    </row>
    <row r="1527" spans="1:14" x14ac:dyDescent="0.3">
      <c r="A1527" s="58" t="str">
        <f>IF([1]weekly_demand!A1528="","",[1]weekly_demand!A1528)</f>
        <v/>
      </c>
      <c r="B1527" s="59" t="str">
        <f>IF($A1527="","",[1]weekly_demand!F1528)</f>
        <v/>
      </c>
      <c r="C1527" s="60" t="str">
        <f>IF($A1527="","",[1]weekly_demand!H1528)</f>
        <v/>
      </c>
      <c r="D1527" s="61" t="str">
        <f>IF($A1527="","",IF(SUMIFS([1]Fixture_Capacity_Input!$C:$C,[1]Fixture_Capacity_Input!$A:$A,$B1527,[1]Fixture_Capacity_Input!$B:$B,$C1527)&gt;0,SUMIFS([1]Fixture_Capacity_Input!$C:$C,[1]Fixture_Capacity_Input!$A:$A,$B1527,[1]Fixture_Capacity_Input!$B:$B,$C1527),[1]weekly_demand!G1528))</f>
        <v/>
      </c>
      <c r="E1527" s="62" t="str">
        <f>IF($A1527="","",[1]weekly_demand!I1528)</f>
        <v/>
      </c>
      <c r="F1527" s="61" t="str">
        <f>IF($A1527="","",IF($A1527&lt;&gt;$A1526,IFERROR(INDEX([1]FG_Begin_Inventory!$B:$B,MATCH($A1527,[1]FG_Begin_Inventory!$A:$A,0)),0),J1526))</f>
        <v/>
      </c>
      <c r="G1527" s="61" t="str">
        <f t="shared" si="171"/>
        <v/>
      </c>
      <c r="H1527" s="61" t="str">
        <f t="shared" si="165"/>
        <v/>
      </c>
      <c r="I1527" s="62" t="str">
        <f t="shared" si="166"/>
        <v/>
      </c>
      <c r="J1527" s="61" t="str">
        <f t="shared" si="167"/>
        <v/>
      </c>
      <c r="K1527" s="61" t="str">
        <f t="shared" si="168"/>
        <v/>
      </c>
      <c r="L1527" s="61" t="str">
        <f t="shared" si="169"/>
        <v/>
      </c>
      <c r="M1527" s="63" t="str">
        <f t="shared" si="170"/>
        <v/>
      </c>
      <c r="N1527" s="64"/>
    </row>
    <row r="1528" spans="1:14" x14ac:dyDescent="0.3">
      <c r="A1528" s="58" t="str">
        <f>IF([1]weekly_demand!A1529="","",[1]weekly_demand!A1529)</f>
        <v/>
      </c>
      <c r="B1528" s="59" t="str">
        <f>IF($A1528="","",[1]weekly_demand!F1529)</f>
        <v/>
      </c>
      <c r="C1528" s="60" t="str">
        <f>IF($A1528="","",[1]weekly_demand!H1529)</f>
        <v/>
      </c>
      <c r="D1528" s="61" t="str">
        <f>IF($A1528="","",IF(SUMIFS([1]Fixture_Capacity_Input!$C:$C,[1]Fixture_Capacity_Input!$A:$A,$B1528,[1]Fixture_Capacity_Input!$B:$B,$C1528)&gt;0,SUMIFS([1]Fixture_Capacity_Input!$C:$C,[1]Fixture_Capacity_Input!$A:$A,$B1528,[1]Fixture_Capacity_Input!$B:$B,$C1528),[1]weekly_demand!G1529))</f>
        <v/>
      </c>
      <c r="E1528" s="62" t="str">
        <f>IF($A1528="","",[1]weekly_demand!I1529)</f>
        <v/>
      </c>
      <c r="F1528" s="61" t="str">
        <f>IF($A1528="","",IF($A1528&lt;&gt;$A1527,IFERROR(INDEX([1]FG_Begin_Inventory!$B:$B,MATCH($A1528,[1]FG_Begin_Inventory!$A:$A,0)),0),J1527))</f>
        <v/>
      </c>
      <c r="G1528" s="61" t="str">
        <f t="shared" si="171"/>
        <v/>
      </c>
      <c r="H1528" s="61" t="str">
        <f t="shared" si="165"/>
        <v/>
      </c>
      <c r="I1528" s="62" t="str">
        <f t="shared" si="166"/>
        <v/>
      </c>
      <c r="J1528" s="61" t="str">
        <f t="shared" si="167"/>
        <v/>
      </c>
      <c r="K1528" s="61" t="str">
        <f t="shared" si="168"/>
        <v/>
      </c>
      <c r="L1528" s="61" t="str">
        <f t="shared" si="169"/>
        <v/>
      </c>
      <c r="M1528" s="63" t="str">
        <f t="shared" si="170"/>
        <v/>
      </c>
      <c r="N1528" s="64"/>
    </row>
    <row r="1529" spans="1:14" x14ac:dyDescent="0.3">
      <c r="A1529" s="58" t="str">
        <f>IF([1]weekly_demand!A1530="","",[1]weekly_demand!A1530)</f>
        <v/>
      </c>
      <c r="B1529" s="59" t="str">
        <f>IF($A1529="","",[1]weekly_demand!F1530)</f>
        <v/>
      </c>
      <c r="C1529" s="60" t="str">
        <f>IF($A1529="","",[1]weekly_demand!H1530)</f>
        <v/>
      </c>
      <c r="D1529" s="61" t="str">
        <f>IF($A1529="","",IF(SUMIFS([1]Fixture_Capacity_Input!$C:$C,[1]Fixture_Capacity_Input!$A:$A,$B1529,[1]Fixture_Capacity_Input!$B:$B,$C1529)&gt;0,SUMIFS([1]Fixture_Capacity_Input!$C:$C,[1]Fixture_Capacity_Input!$A:$A,$B1529,[1]Fixture_Capacity_Input!$B:$B,$C1529),[1]weekly_demand!G1530))</f>
        <v/>
      </c>
      <c r="E1529" s="62" t="str">
        <f>IF($A1529="","",[1]weekly_demand!I1530)</f>
        <v/>
      </c>
      <c r="F1529" s="61" t="str">
        <f>IF($A1529="","",IF($A1529&lt;&gt;$A1528,IFERROR(INDEX([1]FG_Begin_Inventory!$B:$B,MATCH($A1529,[1]FG_Begin_Inventory!$A:$A,0)),0),J1528))</f>
        <v/>
      </c>
      <c r="G1529" s="61" t="str">
        <f t="shared" si="171"/>
        <v/>
      </c>
      <c r="H1529" s="61" t="str">
        <f t="shared" si="165"/>
        <v/>
      </c>
      <c r="I1529" s="62" t="str">
        <f t="shared" si="166"/>
        <v/>
      </c>
      <c r="J1529" s="61" t="str">
        <f t="shared" si="167"/>
        <v/>
      </c>
      <c r="K1529" s="61" t="str">
        <f t="shared" si="168"/>
        <v/>
      </c>
      <c r="L1529" s="61" t="str">
        <f t="shared" si="169"/>
        <v/>
      </c>
      <c r="M1529" s="63" t="str">
        <f t="shared" si="170"/>
        <v/>
      </c>
      <c r="N1529" s="64"/>
    </row>
    <row r="1530" spans="1:14" x14ac:dyDescent="0.3">
      <c r="A1530" s="58" t="str">
        <f>IF([1]weekly_demand!A1531="","",[1]weekly_demand!A1531)</f>
        <v/>
      </c>
      <c r="B1530" s="59" t="str">
        <f>IF($A1530="","",[1]weekly_demand!F1531)</f>
        <v/>
      </c>
      <c r="C1530" s="60" t="str">
        <f>IF($A1530="","",[1]weekly_demand!H1531)</f>
        <v/>
      </c>
      <c r="D1530" s="61" t="str">
        <f>IF($A1530="","",IF(SUMIFS([1]Fixture_Capacity_Input!$C:$C,[1]Fixture_Capacity_Input!$A:$A,$B1530,[1]Fixture_Capacity_Input!$B:$B,$C1530)&gt;0,SUMIFS([1]Fixture_Capacity_Input!$C:$C,[1]Fixture_Capacity_Input!$A:$A,$B1530,[1]Fixture_Capacity_Input!$B:$B,$C1530),[1]weekly_demand!G1531))</f>
        <v/>
      </c>
      <c r="E1530" s="62" t="str">
        <f>IF($A1530="","",[1]weekly_demand!I1531)</f>
        <v/>
      </c>
      <c r="F1530" s="61" t="str">
        <f>IF($A1530="","",IF($A1530&lt;&gt;$A1529,IFERROR(INDEX([1]FG_Begin_Inventory!$B:$B,MATCH($A1530,[1]FG_Begin_Inventory!$A:$A,0)),0),J1529))</f>
        <v/>
      </c>
      <c r="G1530" s="61" t="str">
        <f t="shared" si="171"/>
        <v/>
      </c>
      <c r="H1530" s="61" t="str">
        <f t="shared" si="165"/>
        <v/>
      </c>
      <c r="I1530" s="62" t="str">
        <f t="shared" si="166"/>
        <v/>
      </c>
      <c r="J1530" s="61" t="str">
        <f t="shared" si="167"/>
        <v/>
      </c>
      <c r="K1530" s="61" t="str">
        <f t="shared" si="168"/>
        <v/>
      </c>
      <c r="L1530" s="61" t="str">
        <f t="shared" si="169"/>
        <v/>
      </c>
      <c r="M1530" s="63" t="str">
        <f t="shared" si="170"/>
        <v/>
      </c>
      <c r="N1530" s="64"/>
    </row>
    <row r="1531" spans="1:14" x14ac:dyDescent="0.3">
      <c r="A1531" s="58" t="str">
        <f>IF([1]weekly_demand!A1532="","",[1]weekly_demand!A1532)</f>
        <v/>
      </c>
      <c r="B1531" s="59" t="str">
        <f>IF($A1531="","",[1]weekly_demand!F1532)</f>
        <v/>
      </c>
      <c r="C1531" s="60" t="str">
        <f>IF($A1531="","",[1]weekly_demand!H1532)</f>
        <v/>
      </c>
      <c r="D1531" s="61" t="str">
        <f>IF($A1531="","",IF(SUMIFS([1]Fixture_Capacity_Input!$C:$C,[1]Fixture_Capacity_Input!$A:$A,$B1531,[1]Fixture_Capacity_Input!$B:$B,$C1531)&gt;0,SUMIFS([1]Fixture_Capacity_Input!$C:$C,[1]Fixture_Capacity_Input!$A:$A,$B1531,[1]Fixture_Capacity_Input!$B:$B,$C1531),[1]weekly_demand!G1532))</f>
        <v/>
      </c>
      <c r="E1531" s="62" t="str">
        <f>IF($A1531="","",[1]weekly_demand!I1532)</f>
        <v/>
      </c>
      <c r="F1531" s="61" t="str">
        <f>IF($A1531="","",IF($A1531&lt;&gt;$A1530,IFERROR(INDEX([1]FG_Begin_Inventory!$B:$B,MATCH($A1531,[1]FG_Begin_Inventory!$A:$A,0)),0),J1530))</f>
        <v/>
      </c>
      <c r="G1531" s="61" t="str">
        <f t="shared" si="171"/>
        <v/>
      </c>
      <c r="H1531" s="61" t="str">
        <f t="shared" si="165"/>
        <v/>
      </c>
      <c r="I1531" s="62" t="str">
        <f t="shared" si="166"/>
        <v/>
      </c>
      <c r="J1531" s="61" t="str">
        <f t="shared" si="167"/>
        <v/>
      </c>
      <c r="K1531" s="61" t="str">
        <f t="shared" si="168"/>
        <v/>
      </c>
      <c r="L1531" s="61" t="str">
        <f t="shared" si="169"/>
        <v/>
      </c>
      <c r="M1531" s="63" t="str">
        <f t="shared" si="170"/>
        <v/>
      </c>
      <c r="N1531" s="64"/>
    </row>
    <row r="1532" spans="1:14" x14ac:dyDescent="0.3">
      <c r="A1532" s="58" t="str">
        <f>IF([1]weekly_demand!A1533="","",[1]weekly_demand!A1533)</f>
        <v/>
      </c>
      <c r="B1532" s="59" t="str">
        <f>IF($A1532="","",[1]weekly_demand!F1533)</f>
        <v/>
      </c>
      <c r="C1532" s="60" t="str">
        <f>IF($A1532="","",[1]weekly_demand!H1533)</f>
        <v/>
      </c>
      <c r="D1532" s="61" t="str">
        <f>IF($A1532="","",IF(SUMIFS([1]Fixture_Capacity_Input!$C:$C,[1]Fixture_Capacity_Input!$A:$A,$B1532,[1]Fixture_Capacity_Input!$B:$B,$C1532)&gt;0,SUMIFS([1]Fixture_Capacity_Input!$C:$C,[1]Fixture_Capacity_Input!$A:$A,$B1532,[1]Fixture_Capacity_Input!$B:$B,$C1532),[1]weekly_demand!G1533))</f>
        <v/>
      </c>
      <c r="E1532" s="62" t="str">
        <f>IF($A1532="","",[1]weekly_demand!I1533)</f>
        <v/>
      </c>
      <c r="F1532" s="61" t="str">
        <f>IF($A1532="","",IF($A1532&lt;&gt;$A1531,IFERROR(INDEX([1]FG_Begin_Inventory!$B:$B,MATCH($A1532,[1]FG_Begin_Inventory!$A:$A,0)),0),J1531))</f>
        <v/>
      </c>
      <c r="G1532" s="61" t="str">
        <f t="shared" si="171"/>
        <v/>
      </c>
      <c r="H1532" s="61" t="str">
        <f t="shared" si="165"/>
        <v/>
      </c>
      <c r="I1532" s="62" t="str">
        <f t="shared" si="166"/>
        <v/>
      </c>
      <c r="J1532" s="61" t="str">
        <f t="shared" si="167"/>
        <v/>
      </c>
      <c r="K1532" s="61" t="str">
        <f t="shared" si="168"/>
        <v/>
      </c>
      <c r="L1532" s="61" t="str">
        <f t="shared" si="169"/>
        <v/>
      </c>
      <c r="M1532" s="63" t="str">
        <f t="shared" si="170"/>
        <v/>
      </c>
      <c r="N1532" s="64"/>
    </row>
    <row r="1533" spans="1:14" x14ac:dyDescent="0.3">
      <c r="A1533" s="58" t="str">
        <f>IF([1]weekly_demand!A1534="","",[1]weekly_demand!A1534)</f>
        <v/>
      </c>
      <c r="B1533" s="59" t="str">
        <f>IF($A1533="","",[1]weekly_demand!F1534)</f>
        <v/>
      </c>
      <c r="C1533" s="60" t="str">
        <f>IF($A1533="","",[1]weekly_demand!H1534)</f>
        <v/>
      </c>
      <c r="D1533" s="61" t="str">
        <f>IF($A1533="","",IF(SUMIFS([1]Fixture_Capacity_Input!$C:$C,[1]Fixture_Capacity_Input!$A:$A,$B1533,[1]Fixture_Capacity_Input!$B:$B,$C1533)&gt;0,SUMIFS([1]Fixture_Capacity_Input!$C:$C,[1]Fixture_Capacity_Input!$A:$A,$B1533,[1]Fixture_Capacity_Input!$B:$B,$C1533),[1]weekly_demand!G1534))</f>
        <v/>
      </c>
      <c r="E1533" s="62" t="str">
        <f>IF($A1533="","",[1]weekly_demand!I1534)</f>
        <v/>
      </c>
      <c r="F1533" s="61" t="str">
        <f>IF($A1533="","",IF($A1533&lt;&gt;$A1532,IFERROR(INDEX([1]FG_Begin_Inventory!$B:$B,MATCH($A1533,[1]FG_Begin_Inventory!$A:$A,0)),0),J1532))</f>
        <v/>
      </c>
      <c r="G1533" s="61" t="str">
        <f t="shared" si="171"/>
        <v/>
      </c>
      <c r="H1533" s="61" t="str">
        <f t="shared" si="165"/>
        <v/>
      </c>
      <c r="I1533" s="62" t="str">
        <f t="shared" si="166"/>
        <v/>
      </c>
      <c r="J1533" s="61" t="str">
        <f t="shared" si="167"/>
        <v/>
      </c>
      <c r="K1533" s="61" t="str">
        <f t="shared" si="168"/>
        <v/>
      </c>
      <c r="L1533" s="61" t="str">
        <f t="shared" si="169"/>
        <v/>
      </c>
      <c r="M1533" s="63" t="str">
        <f t="shared" si="170"/>
        <v/>
      </c>
      <c r="N1533" s="64"/>
    </row>
    <row r="1534" spans="1:14" x14ac:dyDescent="0.3">
      <c r="A1534" s="58" t="str">
        <f>IF([1]weekly_demand!A1535="","",[1]weekly_demand!A1535)</f>
        <v/>
      </c>
      <c r="B1534" s="59" t="str">
        <f>IF($A1534="","",[1]weekly_demand!F1535)</f>
        <v/>
      </c>
      <c r="C1534" s="60" t="str">
        <f>IF($A1534="","",[1]weekly_demand!H1535)</f>
        <v/>
      </c>
      <c r="D1534" s="61" t="str">
        <f>IF($A1534="","",IF(SUMIFS([1]Fixture_Capacity_Input!$C:$C,[1]Fixture_Capacity_Input!$A:$A,$B1534,[1]Fixture_Capacity_Input!$B:$B,$C1534)&gt;0,SUMIFS([1]Fixture_Capacity_Input!$C:$C,[1]Fixture_Capacity_Input!$A:$A,$B1534,[1]Fixture_Capacity_Input!$B:$B,$C1534),[1]weekly_demand!G1535))</f>
        <v/>
      </c>
      <c r="E1534" s="62" t="str">
        <f>IF($A1534="","",[1]weekly_demand!I1535)</f>
        <v/>
      </c>
      <c r="F1534" s="61" t="str">
        <f>IF($A1534="","",IF($A1534&lt;&gt;$A1533,IFERROR(INDEX([1]FG_Begin_Inventory!$B:$B,MATCH($A1534,[1]FG_Begin_Inventory!$A:$A,0)),0),J1533))</f>
        <v/>
      </c>
      <c r="G1534" s="61" t="str">
        <f t="shared" si="171"/>
        <v/>
      </c>
      <c r="H1534" s="61" t="str">
        <f t="shared" si="165"/>
        <v/>
      </c>
      <c r="I1534" s="62" t="str">
        <f t="shared" si="166"/>
        <v/>
      </c>
      <c r="J1534" s="61" t="str">
        <f t="shared" si="167"/>
        <v/>
      </c>
      <c r="K1534" s="61" t="str">
        <f t="shared" si="168"/>
        <v/>
      </c>
      <c r="L1534" s="61" t="str">
        <f t="shared" si="169"/>
        <v/>
      </c>
      <c r="M1534" s="63" t="str">
        <f t="shared" si="170"/>
        <v/>
      </c>
      <c r="N1534" s="64"/>
    </row>
    <row r="1535" spans="1:14" x14ac:dyDescent="0.3">
      <c r="A1535" s="58" t="str">
        <f>IF([1]weekly_demand!A1536="","",[1]weekly_demand!A1536)</f>
        <v/>
      </c>
      <c r="B1535" s="59" t="str">
        <f>IF($A1535="","",[1]weekly_demand!F1536)</f>
        <v/>
      </c>
      <c r="C1535" s="60" t="str">
        <f>IF($A1535="","",[1]weekly_demand!H1536)</f>
        <v/>
      </c>
      <c r="D1535" s="61" t="str">
        <f>IF($A1535="","",IF(SUMIFS([1]Fixture_Capacity_Input!$C:$C,[1]Fixture_Capacity_Input!$A:$A,$B1535,[1]Fixture_Capacity_Input!$B:$B,$C1535)&gt;0,SUMIFS([1]Fixture_Capacity_Input!$C:$C,[1]Fixture_Capacity_Input!$A:$A,$B1535,[1]Fixture_Capacity_Input!$B:$B,$C1535),[1]weekly_demand!G1536))</f>
        <v/>
      </c>
      <c r="E1535" s="62" t="str">
        <f>IF($A1535="","",[1]weekly_demand!I1536)</f>
        <v/>
      </c>
      <c r="F1535" s="61" t="str">
        <f>IF($A1535="","",IF($A1535&lt;&gt;$A1534,IFERROR(INDEX([1]FG_Begin_Inventory!$B:$B,MATCH($A1535,[1]FG_Begin_Inventory!$A:$A,0)),0),J1534))</f>
        <v/>
      </c>
      <c r="G1535" s="61" t="str">
        <f t="shared" si="171"/>
        <v/>
      </c>
      <c r="H1535" s="61" t="str">
        <f t="shared" si="165"/>
        <v/>
      </c>
      <c r="I1535" s="62" t="str">
        <f t="shared" si="166"/>
        <v/>
      </c>
      <c r="J1535" s="61" t="str">
        <f t="shared" si="167"/>
        <v/>
      </c>
      <c r="K1535" s="61" t="str">
        <f t="shared" si="168"/>
        <v/>
      </c>
      <c r="L1535" s="61" t="str">
        <f t="shared" si="169"/>
        <v/>
      </c>
      <c r="M1535" s="63" t="str">
        <f t="shared" si="170"/>
        <v/>
      </c>
      <c r="N1535" s="64"/>
    </row>
    <row r="1536" spans="1:14" x14ac:dyDescent="0.3">
      <c r="A1536" s="58" t="str">
        <f>IF([1]weekly_demand!A1537="","",[1]weekly_demand!A1537)</f>
        <v/>
      </c>
      <c r="B1536" s="59" t="str">
        <f>IF($A1536="","",[1]weekly_demand!F1537)</f>
        <v/>
      </c>
      <c r="C1536" s="60" t="str">
        <f>IF($A1536="","",[1]weekly_demand!H1537)</f>
        <v/>
      </c>
      <c r="D1536" s="61" t="str">
        <f>IF($A1536="","",IF(SUMIFS([1]Fixture_Capacity_Input!$C:$C,[1]Fixture_Capacity_Input!$A:$A,$B1536,[1]Fixture_Capacity_Input!$B:$B,$C1536)&gt;0,SUMIFS([1]Fixture_Capacity_Input!$C:$C,[1]Fixture_Capacity_Input!$A:$A,$B1536,[1]Fixture_Capacity_Input!$B:$B,$C1536),[1]weekly_demand!G1537))</f>
        <v/>
      </c>
      <c r="E1536" s="62" t="str">
        <f>IF($A1536="","",[1]weekly_demand!I1537)</f>
        <v/>
      </c>
      <c r="F1536" s="61" t="str">
        <f>IF($A1536="","",IF($A1536&lt;&gt;$A1535,IFERROR(INDEX([1]FG_Begin_Inventory!$B:$B,MATCH($A1536,[1]FG_Begin_Inventory!$A:$A,0)),0),J1535))</f>
        <v/>
      </c>
      <c r="G1536" s="61" t="str">
        <f t="shared" si="171"/>
        <v/>
      </c>
      <c r="H1536" s="61" t="str">
        <f t="shared" si="165"/>
        <v/>
      </c>
      <c r="I1536" s="62" t="str">
        <f t="shared" si="166"/>
        <v/>
      </c>
      <c r="J1536" s="61" t="str">
        <f t="shared" si="167"/>
        <v/>
      </c>
      <c r="K1536" s="61" t="str">
        <f t="shared" si="168"/>
        <v/>
      </c>
      <c r="L1536" s="61" t="str">
        <f t="shared" si="169"/>
        <v/>
      </c>
      <c r="M1536" s="63" t="str">
        <f t="shared" si="170"/>
        <v/>
      </c>
      <c r="N1536" s="64"/>
    </row>
    <row r="1537" spans="1:14" x14ac:dyDescent="0.3">
      <c r="A1537" s="58" t="str">
        <f>IF([1]weekly_demand!A1538="","",[1]weekly_demand!A1538)</f>
        <v/>
      </c>
      <c r="B1537" s="59" t="str">
        <f>IF($A1537="","",[1]weekly_demand!F1538)</f>
        <v/>
      </c>
      <c r="C1537" s="60" t="str">
        <f>IF($A1537="","",[1]weekly_demand!H1538)</f>
        <v/>
      </c>
      <c r="D1537" s="61" t="str">
        <f>IF($A1537="","",IF(SUMIFS([1]Fixture_Capacity_Input!$C:$C,[1]Fixture_Capacity_Input!$A:$A,$B1537,[1]Fixture_Capacity_Input!$B:$B,$C1537)&gt;0,SUMIFS([1]Fixture_Capacity_Input!$C:$C,[1]Fixture_Capacity_Input!$A:$A,$B1537,[1]Fixture_Capacity_Input!$B:$B,$C1537),[1]weekly_demand!G1538))</f>
        <v/>
      </c>
      <c r="E1537" s="62" t="str">
        <f>IF($A1537="","",[1]weekly_demand!I1538)</f>
        <v/>
      </c>
      <c r="F1537" s="61" t="str">
        <f>IF($A1537="","",IF($A1537&lt;&gt;$A1536,IFERROR(INDEX([1]FG_Begin_Inventory!$B:$B,MATCH($A1537,[1]FG_Begin_Inventory!$A:$A,0)),0),J1536))</f>
        <v/>
      </c>
      <c r="G1537" s="61" t="str">
        <f t="shared" si="171"/>
        <v/>
      </c>
      <c r="H1537" s="61" t="str">
        <f t="shared" si="165"/>
        <v/>
      </c>
      <c r="I1537" s="62" t="str">
        <f t="shared" si="166"/>
        <v/>
      </c>
      <c r="J1537" s="61" t="str">
        <f t="shared" si="167"/>
        <v/>
      </c>
      <c r="K1537" s="61" t="str">
        <f t="shared" si="168"/>
        <v/>
      </c>
      <c r="L1537" s="61" t="str">
        <f t="shared" si="169"/>
        <v/>
      </c>
      <c r="M1537" s="63" t="str">
        <f t="shared" si="170"/>
        <v/>
      </c>
      <c r="N1537" s="64"/>
    </row>
    <row r="1538" spans="1:14" x14ac:dyDescent="0.3">
      <c r="A1538" s="58" t="str">
        <f>IF([1]weekly_demand!A1539="","",[1]weekly_demand!A1539)</f>
        <v/>
      </c>
      <c r="B1538" s="59" t="str">
        <f>IF($A1538="","",[1]weekly_demand!F1539)</f>
        <v/>
      </c>
      <c r="C1538" s="60" t="str">
        <f>IF($A1538="","",[1]weekly_demand!H1539)</f>
        <v/>
      </c>
      <c r="D1538" s="61" t="str">
        <f>IF($A1538="","",IF(SUMIFS([1]Fixture_Capacity_Input!$C:$C,[1]Fixture_Capacity_Input!$A:$A,$B1538,[1]Fixture_Capacity_Input!$B:$B,$C1538)&gt;0,SUMIFS([1]Fixture_Capacity_Input!$C:$C,[1]Fixture_Capacity_Input!$A:$A,$B1538,[1]Fixture_Capacity_Input!$B:$B,$C1538),[1]weekly_demand!G1539))</f>
        <v/>
      </c>
      <c r="E1538" s="62" t="str">
        <f>IF($A1538="","",[1]weekly_demand!I1539)</f>
        <v/>
      </c>
      <c r="F1538" s="61" t="str">
        <f>IF($A1538="","",IF($A1538&lt;&gt;$A1537,IFERROR(INDEX([1]FG_Begin_Inventory!$B:$B,MATCH($A1538,[1]FG_Begin_Inventory!$A:$A,0)),0),J1537))</f>
        <v/>
      </c>
      <c r="G1538" s="61" t="str">
        <f t="shared" si="171"/>
        <v/>
      </c>
      <c r="H1538" s="61" t="str">
        <f t="shared" ref="H1538:H1601" si="172">IF($A1538="","",MAX(0,E1538+G1538-F1538))</f>
        <v/>
      </c>
      <c r="I1538" s="62" t="str">
        <f t="shared" ref="I1538:I1601" si="173">IF($A1538="","",MIN(D1538,H1538))</f>
        <v/>
      </c>
      <c r="J1538" s="61" t="str">
        <f t="shared" ref="J1538:J1601" si="174">IF($A1538="","",MAX(0,F1538+I1538-E1538))</f>
        <v/>
      </c>
      <c r="K1538" s="61" t="str">
        <f t="shared" ref="K1538:K1601" si="175">IF($A1538="","",MAX(0,E1538-F1538-I1538))</f>
        <v/>
      </c>
      <c r="L1538" s="61" t="str">
        <f t="shared" ref="L1538:L1601" si="176">IF($A1538="","",MAX(0,F1538+I1538-E1538))</f>
        <v/>
      </c>
      <c r="M1538" s="63" t="str">
        <f t="shared" ref="M1538:M1601" si="177">IF($A1538="","",IFERROR(I1538/D1538,0))</f>
        <v/>
      </c>
      <c r="N1538" s="64"/>
    </row>
    <row r="1539" spans="1:14" x14ac:dyDescent="0.3">
      <c r="A1539" s="58" t="str">
        <f>IF([1]weekly_demand!A1540="","",[1]weekly_demand!A1540)</f>
        <v/>
      </c>
      <c r="B1539" s="59" t="str">
        <f>IF($A1539="","",[1]weekly_demand!F1540)</f>
        <v/>
      </c>
      <c r="C1539" s="60" t="str">
        <f>IF($A1539="","",[1]weekly_demand!H1540)</f>
        <v/>
      </c>
      <c r="D1539" s="61" t="str">
        <f>IF($A1539="","",IF(SUMIFS([1]Fixture_Capacity_Input!$C:$C,[1]Fixture_Capacity_Input!$A:$A,$B1539,[1]Fixture_Capacity_Input!$B:$B,$C1539)&gt;0,SUMIFS([1]Fixture_Capacity_Input!$C:$C,[1]Fixture_Capacity_Input!$A:$A,$B1539,[1]Fixture_Capacity_Input!$B:$B,$C1539),[1]weekly_demand!G1540))</f>
        <v/>
      </c>
      <c r="E1539" s="62" t="str">
        <f>IF($A1539="","",[1]weekly_demand!I1540)</f>
        <v/>
      </c>
      <c r="F1539" s="61" t="str">
        <f>IF($A1539="","",IF($A1539&lt;&gt;$A1538,IFERROR(INDEX([1]FG_Begin_Inventory!$B:$B,MATCH($A1539,[1]FG_Begin_Inventory!$A:$A,0)),0),J1538))</f>
        <v/>
      </c>
      <c r="G1539" s="61" t="str">
        <f t="shared" si="171"/>
        <v/>
      </c>
      <c r="H1539" s="61" t="str">
        <f t="shared" si="172"/>
        <v/>
      </c>
      <c r="I1539" s="62" t="str">
        <f t="shared" si="173"/>
        <v/>
      </c>
      <c r="J1539" s="61" t="str">
        <f t="shared" si="174"/>
        <v/>
      </c>
      <c r="K1539" s="61" t="str">
        <f t="shared" si="175"/>
        <v/>
      </c>
      <c r="L1539" s="61" t="str">
        <f t="shared" si="176"/>
        <v/>
      </c>
      <c r="M1539" s="63" t="str">
        <f t="shared" si="177"/>
        <v/>
      </c>
      <c r="N1539" s="64"/>
    </row>
    <row r="1540" spans="1:14" x14ac:dyDescent="0.3">
      <c r="A1540" s="58" t="str">
        <f>IF([1]weekly_demand!A1541="","",[1]weekly_demand!A1541)</f>
        <v/>
      </c>
      <c r="B1540" s="59" t="str">
        <f>IF($A1540="","",[1]weekly_demand!F1541)</f>
        <v/>
      </c>
      <c r="C1540" s="60" t="str">
        <f>IF($A1540="","",[1]weekly_demand!H1541)</f>
        <v/>
      </c>
      <c r="D1540" s="61" t="str">
        <f>IF($A1540="","",IF(SUMIFS([1]Fixture_Capacity_Input!$C:$C,[1]Fixture_Capacity_Input!$A:$A,$B1540,[1]Fixture_Capacity_Input!$B:$B,$C1540)&gt;0,SUMIFS([1]Fixture_Capacity_Input!$C:$C,[1]Fixture_Capacity_Input!$A:$A,$B1540,[1]Fixture_Capacity_Input!$B:$B,$C1540),[1]weekly_demand!G1541))</f>
        <v/>
      </c>
      <c r="E1540" s="62" t="str">
        <f>IF($A1540="","",[1]weekly_demand!I1541)</f>
        <v/>
      </c>
      <c r="F1540" s="61" t="str">
        <f>IF($A1540="","",IF($A1540&lt;&gt;$A1539,IFERROR(INDEX([1]FG_Begin_Inventory!$B:$B,MATCH($A1540,[1]FG_Begin_Inventory!$A:$A,0)),0),J1539))</f>
        <v/>
      </c>
      <c r="G1540" s="61" t="str">
        <f t="shared" si="171"/>
        <v/>
      </c>
      <c r="H1540" s="61" t="str">
        <f t="shared" si="172"/>
        <v/>
      </c>
      <c r="I1540" s="62" t="str">
        <f t="shared" si="173"/>
        <v/>
      </c>
      <c r="J1540" s="61" t="str">
        <f t="shared" si="174"/>
        <v/>
      </c>
      <c r="K1540" s="61" t="str">
        <f t="shared" si="175"/>
        <v/>
      </c>
      <c r="L1540" s="61" t="str">
        <f t="shared" si="176"/>
        <v/>
      </c>
      <c r="M1540" s="63" t="str">
        <f t="shared" si="177"/>
        <v/>
      </c>
      <c r="N1540" s="64"/>
    </row>
    <row r="1541" spans="1:14" x14ac:dyDescent="0.3">
      <c r="A1541" s="58" t="str">
        <f>IF([1]weekly_demand!A1542="","",[1]weekly_demand!A1542)</f>
        <v/>
      </c>
      <c r="B1541" s="59" t="str">
        <f>IF($A1541="","",[1]weekly_demand!F1542)</f>
        <v/>
      </c>
      <c r="C1541" s="60" t="str">
        <f>IF($A1541="","",[1]weekly_demand!H1542)</f>
        <v/>
      </c>
      <c r="D1541" s="61" t="str">
        <f>IF($A1541="","",IF(SUMIFS([1]Fixture_Capacity_Input!$C:$C,[1]Fixture_Capacity_Input!$A:$A,$B1541,[1]Fixture_Capacity_Input!$B:$B,$C1541)&gt;0,SUMIFS([1]Fixture_Capacity_Input!$C:$C,[1]Fixture_Capacity_Input!$A:$A,$B1541,[1]Fixture_Capacity_Input!$B:$B,$C1541),[1]weekly_demand!G1542))</f>
        <v/>
      </c>
      <c r="E1541" s="62" t="str">
        <f>IF($A1541="","",[1]weekly_demand!I1542)</f>
        <v/>
      </c>
      <c r="F1541" s="61" t="str">
        <f>IF($A1541="","",IF($A1541&lt;&gt;$A1540,IFERROR(INDEX([1]FG_Begin_Inventory!$B:$B,MATCH($A1541,[1]FG_Begin_Inventory!$A:$A,0)),0),J1540))</f>
        <v/>
      </c>
      <c r="G1541" s="61" t="str">
        <f t="shared" si="171"/>
        <v/>
      </c>
      <c r="H1541" s="61" t="str">
        <f t="shared" si="172"/>
        <v/>
      </c>
      <c r="I1541" s="62" t="str">
        <f t="shared" si="173"/>
        <v/>
      </c>
      <c r="J1541" s="61" t="str">
        <f t="shared" si="174"/>
        <v/>
      </c>
      <c r="K1541" s="61" t="str">
        <f t="shared" si="175"/>
        <v/>
      </c>
      <c r="L1541" s="61" t="str">
        <f t="shared" si="176"/>
        <v/>
      </c>
      <c r="M1541" s="63" t="str">
        <f t="shared" si="177"/>
        <v/>
      </c>
      <c r="N1541" s="64"/>
    </row>
    <row r="1542" spans="1:14" x14ac:dyDescent="0.3">
      <c r="A1542" s="58" t="str">
        <f>IF([1]weekly_demand!A1543="","",[1]weekly_demand!A1543)</f>
        <v/>
      </c>
      <c r="B1542" s="59" t="str">
        <f>IF($A1542="","",[1]weekly_demand!F1543)</f>
        <v/>
      </c>
      <c r="C1542" s="60" t="str">
        <f>IF($A1542="","",[1]weekly_demand!H1543)</f>
        <v/>
      </c>
      <c r="D1542" s="61" t="str">
        <f>IF($A1542="","",IF(SUMIFS([1]Fixture_Capacity_Input!$C:$C,[1]Fixture_Capacity_Input!$A:$A,$B1542,[1]Fixture_Capacity_Input!$B:$B,$C1542)&gt;0,SUMIFS([1]Fixture_Capacity_Input!$C:$C,[1]Fixture_Capacity_Input!$A:$A,$B1542,[1]Fixture_Capacity_Input!$B:$B,$C1542),[1]weekly_demand!G1543))</f>
        <v/>
      </c>
      <c r="E1542" s="62" t="str">
        <f>IF($A1542="","",[1]weekly_demand!I1543)</f>
        <v/>
      </c>
      <c r="F1542" s="61" t="str">
        <f>IF($A1542="","",IF($A1542&lt;&gt;$A1541,IFERROR(INDEX([1]FG_Begin_Inventory!$B:$B,MATCH($A1542,[1]FG_Begin_Inventory!$A:$A,0)),0),J1541))</f>
        <v/>
      </c>
      <c r="G1542" s="61" t="str">
        <f t="shared" si="171"/>
        <v/>
      </c>
      <c r="H1542" s="61" t="str">
        <f t="shared" si="172"/>
        <v/>
      </c>
      <c r="I1542" s="62" t="str">
        <f t="shared" si="173"/>
        <v/>
      </c>
      <c r="J1542" s="61" t="str">
        <f t="shared" si="174"/>
        <v/>
      </c>
      <c r="K1542" s="61" t="str">
        <f t="shared" si="175"/>
        <v/>
      </c>
      <c r="L1542" s="61" t="str">
        <f t="shared" si="176"/>
        <v/>
      </c>
      <c r="M1542" s="63" t="str">
        <f t="shared" si="177"/>
        <v/>
      </c>
      <c r="N1542" s="64"/>
    </row>
    <row r="1543" spans="1:14" x14ac:dyDescent="0.3">
      <c r="A1543" s="58" t="str">
        <f>IF([1]weekly_demand!A1544="","",[1]weekly_demand!A1544)</f>
        <v/>
      </c>
      <c r="B1543" s="59" t="str">
        <f>IF($A1543="","",[1]weekly_demand!F1544)</f>
        <v/>
      </c>
      <c r="C1543" s="60" t="str">
        <f>IF($A1543="","",[1]weekly_demand!H1544)</f>
        <v/>
      </c>
      <c r="D1543" s="61" t="str">
        <f>IF($A1543="","",IF(SUMIFS([1]Fixture_Capacity_Input!$C:$C,[1]Fixture_Capacity_Input!$A:$A,$B1543,[1]Fixture_Capacity_Input!$B:$B,$C1543)&gt;0,SUMIFS([1]Fixture_Capacity_Input!$C:$C,[1]Fixture_Capacity_Input!$A:$A,$B1543,[1]Fixture_Capacity_Input!$B:$B,$C1543),[1]weekly_demand!G1544))</f>
        <v/>
      </c>
      <c r="E1543" s="62" t="str">
        <f>IF($A1543="","",[1]weekly_demand!I1544)</f>
        <v/>
      </c>
      <c r="F1543" s="61" t="str">
        <f>IF($A1543="","",IF($A1543&lt;&gt;$A1542,IFERROR(INDEX([1]FG_Begin_Inventory!$B:$B,MATCH($A1543,[1]FG_Begin_Inventory!$A:$A,0)),0),J1542))</f>
        <v/>
      </c>
      <c r="G1543" s="61" t="str">
        <f t="shared" si="171"/>
        <v/>
      </c>
      <c r="H1543" s="61" t="str">
        <f t="shared" si="172"/>
        <v/>
      </c>
      <c r="I1543" s="62" t="str">
        <f t="shared" si="173"/>
        <v/>
      </c>
      <c r="J1543" s="61" t="str">
        <f t="shared" si="174"/>
        <v/>
      </c>
      <c r="K1543" s="61" t="str">
        <f t="shared" si="175"/>
        <v/>
      </c>
      <c r="L1543" s="61" t="str">
        <f t="shared" si="176"/>
        <v/>
      </c>
      <c r="M1543" s="63" t="str">
        <f t="shared" si="177"/>
        <v/>
      </c>
      <c r="N1543" s="64"/>
    </row>
    <row r="1544" spans="1:14" x14ac:dyDescent="0.3">
      <c r="A1544" s="58" t="str">
        <f>IF([1]weekly_demand!A1545="","",[1]weekly_demand!A1545)</f>
        <v/>
      </c>
      <c r="B1544" s="59" t="str">
        <f>IF($A1544="","",[1]weekly_demand!F1545)</f>
        <v/>
      </c>
      <c r="C1544" s="60" t="str">
        <f>IF($A1544="","",[1]weekly_demand!H1545)</f>
        <v/>
      </c>
      <c r="D1544" s="61" t="str">
        <f>IF($A1544="","",IF(SUMIFS([1]Fixture_Capacity_Input!$C:$C,[1]Fixture_Capacity_Input!$A:$A,$B1544,[1]Fixture_Capacity_Input!$B:$B,$C1544)&gt;0,SUMIFS([1]Fixture_Capacity_Input!$C:$C,[1]Fixture_Capacity_Input!$A:$A,$B1544,[1]Fixture_Capacity_Input!$B:$B,$C1544),[1]weekly_demand!G1545))</f>
        <v/>
      </c>
      <c r="E1544" s="62" t="str">
        <f>IF($A1544="","",[1]weekly_demand!I1545)</f>
        <v/>
      </c>
      <c r="F1544" s="61" t="str">
        <f>IF($A1544="","",IF($A1544&lt;&gt;$A1543,IFERROR(INDEX([1]FG_Begin_Inventory!$B:$B,MATCH($A1544,[1]FG_Begin_Inventory!$A:$A,0)),0),J1543))</f>
        <v/>
      </c>
      <c r="G1544" s="61" t="str">
        <f t="shared" si="171"/>
        <v/>
      </c>
      <c r="H1544" s="61" t="str">
        <f t="shared" si="172"/>
        <v/>
      </c>
      <c r="I1544" s="62" t="str">
        <f t="shared" si="173"/>
        <v/>
      </c>
      <c r="J1544" s="61" t="str">
        <f t="shared" si="174"/>
        <v/>
      </c>
      <c r="K1544" s="61" t="str">
        <f t="shared" si="175"/>
        <v/>
      </c>
      <c r="L1544" s="61" t="str">
        <f t="shared" si="176"/>
        <v/>
      </c>
      <c r="M1544" s="63" t="str">
        <f t="shared" si="177"/>
        <v/>
      </c>
      <c r="N1544" s="64"/>
    </row>
    <row r="1545" spans="1:14" x14ac:dyDescent="0.3">
      <c r="A1545" s="58" t="str">
        <f>IF([1]weekly_demand!A1546="","",[1]weekly_demand!A1546)</f>
        <v/>
      </c>
      <c r="B1545" s="59" t="str">
        <f>IF($A1545="","",[1]weekly_demand!F1546)</f>
        <v/>
      </c>
      <c r="C1545" s="60" t="str">
        <f>IF($A1545="","",[1]weekly_demand!H1546)</f>
        <v/>
      </c>
      <c r="D1545" s="61" t="str">
        <f>IF($A1545="","",IF(SUMIFS([1]Fixture_Capacity_Input!$C:$C,[1]Fixture_Capacity_Input!$A:$A,$B1545,[1]Fixture_Capacity_Input!$B:$B,$C1545)&gt;0,SUMIFS([1]Fixture_Capacity_Input!$C:$C,[1]Fixture_Capacity_Input!$A:$A,$B1545,[1]Fixture_Capacity_Input!$B:$B,$C1545),[1]weekly_demand!G1546))</f>
        <v/>
      </c>
      <c r="E1545" s="62" t="str">
        <f>IF($A1545="","",[1]weekly_demand!I1546)</f>
        <v/>
      </c>
      <c r="F1545" s="61" t="str">
        <f>IF($A1545="","",IF($A1545&lt;&gt;$A1544,IFERROR(INDEX([1]FG_Begin_Inventory!$B:$B,MATCH($A1545,[1]FG_Begin_Inventory!$A:$A,0)),0),J1544))</f>
        <v/>
      </c>
      <c r="G1545" s="61" t="str">
        <f t="shared" si="171"/>
        <v/>
      </c>
      <c r="H1545" s="61" t="str">
        <f t="shared" si="172"/>
        <v/>
      </c>
      <c r="I1545" s="62" t="str">
        <f t="shared" si="173"/>
        <v/>
      </c>
      <c r="J1545" s="61" t="str">
        <f t="shared" si="174"/>
        <v/>
      </c>
      <c r="K1545" s="61" t="str">
        <f t="shared" si="175"/>
        <v/>
      </c>
      <c r="L1545" s="61" t="str">
        <f t="shared" si="176"/>
        <v/>
      </c>
      <c r="M1545" s="63" t="str">
        <f t="shared" si="177"/>
        <v/>
      </c>
      <c r="N1545" s="64"/>
    </row>
    <row r="1546" spans="1:14" x14ac:dyDescent="0.3">
      <c r="A1546" s="58" t="str">
        <f>IF([1]weekly_demand!A1547="","",[1]weekly_demand!A1547)</f>
        <v/>
      </c>
      <c r="B1546" s="59" t="str">
        <f>IF($A1546="","",[1]weekly_demand!F1547)</f>
        <v/>
      </c>
      <c r="C1546" s="60" t="str">
        <f>IF($A1546="","",[1]weekly_demand!H1547)</f>
        <v/>
      </c>
      <c r="D1546" s="61" t="str">
        <f>IF($A1546="","",IF(SUMIFS([1]Fixture_Capacity_Input!$C:$C,[1]Fixture_Capacity_Input!$A:$A,$B1546,[1]Fixture_Capacity_Input!$B:$B,$C1546)&gt;0,SUMIFS([1]Fixture_Capacity_Input!$C:$C,[1]Fixture_Capacity_Input!$A:$A,$B1546,[1]Fixture_Capacity_Input!$B:$B,$C1546),[1]weekly_demand!G1547))</f>
        <v/>
      </c>
      <c r="E1546" s="62" t="str">
        <f>IF($A1546="","",[1]weekly_demand!I1547)</f>
        <v/>
      </c>
      <c r="F1546" s="61" t="str">
        <f>IF($A1546="","",IF($A1546&lt;&gt;$A1545,IFERROR(INDEX([1]FG_Begin_Inventory!$B:$B,MATCH($A1546,[1]FG_Begin_Inventory!$A:$A,0)),0),J1545))</f>
        <v/>
      </c>
      <c r="G1546" s="61" t="str">
        <f t="shared" si="171"/>
        <v/>
      </c>
      <c r="H1546" s="61" t="str">
        <f t="shared" si="172"/>
        <v/>
      </c>
      <c r="I1546" s="62" t="str">
        <f t="shared" si="173"/>
        <v/>
      </c>
      <c r="J1546" s="61" t="str">
        <f t="shared" si="174"/>
        <v/>
      </c>
      <c r="K1546" s="61" t="str">
        <f t="shared" si="175"/>
        <v/>
      </c>
      <c r="L1546" s="61" t="str">
        <f t="shared" si="176"/>
        <v/>
      </c>
      <c r="M1546" s="63" t="str">
        <f t="shared" si="177"/>
        <v/>
      </c>
      <c r="N1546" s="64"/>
    </row>
    <row r="1547" spans="1:14" x14ac:dyDescent="0.3">
      <c r="A1547" s="58" t="str">
        <f>IF([1]weekly_demand!A1548="","",[1]weekly_demand!A1548)</f>
        <v/>
      </c>
      <c r="B1547" s="59" t="str">
        <f>IF($A1547="","",[1]weekly_demand!F1548)</f>
        <v/>
      </c>
      <c r="C1547" s="60" t="str">
        <f>IF($A1547="","",[1]weekly_demand!H1548)</f>
        <v/>
      </c>
      <c r="D1547" s="61" t="str">
        <f>IF($A1547="","",IF(SUMIFS([1]Fixture_Capacity_Input!$C:$C,[1]Fixture_Capacity_Input!$A:$A,$B1547,[1]Fixture_Capacity_Input!$B:$B,$C1547)&gt;0,SUMIFS([1]Fixture_Capacity_Input!$C:$C,[1]Fixture_Capacity_Input!$A:$A,$B1547,[1]Fixture_Capacity_Input!$B:$B,$C1547),[1]weekly_demand!G1548))</f>
        <v/>
      </c>
      <c r="E1547" s="62" t="str">
        <f>IF($A1547="","",[1]weekly_demand!I1548)</f>
        <v/>
      </c>
      <c r="F1547" s="61" t="str">
        <f>IF($A1547="","",IF($A1547&lt;&gt;$A1546,IFERROR(INDEX([1]FG_Begin_Inventory!$B:$B,MATCH($A1547,[1]FG_Begin_Inventory!$A:$A,0)),0),J1546))</f>
        <v/>
      </c>
      <c r="G1547" s="61" t="str">
        <f t="shared" si="171"/>
        <v/>
      </c>
      <c r="H1547" s="61" t="str">
        <f t="shared" si="172"/>
        <v/>
      </c>
      <c r="I1547" s="62" t="str">
        <f t="shared" si="173"/>
        <v/>
      </c>
      <c r="J1547" s="61" t="str">
        <f t="shared" si="174"/>
        <v/>
      </c>
      <c r="K1547" s="61" t="str">
        <f t="shared" si="175"/>
        <v/>
      </c>
      <c r="L1547" s="61" t="str">
        <f t="shared" si="176"/>
        <v/>
      </c>
      <c r="M1547" s="63" t="str">
        <f t="shared" si="177"/>
        <v/>
      </c>
      <c r="N1547" s="64"/>
    </row>
    <row r="1548" spans="1:14" x14ac:dyDescent="0.3">
      <c r="A1548" s="58" t="str">
        <f>IF([1]weekly_demand!A1549="","",[1]weekly_demand!A1549)</f>
        <v/>
      </c>
      <c r="B1548" s="59" t="str">
        <f>IF($A1548="","",[1]weekly_demand!F1549)</f>
        <v/>
      </c>
      <c r="C1548" s="60" t="str">
        <f>IF($A1548="","",[1]weekly_demand!H1549)</f>
        <v/>
      </c>
      <c r="D1548" s="61" t="str">
        <f>IF($A1548="","",IF(SUMIFS([1]Fixture_Capacity_Input!$C:$C,[1]Fixture_Capacity_Input!$A:$A,$B1548,[1]Fixture_Capacity_Input!$B:$B,$C1548)&gt;0,SUMIFS([1]Fixture_Capacity_Input!$C:$C,[1]Fixture_Capacity_Input!$A:$A,$B1548,[1]Fixture_Capacity_Input!$B:$B,$C1548),[1]weekly_demand!G1549))</f>
        <v/>
      </c>
      <c r="E1548" s="62" t="str">
        <f>IF($A1548="","",[1]weekly_demand!I1549)</f>
        <v/>
      </c>
      <c r="F1548" s="61" t="str">
        <f>IF($A1548="","",IF($A1548&lt;&gt;$A1547,IFERROR(INDEX([1]FG_Begin_Inventory!$B:$B,MATCH($A1548,[1]FG_Begin_Inventory!$A:$A,0)),0),J1547))</f>
        <v/>
      </c>
      <c r="G1548" s="61" t="str">
        <f t="shared" si="171"/>
        <v/>
      </c>
      <c r="H1548" s="61" t="str">
        <f t="shared" si="172"/>
        <v/>
      </c>
      <c r="I1548" s="62" t="str">
        <f t="shared" si="173"/>
        <v/>
      </c>
      <c r="J1548" s="61" t="str">
        <f t="shared" si="174"/>
        <v/>
      </c>
      <c r="K1548" s="61" t="str">
        <f t="shared" si="175"/>
        <v/>
      </c>
      <c r="L1548" s="61" t="str">
        <f t="shared" si="176"/>
        <v/>
      </c>
      <c r="M1548" s="63" t="str">
        <f t="shared" si="177"/>
        <v/>
      </c>
      <c r="N1548" s="64"/>
    </row>
    <row r="1549" spans="1:14" x14ac:dyDescent="0.3">
      <c r="A1549" s="58" t="str">
        <f>IF([1]weekly_demand!A1550="","",[1]weekly_demand!A1550)</f>
        <v/>
      </c>
      <c r="B1549" s="59" t="str">
        <f>IF($A1549="","",[1]weekly_demand!F1550)</f>
        <v/>
      </c>
      <c r="C1549" s="60" t="str">
        <f>IF($A1549="","",[1]weekly_demand!H1550)</f>
        <v/>
      </c>
      <c r="D1549" s="61" t="str">
        <f>IF($A1549="","",IF(SUMIFS([1]Fixture_Capacity_Input!$C:$C,[1]Fixture_Capacity_Input!$A:$A,$B1549,[1]Fixture_Capacity_Input!$B:$B,$C1549)&gt;0,SUMIFS([1]Fixture_Capacity_Input!$C:$C,[1]Fixture_Capacity_Input!$A:$A,$B1549,[1]Fixture_Capacity_Input!$B:$B,$C1549),[1]weekly_demand!G1550))</f>
        <v/>
      </c>
      <c r="E1549" s="62" t="str">
        <f>IF($A1549="","",[1]weekly_demand!I1550)</f>
        <v/>
      </c>
      <c r="F1549" s="61" t="str">
        <f>IF($A1549="","",IF($A1549&lt;&gt;$A1548,IFERROR(INDEX([1]FG_Begin_Inventory!$B:$B,MATCH($A1549,[1]FG_Begin_Inventory!$A:$A,0)),0),J1548))</f>
        <v/>
      </c>
      <c r="G1549" s="61" t="str">
        <f t="shared" si="171"/>
        <v/>
      </c>
      <c r="H1549" s="61" t="str">
        <f t="shared" si="172"/>
        <v/>
      </c>
      <c r="I1549" s="62" t="str">
        <f t="shared" si="173"/>
        <v/>
      </c>
      <c r="J1549" s="61" t="str">
        <f t="shared" si="174"/>
        <v/>
      </c>
      <c r="K1549" s="61" t="str">
        <f t="shared" si="175"/>
        <v/>
      </c>
      <c r="L1549" s="61" t="str">
        <f t="shared" si="176"/>
        <v/>
      </c>
      <c r="M1549" s="63" t="str">
        <f t="shared" si="177"/>
        <v/>
      </c>
      <c r="N1549" s="64"/>
    </row>
    <row r="1550" spans="1:14" x14ac:dyDescent="0.3">
      <c r="A1550" s="58" t="str">
        <f>IF([1]weekly_demand!A1551="","",[1]weekly_demand!A1551)</f>
        <v/>
      </c>
      <c r="B1550" s="59" t="str">
        <f>IF($A1550="","",[1]weekly_demand!F1551)</f>
        <v/>
      </c>
      <c r="C1550" s="60" t="str">
        <f>IF($A1550="","",[1]weekly_demand!H1551)</f>
        <v/>
      </c>
      <c r="D1550" s="61" t="str">
        <f>IF($A1550="","",IF(SUMIFS([1]Fixture_Capacity_Input!$C:$C,[1]Fixture_Capacity_Input!$A:$A,$B1550,[1]Fixture_Capacity_Input!$B:$B,$C1550)&gt;0,SUMIFS([1]Fixture_Capacity_Input!$C:$C,[1]Fixture_Capacity_Input!$A:$A,$B1550,[1]Fixture_Capacity_Input!$B:$B,$C1550),[1]weekly_demand!G1551))</f>
        <v/>
      </c>
      <c r="E1550" s="62" t="str">
        <f>IF($A1550="","",[1]weekly_demand!I1551)</f>
        <v/>
      </c>
      <c r="F1550" s="61" t="str">
        <f>IF($A1550="","",IF($A1550&lt;&gt;$A1549,IFERROR(INDEX([1]FG_Begin_Inventory!$B:$B,MATCH($A1550,[1]FG_Begin_Inventory!$A:$A,0)),0),J1549))</f>
        <v/>
      </c>
      <c r="G1550" s="61" t="str">
        <f t="shared" si="171"/>
        <v/>
      </c>
      <c r="H1550" s="61" t="str">
        <f t="shared" si="172"/>
        <v/>
      </c>
      <c r="I1550" s="62" t="str">
        <f t="shared" si="173"/>
        <v/>
      </c>
      <c r="J1550" s="61" t="str">
        <f t="shared" si="174"/>
        <v/>
      </c>
      <c r="K1550" s="61" t="str">
        <f t="shared" si="175"/>
        <v/>
      </c>
      <c r="L1550" s="61" t="str">
        <f t="shared" si="176"/>
        <v/>
      </c>
      <c r="M1550" s="63" t="str">
        <f t="shared" si="177"/>
        <v/>
      </c>
      <c r="N1550" s="64"/>
    </row>
    <row r="1551" spans="1:14" x14ac:dyDescent="0.3">
      <c r="A1551" s="58" t="str">
        <f>IF([1]weekly_demand!A1552="","",[1]weekly_demand!A1552)</f>
        <v/>
      </c>
      <c r="B1551" s="59" t="str">
        <f>IF($A1551="","",[1]weekly_demand!F1552)</f>
        <v/>
      </c>
      <c r="C1551" s="60" t="str">
        <f>IF($A1551="","",[1]weekly_demand!H1552)</f>
        <v/>
      </c>
      <c r="D1551" s="61" t="str">
        <f>IF($A1551="","",IF(SUMIFS([1]Fixture_Capacity_Input!$C:$C,[1]Fixture_Capacity_Input!$A:$A,$B1551,[1]Fixture_Capacity_Input!$B:$B,$C1551)&gt;0,SUMIFS([1]Fixture_Capacity_Input!$C:$C,[1]Fixture_Capacity_Input!$A:$A,$B1551,[1]Fixture_Capacity_Input!$B:$B,$C1551),[1]weekly_demand!G1552))</f>
        <v/>
      </c>
      <c r="E1551" s="62" t="str">
        <f>IF($A1551="","",[1]weekly_demand!I1552)</f>
        <v/>
      </c>
      <c r="F1551" s="61" t="str">
        <f>IF($A1551="","",IF($A1551&lt;&gt;$A1550,IFERROR(INDEX([1]FG_Begin_Inventory!$B:$B,MATCH($A1551,[1]FG_Begin_Inventory!$A:$A,0)),0),J1550))</f>
        <v/>
      </c>
      <c r="G1551" s="61" t="str">
        <f t="shared" si="171"/>
        <v/>
      </c>
      <c r="H1551" s="61" t="str">
        <f t="shared" si="172"/>
        <v/>
      </c>
      <c r="I1551" s="62" t="str">
        <f t="shared" si="173"/>
        <v/>
      </c>
      <c r="J1551" s="61" t="str">
        <f t="shared" si="174"/>
        <v/>
      </c>
      <c r="K1551" s="61" t="str">
        <f t="shared" si="175"/>
        <v/>
      </c>
      <c r="L1551" s="61" t="str">
        <f t="shared" si="176"/>
        <v/>
      </c>
      <c r="M1551" s="63" t="str">
        <f t="shared" si="177"/>
        <v/>
      </c>
      <c r="N1551" s="64"/>
    </row>
    <row r="1552" spans="1:14" x14ac:dyDescent="0.3">
      <c r="A1552" s="58" t="str">
        <f>IF([1]weekly_demand!A1553="","",[1]weekly_demand!A1553)</f>
        <v/>
      </c>
      <c r="B1552" s="59" t="str">
        <f>IF($A1552="","",[1]weekly_demand!F1553)</f>
        <v/>
      </c>
      <c r="C1552" s="60" t="str">
        <f>IF($A1552="","",[1]weekly_demand!H1553)</f>
        <v/>
      </c>
      <c r="D1552" s="61" t="str">
        <f>IF($A1552="","",IF(SUMIFS([1]Fixture_Capacity_Input!$C:$C,[1]Fixture_Capacity_Input!$A:$A,$B1552,[1]Fixture_Capacity_Input!$B:$B,$C1552)&gt;0,SUMIFS([1]Fixture_Capacity_Input!$C:$C,[1]Fixture_Capacity_Input!$A:$A,$B1552,[1]Fixture_Capacity_Input!$B:$B,$C1552),[1]weekly_demand!G1553))</f>
        <v/>
      </c>
      <c r="E1552" s="62" t="str">
        <f>IF($A1552="","",[1]weekly_demand!I1553)</f>
        <v/>
      </c>
      <c r="F1552" s="61" t="str">
        <f>IF($A1552="","",IF($A1552&lt;&gt;$A1551,IFERROR(INDEX([1]FG_Begin_Inventory!$B:$B,MATCH($A1552,[1]FG_Begin_Inventory!$A:$A,0)),0),J1551))</f>
        <v/>
      </c>
      <c r="G1552" s="61" t="str">
        <f t="shared" si="171"/>
        <v/>
      </c>
      <c r="H1552" s="61" t="str">
        <f t="shared" si="172"/>
        <v/>
      </c>
      <c r="I1552" s="62" t="str">
        <f t="shared" si="173"/>
        <v/>
      </c>
      <c r="J1552" s="61" t="str">
        <f t="shared" si="174"/>
        <v/>
      </c>
      <c r="K1552" s="61" t="str">
        <f t="shared" si="175"/>
        <v/>
      </c>
      <c r="L1552" s="61" t="str">
        <f t="shared" si="176"/>
        <v/>
      </c>
      <c r="M1552" s="63" t="str">
        <f t="shared" si="177"/>
        <v/>
      </c>
      <c r="N1552" s="64"/>
    </row>
    <row r="1553" spans="1:14" x14ac:dyDescent="0.3">
      <c r="A1553" s="58" t="str">
        <f>IF([1]weekly_demand!A1554="","",[1]weekly_demand!A1554)</f>
        <v/>
      </c>
      <c r="B1553" s="59" t="str">
        <f>IF($A1553="","",[1]weekly_demand!F1554)</f>
        <v/>
      </c>
      <c r="C1553" s="60" t="str">
        <f>IF($A1553="","",[1]weekly_demand!H1554)</f>
        <v/>
      </c>
      <c r="D1553" s="61" t="str">
        <f>IF($A1553="","",IF(SUMIFS([1]Fixture_Capacity_Input!$C:$C,[1]Fixture_Capacity_Input!$A:$A,$B1553,[1]Fixture_Capacity_Input!$B:$B,$C1553)&gt;0,SUMIFS([1]Fixture_Capacity_Input!$C:$C,[1]Fixture_Capacity_Input!$A:$A,$B1553,[1]Fixture_Capacity_Input!$B:$B,$C1553),[1]weekly_demand!G1554))</f>
        <v/>
      </c>
      <c r="E1553" s="62" t="str">
        <f>IF($A1553="","",[1]weekly_demand!I1554)</f>
        <v/>
      </c>
      <c r="F1553" s="61" t="str">
        <f>IF($A1553="","",IF($A1553&lt;&gt;$A1552,IFERROR(INDEX([1]FG_Begin_Inventory!$B:$B,MATCH($A1553,[1]FG_Begin_Inventory!$A:$A,0)),0),J1552))</f>
        <v/>
      </c>
      <c r="G1553" s="61" t="str">
        <f t="shared" si="171"/>
        <v/>
      </c>
      <c r="H1553" s="61" t="str">
        <f t="shared" si="172"/>
        <v/>
      </c>
      <c r="I1553" s="62" t="str">
        <f t="shared" si="173"/>
        <v/>
      </c>
      <c r="J1553" s="61" t="str">
        <f t="shared" si="174"/>
        <v/>
      </c>
      <c r="K1553" s="61" t="str">
        <f t="shared" si="175"/>
        <v/>
      </c>
      <c r="L1553" s="61" t="str">
        <f t="shared" si="176"/>
        <v/>
      </c>
      <c r="M1553" s="63" t="str">
        <f t="shared" si="177"/>
        <v/>
      </c>
      <c r="N1553" s="64"/>
    </row>
    <row r="1554" spans="1:14" x14ac:dyDescent="0.3">
      <c r="A1554" s="58" t="str">
        <f>IF([1]weekly_demand!A1555="","",[1]weekly_demand!A1555)</f>
        <v/>
      </c>
      <c r="B1554" s="59" t="str">
        <f>IF($A1554="","",[1]weekly_demand!F1555)</f>
        <v/>
      </c>
      <c r="C1554" s="60" t="str">
        <f>IF($A1554="","",[1]weekly_demand!H1555)</f>
        <v/>
      </c>
      <c r="D1554" s="61" t="str">
        <f>IF($A1554="","",IF(SUMIFS([1]Fixture_Capacity_Input!$C:$C,[1]Fixture_Capacity_Input!$A:$A,$B1554,[1]Fixture_Capacity_Input!$B:$B,$C1554)&gt;0,SUMIFS([1]Fixture_Capacity_Input!$C:$C,[1]Fixture_Capacity_Input!$A:$A,$B1554,[1]Fixture_Capacity_Input!$B:$B,$C1554),[1]weekly_demand!G1555))</f>
        <v/>
      </c>
      <c r="E1554" s="62" t="str">
        <f>IF($A1554="","",[1]weekly_demand!I1555)</f>
        <v/>
      </c>
      <c r="F1554" s="61" t="str">
        <f>IF($A1554="","",IF($A1554&lt;&gt;$A1553,IFERROR(INDEX([1]FG_Begin_Inventory!$B:$B,MATCH($A1554,[1]FG_Begin_Inventory!$A:$A,0)),0),J1553))</f>
        <v/>
      </c>
      <c r="G1554" s="61" t="str">
        <f t="shared" si="171"/>
        <v/>
      </c>
      <c r="H1554" s="61" t="str">
        <f t="shared" si="172"/>
        <v/>
      </c>
      <c r="I1554" s="62" t="str">
        <f t="shared" si="173"/>
        <v/>
      </c>
      <c r="J1554" s="61" t="str">
        <f t="shared" si="174"/>
        <v/>
      </c>
      <c r="K1554" s="61" t="str">
        <f t="shared" si="175"/>
        <v/>
      </c>
      <c r="L1554" s="61" t="str">
        <f t="shared" si="176"/>
        <v/>
      </c>
      <c r="M1554" s="63" t="str">
        <f t="shared" si="177"/>
        <v/>
      </c>
      <c r="N1554" s="64"/>
    </row>
    <row r="1555" spans="1:14" x14ac:dyDescent="0.3">
      <c r="A1555" s="58" t="str">
        <f>IF([1]weekly_demand!A1556="","",[1]weekly_demand!A1556)</f>
        <v/>
      </c>
      <c r="B1555" s="59" t="str">
        <f>IF($A1555="","",[1]weekly_demand!F1556)</f>
        <v/>
      </c>
      <c r="C1555" s="60" t="str">
        <f>IF($A1555="","",[1]weekly_demand!H1556)</f>
        <v/>
      </c>
      <c r="D1555" s="61" t="str">
        <f>IF($A1555="","",IF(SUMIFS([1]Fixture_Capacity_Input!$C:$C,[1]Fixture_Capacity_Input!$A:$A,$B1555,[1]Fixture_Capacity_Input!$B:$B,$C1555)&gt;0,SUMIFS([1]Fixture_Capacity_Input!$C:$C,[1]Fixture_Capacity_Input!$A:$A,$B1555,[1]Fixture_Capacity_Input!$B:$B,$C1555),[1]weekly_demand!G1556))</f>
        <v/>
      </c>
      <c r="E1555" s="62" t="str">
        <f>IF($A1555="","",[1]weekly_demand!I1556)</f>
        <v/>
      </c>
      <c r="F1555" s="61" t="str">
        <f>IF($A1555="","",IF($A1555&lt;&gt;$A1554,IFERROR(INDEX([1]FG_Begin_Inventory!$B:$B,MATCH($A1555,[1]FG_Begin_Inventory!$A:$A,0)),0),J1554))</f>
        <v/>
      </c>
      <c r="G1555" s="61" t="str">
        <f t="shared" si="171"/>
        <v/>
      </c>
      <c r="H1555" s="61" t="str">
        <f t="shared" si="172"/>
        <v/>
      </c>
      <c r="I1555" s="62" t="str">
        <f t="shared" si="173"/>
        <v/>
      </c>
      <c r="J1555" s="61" t="str">
        <f t="shared" si="174"/>
        <v/>
      </c>
      <c r="K1555" s="61" t="str">
        <f t="shared" si="175"/>
        <v/>
      </c>
      <c r="L1555" s="61" t="str">
        <f t="shared" si="176"/>
        <v/>
      </c>
      <c r="M1555" s="63" t="str">
        <f t="shared" si="177"/>
        <v/>
      </c>
      <c r="N1555" s="64"/>
    </row>
    <row r="1556" spans="1:14" x14ac:dyDescent="0.3">
      <c r="A1556" s="58" t="str">
        <f>IF([1]weekly_demand!A1557="","",[1]weekly_demand!A1557)</f>
        <v/>
      </c>
      <c r="B1556" s="59" t="str">
        <f>IF($A1556="","",[1]weekly_demand!F1557)</f>
        <v/>
      </c>
      <c r="C1556" s="60" t="str">
        <f>IF($A1556="","",[1]weekly_demand!H1557)</f>
        <v/>
      </c>
      <c r="D1556" s="61" t="str">
        <f>IF($A1556="","",IF(SUMIFS([1]Fixture_Capacity_Input!$C:$C,[1]Fixture_Capacity_Input!$A:$A,$B1556,[1]Fixture_Capacity_Input!$B:$B,$C1556)&gt;0,SUMIFS([1]Fixture_Capacity_Input!$C:$C,[1]Fixture_Capacity_Input!$A:$A,$B1556,[1]Fixture_Capacity_Input!$B:$B,$C1556),[1]weekly_demand!G1557))</f>
        <v/>
      </c>
      <c r="E1556" s="62" t="str">
        <f>IF($A1556="","",[1]weekly_demand!I1557)</f>
        <v/>
      </c>
      <c r="F1556" s="61" t="str">
        <f>IF($A1556="","",IF($A1556&lt;&gt;$A1555,IFERROR(INDEX([1]FG_Begin_Inventory!$B:$B,MATCH($A1556,[1]FG_Begin_Inventory!$A:$A,0)),0),J1555))</f>
        <v/>
      </c>
      <c r="G1556" s="61" t="str">
        <f t="shared" si="171"/>
        <v/>
      </c>
      <c r="H1556" s="61" t="str">
        <f t="shared" si="172"/>
        <v/>
      </c>
      <c r="I1556" s="62" t="str">
        <f t="shared" si="173"/>
        <v/>
      </c>
      <c r="J1556" s="61" t="str">
        <f t="shared" si="174"/>
        <v/>
      </c>
      <c r="K1556" s="61" t="str">
        <f t="shared" si="175"/>
        <v/>
      </c>
      <c r="L1556" s="61" t="str">
        <f t="shared" si="176"/>
        <v/>
      </c>
      <c r="M1556" s="63" t="str">
        <f t="shared" si="177"/>
        <v/>
      </c>
      <c r="N1556" s="64"/>
    </row>
    <row r="1557" spans="1:14" x14ac:dyDescent="0.3">
      <c r="A1557" s="58" t="str">
        <f>IF([1]weekly_demand!A1558="","",[1]weekly_demand!A1558)</f>
        <v/>
      </c>
      <c r="B1557" s="59" t="str">
        <f>IF($A1557="","",[1]weekly_demand!F1558)</f>
        <v/>
      </c>
      <c r="C1557" s="60" t="str">
        <f>IF($A1557="","",[1]weekly_demand!H1558)</f>
        <v/>
      </c>
      <c r="D1557" s="61" t="str">
        <f>IF($A1557="","",IF(SUMIFS([1]Fixture_Capacity_Input!$C:$C,[1]Fixture_Capacity_Input!$A:$A,$B1557,[1]Fixture_Capacity_Input!$B:$B,$C1557)&gt;0,SUMIFS([1]Fixture_Capacity_Input!$C:$C,[1]Fixture_Capacity_Input!$A:$A,$B1557,[1]Fixture_Capacity_Input!$B:$B,$C1557),[1]weekly_demand!G1558))</f>
        <v/>
      </c>
      <c r="E1557" s="62" t="str">
        <f>IF($A1557="","",[1]weekly_demand!I1558)</f>
        <v/>
      </c>
      <c r="F1557" s="61" t="str">
        <f>IF($A1557="","",IF($A1557&lt;&gt;$A1556,IFERROR(INDEX([1]FG_Begin_Inventory!$B:$B,MATCH($A1557,[1]FG_Begin_Inventory!$A:$A,0)),0),J1556))</f>
        <v/>
      </c>
      <c r="G1557" s="61" t="str">
        <f t="shared" si="171"/>
        <v/>
      </c>
      <c r="H1557" s="61" t="str">
        <f t="shared" si="172"/>
        <v/>
      </c>
      <c r="I1557" s="62" t="str">
        <f t="shared" si="173"/>
        <v/>
      </c>
      <c r="J1557" s="61" t="str">
        <f t="shared" si="174"/>
        <v/>
      </c>
      <c r="K1557" s="61" t="str">
        <f t="shared" si="175"/>
        <v/>
      </c>
      <c r="L1557" s="61" t="str">
        <f t="shared" si="176"/>
        <v/>
      </c>
      <c r="M1557" s="63" t="str">
        <f t="shared" si="177"/>
        <v/>
      </c>
      <c r="N1557" s="64"/>
    </row>
    <row r="1558" spans="1:14" x14ac:dyDescent="0.3">
      <c r="A1558" s="58" t="str">
        <f>IF([1]weekly_demand!A1559="","",[1]weekly_demand!A1559)</f>
        <v/>
      </c>
      <c r="B1558" s="59" t="str">
        <f>IF($A1558="","",[1]weekly_demand!F1559)</f>
        <v/>
      </c>
      <c r="C1558" s="60" t="str">
        <f>IF($A1558="","",[1]weekly_demand!H1559)</f>
        <v/>
      </c>
      <c r="D1558" s="61" t="str">
        <f>IF($A1558="","",IF(SUMIFS([1]Fixture_Capacity_Input!$C:$C,[1]Fixture_Capacity_Input!$A:$A,$B1558,[1]Fixture_Capacity_Input!$B:$B,$C1558)&gt;0,SUMIFS([1]Fixture_Capacity_Input!$C:$C,[1]Fixture_Capacity_Input!$A:$A,$B1558,[1]Fixture_Capacity_Input!$B:$B,$C1558),[1]weekly_demand!G1559))</f>
        <v/>
      </c>
      <c r="E1558" s="62" t="str">
        <f>IF($A1558="","",[1]weekly_demand!I1559)</f>
        <v/>
      </c>
      <c r="F1558" s="61" t="str">
        <f>IF($A1558="","",IF($A1558&lt;&gt;$A1557,IFERROR(INDEX([1]FG_Begin_Inventory!$B:$B,MATCH($A1558,[1]FG_Begin_Inventory!$A:$A,0)),0),J1557))</f>
        <v/>
      </c>
      <c r="G1558" s="61" t="str">
        <f t="shared" si="171"/>
        <v/>
      </c>
      <c r="H1558" s="61" t="str">
        <f t="shared" si="172"/>
        <v/>
      </c>
      <c r="I1558" s="62" t="str">
        <f t="shared" si="173"/>
        <v/>
      </c>
      <c r="J1558" s="61" t="str">
        <f t="shared" si="174"/>
        <v/>
      </c>
      <c r="K1558" s="61" t="str">
        <f t="shared" si="175"/>
        <v/>
      </c>
      <c r="L1558" s="61" t="str">
        <f t="shared" si="176"/>
        <v/>
      </c>
      <c r="M1558" s="63" t="str">
        <f t="shared" si="177"/>
        <v/>
      </c>
      <c r="N1558" s="64"/>
    </row>
    <row r="1559" spans="1:14" x14ac:dyDescent="0.3">
      <c r="A1559" s="58" t="str">
        <f>IF([1]weekly_demand!A1560="","",[1]weekly_demand!A1560)</f>
        <v/>
      </c>
      <c r="B1559" s="59" t="str">
        <f>IF($A1559="","",[1]weekly_demand!F1560)</f>
        <v/>
      </c>
      <c r="C1559" s="60" t="str">
        <f>IF($A1559="","",[1]weekly_demand!H1560)</f>
        <v/>
      </c>
      <c r="D1559" s="61" t="str">
        <f>IF($A1559="","",IF(SUMIFS([1]Fixture_Capacity_Input!$C:$C,[1]Fixture_Capacity_Input!$A:$A,$B1559,[1]Fixture_Capacity_Input!$B:$B,$C1559)&gt;0,SUMIFS([1]Fixture_Capacity_Input!$C:$C,[1]Fixture_Capacity_Input!$A:$A,$B1559,[1]Fixture_Capacity_Input!$B:$B,$C1559),[1]weekly_demand!G1560))</f>
        <v/>
      </c>
      <c r="E1559" s="62" t="str">
        <f>IF($A1559="","",[1]weekly_demand!I1560)</f>
        <v/>
      </c>
      <c r="F1559" s="61" t="str">
        <f>IF($A1559="","",IF($A1559&lt;&gt;$A1558,IFERROR(INDEX([1]FG_Begin_Inventory!$B:$B,MATCH($A1559,[1]FG_Begin_Inventory!$A:$A,0)),0),J1558))</f>
        <v/>
      </c>
      <c r="G1559" s="61" t="str">
        <f t="shared" si="171"/>
        <v/>
      </c>
      <c r="H1559" s="61" t="str">
        <f t="shared" si="172"/>
        <v/>
      </c>
      <c r="I1559" s="62" t="str">
        <f t="shared" si="173"/>
        <v/>
      </c>
      <c r="J1559" s="61" t="str">
        <f t="shared" si="174"/>
        <v/>
      </c>
      <c r="K1559" s="61" t="str">
        <f t="shared" si="175"/>
        <v/>
      </c>
      <c r="L1559" s="61" t="str">
        <f t="shared" si="176"/>
        <v/>
      </c>
      <c r="M1559" s="63" t="str">
        <f t="shared" si="177"/>
        <v/>
      </c>
      <c r="N1559" s="64"/>
    </row>
    <row r="1560" spans="1:14" x14ac:dyDescent="0.3">
      <c r="A1560" s="58" t="str">
        <f>IF([1]weekly_demand!A1561="","",[1]weekly_demand!A1561)</f>
        <v/>
      </c>
      <c r="B1560" s="59" t="str">
        <f>IF($A1560="","",[1]weekly_demand!F1561)</f>
        <v/>
      </c>
      <c r="C1560" s="60" t="str">
        <f>IF($A1560="","",[1]weekly_demand!H1561)</f>
        <v/>
      </c>
      <c r="D1560" s="61" t="str">
        <f>IF($A1560="","",IF(SUMIFS([1]Fixture_Capacity_Input!$C:$C,[1]Fixture_Capacity_Input!$A:$A,$B1560,[1]Fixture_Capacity_Input!$B:$B,$C1560)&gt;0,SUMIFS([1]Fixture_Capacity_Input!$C:$C,[1]Fixture_Capacity_Input!$A:$A,$B1560,[1]Fixture_Capacity_Input!$B:$B,$C1560),[1]weekly_demand!G1561))</f>
        <v/>
      </c>
      <c r="E1560" s="62" t="str">
        <f>IF($A1560="","",[1]weekly_demand!I1561)</f>
        <v/>
      </c>
      <c r="F1560" s="61" t="str">
        <f>IF($A1560="","",IF($A1560&lt;&gt;$A1559,IFERROR(INDEX([1]FG_Begin_Inventory!$B:$B,MATCH($A1560,[1]FG_Begin_Inventory!$A:$A,0)),0),J1559))</f>
        <v/>
      </c>
      <c r="G1560" s="61" t="str">
        <f t="shared" si="171"/>
        <v/>
      </c>
      <c r="H1560" s="61" t="str">
        <f t="shared" si="172"/>
        <v/>
      </c>
      <c r="I1560" s="62" t="str">
        <f t="shared" si="173"/>
        <v/>
      </c>
      <c r="J1560" s="61" t="str">
        <f t="shared" si="174"/>
        <v/>
      </c>
      <c r="K1560" s="61" t="str">
        <f t="shared" si="175"/>
        <v/>
      </c>
      <c r="L1560" s="61" t="str">
        <f t="shared" si="176"/>
        <v/>
      </c>
      <c r="M1560" s="63" t="str">
        <f t="shared" si="177"/>
        <v/>
      </c>
      <c r="N1560" s="64"/>
    </row>
    <row r="1561" spans="1:14" x14ac:dyDescent="0.3">
      <c r="A1561" s="58" t="str">
        <f>IF([1]weekly_demand!A1562="","",[1]weekly_demand!A1562)</f>
        <v/>
      </c>
      <c r="B1561" s="59" t="str">
        <f>IF($A1561="","",[1]weekly_demand!F1562)</f>
        <v/>
      </c>
      <c r="C1561" s="60" t="str">
        <f>IF($A1561="","",[1]weekly_demand!H1562)</f>
        <v/>
      </c>
      <c r="D1561" s="61" t="str">
        <f>IF($A1561="","",IF(SUMIFS([1]Fixture_Capacity_Input!$C:$C,[1]Fixture_Capacity_Input!$A:$A,$B1561,[1]Fixture_Capacity_Input!$B:$B,$C1561)&gt;0,SUMIFS([1]Fixture_Capacity_Input!$C:$C,[1]Fixture_Capacity_Input!$A:$A,$B1561,[1]Fixture_Capacity_Input!$B:$B,$C1561),[1]weekly_demand!G1562))</f>
        <v/>
      </c>
      <c r="E1561" s="62" t="str">
        <f>IF($A1561="","",[1]weekly_demand!I1562)</f>
        <v/>
      </c>
      <c r="F1561" s="61" t="str">
        <f>IF($A1561="","",IF($A1561&lt;&gt;$A1560,IFERROR(INDEX([1]FG_Begin_Inventory!$B:$B,MATCH($A1561,[1]FG_Begin_Inventory!$A:$A,0)),0),J1560))</f>
        <v/>
      </c>
      <c r="G1561" s="61" t="str">
        <f t="shared" si="171"/>
        <v/>
      </c>
      <c r="H1561" s="61" t="str">
        <f t="shared" si="172"/>
        <v/>
      </c>
      <c r="I1561" s="62" t="str">
        <f t="shared" si="173"/>
        <v/>
      </c>
      <c r="J1561" s="61" t="str">
        <f t="shared" si="174"/>
        <v/>
      </c>
      <c r="K1561" s="61" t="str">
        <f t="shared" si="175"/>
        <v/>
      </c>
      <c r="L1561" s="61" t="str">
        <f t="shared" si="176"/>
        <v/>
      </c>
      <c r="M1561" s="63" t="str">
        <f t="shared" si="177"/>
        <v/>
      </c>
      <c r="N1561" s="64"/>
    </row>
    <row r="1562" spans="1:14" x14ac:dyDescent="0.3">
      <c r="A1562" s="58" t="str">
        <f>IF([1]weekly_demand!A1563="","",[1]weekly_demand!A1563)</f>
        <v/>
      </c>
      <c r="B1562" s="59" t="str">
        <f>IF($A1562="","",[1]weekly_demand!F1563)</f>
        <v/>
      </c>
      <c r="C1562" s="60" t="str">
        <f>IF($A1562="","",[1]weekly_demand!H1563)</f>
        <v/>
      </c>
      <c r="D1562" s="61" t="str">
        <f>IF($A1562="","",IF(SUMIFS([1]Fixture_Capacity_Input!$C:$C,[1]Fixture_Capacity_Input!$A:$A,$B1562,[1]Fixture_Capacity_Input!$B:$B,$C1562)&gt;0,SUMIFS([1]Fixture_Capacity_Input!$C:$C,[1]Fixture_Capacity_Input!$A:$A,$B1562,[1]Fixture_Capacity_Input!$B:$B,$C1562),[1]weekly_demand!G1563))</f>
        <v/>
      </c>
      <c r="E1562" s="62" t="str">
        <f>IF($A1562="","",[1]weekly_demand!I1563)</f>
        <v/>
      </c>
      <c r="F1562" s="61" t="str">
        <f>IF($A1562="","",IF($A1562&lt;&gt;$A1561,IFERROR(INDEX([1]FG_Begin_Inventory!$B:$B,MATCH($A1562,[1]FG_Begin_Inventory!$A:$A,0)),0),J1561))</f>
        <v/>
      </c>
      <c r="G1562" s="61" t="str">
        <f t="shared" si="171"/>
        <v/>
      </c>
      <c r="H1562" s="61" t="str">
        <f t="shared" si="172"/>
        <v/>
      </c>
      <c r="I1562" s="62" t="str">
        <f t="shared" si="173"/>
        <v/>
      </c>
      <c r="J1562" s="61" t="str">
        <f t="shared" si="174"/>
        <v/>
      </c>
      <c r="K1562" s="61" t="str">
        <f t="shared" si="175"/>
        <v/>
      </c>
      <c r="L1562" s="61" t="str">
        <f t="shared" si="176"/>
        <v/>
      </c>
      <c r="M1562" s="63" t="str">
        <f t="shared" si="177"/>
        <v/>
      </c>
      <c r="N1562" s="64"/>
    </row>
    <row r="1563" spans="1:14" x14ac:dyDescent="0.3">
      <c r="A1563" s="58" t="str">
        <f>IF([1]weekly_demand!A1564="","",[1]weekly_demand!A1564)</f>
        <v/>
      </c>
      <c r="B1563" s="59" t="str">
        <f>IF($A1563="","",[1]weekly_demand!F1564)</f>
        <v/>
      </c>
      <c r="C1563" s="60" t="str">
        <f>IF($A1563="","",[1]weekly_demand!H1564)</f>
        <v/>
      </c>
      <c r="D1563" s="61" t="str">
        <f>IF($A1563="","",IF(SUMIFS([1]Fixture_Capacity_Input!$C:$C,[1]Fixture_Capacity_Input!$A:$A,$B1563,[1]Fixture_Capacity_Input!$B:$B,$C1563)&gt;0,SUMIFS([1]Fixture_Capacity_Input!$C:$C,[1]Fixture_Capacity_Input!$A:$A,$B1563,[1]Fixture_Capacity_Input!$B:$B,$C1563),[1]weekly_demand!G1564))</f>
        <v/>
      </c>
      <c r="E1563" s="62" t="str">
        <f>IF($A1563="","",[1]weekly_demand!I1564)</f>
        <v/>
      </c>
      <c r="F1563" s="61" t="str">
        <f>IF($A1563="","",IF($A1563&lt;&gt;$A1562,IFERROR(INDEX([1]FG_Begin_Inventory!$B:$B,MATCH($A1563,[1]FG_Begin_Inventory!$A:$A,0)),0),J1562))</f>
        <v/>
      </c>
      <c r="G1563" s="61" t="str">
        <f t="shared" si="171"/>
        <v/>
      </c>
      <c r="H1563" s="61" t="str">
        <f t="shared" si="172"/>
        <v/>
      </c>
      <c r="I1563" s="62" t="str">
        <f t="shared" si="173"/>
        <v/>
      </c>
      <c r="J1563" s="61" t="str">
        <f t="shared" si="174"/>
        <v/>
      </c>
      <c r="K1563" s="61" t="str">
        <f t="shared" si="175"/>
        <v/>
      </c>
      <c r="L1563" s="61" t="str">
        <f t="shared" si="176"/>
        <v/>
      </c>
      <c r="M1563" s="63" t="str">
        <f t="shared" si="177"/>
        <v/>
      </c>
      <c r="N1563" s="64"/>
    </row>
    <row r="1564" spans="1:14" x14ac:dyDescent="0.3">
      <c r="A1564" s="58" t="str">
        <f>IF([1]weekly_demand!A1565="","",[1]weekly_demand!A1565)</f>
        <v/>
      </c>
      <c r="B1564" s="59" t="str">
        <f>IF($A1564="","",[1]weekly_demand!F1565)</f>
        <v/>
      </c>
      <c r="C1564" s="60" t="str">
        <f>IF($A1564="","",[1]weekly_demand!H1565)</f>
        <v/>
      </c>
      <c r="D1564" s="61" t="str">
        <f>IF($A1564="","",IF(SUMIFS([1]Fixture_Capacity_Input!$C:$C,[1]Fixture_Capacity_Input!$A:$A,$B1564,[1]Fixture_Capacity_Input!$B:$B,$C1564)&gt;0,SUMIFS([1]Fixture_Capacity_Input!$C:$C,[1]Fixture_Capacity_Input!$A:$A,$B1564,[1]Fixture_Capacity_Input!$B:$B,$C1564),[1]weekly_demand!G1565))</f>
        <v/>
      </c>
      <c r="E1564" s="62" t="str">
        <f>IF($A1564="","",[1]weekly_demand!I1565)</f>
        <v/>
      </c>
      <c r="F1564" s="61" t="str">
        <f>IF($A1564="","",IF($A1564&lt;&gt;$A1563,IFERROR(INDEX([1]FG_Begin_Inventory!$B:$B,MATCH($A1564,[1]FG_Begin_Inventory!$A:$A,0)),0),J1563))</f>
        <v/>
      </c>
      <c r="G1564" s="61" t="str">
        <f t="shared" si="171"/>
        <v/>
      </c>
      <c r="H1564" s="61" t="str">
        <f t="shared" si="172"/>
        <v/>
      </c>
      <c r="I1564" s="62" t="str">
        <f t="shared" si="173"/>
        <v/>
      </c>
      <c r="J1564" s="61" t="str">
        <f t="shared" si="174"/>
        <v/>
      </c>
      <c r="K1564" s="61" t="str">
        <f t="shared" si="175"/>
        <v/>
      </c>
      <c r="L1564" s="61" t="str">
        <f t="shared" si="176"/>
        <v/>
      </c>
      <c r="M1564" s="63" t="str">
        <f t="shared" si="177"/>
        <v/>
      </c>
      <c r="N1564" s="64"/>
    </row>
    <row r="1565" spans="1:14" x14ac:dyDescent="0.3">
      <c r="A1565" s="58" t="str">
        <f>IF([1]weekly_demand!A1566="","",[1]weekly_demand!A1566)</f>
        <v/>
      </c>
      <c r="B1565" s="59" t="str">
        <f>IF($A1565="","",[1]weekly_demand!F1566)</f>
        <v/>
      </c>
      <c r="C1565" s="60" t="str">
        <f>IF($A1565="","",[1]weekly_demand!H1566)</f>
        <v/>
      </c>
      <c r="D1565" s="61" t="str">
        <f>IF($A1565="","",IF(SUMIFS([1]Fixture_Capacity_Input!$C:$C,[1]Fixture_Capacity_Input!$A:$A,$B1565,[1]Fixture_Capacity_Input!$B:$B,$C1565)&gt;0,SUMIFS([1]Fixture_Capacity_Input!$C:$C,[1]Fixture_Capacity_Input!$A:$A,$B1565,[1]Fixture_Capacity_Input!$B:$B,$C1565),[1]weekly_demand!G1566))</f>
        <v/>
      </c>
      <c r="E1565" s="62" t="str">
        <f>IF($A1565="","",[1]weekly_demand!I1566)</f>
        <v/>
      </c>
      <c r="F1565" s="61" t="str">
        <f>IF($A1565="","",IF($A1565&lt;&gt;$A1564,IFERROR(INDEX([1]FG_Begin_Inventory!$B:$B,MATCH($A1565,[1]FG_Begin_Inventory!$A:$A,0)),0),J1564))</f>
        <v/>
      </c>
      <c r="G1565" s="61" t="str">
        <f t="shared" si="171"/>
        <v/>
      </c>
      <c r="H1565" s="61" t="str">
        <f t="shared" si="172"/>
        <v/>
      </c>
      <c r="I1565" s="62" t="str">
        <f t="shared" si="173"/>
        <v/>
      </c>
      <c r="J1565" s="61" t="str">
        <f t="shared" si="174"/>
        <v/>
      </c>
      <c r="K1565" s="61" t="str">
        <f t="shared" si="175"/>
        <v/>
      </c>
      <c r="L1565" s="61" t="str">
        <f t="shared" si="176"/>
        <v/>
      </c>
      <c r="M1565" s="63" t="str">
        <f t="shared" si="177"/>
        <v/>
      </c>
      <c r="N1565" s="64"/>
    </row>
    <row r="1566" spans="1:14" x14ac:dyDescent="0.3">
      <c r="A1566" s="58" t="str">
        <f>IF([1]weekly_demand!A1567="","",[1]weekly_demand!A1567)</f>
        <v/>
      </c>
      <c r="B1566" s="59" t="str">
        <f>IF($A1566="","",[1]weekly_demand!F1567)</f>
        <v/>
      </c>
      <c r="C1566" s="60" t="str">
        <f>IF($A1566="","",[1]weekly_demand!H1567)</f>
        <v/>
      </c>
      <c r="D1566" s="61" t="str">
        <f>IF($A1566="","",IF(SUMIFS([1]Fixture_Capacity_Input!$C:$C,[1]Fixture_Capacity_Input!$A:$A,$B1566,[1]Fixture_Capacity_Input!$B:$B,$C1566)&gt;0,SUMIFS([1]Fixture_Capacity_Input!$C:$C,[1]Fixture_Capacity_Input!$A:$A,$B1566,[1]Fixture_Capacity_Input!$B:$B,$C1566),[1]weekly_demand!G1567))</f>
        <v/>
      </c>
      <c r="E1566" s="62" t="str">
        <f>IF($A1566="","",[1]weekly_demand!I1567)</f>
        <v/>
      </c>
      <c r="F1566" s="61" t="str">
        <f>IF($A1566="","",IF($A1566&lt;&gt;$A1565,IFERROR(INDEX([1]FG_Begin_Inventory!$B:$B,MATCH($A1566,[1]FG_Begin_Inventory!$A:$A,0)),0),J1565))</f>
        <v/>
      </c>
      <c r="G1566" s="61" t="str">
        <f t="shared" si="171"/>
        <v/>
      </c>
      <c r="H1566" s="61" t="str">
        <f t="shared" si="172"/>
        <v/>
      </c>
      <c r="I1566" s="62" t="str">
        <f t="shared" si="173"/>
        <v/>
      </c>
      <c r="J1566" s="61" t="str">
        <f t="shared" si="174"/>
        <v/>
      </c>
      <c r="K1566" s="61" t="str">
        <f t="shared" si="175"/>
        <v/>
      </c>
      <c r="L1566" s="61" t="str">
        <f t="shared" si="176"/>
        <v/>
      </c>
      <c r="M1566" s="63" t="str">
        <f t="shared" si="177"/>
        <v/>
      </c>
      <c r="N1566" s="64"/>
    </row>
    <row r="1567" spans="1:14" x14ac:dyDescent="0.3">
      <c r="A1567" s="58" t="str">
        <f>IF([1]weekly_demand!A1568="","",[1]weekly_demand!A1568)</f>
        <v/>
      </c>
      <c r="B1567" s="59" t="str">
        <f>IF($A1567="","",[1]weekly_demand!F1568)</f>
        <v/>
      </c>
      <c r="C1567" s="60" t="str">
        <f>IF($A1567="","",[1]weekly_demand!H1568)</f>
        <v/>
      </c>
      <c r="D1567" s="61" t="str">
        <f>IF($A1567="","",IF(SUMIFS([1]Fixture_Capacity_Input!$C:$C,[1]Fixture_Capacity_Input!$A:$A,$B1567,[1]Fixture_Capacity_Input!$B:$B,$C1567)&gt;0,SUMIFS([1]Fixture_Capacity_Input!$C:$C,[1]Fixture_Capacity_Input!$A:$A,$B1567,[1]Fixture_Capacity_Input!$B:$B,$C1567),[1]weekly_demand!G1568))</f>
        <v/>
      </c>
      <c r="E1567" s="62" t="str">
        <f>IF($A1567="","",[1]weekly_demand!I1568)</f>
        <v/>
      </c>
      <c r="F1567" s="61" t="str">
        <f>IF($A1567="","",IF($A1567&lt;&gt;$A1566,IFERROR(INDEX([1]FG_Begin_Inventory!$B:$B,MATCH($A1567,[1]FG_Begin_Inventory!$A:$A,0)),0),J1566))</f>
        <v/>
      </c>
      <c r="G1567" s="61" t="str">
        <f t="shared" si="171"/>
        <v/>
      </c>
      <c r="H1567" s="61" t="str">
        <f t="shared" si="172"/>
        <v/>
      </c>
      <c r="I1567" s="62" t="str">
        <f t="shared" si="173"/>
        <v/>
      </c>
      <c r="J1567" s="61" t="str">
        <f t="shared" si="174"/>
        <v/>
      </c>
      <c r="K1567" s="61" t="str">
        <f t="shared" si="175"/>
        <v/>
      </c>
      <c r="L1567" s="61" t="str">
        <f t="shared" si="176"/>
        <v/>
      </c>
      <c r="M1567" s="63" t="str">
        <f t="shared" si="177"/>
        <v/>
      </c>
      <c r="N1567" s="64"/>
    </row>
    <row r="1568" spans="1:14" x14ac:dyDescent="0.3">
      <c r="A1568" s="58" t="str">
        <f>IF([1]weekly_demand!A1569="","",[1]weekly_demand!A1569)</f>
        <v/>
      </c>
      <c r="B1568" s="59" t="str">
        <f>IF($A1568="","",[1]weekly_demand!F1569)</f>
        <v/>
      </c>
      <c r="C1568" s="60" t="str">
        <f>IF($A1568="","",[1]weekly_demand!H1569)</f>
        <v/>
      </c>
      <c r="D1568" s="61" t="str">
        <f>IF($A1568="","",IF(SUMIFS([1]Fixture_Capacity_Input!$C:$C,[1]Fixture_Capacity_Input!$A:$A,$B1568,[1]Fixture_Capacity_Input!$B:$B,$C1568)&gt;0,SUMIFS([1]Fixture_Capacity_Input!$C:$C,[1]Fixture_Capacity_Input!$A:$A,$B1568,[1]Fixture_Capacity_Input!$B:$B,$C1568),[1]weekly_demand!G1569))</f>
        <v/>
      </c>
      <c r="E1568" s="62" t="str">
        <f>IF($A1568="","",[1]weekly_demand!I1569)</f>
        <v/>
      </c>
      <c r="F1568" s="61" t="str">
        <f>IF($A1568="","",IF($A1568&lt;&gt;$A1567,IFERROR(INDEX([1]FG_Begin_Inventory!$B:$B,MATCH($A1568,[1]FG_Begin_Inventory!$A:$A,0)),0),J1567))</f>
        <v/>
      </c>
      <c r="G1568" s="61" t="str">
        <f t="shared" si="171"/>
        <v/>
      </c>
      <c r="H1568" s="61" t="str">
        <f t="shared" si="172"/>
        <v/>
      </c>
      <c r="I1568" s="62" t="str">
        <f t="shared" si="173"/>
        <v/>
      </c>
      <c r="J1568" s="61" t="str">
        <f t="shared" si="174"/>
        <v/>
      </c>
      <c r="K1568" s="61" t="str">
        <f t="shared" si="175"/>
        <v/>
      </c>
      <c r="L1568" s="61" t="str">
        <f t="shared" si="176"/>
        <v/>
      </c>
      <c r="M1568" s="63" t="str">
        <f t="shared" si="177"/>
        <v/>
      </c>
      <c r="N1568" s="64"/>
    </row>
    <row r="1569" spans="1:14" x14ac:dyDescent="0.3">
      <c r="A1569" s="58" t="str">
        <f>IF([1]weekly_demand!A1570="","",[1]weekly_demand!A1570)</f>
        <v/>
      </c>
      <c r="B1569" s="59" t="str">
        <f>IF($A1569="","",[1]weekly_demand!F1570)</f>
        <v/>
      </c>
      <c r="C1569" s="60" t="str">
        <f>IF($A1569="","",[1]weekly_demand!H1570)</f>
        <v/>
      </c>
      <c r="D1569" s="61" t="str">
        <f>IF($A1569="","",IF(SUMIFS([1]Fixture_Capacity_Input!$C:$C,[1]Fixture_Capacity_Input!$A:$A,$B1569,[1]Fixture_Capacity_Input!$B:$B,$C1569)&gt;0,SUMIFS([1]Fixture_Capacity_Input!$C:$C,[1]Fixture_Capacity_Input!$A:$A,$B1569,[1]Fixture_Capacity_Input!$B:$B,$C1569),[1]weekly_demand!G1570))</f>
        <v/>
      </c>
      <c r="E1569" s="62" t="str">
        <f>IF($A1569="","",[1]weekly_demand!I1570)</f>
        <v/>
      </c>
      <c r="F1569" s="61" t="str">
        <f>IF($A1569="","",IF($A1569&lt;&gt;$A1568,IFERROR(INDEX([1]FG_Begin_Inventory!$B:$B,MATCH($A1569,[1]FG_Begin_Inventory!$A:$A,0)),0),J1568))</f>
        <v/>
      </c>
      <c r="G1569" s="61" t="str">
        <f t="shared" si="171"/>
        <v/>
      </c>
      <c r="H1569" s="61" t="str">
        <f t="shared" si="172"/>
        <v/>
      </c>
      <c r="I1569" s="62" t="str">
        <f t="shared" si="173"/>
        <v/>
      </c>
      <c r="J1569" s="61" t="str">
        <f t="shared" si="174"/>
        <v/>
      </c>
      <c r="K1569" s="61" t="str">
        <f t="shared" si="175"/>
        <v/>
      </c>
      <c r="L1569" s="61" t="str">
        <f t="shared" si="176"/>
        <v/>
      </c>
      <c r="M1569" s="63" t="str">
        <f t="shared" si="177"/>
        <v/>
      </c>
      <c r="N1569" s="64"/>
    </row>
    <row r="1570" spans="1:14" x14ac:dyDescent="0.3">
      <c r="A1570" s="58" t="str">
        <f>IF([1]weekly_demand!A1571="","",[1]weekly_demand!A1571)</f>
        <v/>
      </c>
      <c r="B1570" s="59" t="str">
        <f>IF($A1570="","",[1]weekly_demand!F1571)</f>
        <v/>
      </c>
      <c r="C1570" s="60" t="str">
        <f>IF($A1570="","",[1]weekly_demand!H1571)</f>
        <v/>
      </c>
      <c r="D1570" s="61" t="str">
        <f>IF($A1570="","",IF(SUMIFS([1]Fixture_Capacity_Input!$C:$C,[1]Fixture_Capacity_Input!$A:$A,$B1570,[1]Fixture_Capacity_Input!$B:$B,$C1570)&gt;0,SUMIFS([1]Fixture_Capacity_Input!$C:$C,[1]Fixture_Capacity_Input!$A:$A,$B1570,[1]Fixture_Capacity_Input!$B:$B,$C1570),[1]weekly_demand!G1571))</f>
        <v/>
      </c>
      <c r="E1570" s="62" t="str">
        <f>IF($A1570="","",[1]weekly_demand!I1571)</f>
        <v/>
      </c>
      <c r="F1570" s="61" t="str">
        <f>IF($A1570="","",IF($A1570&lt;&gt;$A1569,IFERROR(INDEX([1]FG_Begin_Inventory!$B:$B,MATCH($A1570,[1]FG_Begin_Inventory!$A:$A,0)),0),J1569))</f>
        <v/>
      </c>
      <c r="G1570" s="61" t="str">
        <f t="shared" si="171"/>
        <v/>
      </c>
      <c r="H1570" s="61" t="str">
        <f t="shared" si="172"/>
        <v/>
      </c>
      <c r="I1570" s="62" t="str">
        <f t="shared" si="173"/>
        <v/>
      </c>
      <c r="J1570" s="61" t="str">
        <f t="shared" si="174"/>
        <v/>
      </c>
      <c r="K1570" s="61" t="str">
        <f t="shared" si="175"/>
        <v/>
      </c>
      <c r="L1570" s="61" t="str">
        <f t="shared" si="176"/>
        <v/>
      </c>
      <c r="M1570" s="63" t="str">
        <f t="shared" si="177"/>
        <v/>
      </c>
      <c r="N1570" s="64"/>
    </row>
    <row r="1571" spans="1:14" x14ac:dyDescent="0.3">
      <c r="A1571" s="58" t="str">
        <f>IF([1]weekly_demand!A1572="","",[1]weekly_demand!A1572)</f>
        <v/>
      </c>
      <c r="B1571" s="59" t="str">
        <f>IF($A1571="","",[1]weekly_demand!F1572)</f>
        <v/>
      </c>
      <c r="C1571" s="60" t="str">
        <f>IF($A1571="","",[1]weekly_demand!H1572)</f>
        <v/>
      </c>
      <c r="D1571" s="61" t="str">
        <f>IF($A1571="","",IF(SUMIFS([1]Fixture_Capacity_Input!$C:$C,[1]Fixture_Capacity_Input!$A:$A,$B1571,[1]Fixture_Capacity_Input!$B:$B,$C1571)&gt;0,SUMIFS([1]Fixture_Capacity_Input!$C:$C,[1]Fixture_Capacity_Input!$A:$A,$B1571,[1]Fixture_Capacity_Input!$B:$B,$C1571),[1]weekly_demand!G1572))</f>
        <v/>
      </c>
      <c r="E1571" s="62" t="str">
        <f>IF($A1571="","",[1]weekly_demand!I1572)</f>
        <v/>
      </c>
      <c r="F1571" s="61" t="str">
        <f>IF($A1571="","",IF($A1571&lt;&gt;$A1570,IFERROR(INDEX([1]FG_Begin_Inventory!$B:$B,MATCH($A1571,[1]FG_Begin_Inventory!$A:$A,0)),0),J1570))</f>
        <v/>
      </c>
      <c r="G1571" s="61" t="str">
        <f t="shared" si="171"/>
        <v/>
      </c>
      <c r="H1571" s="61" t="str">
        <f t="shared" si="172"/>
        <v/>
      </c>
      <c r="I1571" s="62" t="str">
        <f t="shared" si="173"/>
        <v/>
      </c>
      <c r="J1571" s="61" t="str">
        <f t="shared" si="174"/>
        <v/>
      </c>
      <c r="K1571" s="61" t="str">
        <f t="shared" si="175"/>
        <v/>
      </c>
      <c r="L1571" s="61" t="str">
        <f t="shared" si="176"/>
        <v/>
      </c>
      <c r="M1571" s="63" t="str">
        <f t="shared" si="177"/>
        <v/>
      </c>
      <c r="N1571" s="64"/>
    </row>
    <row r="1572" spans="1:14" x14ac:dyDescent="0.3">
      <c r="A1572" s="58" t="str">
        <f>IF([1]weekly_demand!A1573="","",[1]weekly_demand!A1573)</f>
        <v/>
      </c>
      <c r="B1572" s="59" t="str">
        <f>IF($A1572="","",[1]weekly_demand!F1573)</f>
        <v/>
      </c>
      <c r="C1572" s="60" t="str">
        <f>IF($A1572="","",[1]weekly_demand!H1573)</f>
        <v/>
      </c>
      <c r="D1572" s="61" t="str">
        <f>IF($A1572="","",IF(SUMIFS([1]Fixture_Capacity_Input!$C:$C,[1]Fixture_Capacity_Input!$A:$A,$B1572,[1]Fixture_Capacity_Input!$B:$B,$C1572)&gt;0,SUMIFS([1]Fixture_Capacity_Input!$C:$C,[1]Fixture_Capacity_Input!$A:$A,$B1572,[1]Fixture_Capacity_Input!$B:$B,$C1572),[1]weekly_demand!G1573))</f>
        <v/>
      </c>
      <c r="E1572" s="62" t="str">
        <f>IF($A1572="","",[1]weekly_demand!I1573)</f>
        <v/>
      </c>
      <c r="F1572" s="61" t="str">
        <f>IF($A1572="","",IF($A1572&lt;&gt;$A1571,IFERROR(INDEX([1]FG_Begin_Inventory!$B:$B,MATCH($A1572,[1]FG_Begin_Inventory!$A:$A,0)),0),J1571))</f>
        <v/>
      </c>
      <c r="G1572" s="61" t="str">
        <f t="shared" si="171"/>
        <v/>
      </c>
      <c r="H1572" s="61" t="str">
        <f t="shared" si="172"/>
        <v/>
      </c>
      <c r="I1572" s="62" t="str">
        <f t="shared" si="173"/>
        <v/>
      </c>
      <c r="J1572" s="61" t="str">
        <f t="shared" si="174"/>
        <v/>
      </c>
      <c r="K1572" s="61" t="str">
        <f t="shared" si="175"/>
        <v/>
      </c>
      <c r="L1572" s="61" t="str">
        <f t="shared" si="176"/>
        <v/>
      </c>
      <c r="M1572" s="63" t="str">
        <f t="shared" si="177"/>
        <v/>
      </c>
      <c r="N1572" s="64"/>
    </row>
    <row r="1573" spans="1:14" x14ac:dyDescent="0.3">
      <c r="A1573" s="58" t="str">
        <f>IF([1]weekly_demand!A1574="","",[1]weekly_demand!A1574)</f>
        <v/>
      </c>
      <c r="B1573" s="59" t="str">
        <f>IF($A1573="","",[1]weekly_demand!F1574)</f>
        <v/>
      </c>
      <c r="C1573" s="60" t="str">
        <f>IF($A1573="","",[1]weekly_demand!H1574)</f>
        <v/>
      </c>
      <c r="D1573" s="61" t="str">
        <f>IF($A1573="","",IF(SUMIFS([1]Fixture_Capacity_Input!$C:$C,[1]Fixture_Capacity_Input!$A:$A,$B1573,[1]Fixture_Capacity_Input!$B:$B,$C1573)&gt;0,SUMIFS([1]Fixture_Capacity_Input!$C:$C,[1]Fixture_Capacity_Input!$A:$A,$B1573,[1]Fixture_Capacity_Input!$B:$B,$C1573),[1]weekly_demand!G1574))</f>
        <v/>
      </c>
      <c r="E1573" s="62" t="str">
        <f>IF($A1573="","",[1]weekly_demand!I1574)</f>
        <v/>
      </c>
      <c r="F1573" s="61" t="str">
        <f>IF($A1573="","",IF($A1573&lt;&gt;$A1572,IFERROR(INDEX([1]FG_Begin_Inventory!$B:$B,MATCH($A1573,[1]FG_Begin_Inventory!$A:$A,0)),0),J1572))</f>
        <v/>
      </c>
      <c r="G1573" s="61" t="str">
        <f t="shared" si="171"/>
        <v/>
      </c>
      <c r="H1573" s="61" t="str">
        <f t="shared" si="172"/>
        <v/>
      </c>
      <c r="I1573" s="62" t="str">
        <f t="shared" si="173"/>
        <v/>
      </c>
      <c r="J1573" s="61" t="str">
        <f t="shared" si="174"/>
        <v/>
      </c>
      <c r="K1573" s="61" t="str">
        <f t="shared" si="175"/>
        <v/>
      </c>
      <c r="L1573" s="61" t="str">
        <f t="shared" si="176"/>
        <v/>
      </c>
      <c r="M1573" s="63" t="str">
        <f t="shared" si="177"/>
        <v/>
      </c>
      <c r="N1573" s="64"/>
    </row>
    <row r="1574" spans="1:14" x14ac:dyDescent="0.3">
      <c r="A1574" s="58" t="str">
        <f>IF([1]weekly_demand!A1575="","",[1]weekly_demand!A1575)</f>
        <v/>
      </c>
      <c r="B1574" s="59" t="str">
        <f>IF($A1574="","",[1]weekly_demand!F1575)</f>
        <v/>
      </c>
      <c r="C1574" s="60" t="str">
        <f>IF($A1574="","",[1]weekly_demand!H1575)</f>
        <v/>
      </c>
      <c r="D1574" s="61" t="str">
        <f>IF($A1574="","",IF(SUMIFS([1]Fixture_Capacity_Input!$C:$C,[1]Fixture_Capacity_Input!$A:$A,$B1574,[1]Fixture_Capacity_Input!$B:$B,$C1574)&gt;0,SUMIFS([1]Fixture_Capacity_Input!$C:$C,[1]Fixture_Capacity_Input!$A:$A,$B1574,[1]Fixture_Capacity_Input!$B:$B,$C1574),[1]weekly_demand!G1575))</f>
        <v/>
      </c>
      <c r="E1574" s="62" t="str">
        <f>IF($A1574="","",[1]weekly_demand!I1575)</f>
        <v/>
      </c>
      <c r="F1574" s="61" t="str">
        <f>IF($A1574="","",IF($A1574&lt;&gt;$A1573,IFERROR(INDEX([1]FG_Begin_Inventory!$B:$B,MATCH($A1574,[1]FG_Begin_Inventory!$A:$A,0)),0),J1573))</f>
        <v/>
      </c>
      <c r="G1574" s="61" t="str">
        <f t="shared" si="171"/>
        <v/>
      </c>
      <c r="H1574" s="61" t="str">
        <f t="shared" si="172"/>
        <v/>
      </c>
      <c r="I1574" s="62" t="str">
        <f t="shared" si="173"/>
        <v/>
      </c>
      <c r="J1574" s="61" t="str">
        <f t="shared" si="174"/>
        <v/>
      </c>
      <c r="K1574" s="61" t="str">
        <f t="shared" si="175"/>
        <v/>
      </c>
      <c r="L1574" s="61" t="str">
        <f t="shared" si="176"/>
        <v/>
      </c>
      <c r="M1574" s="63" t="str">
        <f t="shared" si="177"/>
        <v/>
      </c>
      <c r="N1574" s="64"/>
    </row>
    <row r="1575" spans="1:14" x14ac:dyDescent="0.3">
      <c r="A1575" s="58" t="str">
        <f>IF([1]weekly_demand!A1576="","",[1]weekly_demand!A1576)</f>
        <v/>
      </c>
      <c r="B1575" s="59" t="str">
        <f>IF($A1575="","",[1]weekly_demand!F1576)</f>
        <v/>
      </c>
      <c r="C1575" s="60" t="str">
        <f>IF($A1575="","",[1]weekly_demand!H1576)</f>
        <v/>
      </c>
      <c r="D1575" s="61" t="str">
        <f>IF($A1575="","",IF(SUMIFS([1]Fixture_Capacity_Input!$C:$C,[1]Fixture_Capacity_Input!$A:$A,$B1575,[1]Fixture_Capacity_Input!$B:$B,$C1575)&gt;0,SUMIFS([1]Fixture_Capacity_Input!$C:$C,[1]Fixture_Capacity_Input!$A:$A,$B1575,[1]Fixture_Capacity_Input!$B:$B,$C1575),[1]weekly_demand!G1576))</f>
        <v/>
      </c>
      <c r="E1575" s="62" t="str">
        <f>IF($A1575="","",[1]weekly_demand!I1576)</f>
        <v/>
      </c>
      <c r="F1575" s="61" t="str">
        <f>IF($A1575="","",IF($A1575&lt;&gt;$A1574,IFERROR(INDEX([1]FG_Begin_Inventory!$B:$B,MATCH($A1575,[1]FG_Begin_Inventory!$A:$A,0)),0),J1574))</f>
        <v/>
      </c>
      <c r="G1575" s="61" t="str">
        <f t="shared" si="171"/>
        <v/>
      </c>
      <c r="H1575" s="61" t="str">
        <f t="shared" si="172"/>
        <v/>
      </c>
      <c r="I1575" s="62" t="str">
        <f t="shared" si="173"/>
        <v/>
      </c>
      <c r="J1575" s="61" t="str">
        <f t="shared" si="174"/>
        <v/>
      </c>
      <c r="K1575" s="61" t="str">
        <f t="shared" si="175"/>
        <v/>
      </c>
      <c r="L1575" s="61" t="str">
        <f t="shared" si="176"/>
        <v/>
      </c>
      <c r="M1575" s="63" t="str">
        <f t="shared" si="177"/>
        <v/>
      </c>
      <c r="N1575" s="64"/>
    </row>
    <row r="1576" spans="1:14" x14ac:dyDescent="0.3">
      <c r="A1576" s="58" t="str">
        <f>IF([1]weekly_demand!A1577="","",[1]weekly_demand!A1577)</f>
        <v/>
      </c>
      <c r="B1576" s="59" t="str">
        <f>IF($A1576="","",[1]weekly_demand!F1577)</f>
        <v/>
      </c>
      <c r="C1576" s="60" t="str">
        <f>IF($A1576="","",[1]weekly_demand!H1577)</f>
        <v/>
      </c>
      <c r="D1576" s="61" t="str">
        <f>IF($A1576="","",IF(SUMIFS([1]Fixture_Capacity_Input!$C:$C,[1]Fixture_Capacity_Input!$A:$A,$B1576,[1]Fixture_Capacity_Input!$B:$B,$C1576)&gt;0,SUMIFS([1]Fixture_Capacity_Input!$C:$C,[1]Fixture_Capacity_Input!$A:$A,$B1576,[1]Fixture_Capacity_Input!$B:$B,$C1576),[1]weekly_demand!G1577))</f>
        <v/>
      </c>
      <c r="E1576" s="62" t="str">
        <f>IF($A1576="","",[1]weekly_demand!I1577)</f>
        <v/>
      </c>
      <c r="F1576" s="61" t="str">
        <f>IF($A1576="","",IF($A1576&lt;&gt;$A1575,IFERROR(INDEX([1]FG_Begin_Inventory!$B:$B,MATCH($A1576,[1]FG_Begin_Inventory!$A:$A,0)),0),J1575))</f>
        <v/>
      </c>
      <c r="G1576" s="61" t="str">
        <f t="shared" si="171"/>
        <v/>
      </c>
      <c r="H1576" s="61" t="str">
        <f t="shared" si="172"/>
        <v/>
      </c>
      <c r="I1576" s="62" t="str">
        <f t="shared" si="173"/>
        <v/>
      </c>
      <c r="J1576" s="61" t="str">
        <f t="shared" si="174"/>
        <v/>
      </c>
      <c r="K1576" s="61" t="str">
        <f t="shared" si="175"/>
        <v/>
      </c>
      <c r="L1576" s="61" t="str">
        <f t="shared" si="176"/>
        <v/>
      </c>
      <c r="M1576" s="63" t="str">
        <f t="shared" si="177"/>
        <v/>
      </c>
      <c r="N1576" s="64"/>
    </row>
    <row r="1577" spans="1:14" x14ac:dyDescent="0.3">
      <c r="A1577" s="58" t="str">
        <f>IF([1]weekly_demand!A1578="","",[1]weekly_demand!A1578)</f>
        <v/>
      </c>
      <c r="B1577" s="59" t="str">
        <f>IF($A1577="","",[1]weekly_demand!F1578)</f>
        <v/>
      </c>
      <c r="C1577" s="60" t="str">
        <f>IF($A1577="","",[1]weekly_demand!H1578)</f>
        <v/>
      </c>
      <c r="D1577" s="61" t="str">
        <f>IF($A1577="","",IF(SUMIFS([1]Fixture_Capacity_Input!$C:$C,[1]Fixture_Capacity_Input!$A:$A,$B1577,[1]Fixture_Capacity_Input!$B:$B,$C1577)&gt;0,SUMIFS([1]Fixture_Capacity_Input!$C:$C,[1]Fixture_Capacity_Input!$A:$A,$B1577,[1]Fixture_Capacity_Input!$B:$B,$C1577),[1]weekly_demand!G1578))</f>
        <v/>
      </c>
      <c r="E1577" s="62" t="str">
        <f>IF($A1577="","",[1]weekly_demand!I1578)</f>
        <v/>
      </c>
      <c r="F1577" s="61" t="str">
        <f>IF($A1577="","",IF($A1577&lt;&gt;$A1576,IFERROR(INDEX([1]FG_Begin_Inventory!$B:$B,MATCH($A1577,[1]FG_Begin_Inventory!$A:$A,0)),0),J1576))</f>
        <v/>
      </c>
      <c r="G1577" s="61" t="str">
        <f t="shared" si="171"/>
        <v/>
      </c>
      <c r="H1577" s="61" t="str">
        <f t="shared" si="172"/>
        <v/>
      </c>
      <c r="I1577" s="62" t="str">
        <f t="shared" si="173"/>
        <v/>
      </c>
      <c r="J1577" s="61" t="str">
        <f t="shared" si="174"/>
        <v/>
      </c>
      <c r="K1577" s="61" t="str">
        <f t="shared" si="175"/>
        <v/>
      </c>
      <c r="L1577" s="61" t="str">
        <f t="shared" si="176"/>
        <v/>
      </c>
      <c r="M1577" s="63" t="str">
        <f t="shared" si="177"/>
        <v/>
      </c>
      <c r="N1577" s="64"/>
    </row>
    <row r="1578" spans="1:14" x14ac:dyDescent="0.3">
      <c r="A1578" s="58" t="str">
        <f>IF([1]weekly_demand!A1579="","",[1]weekly_demand!A1579)</f>
        <v/>
      </c>
      <c r="B1578" s="59" t="str">
        <f>IF($A1578="","",[1]weekly_demand!F1579)</f>
        <v/>
      </c>
      <c r="C1578" s="60" t="str">
        <f>IF($A1578="","",[1]weekly_demand!H1579)</f>
        <v/>
      </c>
      <c r="D1578" s="61" t="str">
        <f>IF($A1578="","",IF(SUMIFS([1]Fixture_Capacity_Input!$C:$C,[1]Fixture_Capacity_Input!$A:$A,$B1578,[1]Fixture_Capacity_Input!$B:$B,$C1578)&gt;0,SUMIFS([1]Fixture_Capacity_Input!$C:$C,[1]Fixture_Capacity_Input!$A:$A,$B1578,[1]Fixture_Capacity_Input!$B:$B,$C1578),[1]weekly_demand!G1579))</f>
        <v/>
      </c>
      <c r="E1578" s="62" t="str">
        <f>IF($A1578="","",[1]weekly_demand!I1579)</f>
        <v/>
      </c>
      <c r="F1578" s="61" t="str">
        <f>IF($A1578="","",IF($A1578&lt;&gt;$A1577,IFERROR(INDEX([1]FG_Begin_Inventory!$B:$B,MATCH($A1578,[1]FG_Begin_Inventory!$A:$A,0)),0),J1577))</f>
        <v/>
      </c>
      <c r="G1578" s="61" t="str">
        <f t="shared" si="171"/>
        <v/>
      </c>
      <c r="H1578" s="61" t="str">
        <f t="shared" si="172"/>
        <v/>
      </c>
      <c r="I1578" s="62" t="str">
        <f t="shared" si="173"/>
        <v/>
      </c>
      <c r="J1578" s="61" t="str">
        <f t="shared" si="174"/>
        <v/>
      </c>
      <c r="K1578" s="61" t="str">
        <f t="shared" si="175"/>
        <v/>
      </c>
      <c r="L1578" s="61" t="str">
        <f t="shared" si="176"/>
        <v/>
      </c>
      <c r="M1578" s="63" t="str">
        <f t="shared" si="177"/>
        <v/>
      </c>
      <c r="N1578" s="64"/>
    </row>
    <row r="1579" spans="1:14" x14ac:dyDescent="0.3">
      <c r="A1579" s="58" t="str">
        <f>IF([1]weekly_demand!A1580="","",[1]weekly_demand!A1580)</f>
        <v/>
      </c>
      <c r="B1579" s="59" t="str">
        <f>IF($A1579="","",[1]weekly_demand!F1580)</f>
        <v/>
      </c>
      <c r="C1579" s="60" t="str">
        <f>IF($A1579="","",[1]weekly_demand!H1580)</f>
        <v/>
      </c>
      <c r="D1579" s="61" t="str">
        <f>IF($A1579="","",IF(SUMIFS([1]Fixture_Capacity_Input!$C:$C,[1]Fixture_Capacity_Input!$A:$A,$B1579,[1]Fixture_Capacity_Input!$B:$B,$C1579)&gt;0,SUMIFS([1]Fixture_Capacity_Input!$C:$C,[1]Fixture_Capacity_Input!$A:$A,$B1579,[1]Fixture_Capacity_Input!$B:$B,$C1579),[1]weekly_demand!G1580))</f>
        <v/>
      </c>
      <c r="E1579" s="62" t="str">
        <f>IF($A1579="","",[1]weekly_demand!I1580)</f>
        <v/>
      </c>
      <c r="F1579" s="61" t="str">
        <f>IF($A1579="","",IF($A1579&lt;&gt;$A1578,IFERROR(INDEX([1]FG_Begin_Inventory!$B:$B,MATCH($A1579,[1]FG_Begin_Inventory!$A:$A,0)),0),J1578))</f>
        <v/>
      </c>
      <c r="G1579" s="61" t="str">
        <f t="shared" si="171"/>
        <v/>
      </c>
      <c r="H1579" s="61" t="str">
        <f t="shared" si="172"/>
        <v/>
      </c>
      <c r="I1579" s="62" t="str">
        <f t="shared" si="173"/>
        <v/>
      </c>
      <c r="J1579" s="61" t="str">
        <f t="shared" si="174"/>
        <v/>
      </c>
      <c r="K1579" s="61" t="str">
        <f t="shared" si="175"/>
        <v/>
      </c>
      <c r="L1579" s="61" t="str">
        <f t="shared" si="176"/>
        <v/>
      </c>
      <c r="M1579" s="63" t="str">
        <f t="shared" si="177"/>
        <v/>
      </c>
      <c r="N1579" s="64"/>
    </row>
    <row r="1580" spans="1:14" x14ac:dyDescent="0.3">
      <c r="A1580" s="58" t="str">
        <f>IF([1]weekly_demand!A1581="","",[1]weekly_demand!A1581)</f>
        <v/>
      </c>
      <c r="B1580" s="59" t="str">
        <f>IF($A1580="","",[1]weekly_demand!F1581)</f>
        <v/>
      </c>
      <c r="C1580" s="60" t="str">
        <f>IF($A1580="","",[1]weekly_demand!H1581)</f>
        <v/>
      </c>
      <c r="D1580" s="61" t="str">
        <f>IF($A1580="","",IF(SUMIFS([1]Fixture_Capacity_Input!$C:$C,[1]Fixture_Capacity_Input!$A:$A,$B1580,[1]Fixture_Capacity_Input!$B:$B,$C1580)&gt;0,SUMIFS([1]Fixture_Capacity_Input!$C:$C,[1]Fixture_Capacity_Input!$A:$A,$B1580,[1]Fixture_Capacity_Input!$B:$B,$C1580),[1]weekly_demand!G1581))</f>
        <v/>
      </c>
      <c r="E1580" s="62" t="str">
        <f>IF($A1580="","",[1]weekly_demand!I1581)</f>
        <v/>
      </c>
      <c r="F1580" s="61" t="str">
        <f>IF($A1580="","",IF($A1580&lt;&gt;$A1579,IFERROR(INDEX([1]FG_Begin_Inventory!$B:$B,MATCH($A1580,[1]FG_Begin_Inventory!$A:$A,0)),0),J1579))</f>
        <v/>
      </c>
      <c r="G1580" s="61" t="str">
        <f t="shared" si="171"/>
        <v/>
      </c>
      <c r="H1580" s="61" t="str">
        <f t="shared" si="172"/>
        <v/>
      </c>
      <c r="I1580" s="62" t="str">
        <f t="shared" si="173"/>
        <v/>
      </c>
      <c r="J1580" s="61" t="str">
        <f t="shared" si="174"/>
        <v/>
      </c>
      <c r="K1580" s="61" t="str">
        <f t="shared" si="175"/>
        <v/>
      </c>
      <c r="L1580" s="61" t="str">
        <f t="shared" si="176"/>
        <v/>
      </c>
      <c r="M1580" s="63" t="str">
        <f t="shared" si="177"/>
        <v/>
      </c>
      <c r="N1580" s="64"/>
    </row>
    <row r="1581" spans="1:14" x14ac:dyDescent="0.3">
      <c r="A1581" s="58" t="str">
        <f>IF([1]weekly_demand!A1582="","",[1]weekly_demand!A1582)</f>
        <v/>
      </c>
      <c r="B1581" s="59" t="str">
        <f>IF($A1581="","",[1]weekly_demand!F1582)</f>
        <v/>
      </c>
      <c r="C1581" s="60" t="str">
        <f>IF($A1581="","",[1]weekly_demand!H1582)</f>
        <v/>
      </c>
      <c r="D1581" s="61" t="str">
        <f>IF($A1581="","",IF(SUMIFS([1]Fixture_Capacity_Input!$C:$C,[1]Fixture_Capacity_Input!$A:$A,$B1581,[1]Fixture_Capacity_Input!$B:$B,$C1581)&gt;0,SUMIFS([1]Fixture_Capacity_Input!$C:$C,[1]Fixture_Capacity_Input!$A:$A,$B1581,[1]Fixture_Capacity_Input!$B:$B,$C1581),[1]weekly_demand!G1582))</f>
        <v/>
      </c>
      <c r="E1581" s="62" t="str">
        <f>IF($A1581="","",[1]weekly_demand!I1582)</f>
        <v/>
      </c>
      <c r="F1581" s="61" t="str">
        <f>IF($A1581="","",IF($A1581&lt;&gt;$A1580,IFERROR(INDEX([1]FG_Begin_Inventory!$B:$B,MATCH($A1581,[1]FG_Begin_Inventory!$A:$A,0)),0),J1580))</f>
        <v/>
      </c>
      <c r="G1581" s="61" t="str">
        <f t="shared" si="171"/>
        <v/>
      </c>
      <c r="H1581" s="61" t="str">
        <f t="shared" si="172"/>
        <v/>
      </c>
      <c r="I1581" s="62" t="str">
        <f t="shared" si="173"/>
        <v/>
      </c>
      <c r="J1581" s="61" t="str">
        <f t="shared" si="174"/>
        <v/>
      </c>
      <c r="K1581" s="61" t="str">
        <f t="shared" si="175"/>
        <v/>
      </c>
      <c r="L1581" s="61" t="str">
        <f t="shared" si="176"/>
        <v/>
      </c>
      <c r="M1581" s="63" t="str">
        <f t="shared" si="177"/>
        <v/>
      </c>
      <c r="N1581" s="64"/>
    </row>
    <row r="1582" spans="1:14" x14ac:dyDescent="0.3">
      <c r="A1582" s="58" t="str">
        <f>IF([1]weekly_demand!A1583="","",[1]weekly_demand!A1583)</f>
        <v/>
      </c>
      <c r="B1582" s="59" t="str">
        <f>IF($A1582="","",[1]weekly_demand!F1583)</f>
        <v/>
      </c>
      <c r="C1582" s="60" t="str">
        <f>IF($A1582="","",[1]weekly_demand!H1583)</f>
        <v/>
      </c>
      <c r="D1582" s="61" t="str">
        <f>IF($A1582="","",IF(SUMIFS([1]Fixture_Capacity_Input!$C:$C,[1]Fixture_Capacity_Input!$A:$A,$B1582,[1]Fixture_Capacity_Input!$B:$B,$C1582)&gt;0,SUMIFS([1]Fixture_Capacity_Input!$C:$C,[1]Fixture_Capacity_Input!$A:$A,$B1582,[1]Fixture_Capacity_Input!$B:$B,$C1582),[1]weekly_demand!G1583))</f>
        <v/>
      </c>
      <c r="E1582" s="62" t="str">
        <f>IF($A1582="","",[1]weekly_demand!I1583)</f>
        <v/>
      </c>
      <c r="F1582" s="61" t="str">
        <f>IF($A1582="","",IF($A1582&lt;&gt;$A1581,IFERROR(INDEX([1]FG_Begin_Inventory!$B:$B,MATCH($A1582,[1]FG_Begin_Inventory!$A:$A,0)),0),J1581))</f>
        <v/>
      </c>
      <c r="G1582" s="61" t="str">
        <f t="shared" si="171"/>
        <v/>
      </c>
      <c r="H1582" s="61" t="str">
        <f t="shared" si="172"/>
        <v/>
      </c>
      <c r="I1582" s="62" t="str">
        <f t="shared" si="173"/>
        <v/>
      </c>
      <c r="J1582" s="61" t="str">
        <f t="shared" si="174"/>
        <v/>
      </c>
      <c r="K1582" s="61" t="str">
        <f t="shared" si="175"/>
        <v/>
      </c>
      <c r="L1582" s="61" t="str">
        <f t="shared" si="176"/>
        <v/>
      </c>
      <c r="M1582" s="63" t="str">
        <f t="shared" si="177"/>
        <v/>
      </c>
      <c r="N1582" s="64"/>
    </row>
    <row r="1583" spans="1:14" x14ac:dyDescent="0.3">
      <c r="A1583" s="58" t="str">
        <f>IF([1]weekly_demand!A1584="","",[1]weekly_demand!A1584)</f>
        <v/>
      </c>
      <c r="B1583" s="59" t="str">
        <f>IF($A1583="","",[1]weekly_demand!F1584)</f>
        <v/>
      </c>
      <c r="C1583" s="60" t="str">
        <f>IF($A1583="","",[1]weekly_demand!H1584)</f>
        <v/>
      </c>
      <c r="D1583" s="61" t="str">
        <f>IF($A1583="","",IF(SUMIFS([1]Fixture_Capacity_Input!$C:$C,[1]Fixture_Capacity_Input!$A:$A,$B1583,[1]Fixture_Capacity_Input!$B:$B,$C1583)&gt;0,SUMIFS([1]Fixture_Capacity_Input!$C:$C,[1]Fixture_Capacity_Input!$A:$A,$B1583,[1]Fixture_Capacity_Input!$B:$B,$C1583),[1]weekly_demand!G1584))</f>
        <v/>
      </c>
      <c r="E1583" s="62" t="str">
        <f>IF($A1583="","",[1]weekly_demand!I1584)</f>
        <v/>
      </c>
      <c r="F1583" s="61" t="str">
        <f>IF($A1583="","",IF($A1583&lt;&gt;$A1582,IFERROR(INDEX([1]FG_Begin_Inventory!$B:$B,MATCH($A1583,[1]FG_Begin_Inventory!$A:$A,0)),0),J1582))</f>
        <v/>
      </c>
      <c r="G1583" s="61" t="str">
        <f t="shared" si="171"/>
        <v/>
      </c>
      <c r="H1583" s="61" t="str">
        <f t="shared" si="172"/>
        <v/>
      </c>
      <c r="I1583" s="62" t="str">
        <f t="shared" si="173"/>
        <v/>
      </c>
      <c r="J1583" s="61" t="str">
        <f t="shared" si="174"/>
        <v/>
      </c>
      <c r="K1583" s="61" t="str">
        <f t="shared" si="175"/>
        <v/>
      </c>
      <c r="L1583" s="61" t="str">
        <f t="shared" si="176"/>
        <v/>
      </c>
      <c r="M1583" s="63" t="str">
        <f t="shared" si="177"/>
        <v/>
      </c>
      <c r="N1583" s="64"/>
    </row>
    <row r="1584" spans="1:14" x14ac:dyDescent="0.3">
      <c r="A1584" s="58" t="str">
        <f>IF([1]weekly_demand!A1585="","",[1]weekly_demand!A1585)</f>
        <v/>
      </c>
      <c r="B1584" s="59" t="str">
        <f>IF($A1584="","",[1]weekly_demand!F1585)</f>
        <v/>
      </c>
      <c r="C1584" s="60" t="str">
        <f>IF($A1584="","",[1]weekly_demand!H1585)</f>
        <v/>
      </c>
      <c r="D1584" s="61" t="str">
        <f>IF($A1584="","",IF(SUMIFS([1]Fixture_Capacity_Input!$C:$C,[1]Fixture_Capacity_Input!$A:$A,$B1584,[1]Fixture_Capacity_Input!$B:$B,$C1584)&gt;0,SUMIFS([1]Fixture_Capacity_Input!$C:$C,[1]Fixture_Capacity_Input!$A:$A,$B1584,[1]Fixture_Capacity_Input!$B:$B,$C1584),[1]weekly_demand!G1585))</f>
        <v/>
      </c>
      <c r="E1584" s="62" t="str">
        <f>IF($A1584="","",[1]weekly_demand!I1585)</f>
        <v/>
      </c>
      <c r="F1584" s="61" t="str">
        <f>IF($A1584="","",IF($A1584&lt;&gt;$A1583,IFERROR(INDEX([1]FG_Begin_Inventory!$B:$B,MATCH($A1584,[1]FG_Begin_Inventory!$A:$A,0)),0),J1583))</f>
        <v/>
      </c>
      <c r="G1584" s="61" t="str">
        <f t="shared" si="171"/>
        <v/>
      </c>
      <c r="H1584" s="61" t="str">
        <f t="shared" si="172"/>
        <v/>
      </c>
      <c r="I1584" s="62" t="str">
        <f t="shared" si="173"/>
        <v/>
      </c>
      <c r="J1584" s="61" t="str">
        <f t="shared" si="174"/>
        <v/>
      </c>
      <c r="K1584" s="61" t="str">
        <f t="shared" si="175"/>
        <v/>
      </c>
      <c r="L1584" s="61" t="str">
        <f t="shared" si="176"/>
        <v/>
      </c>
      <c r="M1584" s="63" t="str">
        <f t="shared" si="177"/>
        <v/>
      </c>
      <c r="N1584" s="64"/>
    </row>
    <row r="1585" spans="1:14" x14ac:dyDescent="0.3">
      <c r="A1585" s="58" t="str">
        <f>IF([1]weekly_demand!A1586="","",[1]weekly_demand!A1586)</f>
        <v/>
      </c>
      <c r="B1585" s="59" t="str">
        <f>IF($A1585="","",[1]weekly_demand!F1586)</f>
        <v/>
      </c>
      <c r="C1585" s="60" t="str">
        <f>IF($A1585="","",[1]weekly_demand!H1586)</f>
        <v/>
      </c>
      <c r="D1585" s="61" t="str">
        <f>IF($A1585="","",IF(SUMIFS([1]Fixture_Capacity_Input!$C:$C,[1]Fixture_Capacity_Input!$A:$A,$B1585,[1]Fixture_Capacity_Input!$B:$B,$C1585)&gt;0,SUMIFS([1]Fixture_Capacity_Input!$C:$C,[1]Fixture_Capacity_Input!$A:$A,$B1585,[1]Fixture_Capacity_Input!$B:$B,$C1585),[1]weekly_demand!G1586))</f>
        <v/>
      </c>
      <c r="E1585" s="62" t="str">
        <f>IF($A1585="","",[1]weekly_demand!I1586)</f>
        <v/>
      </c>
      <c r="F1585" s="61" t="str">
        <f>IF($A1585="","",IF($A1585&lt;&gt;$A1584,IFERROR(INDEX([1]FG_Begin_Inventory!$B:$B,MATCH($A1585,[1]FG_Begin_Inventory!$A:$A,0)),0),J1584))</f>
        <v/>
      </c>
      <c r="G1585" s="61" t="str">
        <f t="shared" si="171"/>
        <v/>
      </c>
      <c r="H1585" s="61" t="str">
        <f t="shared" si="172"/>
        <v/>
      </c>
      <c r="I1585" s="62" t="str">
        <f t="shared" si="173"/>
        <v/>
      </c>
      <c r="J1585" s="61" t="str">
        <f t="shared" si="174"/>
        <v/>
      </c>
      <c r="K1585" s="61" t="str">
        <f t="shared" si="175"/>
        <v/>
      </c>
      <c r="L1585" s="61" t="str">
        <f t="shared" si="176"/>
        <v/>
      </c>
      <c r="M1585" s="63" t="str">
        <f t="shared" si="177"/>
        <v/>
      </c>
      <c r="N1585" s="64"/>
    </row>
    <row r="1586" spans="1:14" x14ac:dyDescent="0.3">
      <c r="A1586" s="58" t="str">
        <f>IF([1]weekly_demand!A1587="","",[1]weekly_demand!A1587)</f>
        <v/>
      </c>
      <c r="B1586" s="59" t="str">
        <f>IF($A1586="","",[1]weekly_demand!F1587)</f>
        <v/>
      </c>
      <c r="C1586" s="60" t="str">
        <f>IF($A1586="","",[1]weekly_demand!H1587)</f>
        <v/>
      </c>
      <c r="D1586" s="61" t="str">
        <f>IF($A1586="","",IF(SUMIFS([1]Fixture_Capacity_Input!$C:$C,[1]Fixture_Capacity_Input!$A:$A,$B1586,[1]Fixture_Capacity_Input!$B:$B,$C1586)&gt;0,SUMIFS([1]Fixture_Capacity_Input!$C:$C,[1]Fixture_Capacity_Input!$A:$A,$B1586,[1]Fixture_Capacity_Input!$B:$B,$C1586),[1]weekly_demand!G1587))</f>
        <v/>
      </c>
      <c r="E1586" s="62" t="str">
        <f>IF($A1586="","",[1]weekly_demand!I1587)</f>
        <v/>
      </c>
      <c r="F1586" s="61" t="str">
        <f>IF($A1586="","",IF($A1586&lt;&gt;$A1585,IFERROR(INDEX([1]FG_Begin_Inventory!$B:$B,MATCH($A1586,[1]FG_Begin_Inventory!$A:$A,0)),0),J1585))</f>
        <v/>
      </c>
      <c r="G1586" s="61" t="str">
        <f t="shared" si="171"/>
        <v/>
      </c>
      <c r="H1586" s="61" t="str">
        <f t="shared" si="172"/>
        <v/>
      </c>
      <c r="I1586" s="62" t="str">
        <f t="shared" si="173"/>
        <v/>
      </c>
      <c r="J1586" s="61" t="str">
        <f t="shared" si="174"/>
        <v/>
      </c>
      <c r="K1586" s="61" t="str">
        <f t="shared" si="175"/>
        <v/>
      </c>
      <c r="L1586" s="61" t="str">
        <f t="shared" si="176"/>
        <v/>
      </c>
      <c r="M1586" s="63" t="str">
        <f t="shared" si="177"/>
        <v/>
      </c>
      <c r="N1586" s="64"/>
    </row>
    <row r="1587" spans="1:14" x14ac:dyDescent="0.3">
      <c r="A1587" s="58" t="str">
        <f>IF([1]weekly_demand!A1588="","",[1]weekly_demand!A1588)</f>
        <v/>
      </c>
      <c r="B1587" s="59" t="str">
        <f>IF($A1587="","",[1]weekly_demand!F1588)</f>
        <v/>
      </c>
      <c r="C1587" s="60" t="str">
        <f>IF($A1587="","",[1]weekly_demand!H1588)</f>
        <v/>
      </c>
      <c r="D1587" s="61" t="str">
        <f>IF($A1587="","",IF(SUMIFS([1]Fixture_Capacity_Input!$C:$C,[1]Fixture_Capacity_Input!$A:$A,$B1587,[1]Fixture_Capacity_Input!$B:$B,$C1587)&gt;0,SUMIFS([1]Fixture_Capacity_Input!$C:$C,[1]Fixture_Capacity_Input!$A:$A,$B1587,[1]Fixture_Capacity_Input!$B:$B,$C1587),[1]weekly_demand!G1588))</f>
        <v/>
      </c>
      <c r="E1587" s="62" t="str">
        <f>IF($A1587="","",[1]weekly_demand!I1588)</f>
        <v/>
      </c>
      <c r="F1587" s="61" t="str">
        <f>IF($A1587="","",IF($A1587&lt;&gt;$A1586,IFERROR(INDEX([1]FG_Begin_Inventory!$B:$B,MATCH($A1587,[1]FG_Begin_Inventory!$A:$A,0)),0),J1586))</f>
        <v/>
      </c>
      <c r="G1587" s="61" t="str">
        <f t="shared" ref="G1587:G1650" si="178">IF($A1587="","",IF($A1587&lt;&gt;$A1588,0,MAX(0,G1588+E1588-D1588)))</f>
        <v/>
      </c>
      <c r="H1587" s="61" t="str">
        <f t="shared" si="172"/>
        <v/>
      </c>
      <c r="I1587" s="62" t="str">
        <f t="shared" si="173"/>
        <v/>
      </c>
      <c r="J1587" s="61" t="str">
        <f t="shared" si="174"/>
        <v/>
      </c>
      <c r="K1587" s="61" t="str">
        <f t="shared" si="175"/>
        <v/>
      </c>
      <c r="L1587" s="61" t="str">
        <f t="shared" si="176"/>
        <v/>
      </c>
      <c r="M1587" s="63" t="str">
        <f t="shared" si="177"/>
        <v/>
      </c>
      <c r="N1587" s="64"/>
    </row>
    <row r="1588" spans="1:14" x14ac:dyDescent="0.3">
      <c r="A1588" s="58" t="str">
        <f>IF([1]weekly_demand!A1589="","",[1]weekly_demand!A1589)</f>
        <v/>
      </c>
      <c r="B1588" s="59" t="str">
        <f>IF($A1588="","",[1]weekly_demand!F1589)</f>
        <v/>
      </c>
      <c r="C1588" s="60" t="str">
        <f>IF($A1588="","",[1]weekly_demand!H1589)</f>
        <v/>
      </c>
      <c r="D1588" s="61" t="str">
        <f>IF($A1588="","",IF(SUMIFS([1]Fixture_Capacity_Input!$C:$C,[1]Fixture_Capacity_Input!$A:$A,$B1588,[1]Fixture_Capacity_Input!$B:$B,$C1588)&gt;0,SUMIFS([1]Fixture_Capacity_Input!$C:$C,[1]Fixture_Capacity_Input!$A:$A,$B1588,[1]Fixture_Capacity_Input!$B:$B,$C1588),[1]weekly_demand!G1589))</f>
        <v/>
      </c>
      <c r="E1588" s="62" t="str">
        <f>IF($A1588="","",[1]weekly_demand!I1589)</f>
        <v/>
      </c>
      <c r="F1588" s="61" t="str">
        <f>IF($A1588="","",IF($A1588&lt;&gt;$A1587,IFERROR(INDEX([1]FG_Begin_Inventory!$B:$B,MATCH($A1588,[1]FG_Begin_Inventory!$A:$A,0)),0),J1587))</f>
        <v/>
      </c>
      <c r="G1588" s="61" t="str">
        <f t="shared" si="178"/>
        <v/>
      </c>
      <c r="H1588" s="61" t="str">
        <f t="shared" si="172"/>
        <v/>
      </c>
      <c r="I1588" s="62" t="str">
        <f t="shared" si="173"/>
        <v/>
      </c>
      <c r="J1588" s="61" t="str">
        <f t="shared" si="174"/>
        <v/>
      </c>
      <c r="K1588" s="61" t="str">
        <f t="shared" si="175"/>
        <v/>
      </c>
      <c r="L1588" s="61" t="str">
        <f t="shared" si="176"/>
        <v/>
      </c>
      <c r="M1588" s="63" t="str">
        <f t="shared" si="177"/>
        <v/>
      </c>
      <c r="N1588" s="64"/>
    </row>
    <row r="1589" spans="1:14" x14ac:dyDescent="0.3">
      <c r="A1589" s="58" t="str">
        <f>IF([1]weekly_demand!A1590="","",[1]weekly_demand!A1590)</f>
        <v/>
      </c>
      <c r="B1589" s="59" t="str">
        <f>IF($A1589="","",[1]weekly_demand!F1590)</f>
        <v/>
      </c>
      <c r="C1589" s="60" t="str">
        <f>IF($A1589="","",[1]weekly_demand!H1590)</f>
        <v/>
      </c>
      <c r="D1589" s="61" t="str">
        <f>IF($A1589="","",IF(SUMIFS([1]Fixture_Capacity_Input!$C:$C,[1]Fixture_Capacity_Input!$A:$A,$B1589,[1]Fixture_Capacity_Input!$B:$B,$C1589)&gt;0,SUMIFS([1]Fixture_Capacity_Input!$C:$C,[1]Fixture_Capacity_Input!$A:$A,$B1589,[1]Fixture_Capacity_Input!$B:$B,$C1589),[1]weekly_demand!G1590))</f>
        <v/>
      </c>
      <c r="E1589" s="62" t="str">
        <f>IF($A1589="","",[1]weekly_demand!I1590)</f>
        <v/>
      </c>
      <c r="F1589" s="61" t="str">
        <f>IF($A1589="","",IF($A1589&lt;&gt;$A1588,IFERROR(INDEX([1]FG_Begin_Inventory!$B:$B,MATCH($A1589,[1]FG_Begin_Inventory!$A:$A,0)),0),J1588))</f>
        <v/>
      </c>
      <c r="G1589" s="61" t="str">
        <f t="shared" si="178"/>
        <v/>
      </c>
      <c r="H1589" s="61" t="str">
        <f t="shared" si="172"/>
        <v/>
      </c>
      <c r="I1589" s="62" t="str">
        <f t="shared" si="173"/>
        <v/>
      </c>
      <c r="J1589" s="61" t="str">
        <f t="shared" si="174"/>
        <v/>
      </c>
      <c r="K1589" s="61" t="str">
        <f t="shared" si="175"/>
        <v/>
      </c>
      <c r="L1589" s="61" t="str">
        <f t="shared" si="176"/>
        <v/>
      </c>
      <c r="M1589" s="63" t="str">
        <f t="shared" si="177"/>
        <v/>
      </c>
      <c r="N1589" s="64"/>
    </row>
    <row r="1590" spans="1:14" x14ac:dyDescent="0.3">
      <c r="A1590" s="58" t="str">
        <f>IF([1]weekly_demand!A1591="","",[1]weekly_demand!A1591)</f>
        <v/>
      </c>
      <c r="B1590" s="59" t="str">
        <f>IF($A1590="","",[1]weekly_demand!F1591)</f>
        <v/>
      </c>
      <c r="C1590" s="60" t="str">
        <f>IF($A1590="","",[1]weekly_demand!H1591)</f>
        <v/>
      </c>
      <c r="D1590" s="61" t="str">
        <f>IF($A1590="","",IF(SUMIFS([1]Fixture_Capacity_Input!$C:$C,[1]Fixture_Capacity_Input!$A:$A,$B1590,[1]Fixture_Capacity_Input!$B:$B,$C1590)&gt;0,SUMIFS([1]Fixture_Capacity_Input!$C:$C,[1]Fixture_Capacity_Input!$A:$A,$B1590,[1]Fixture_Capacity_Input!$B:$B,$C1590),[1]weekly_demand!G1591))</f>
        <v/>
      </c>
      <c r="E1590" s="62" t="str">
        <f>IF($A1590="","",[1]weekly_demand!I1591)</f>
        <v/>
      </c>
      <c r="F1590" s="61" t="str">
        <f>IF($A1590="","",IF($A1590&lt;&gt;$A1589,IFERROR(INDEX([1]FG_Begin_Inventory!$B:$B,MATCH($A1590,[1]FG_Begin_Inventory!$A:$A,0)),0),J1589))</f>
        <v/>
      </c>
      <c r="G1590" s="61" t="str">
        <f t="shared" si="178"/>
        <v/>
      </c>
      <c r="H1590" s="61" t="str">
        <f t="shared" si="172"/>
        <v/>
      </c>
      <c r="I1590" s="62" t="str">
        <f t="shared" si="173"/>
        <v/>
      </c>
      <c r="J1590" s="61" t="str">
        <f t="shared" si="174"/>
        <v/>
      </c>
      <c r="K1590" s="61" t="str">
        <f t="shared" si="175"/>
        <v/>
      </c>
      <c r="L1590" s="61" t="str">
        <f t="shared" si="176"/>
        <v/>
      </c>
      <c r="M1590" s="63" t="str">
        <f t="shared" si="177"/>
        <v/>
      </c>
      <c r="N1590" s="64"/>
    </row>
    <row r="1591" spans="1:14" x14ac:dyDescent="0.3">
      <c r="A1591" s="58" t="str">
        <f>IF([1]weekly_demand!A1592="","",[1]weekly_demand!A1592)</f>
        <v/>
      </c>
      <c r="B1591" s="59" t="str">
        <f>IF($A1591="","",[1]weekly_demand!F1592)</f>
        <v/>
      </c>
      <c r="C1591" s="60" t="str">
        <f>IF($A1591="","",[1]weekly_demand!H1592)</f>
        <v/>
      </c>
      <c r="D1591" s="61" t="str">
        <f>IF($A1591="","",IF(SUMIFS([1]Fixture_Capacity_Input!$C:$C,[1]Fixture_Capacity_Input!$A:$A,$B1591,[1]Fixture_Capacity_Input!$B:$B,$C1591)&gt;0,SUMIFS([1]Fixture_Capacity_Input!$C:$C,[1]Fixture_Capacity_Input!$A:$A,$B1591,[1]Fixture_Capacity_Input!$B:$B,$C1591),[1]weekly_demand!G1592))</f>
        <v/>
      </c>
      <c r="E1591" s="62" t="str">
        <f>IF($A1591="","",[1]weekly_demand!I1592)</f>
        <v/>
      </c>
      <c r="F1591" s="61" t="str">
        <f>IF($A1591="","",IF($A1591&lt;&gt;$A1590,IFERROR(INDEX([1]FG_Begin_Inventory!$B:$B,MATCH($A1591,[1]FG_Begin_Inventory!$A:$A,0)),0),J1590))</f>
        <v/>
      </c>
      <c r="G1591" s="61" t="str">
        <f t="shared" si="178"/>
        <v/>
      </c>
      <c r="H1591" s="61" t="str">
        <f t="shared" si="172"/>
        <v/>
      </c>
      <c r="I1591" s="62" t="str">
        <f t="shared" si="173"/>
        <v/>
      </c>
      <c r="J1591" s="61" t="str">
        <f t="shared" si="174"/>
        <v/>
      </c>
      <c r="K1591" s="61" t="str">
        <f t="shared" si="175"/>
        <v/>
      </c>
      <c r="L1591" s="61" t="str">
        <f t="shared" si="176"/>
        <v/>
      </c>
      <c r="M1591" s="63" t="str">
        <f t="shared" si="177"/>
        <v/>
      </c>
      <c r="N1591" s="64"/>
    </row>
    <row r="1592" spans="1:14" x14ac:dyDescent="0.3">
      <c r="A1592" s="58" t="str">
        <f>IF([1]weekly_demand!A1593="","",[1]weekly_demand!A1593)</f>
        <v/>
      </c>
      <c r="B1592" s="59" t="str">
        <f>IF($A1592="","",[1]weekly_demand!F1593)</f>
        <v/>
      </c>
      <c r="C1592" s="60" t="str">
        <f>IF($A1592="","",[1]weekly_demand!H1593)</f>
        <v/>
      </c>
      <c r="D1592" s="61" t="str">
        <f>IF($A1592="","",IF(SUMIFS([1]Fixture_Capacity_Input!$C:$C,[1]Fixture_Capacity_Input!$A:$A,$B1592,[1]Fixture_Capacity_Input!$B:$B,$C1592)&gt;0,SUMIFS([1]Fixture_Capacity_Input!$C:$C,[1]Fixture_Capacity_Input!$A:$A,$B1592,[1]Fixture_Capacity_Input!$B:$B,$C1592),[1]weekly_demand!G1593))</f>
        <v/>
      </c>
      <c r="E1592" s="62" t="str">
        <f>IF($A1592="","",[1]weekly_demand!I1593)</f>
        <v/>
      </c>
      <c r="F1592" s="61" t="str">
        <f>IF($A1592="","",IF($A1592&lt;&gt;$A1591,IFERROR(INDEX([1]FG_Begin_Inventory!$B:$B,MATCH($A1592,[1]FG_Begin_Inventory!$A:$A,0)),0),J1591))</f>
        <v/>
      </c>
      <c r="G1592" s="61" t="str">
        <f t="shared" si="178"/>
        <v/>
      </c>
      <c r="H1592" s="61" t="str">
        <f t="shared" si="172"/>
        <v/>
      </c>
      <c r="I1592" s="62" t="str">
        <f t="shared" si="173"/>
        <v/>
      </c>
      <c r="J1592" s="61" t="str">
        <f t="shared" si="174"/>
        <v/>
      </c>
      <c r="K1592" s="61" t="str">
        <f t="shared" si="175"/>
        <v/>
      </c>
      <c r="L1592" s="61" t="str">
        <f t="shared" si="176"/>
        <v/>
      </c>
      <c r="M1592" s="63" t="str">
        <f t="shared" si="177"/>
        <v/>
      </c>
      <c r="N1592" s="64"/>
    </row>
    <row r="1593" spans="1:14" x14ac:dyDescent="0.3">
      <c r="A1593" s="58" t="str">
        <f>IF([1]weekly_demand!A1594="","",[1]weekly_demand!A1594)</f>
        <v/>
      </c>
      <c r="B1593" s="59" t="str">
        <f>IF($A1593="","",[1]weekly_demand!F1594)</f>
        <v/>
      </c>
      <c r="C1593" s="60" t="str">
        <f>IF($A1593="","",[1]weekly_demand!H1594)</f>
        <v/>
      </c>
      <c r="D1593" s="61" t="str">
        <f>IF($A1593="","",IF(SUMIFS([1]Fixture_Capacity_Input!$C:$C,[1]Fixture_Capacity_Input!$A:$A,$B1593,[1]Fixture_Capacity_Input!$B:$B,$C1593)&gt;0,SUMIFS([1]Fixture_Capacity_Input!$C:$C,[1]Fixture_Capacity_Input!$A:$A,$B1593,[1]Fixture_Capacity_Input!$B:$B,$C1593),[1]weekly_demand!G1594))</f>
        <v/>
      </c>
      <c r="E1593" s="62" t="str">
        <f>IF($A1593="","",[1]weekly_demand!I1594)</f>
        <v/>
      </c>
      <c r="F1593" s="61" t="str">
        <f>IF($A1593="","",IF($A1593&lt;&gt;$A1592,IFERROR(INDEX([1]FG_Begin_Inventory!$B:$B,MATCH($A1593,[1]FG_Begin_Inventory!$A:$A,0)),0),J1592))</f>
        <v/>
      </c>
      <c r="G1593" s="61" t="str">
        <f t="shared" si="178"/>
        <v/>
      </c>
      <c r="H1593" s="61" t="str">
        <f t="shared" si="172"/>
        <v/>
      </c>
      <c r="I1593" s="62" t="str">
        <f t="shared" si="173"/>
        <v/>
      </c>
      <c r="J1593" s="61" t="str">
        <f t="shared" si="174"/>
        <v/>
      </c>
      <c r="K1593" s="61" t="str">
        <f t="shared" si="175"/>
        <v/>
      </c>
      <c r="L1593" s="61" t="str">
        <f t="shared" si="176"/>
        <v/>
      </c>
      <c r="M1593" s="63" t="str">
        <f t="shared" si="177"/>
        <v/>
      </c>
      <c r="N1593" s="64"/>
    </row>
    <row r="1594" spans="1:14" x14ac:dyDescent="0.3">
      <c r="A1594" s="58" t="str">
        <f>IF([1]weekly_demand!A1595="","",[1]weekly_demand!A1595)</f>
        <v/>
      </c>
      <c r="B1594" s="59" t="str">
        <f>IF($A1594="","",[1]weekly_demand!F1595)</f>
        <v/>
      </c>
      <c r="C1594" s="60" t="str">
        <f>IF($A1594="","",[1]weekly_demand!H1595)</f>
        <v/>
      </c>
      <c r="D1594" s="61" t="str">
        <f>IF($A1594="","",IF(SUMIFS([1]Fixture_Capacity_Input!$C:$C,[1]Fixture_Capacity_Input!$A:$A,$B1594,[1]Fixture_Capacity_Input!$B:$B,$C1594)&gt;0,SUMIFS([1]Fixture_Capacity_Input!$C:$C,[1]Fixture_Capacity_Input!$A:$A,$B1594,[1]Fixture_Capacity_Input!$B:$B,$C1594),[1]weekly_demand!G1595))</f>
        <v/>
      </c>
      <c r="E1594" s="62" t="str">
        <f>IF($A1594="","",[1]weekly_demand!I1595)</f>
        <v/>
      </c>
      <c r="F1594" s="61" t="str">
        <f>IF($A1594="","",IF($A1594&lt;&gt;$A1593,IFERROR(INDEX([1]FG_Begin_Inventory!$B:$B,MATCH($A1594,[1]FG_Begin_Inventory!$A:$A,0)),0),J1593))</f>
        <v/>
      </c>
      <c r="G1594" s="61" t="str">
        <f t="shared" si="178"/>
        <v/>
      </c>
      <c r="H1594" s="61" t="str">
        <f t="shared" si="172"/>
        <v/>
      </c>
      <c r="I1594" s="62" t="str">
        <f t="shared" si="173"/>
        <v/>
      </c>
      <c r="J1594" s="61" t="str">
        <f t="shared" si="174"/>
        <v/>
      </c>
      <c r="K1594" s="61" t="str">
        <f t="shared" si="175"/>
        <v/>
      </c>
      <c r="L1594" s="61" t="str">
        <f t="shared" si="176"/>
        <v/>
      </c>
      <c r="M1594" s="63" t="str">
        <f t="shared" si="177"/>
        <v/>
      </c>
      <c r="N1594" s="64"/>
    </row>
    <row r="1595" spans="1:14" x14ac:dyDescent="0.3">
      <c r="A1595" s="58" t="str">
        <f>IF([1]weekly_demand!A1596="","",[1]weekly_demand!A1596)</f>
        <v/>
      </c>
      <c r="B1595" s="59" t="str">
        <f>IF($A1595="","",[1]weekly_demand!F1596)</f>
        <v/>
      </c>
      <c r="C1595" s="60" t="str">
        <f>IF($A1595="","",[1]weekly_demand!H1596)</f>
        <v/>
      </c>
      <c r="D1595" s="61" t="str">
        <f>IF($A1595="","",IF(SUMIFS([1]Fixture_Capacity_Input!$C:$C,[1]Fixture_Capacity_Input!$A:$A,$B1595,[1]Fixture_Capacity_Input!$B:$B,$C1595)&gt;0,SUMIFS([1]Fixture_Capacity_Input!$C:$C,[1]Fixture_Capacity_Input!$A:$A,$B1595,[1]Fixture_Capacity_Input!$B:$B,$C1595),[1]weekly_demand!G1596))</f>
        <v/>
      </c>
      <c r="E1595" s="62" t="str">
        <f>IF($A1595="","",[1]weekly_demand!I1596)</f>
        <v/>
      </c>
      <c r="F1595" s="61" t="str">
        <f>IF($A1595="","",IF($A1595&lt;&gt;$A1594,IFERROR(INDEX([1]FG_Begin_Inventory!$B:$B,MATCH($A1595,[1]FG_Begin_Inventory!$A:$A,0)),0),J1594))</f>
        <v/>
      </c>
      <c r="G1595" s="61" t="str">
        <f t="shared" si="178"/>
        <v/>
      </c>
      <c r="H1595" s="61" t="str">
        <f t="shared" si="172"/>
        <v/>
      </c>
      <c r="I1595" s="62" t="str">
        <f t="shared" si="173"/>
        <v/>
      </c>
      <c r="J1595" s="61" t="str">
        <f t="shared" si="174"/>
        <v/>
      </c>
      <c r="K1595" s="61" t="str">
        <f t="shared" si="175"/>
        <v/>
      </c>
      <c r="L1595" s="61" t="str">
        <f t="shared" si="176"/>
        <v/>
      </c>
      <c r="M1595" s="63" t="str">
        <f t="shared" si="177"/>
        <v/>
      </c>
      <c r="N1595" s="64"/>
    </row>
    <row r="1596" spans="1:14" x14ac:dyDescent="0.3">
      <c r="A1596" s="58" t="str">
        <f>IF([1]weekly_demand!A1597="","",[1]weekly_demand!A1597)</f>
        <v/>
      </c>
      <c r="B1596" s="59" t="str">
        <f>IF($A1596="","",[1]weekly_demand!F1597)</f>
        <v/>
      </c>
      <c r="C1596" s="60" t="str">
        <f>IF($A1596="","",[1]weekly_demand!H1597)</f>
        <v/>
      </c>
      <c r="D1596" s="61" t="str">
        <f>IF($A1596="","",IF(SUMIFS([1]Fixture_Capacity_Input!$C:$C,[1]Fixture_Capacity_Input!$A:$A,$B1596,[1]Fixture_Capacity_Input!$B:$B,$C1596)&gt;0,SUMIFS([1]Fixture_Capacity_Input!$C:$C,[1]Fixture_Capacity_Input!$A:$A,$B1596,[1]Fixture_Capacity_Input!$B:$B,$C1596),[1]weekly_demand!G1597))</f>
        <v/>
      </c>
      <c r="E1596" s="62" t="str">
        <f>IF($A1596="","",[1]weekly_demand!I1597)</f>
        <v/>
      </c>
      <c r="F1596" s="61" t="str">
        <f>IF($A1596="","",IF($A1596&lt;&gt;$A1595,IFERROR(INDEX([1]FG_Begin_Inventory!$B:$B,MATCH($A1596,[1]FG_Begin_Inventory!$A:$A,0)),0),J1595))</f>
        <v/>
      </c>
      <c r="G1596" s="61" t="str">
        <f t="shared" si="178"/>
        <v/>
      </c>
      <c r="H1596" s="61" t="str">
        <f t="shared" si="172"/>
        <v/>
      </c>
      <c r="I1596" s="62" t="str">
        <f t="shared" si="173"/>
        <v/>
      </c>
      <c r="J1596" s="61" t="str">
        <f t="shared" si="174"/>
        <v/>
      </c>
      <c r="K1596" s="61" t="str">
        <f t="shared" si="175"/>
        <v/>
      </c>
      <c r="L1596" s="61" t="str">
        <f t="shared" si="176"/>
        <v/>
      </c>
      <c r="M1596" s="63" t="str">
        <f t="shared" si="177"/>
        <v/>
      </c>
      <c r="N1596" s="64"/>
    </row>
    <row r="1597" spans="1:14" x14ac:dyDescent="0.3">
      <c r="A1597" s="58" t="str">
        <f>IF([1]weekly_demand!A1598="","",[1]weekly_demand!A1598)</f>
        <v/>
      </c>
      <c r="B1597" s="59" t="str">
        <f>IF($A1597="","",[1]weekly_demand!F1598)</f>
        <v/>
      </c>
      <c r="C1597" s="60" t="str">
        <f>IF($A1597="","",[1]weekly_demand!H1598)</f>
        <v/>
      </c>
      <c r="D1597" s="61" t="str">
        <f>IF($A1597="","",IF(SUMIFS([1]Fixture_Capacity_Input!$C:$C,[1]Fixture_Capacity_Input!$A:$A,$B1597,[1]Fixture_Capacity_Input!$B:$B,$C1597)&gt;0,SUMIFS([1]Fixture_Capacity_Input!$C:$C,[1]Fixture_Capacity_Input!$A:$A,$B1597,[1]Fixture_Capacity_Input!$B:$B,$C1597),[1]weekly_demand!G1598))</f>
        <v/>
      </c>
      <c r="E1597" s="62" t="str">
        <f>IF($A1597="","",[1]weekly_demand!I1598)</f>
        <v/>
      </c>
      <c r="F1597" s="61" t="str">
        <f>IF($A1597="","",IF($A1597&lt;&gt;$A1596,IFERROR(INDEX([1]FG_Begin_Inventory!$B:$B,MATCH($A1597,[1]FG_Begin_Inventory!$A:$A,0)),0),J1596))</f>
        <v/>
      </c>
      <c r="G1597" s="61" t="str">
        <f t="shared" si="178"/>
        <v/>
      </c>
      <c r="H1597" s="61" t="str">
        <f t="shared" si="172"/>
        <v/>
      </c>
      <c r="I1597" s="62" t="str">
        <f t="shared" si="173"/>
        <v/>
      </c>
      <c r="J1597" s="61" t="str">
        <f t="shared" si="174"/>
        <v/>
      </c>
      <c r="K1597" s="61" t="str">
        <f t="shared" si="175"/>
        <v/>
      </c>
      <c r="L1597" s="61" t="str">
        <f t="shared" si="176"/>
        <v/>
      </c>
      <c r="M1597" s="63" t="str">
        <f t="shared" si="177"/>
        <v/>
      </c>
      <c r="N1597" s="64"/>
    </row>
    <row r="1598" spans="1:14" x14ac:dyDescent="0.3">
      <c r="A1598" s="58" t="str">
        <f>IF([1]weekly_demand!A1599="","",[1]weekly_demand!A1599)</f>
        <v/>
      </c>
      <c r="B1598" s="59" t="str">
        <f>IF($A1598="","",[1]weekly_demand!F1599)</f>
        <v/>
      </c>
      <c r="C1598" s="60" t="str">
        <f>IF($A1598="","",[1]weekly_demand!H1599)</f>
        <v/>
      </c>
      <c r="D1598" s="61" t="str">
        <f>IF($A1598="","",IF(SUMIFS([1]Fixture_Capacity_Input!$C:$C,[1]Fixture_Capacity_Input!$A:$A,$B1598,[1]Fixture_Capacity_Input!$B:$B,$C1598)&gt;0,SUMIFS([1]Fixture_Capacity_Input!$C:$C,[1]Fixture_Capacity_Input!$A:$A,$B1598,[1]Fixture_Capacity_Input!$B:$B,$C1598),[1]weekly_demand!G1599))</f>
        <v/>
      </c>
      <c r="E1598" s="62" t="str">
        <f>IF($A1598="","",[1]weekly_demand!I1599)</f>
        <v/>
      </c>
      <c r="F1598" s="61" t="str">
        <f>IF($A1598="","",IF($A1598&lt;&gt;$A1597,IFERROR(INDEX([1]FG_Begin_Inventory!$B:$B,MATCH($A1598,[1]FG_Begin_Inventory!$A:$A,0)),0),J1597))</f>
        <v/>
      </c>
      <c r="G1598" s="61" t="str">
        <f t="shared" si="178"/>
        <v/>
      </c>
      <c r="H1598" s="61" t="str">
        <f t="shared" si="172"/>
        <v/>
      </c>
      <c r="I1598" s="62" t="str">
        <f t="shared" si="173"/>
        <v/>
      </c>
      <c r="J1598" s="61" t="str">
        <f t="shared" si="174"/>
        <v/>
      </c>
      <c r="K1598" s="61" t="str">
        <f t="shared" si="175"/>
        <v/>
      </c>
      <c r="L1598" s="61" t="str">
        <f t="shared" si="176"/>
        <v/>
      </c>
      <c r="M1598" s="63" t="str">
        <f t="shared" si="177"/>
        <v/>
      </c>
      <c r="N1598" s="64"/>
    </row>
    <row r="1599" spans="1:14" x14ac:dyDescent="0.3">
      <c r="A1599" s="58" t="str">
        <f>IF([1]weekly_demand!A1600="","",[1]weekly_demand!A1600)</f>
        <v/>
      </c>
      <c r="B1599" s="59" t="str">
        <f>IF($A1599="","",[1]weekly_demand!F1600)</f>
        <v/>
      </c>
      <c r="C1599" s="60" t="str">
        <f>IF($A1599="","",[1]weekly_demand!H1600)</f>
        <v/>
      </c>
      <c r="D1599" s="61" t="str">
        <f>IF($A1599="","",IF(SUMIFS([1]Fixture_Capacity_Input!$C:$C,[1]Fixture_Capacity_Input!$A:$A,$B1599,[1]Fixture_Capacity_Input!$B:$B,$C1599)&gt;0,SUMIFS([1]Fixture_Capacity_Input!$C:$C,[1]Fixture_Capacity_Input!$A:$A,$B1599,[1]Fixture_Capacity_Input!$B:$B,$C1599),[1]weekly_demand!G1600))</f>
        <v/>
      </c>
      <c r="E1599" s="62" t="str">
        <f>IF($A1599="","",[1]weekly_demand!I1600)</f>
        <v/>
      </c>
      <c r="F1599" s="61" t="str">
        <f>IF($A1599="","",IF($A1599&lt;&gt;$A1598,IFERROR(INDEX([1]FG_Begin_Inventory!$B:$B,MATCH($A1599,[1]FG_Begin_Inventory!$A:$A,0)),0),J1598))</f>
        <v/>
      </c>
      <c r="G1599" s="61" t="str">
        <f t="shared" si="178"/>
        <v/>
      </c>
      <c r="H1599" s="61" t="str">
        <f t="shared" si="172"/>
        <v/>
      </c>
      <c r="I1599" s="62" t="str">
        <f t="shared" si="173"/>
        <v/>
      </c>
      <c r="J1599" s="61" t="str">
        <f t="shared" si="174"/>
        <v/>
      </c>
      <c r="K1599" s="61" t="str">
        <f t="shared" si="175"/>
        <v/>
      </c>
      <c r="L1599" s="61" t="str">
        <f t="shared" si="176"/>
        <v/>
      </c>
      <c r="M1599" s="63" t="str">
        <f t="shared" si="177"/>
        <v/>
      </c>
      <c r="N1599" s="64"/>
    </row>
    <row r="1600" spans="1:14" x14ac:dyDescent="0.3">
      <c r="A1600" s="58" t="str">
        <f>IF([1]weekly_demand!A1601="","",[1]weekly_demand!A1601)</f>
        <v/>
      </c>
      <c r="B1600" s="59" t="str">
        <f>IF($A1600="","",[1]weekly_demand!F1601)</f>
        <v/>
      </c>
      <c r="C1600" s="60" t="str">
        <f>IF($A1600="","",[1]weekly_demand!H1601)</f>
        <v/>
      </c>
      <c r="D1600" s="61" t="str">
        <f>IF($A1600="","",IF(SUMIFS([1]Fixture_Capacity_Input!$C:$C,[1]Fixture_Capacity_Input!$A:$A,$B1600,[1]Fixture_Capacity_Input!$B:$B,$C1600)&gt;0,SUMIFS([1]Fixture_Capacity_Input!$C:$C,[1]Fixture_Capacity_Input!$A:$A,$B1600,[1]Fixture_Capacity_Input!$B:$B,$C1600),[1]weekly_demand!G1601))</f>
        <v/>
      </c>
      <c r="E1600" s="62" t="str">
        <f>IF($A1600="","",[1]weekly_demand!I1601)</f>
        <v/>
      </c>
      <c r="F1600" s="61" t="str">
        <f>IF($A1600="","",IF($A1600&lt;&gt;$A1599,IFERROR(INDEX([1]FG_Begin_Inventory!$B:$B,MATCH($A1600,[1]FG_Begin_Inventory!$A:$A,0)),0),J1599))</f>
        <v/>
      </c>
      <c r="G1600" s="61" t="str">
        <f t="shared" si="178"/>
        <v/>
      </c>
      <c r="H1600" s="61" t="str">
        <f t="shared" si="172"/>
        <v/>
      </c>
      <c r="I1600" s="62" t="str">
        <f t="shared" si="173"/>
        <v/>
      </c>
      <c r="J1600" s="61" t="str">
        <f t="shared" si="174"/>
        <v/>
      </c>
      <c r="K1600" s="61" t="str">
        <f t="shared" si="175"/>
        <v/>
      </c>
      <c r="L1600" s="61" t="str">
        <f t="shared" si="176"/>
        <v/>
      </c>
      <c r="M1600" s="63" t="str">
        <f t="shared" si="177"/>
        <v/>
      </c>
      <c r="N1600" s="64"/>
    </row>
    <row r="1601" spans="1:14" x14ac:dyDescent="0.3">
      <c r="A1601" s="58" t="str">
        <f>IF([1]weekly_demand!A1602="","",[1]weekly_demand!A1602)</f>
        <v/>
      </c>
      <c r="B1601" s="59" t="str">
        <f>IF($A1601="","",[1]weekly_demand!F1602)</f>
        <v/>
      </c>
      <c r="C1601" s="60" t="str">
        <f>IF($A1601="","",[1]weekly_demand!H1602)</f>
        <v/>
      </c>
      <c r="D1601" s="61" t="str">
        <f>IF($A1601="","",IF(SUMIFS([1]Fixture_Capacity_Input!$C:$C,[1]Fixture_Capacity_Input!$A:$A,$B1601,[1]Fixture_Capacity_Input!$B:$B,$C1601)&gt;0,SUMIFS([1]Fixture_Capacity_Input!$C:$C,[1]Fixture_Capacity_Input!$A:$A,$B1601,[1]Fixture_Capacity_Input!$B:$B,$C1601),[1]weekly_demand!G1602))</f>
        <v/>
      </c>
      <c r="E1601" s="62" t="str">
        <f>IF($A1601="","",[1]weekly_demand!I1602)</f>
        <v/>
      </c>
      <c r="F1601" s="61" t="str">
        <f>IF($A1601="","",IF($A1601&lt;&gt;$A1600,IFERROR(INDEX([1]FG_Begin_Inventory!$B:$B,MATCH($A1601,[1]FG_Begin_Inventory!$A:$A,0)),0),J1600))</f>
        <v/>
      </c>
      <c r="G1601" s="61" t="str">
        <f t="shared" si="178"/>
        <v/>
      </c>
      <c r="H1601" s="61" t="str">
        <f t="shared" si="172"/>
        <v/>
      </c>
      <c r="I1601" s="62" t="str">
        <f t="shared" si="173"/>
        <v/>
      </c>
      <c r="J1601" s="61" t="str">
        <f t="shared" si="174"/>
        <v/>
      </c>
      <c r="K1601" s="61" t="str">
        <f t="shared" si="175"/>
        <v/>
      </c>
      <c r="L1601" s="61" t="str">
        <f t="shared" si="176"/>
        <v/>
      </c>
      <c r="M1601" s="63" t="str">
        <f t="shared" si="177"/>
        <v/>
      </c>
      <c r="N1601" s="64"/>
    </row>
    <row r="1602" spans="1:14" x14ac:dyDescent="0.3">
      <c r="A1602" s="58" t="str">
        <f>IF([1]weekly_demand!A1603="","",[1]weekly_demand!A1603)</f>
        <v/>
      </c>
      <c r="B1602" s="59" t="str">
        <f>IF($A1602="","",[1]weekly_demand!F1603)</f>
        <v/>
      </c>
      <c r="C1602" s="60" t="str">
        <f>IF($A1602="","",[1]weekly_demand!H1603)</f>
        <v/>
      </c>
      <c r="D1602" s="61" t="str">
        <f>IF($A1602="","",IF(SUMIFS([1]Fixture_Capacity_Input!$C:$C,[1]Fixture_Capacity_Input!$A:$A,$B1602,[1]Fixture_Capacity_Input!$B:$B,$C1602)&gt;0,SUMIFS([1]Fixture_Capacity_Input!$C:$C,[1]Fixture_Capacity_Input!$A:$A,$B1602,[1]Fixture_Capacity_Input!$B:$B,$C1602),[1]weekly_demand!G1603))</f>
        <v/>
      </c>
      <c r="E1602" s="62" t="str">
        <f>IF($A1602="","",[1]weekly_demand!I1603)</f>
        <v/>
      </c>
      <c r="F1602" s="61" t="str">
        <f>IF($A1602="","",IF($A1602&lt;&gt;$A1601,IFERROR(INDEX([1]FG_Begin_Inventory!$B:$B,MATCH($A1602,[1]FG_Begin_Inventory!$A:$A,0)),0),J1601))</f>
        <v/>
      </c>
      <c r="G1602" s="61" t="str">
        <f t="shared" si="178"/>
        <v/>
      </c>
      <c r="H1602" s="61" t="str">
        <f t="shared" ref="H1602:H1665" si="179">IF($A1602="","",MAX(0,E1602+G1602-F1602))</f>
        <v/>
      </c>
      <c r="I1602" s="62" t="str">
        <f t="shared" ref="I1602:I1665" si="180">IF($A1602="","",MIN(D1602,H1602))</f>
        <v/>
      </c>
      <c r="J1602" s="61" t="str">
        <f t="shared" ref="J1602:J1665" si="181">IF($A1602="","",MAX(0,F1602+I1602-E1602))</f>
        <v/>
      </c>
      <c r="K1602" s="61" t="str">
        <f t="shared" ref="K1602:K1665" si="182">IF($A1602="","",MAX(0,E1602-F1602-I1602))</f>
        <v/>
      </c>
      <c r="L1602" s="61" t="str">
        <f t="shared" ref="L1602:L1665" si="183">IF($A1602="","",MAX(0,F1602+I1602-E1602))</f>
        <v/>
      </c>
      <c r="M1602" s="63" t="str">
        <f t="shared" ref="M1602:M1665" si="184">IF($A1602="","",IFERROR(I1602/D1602,0))</f>
        <v/>
      </c>
      <c r="N1602" s="64"/>
    </row>
    <row r="1603" spans="1:14" x14ac:dyDescent="0.3">
      <c r="A1603" s="58" t="str">
        <f>IF([1]weekly_demand!A1604="","",[1]weekly_demand!A1604)</f>
        <v/>
      </c>
      <c r="B1603" s="59" t="str">
        <f>IF($A1603="","",[1]weekly_demand!F1604)</f>
        <v/>
      </c>
      <c r="C1603" s="60" t="str">
        <f>IF($A1603="","",[1]weekly_demand!H1604)</f>
        <v/>
      </c>
      <c r="D1603" s="61" t="str">
        <f>IF($A1603="","",IF(SUMIFS([1]Fixture_Capacity_Input!$C:$C,[1]Fixture_Capacity_Input!$A:$A,$B1603,[1]Fixture_Capacity_Input!$B:$B,$C1603)&gt;0,SUMIFS([1]Fixture_Capacity_Input!$C:$C,[1]Fixture_Capacity_Input!$A:$A,$B1603,[1]Fixture_Capacity_Input!$B:$B,$C1603),[1]weekly_demand!G1604))</f>
        <v/>
      </c>
      <c r="E1603" s="62" t="str">
        <f>IF($A1603="","",[1]weekly_demand!I1604)</f>
        <v/>
      </c>
      <c r="F1603" s="61" t="str">
        <f>IF($A1603="","",IF($A1603&lt;&gt;$A1602,IFERROR(INDEX([1]FG_Begin_Inventory!$B:$B,MATCH($A1603,[1]FG_Begin_Inventory!$A:$A,0)),0),J1602))</f>
        <v/>
      </c>
      <c r="G1603" s="61" t="str">
        <f t="shared" si="178"/>
        <v/>
      </c>
      <c r="H1603" s="61" t="str">
        <f t="shared" si="179"/>
        <v/>
      </c>
      <c r="I1603" s="62" t="str">
        <f t="shared" si="180"/>
        <v/>
      </c>
      <c r="J1603" s="61" t="str">
        <f t="shared" si="181"/>
        <v/>
      </c>
      <c r="K1603" s="61" t="str">
        <f t="shared" si="182"/>
        <v/>
      </c>
      <c r="L1603" s="61" t="str">
        <f t="shared" si="183"/>
        <v/>
      </c>
      <c r="M1603" s="63" t="str">
        <f t="shared" si="184"/>
        <v/>
      </c>
      <c r="N1603" s="64"/>
    </row>
    <row r="1604" spans="1:14" x14ac:dyDescent="0.3">
      <c r="A1604" s="58" t="str">
        <f>IF([1]weekly_demand!A1605="","",[1]weekly_demand!A1605)</f>
        <v/>
      </c>
      <c r="B1604" s="59" t="str">
        <f>IF($A1604="","",[1]weekly_demand!F1605)</f>
        <v/>
      </c>
      <c r="C1604" s="60" t="str">
        <f>IF($A1604="","",[1]weekly_demand!H1605)</f>
        <v/>
      </c>
      <c r="D1604" s="61" t="str">
        <f>IF($A1604="","",IF(SUMIFS([1]Fixture_Capacity_Input!$C:$C,[1]Fixture_Capacity_Input!$A:$A,$B1604,[1]Fixture_Capacity_Input!$B:$B,$C1604)&gt;0,SUMIFS([1]Fixture_Capacity_Input!$C:$C,[1]Fixture_Capacity_Input!$A:$A,$B1604,[1]Fixture_Capacity_Input!$B:$B,$C1604),[1]weekly_demand!G1605))</f>
        <v/>
      </c>
      <c r="E1604" s="62" t="str">
        <f>IF($A1604="","",[1]weekly_demand!I1605)</f>
        <v/>
      </c>
      <c r="F1604" s="61" t="str">
        <f>IF($A1604="","",IF($A1604&lt;&gt;$A1603,IFERROR(INDEX([1]FG_Begin_Inventory!$B:$B,MATCH($A1604,[1]FG_Begin_Inventory!$A:$A,0)),0),J1603))</f>
        <v/>
      </c>
      <c r="G1604" s="61" t="str">
        <f t="shared" si="178"/>
        <v/>
      </c>
      <c r="H1604" s="61" t="str">
        <f t="shared" si="179"/>
        <v/>
      </c>
      <c r="I1604" s="62" t="str">
        <f t="shared" si="180"/>
        <v/>
      </c>
      <c r="J1604" s="61" t="str">
        <f t="shared" si="181"/>
        <v/>
      </c>
      <c r="K1604" s="61" t="str">
        <f t="shared" si="182"/>
        <v/>
      </c>
      <c r="L1604" s="61" t="str">
        <f t="shared" si="183"/>
        <v/>
      </c>
      <c r="M1604" s="63" t="str">
        <f t="shared" si="184"/>
        <v/>
      </c>
      <c r="N1604" s="64"/>
    </row>
    <row r="1605" spans="1:14" x14ac:dyDescent="0.3">
      <c r="A1605" s="58" t="str">
        <f>IF([1]weekly_demand!A1606="","",[1]weekly_demand!A1606)</f>
        <v/>
      </c>
      <c r="B1605" s="59" t="str">
        <f>IF($A1605="","",[1]weekly_demand!F1606)</f>
        <v/>
      </c>
      <c r="C1605" s="60" t="str">
        <f>IF($A1605="","",[1]weekly_demand!H1606)</f>
        <v/>
      </c>
      <c r="D1605" s="61" t="str">
        <f>IF($A1605="","",IF(SUMIFS([1]Fixture_Capacity_Input!$C:$C,[1]Fixture_Capacity_Input!$A:$A,$B1605,[1]Fixture_Capacity_Input!$B:$B,$C1605)&gt;0,SUMIFS([1]Fixture_Capacity_Input!$C:$C,[1]Fixture_Capacity_Input!$A:$A,$B1605,[1]Fixture_Capacity_Input!$B:$B,$C1605),[1]weekly_demand!G1606))</f>
        <v/>
      </c>
      <c r="E1605" s="62" t="str">
        <f>IF($A1605="","",[1]weekly_demand!I1606)</f>
        <v/>
      </c>
      <c r="F1605" s="61" t="str">
        <f>IF($A1605="","",IF($A1605&lt;&gt;$A1604,IFERROR(INDEX([1]FG_Begin_Inventory!$B:$B,MATCH($A1605,[1]FG_Begin_Inventory!$A:$A,0)),0),J1604))</f>
        <v/>
      </c>
      <c r="G1605" s="61" t="str">
        <f t="shared" si="178"/>
        <v/>
      </c>
      <c r="H1605" s="61" t="str">
        <f t="shared" si="179"/>
        <v/>
      </c>
      <c r="I1605" s="62" t="str">
        <f t="shared" si="180"/>
        <v/>
      </c>
      <c r="J1605" s="61" t="str">
        <f t="shared" si="181"/>
        <v/>
      </c>
      <c r="K1605" s="61" t="str">
        <f t="shared" si="182"/>
        <v/>
      </c>
      <c r="L1605" s="61" t="str">
        <f t="shared" si="183"/>
        <v/>
      </c>
      <c r="M1605" s="63" t="str">
        <f t="shared" si="184"/>
        <v/>
      </c>
      <c r="N1605" s="64"/>
    </row>
    <row r="1606" spans="1:14" x14ac:dyDescent="0.3">
      <c r="A1606" s="58" t="str">
        <f>IF([1]weekly_demand!A1607="","",[1]weekly_demand!A1607)</f>
        <v/>
      </c>
      <c r="B1606" s="59" t="str">
        <f>IF($A1606="","",[1]weekly_demand!F1607)</f>
        <v/>
      </c>
      <c r="C1606" s="60" t="str">
        <f>IF($A1606="","",[1]weekly_demand!H1607)</f>
        <v/>
      </c>
      <c r="D1606" s="61" t="str">
        <f>IF($A1606="","",IF(SUMIFS([1]Fixture_Capacity_Input!$C:$C,[1]Fixture_Capacity_Input!$A:$A,$B1606,[1]Fixture_Capacity_Input!$B:$B,$C1606)&gt;0,SUMIFS([1]Fixture_Capacity_Input!$C:$C,[1]Fixture_Capacity_Input!$A:$A,$B1606,[1]Fixture_Capacity_Input!$B:$B,$C1606),[1]weekly_demand!G1607))</f>
        <v/>
      </c>
      <c r="E1606" s="62" t="str">
        <f>IF($A1606="","",[1]weekly_demand!I1607)</f>
        <v/>
      </c>
      <c r="F1606" s="61" t="str">
        <f>IF($A1606="","",IF($A1606&lt;&gt;$A1605,IFERROR(INDEX([1]FG_Begin_Inventory!$B:$B,MATCH($A1606,[1]FG_Begin_Inventory!$A:$A,0)),0),J1605))</f>
        <v/>
      </c>
      <c r="G1606" s="61" t="str">
        <f t="shared" si="178"/>
        <v/>
      </c>
      <c r="H1606" s="61" t="str">
        <f t="shared" si="179"/>
        <v/>
      </c>
      <c r="I1606" s="62" t="str">
        <f t="shared" si="180"/>
        <v/>
      </c>
      <c r="J1606" s="61" t="str">
        <f t="shared" si="181"/>
        <v/>
      </c>
      <c r="K1606" s="61" t="str">
        <f t="shared" si="182"/>
        <v/>
      </c>
      <c r="L1606" s="61" t="str">
        <f t="shared" si="183"/>
        <v/>
      </c>
      <c r="M1606" s="63" t="str">
        <f t="shared" si="184"/>
        <v/>
      </c>
      <c r="N1606" s="64"/>
    </row>
    <row r="1607" spans="1:14" x14ac:dyDescent="0.3">
      <c r="A1607" s="58" t="str">
        <f>IF([1]weekly_demand!A1608="","",[1]weekly_demand!A1608)</f>
        <v/>
      </c>
      <c r="B1607" s="59" t="str">
        <f>IF($A1607="","",[1]weekly_demand!F1608)</f>
        <v/>
      </c>
      <c r="C1607" s="60" t="str">
        <f>IF($A1607="","",[1]weekly_demand!H1608)</f>
        <v/>
      </c>
      <c r="D1607" s="61" t="str">
        <f>IF($A1607="","",IF(SUMIFS([1]Fixture_Capacity_Input!$C:$C,[1]Fixture_Capacity_Input!$A:$A,$B1607,[1]Fixture_Capacity_Input!$B:$B,$C1607)&gt;0,SUMIFS([1]Fixture_Capacity_Input!$C:$C,[1]Fixture_Capacity_Input!$A:$A,$B1607,[1]Fixture_Capacity_Input!$B:$B,$C1607),[1]weekly_demand!G1608))</f>
        <v/>
      </c>
      <c r="E1607" s="62" t="str">
        <f>IF($A1607="","",[1]weekly_demand!I1608)</f>
        <v/>
      </c>
      <c r="F1607" s="61" t="str">
        <f>IF($A1607="","",IF($A1607&lt;&gt;$A1606,IFERROR(INDEX([1]FG_Begin_Inventory!$B:$B,MATCH($A1607,[1]FG_Begin_Inventory!$A:$A,0)),0),J1606))</f>
        <v/>
      </c>
      <c r="G1607" s="61" t="str">
        <f t="shared" si="178"/>
        <v/>
      </c>
      <c r="H1607" s="61" t="str">
        <f t="shared" si="179"/>
        <v/>
      </c>
      <c r="I1607" s="62" t="str">
        <f t="shared" si="180"/>
        <v/>
      </c>
      <c r="J1607" s="61" t="str">
        <f t="shared" si="181"/>
        <v/>
      </c>
      <c r="K1607" s="61" t="str">
        <f t="shared" si="182"/>
        <v/>
      </c>
      <c r="L1607" s="61" t="str">
        <f t="shared" si="183"/>
        <v/>
      </c>
      <c r="M1607" s="63" t="str">
        <f t="shared" si="184"/>
        <v/>
      </c>
      <c r="N1607" s="64"/>
    </row>
    <row r="1608" spans="1:14" x14ac:dyDescent="0.3">
      <c r="A1608" s="58" t="str">
        <f>IF([1]weekly_demand!A1609="","",[1]weekly_demand!A1609)</f>
        <v/>
      </c>
      <c r="B1608" s="59" t="str">
        <f>IF($A1608="","",[1]weekly_demand!F1609)</f>
        <v/>
      </c>
      <c r="C1608" s="60" t="str">
        <f>IF($A1608="","",[1]weekly_demand!H1609)</f>
        <v/>
      </c>
      <c r="D1608" s="61" t="str">
        <f>IF($A1608="","",IF(SUMIFS([1]Fixture_Capacity_Input!$C:$C,[1]Fixture_Capacity_Input!$A:$A,$B1608,[1]Fixture_Capacity_Input!$B:$B,$C1608)&gt;0,SUMIFS([1]Fixture_Capacity_Input!$C:$C,[1]Fixture_Capacity_Input!$A:$A,$B1608,[1]Fixture_Capacity_Input!$B:$B,$C1608),[1]weekly_demand!G1609))</f>
        <v/>
      </c>
      <c r="E1608" s="62" t="str">
        <f>IF($A1608="","",[1]weekly_demand!I1609)</f>
        <v/>
      </c>
      <c r="F1608" s="61" t="str">
        <f>IF($A1608="","",IF($A1608&lt;&gt;$A1607,IFERROR(INDEX([1]FG_Begin_Inventory!$B:$B,MATCH($A1608,[1]FG_Begin_Inventory!$A:$A,0)),0),J1607))</f>
        <v/>
      </c>
      <c r="G1608" s="61" t="str">
        <f t="shared" si="178"/>
        <v/>
      </c>
      <c r="H1608" s="61" t="str">
        <f t="shared" si="179"/>
        <v/>
      </c>
      <c r="I1608" s="62" t="str">
        <f t="shared" si="180"/>
        <v/>
      </c>
      <c r="J1608" s="61" t="str">
        <f t="shared" si="181"/>
        <v/>
      </c>
      <c r="K1608" s="61" t="str">
        <f t="shared" si="182"/>
        <v/>
      </c>
      <c r="L1608" s="61" t="str">
        <f t="shared" si="183"/>
        <v/>
      </c>
      <c r="M1608" s="63" t="str">
        <f t="shared" si="184"/>
        <v/>
      </c>
      <c r="N1608" s="64"/>
    </row>
    <row r="1609" spans="1:14" x14ac:dyDescent="0.3">
      <c r="A1609" s="58" t="str">
        <f>IF([1]weekly_demand!A1610="","",[1]weekly_demand!A1610)</f>
        <v/>
      </c>
      <c r="B1609" s="59" t="str">
        <f>IF($A1609="","",[1]weekly_demand!F1610)</f>
        <v/>
      </c>
      <c r="C1609" s="60" t="str">
        <f>IF($A1609="","",[1]weekly_demand!H1610)</f>
        <v/>
      </c>
      <c r="D1609" s="61" t="str">
        <f>IF($A1609="","",IF(SUMIFS([1]Fixture_Capacity_Input!$C:$C,[1]Fixture_Capacity_Input!$A:$A,$B1609,[1]Fixture_Capacity_Input!$B:$B,$C1609)&gt;0,SUMIFS([1]Fixture_Capacity_Input!$C:$C,[1]Fixture_Capacity_Input!$A:$A,$B1609,[1]Fixture_Capacity_Input!$B:$B,$C1609),[1]weekly_demand!G1610))</f>
        <v/>
      </c>
      <c r="E1609" s="62" t="str">
        <f>IF($A1609="","",[1]weekly_demand!I1610)</f>
        <v/>
      </c>
      <c r="F1609" s="61" t="str">
        <f>IF($A1609="","",IF($A1609&lt;&gt;$A1608,IFERROR(INDEX([1]FG_Begin_Inventory!$B:$B,MATCH($A1609,[1]FG_Begin_Inventory!$A:$A,0)),0),J1608))</f>
        <v/>
      </c>
      <c r="G1609" s="61" t="str">
        <f t="shared" si="178"/>
        <v/>
      </c>
      <c r="H1609" s="61" t="str">
        <f t="shared" si="179"/>
        <v/>
      </c>
      <c r="I1609" s="62" t="str">
        <f t="shared" si="180"/>
        <v/>
      </c>
      <c r="J1609" s="61" t="str">
        <f t="shared" si="181"/>
        <v/>
      </c>
      <c r="K1609" s="61" t="str">
        <f t="shared" si="182"/>
        <v/>
      </c>
      <c r="L1609" s="61" t="str">
        <f t="shared" si="183"/>
        <v/>
      </c>
      <c r="M1609" s="63" t="str">
        <f t="shared" si="184"/>
        <v/>
      </c>
      <c r="N1609" s="64"/>
    </row>
    <row r="1610" spans="1:14" x14ac:dyDescent="0.3">
      <c r="A1610" s="58" t="str">
        <f>IF([1]weekly_demand!A1611="","",[1]weekly_demand!A1611)</f>
        <v/>
      </c>
      <c r="B1610" s="59" t="str">
        <f>IF($A1610="","",[1]weekly_demand!F1611)</f>
        <v/>
      </c>
      <c r="C1610" s="60" t="str">
        <f>IF($A1610="","",[1]weekly_demand!H1611)</f>
        <v/>
      </c>
      <c r="D1610" s="61" t="str">
        <f>IF($A1610="","",IF(SUMIFS([1]Fixture_Capacity_Input!$C:$C,[1]Fixture_Capacity_Input!$A:$A,$B1610,[1]Fixture_Capacity_Input!$B:$B,$C1610)&gt;0,SUMIFS([1]Fixture_Capacity_Input!$C:$C,[1]Fixture_Capacity_Input!$A:$A,$B1610,[1]Fixture_Capacity_Input!$B:$B,$C1610),[1]weekly_demand!G1611))</f>
        <v/>
      </c>
      <c r="E1610" s="62" t="str">
        <f>IF($A1610="","",[1]weekly_demand!I1611)</f>
        <v/>
      </c>
      <c r="F1610" s="61" t="str">
        <f>IF($A1610="","",IF($A1610&lt;&gt;$A1609,IFERROR(INDEX([1]FG_Begin_Inventory!$B:$B,MATCH($A1610,[1]FG_Begin_Inventory!$A:$A,0)),0),J1609))</f>
        <v/>
      </c>
      <c r="G1610" s="61" t="str">
        <f t="shared" si="178"/>
        <v/>
      </c>
      <c r="H1610" s="61" t="str">
        <f t="shared" si="179"/>
        <v/>
      </c>
      <c r="I1610" s="62" t="str">
        <f t="shared" si="180"/>
        <v/>
      </c>
      <c r="J1610" s="61" t="str">
        <f t="shared" si="181"/>
        <v/>
      </c>
      <c r="K1610" s="61" t="str">
        <f t="shared" si="182"/>
        <v/>
      </c>
      <c r="L1610" s="61" t="str">
        <f t="shared" si="183"/>
        <v/>
      </c>
      <c r="M1610" s="63" t="str">
        <f t="shared" si="184"/>
        <v/>
      </c>
      <c r="N1610" s="64"/>
    </row>
    <row r="1611" spans="1:14" x14ac:dyDescent="0.3">
      <c r="A1611" s="58" t="str">
        <f>IF([1]weekly_demand!A1612="","",[1]weekly_demand!A1612)</f>
        <v/>
      </c>
      <c r="B1611" s="59" t="str">
        <f>IF($A1611="","",[1]weekly_demand!F1612)</f>
        <v/>
      </c>
      <c r="C1611" s="60" t="str">
        <f>IF($A1611="","",[1]weekly_demand!H1612)</f>
        <v/>
      </c>
      <c r="D1611" s="61" t="str">
        <f>IF($A1611="","",IF(SUMIFS([1]Fixture_Capacity_Input!$C:$C,[1]Fixture_Capacity_Input!$A:$A,$B1611,[1]Fixture_Capacity_Input!$B:$B,$C1611)&gt;0,SUMIFS([1]Fixture_Capacity_Input!$C:$C,[1]Fixture_Capacity_Input!$A:$A,$B1611,[1]Fixture_Capacity_Input!$B:$B,$C1611),[1]weekly_demand!G1612))</f>
        <v/>
      </c>
      <c r="E1611" s="62" t="str">
        <f>IF($A1611="","",[1]weekly_demand!I1612)</f>
        <v/>
      </c>
      <c r="F1611" s="61" t="str">
        <f>IF($A1611="","",IF($A1611&lt;&gt;$A1610,IFERROR(INDEX([1]FG_Begin_Inventory!$B:$B,MATCH($A1611,[1]FG_Begin_Inventory!$A:$A,0)),0),J1610))</f>
        <v/>
      </c>
      <c r="G1611" s="61" t="str">
        <f t="shared" si="178"/>
        <v/>
      </c>
      <c r="H1611" s="61" t="str">
        <f t="shared" si="179"/>
        <v/>
      </c>
      <c r="I1611" s="62" t="str">
        <f t="shared" si="180"/>
        <v/>
      </c>
      <c r="J1611" s="61" t="str">
        <f t="shared" si="181"/>
        <v/>
      </c>
      <c r="K1611" s="61" t="str">
        <f t="shared" si="182"/>
        <v/>
      </c>
      <c r="L1611" s="61" t="str">
        <f t="shared" si="183"/>
        <v/>
      </c>
      <c r="M1611" s="63" t="str">
        <f t="shared" si="184"/>
        <v/>
      </c>
      <c r="N1611" s="64"/>
    </row>
    <row r="1612" spans="1:14" x14ac:dyDescent="0.3">
      <c r="A1612" s="58" t="str">
        <f>IF([1]weekly_demand!A1613="","",[1]weekly_demand!A1613)</f>
        <v/>
      </c>
      <c r="B1612" s="59" t="str">
        <f>IF($A1612="","",[1]weekly_demand!F1613)</f>
        <v/>
      </c>
      <c r="C1612" s="60" t="str">
        <f>IF($A1612="","",[1]weekly_demand!H1613)</f>
        <v/>
      </c>
      <c r="D1612" s="61" t="str">
        <f>IF($A1612="","",IF(SUMIFS([1]Fixture_Capacity_Input!$C:$C,[1]Fixture_Capacity_Input!$A:$A,$B1612,[1]Fixture_Capacity_Input!$B:$B,$C1612)&gt;0,SUMIFS([1]Fixture_Capacity_Input!$C:$C,[1]Fixture_Capacity_Input!$A:$A,$B1612,[1]Fixture_Capacity_Input!$B:$B,$C1612),[1]weekly_demand!G1613))</f>
        <v/>
      </c>
      <c r="E1612" s="62" t="str">
        <f>IF($A1612="","",[1]weekly_demand!I1613)</f>
        <v/>
      </c>
      <c r="F1612" s="61" t="str">
        <f>IF($A1612="","",IF($A1612&lt;&gt;$A1611,IFERROR(INDEX([1]FG_Begin_Inventory!$B:$B,MATCH($A1612,[1]FG_Begin_Inventory!$A:$A,0)),0),J1611))</f>
        <v/>
      </c>
      <c r="G1612" s="61" t="str">
        <f t="shared" si="178"/>
        <v/>
      </c>
      <c r="H1612" s="61" t="str">
        <f t="shared" si="179"/>
        <v/>
      </c>
      <c r="I1612" s="62" t="str">
        <f t="shared" si="180"/>
        <v/>
      </c>
      <c r="J1612" s="61" t="str">
        <f t="shared" si="181"/>
        <v/>
      </c>
      <c r="K1612" s="61" t="str">
        <f t="shared" si="182"/>
        <v/>
      </c>
      <c r="L1612" s="61" t="str">
        <f t="shared" si="183"/>
        <v/>
      </c>
      <c r="M1612" s="63" t="str">
        <f t="shared" si="184"/>
        <v/>
      </c>
      <c r="N1612" s="64"/>
    </row>
    <row r="1613" spans="1:14" x14ac:dyDescent="0.3">
      <c r="A1613" s="58" t="str">
        <f>IF([1]weekly_demand!A1614="","",[1]weekly_demand!A1614)</f>
        <v/>
      </c>
      <c r="B1613" s="59" t="str">
        <f>IF($A1613="","",[1]weekly_demand!F1614)</f>
        <v/>
      </c>
      <c r="C1613" s="60" t="str">
        <f>IF($A1613="","",[1]weekly_demand!H1614)</f>
        <v/>
      </c>
      <c r="D1613" s="61" t="str">
        <f>IF($A1613="","",IF(SUMIFS([1]Fixture_Capacity_Input!$C:$C,[1]Fixture_Capacity_Input!$A:$A,$B1613,[1]Fixture_Capacity_Input!$B:$B,$C1613)&gt;0,SUMIFS([1]Fixture_Capacity_Input!$C:$C,[1]Fixture_Capacity_Input!$A:$A,$B1613,[1]Fixture_Capacity_Input!$B:$B,$C1613),[1]weekly_demand!G1614))</f>
        <v/>
      </c>
      <c r="E1613" s="62" t="str">
        <f>IF($A1613="","",[1]weekly_demand!I1614)</f>
        <v/>
      </c>
      <c r="F1613" s="61" t="str">
        <f>IF($A1613="","",IF($A1613&lt;&gt;$A1612,IFERROR(INDEX([1]FG_Begin_Inventory!$B:$B,MATCH($A1613,[1]FG_Begin_Inventory!$A:$A,0)),0),J1612))</f>
        <v/>
      </c>
      <c r="G1613" s="61" t="str">
        <f t="shared" si="178"/>
        <v/>
      </c>
      <c r="H1613" s="61" t="str">
        <f t="shared" si="179"/>
        <v/>
      </c>
      <c r="I1613" s="62" t="str">
        <f t="shared" si="180"/>
        <v/>
      </c>
      <c r="J1613" s="61" t="str">
        <f t="shared" si="181"/>
        <v/>
      </c>
      <c r="K1613" s="61" t="str">
        <f t="shared" si="182"/>
        <v/>
      </c>
      <c r="L1613" s="61" t="str">
        <f t="shared" si="183"/>
        <v/>
      </c>
      <c r="M1613" s="63" t="str">
        <f t="shared" si="184"/>
        <v/>
      </c>
      <c r="N1613" s="64"/>
    </row>
    <row r="1614" spans="1:14" x14ac:dyDescent="0.3">
      <c r="A1614" s="58" t="str">
        <f>IF([1]weekly_demand!A1615="","",[1]weekly_demand!A1615)</f>
        <v/>
      </c>
      <c r="B1614" s="59" t="str">
        <f>IF($A1614="","",[1]weekly_demand!F1615)</f>
        <v/>
      </c>
      <c r="C1614" s="60" t="str">
        <f>IF($A1614="","",[1]weekly_demand!H1615)</f>
        <v/>
      </c>
      <c r="D1614" s="61" t="str">
        <f>IF($A1614="","",IF(SUMIFS([1]Fixture_Capacity_Input!$C:$C,[1]Fixture_Capacity_Input!$A:$A,$B1614,[1]Fixture_Capacity_Input!$B:$B,$C1614)&gt;0,SUMIFS([1]Fixture_Capacity_Input!$C:$C,[1]Fixture_Capacity_Input!$A:$A,$B1614,[1]Fixture_Capacity_Input!$B:$B,$C1614),[1]weekly_demand!G1615))</f>
        <v/>
      </c>
      <c r="E1614" s="62" t="str">
        <f>IF($A1614="","",[1]weekly_demand!I1615)</f>
        <v/>
      </c>
      <c r="F1614" s="61" t="str">
        <f>IF($A1614="","",IF($A1614&lt;&gt;$A1613,IFERROR(INDEX([1]FG_Begin_Inventory!$B:$B,MATCH($A1614,[1]FG_Begin_Inventory!$A:$A,0)),0),J1613))</f>
        <v/>
      </c>
      <c r="G1614" s="61" t="str">
        <f t="shared" si="178"/>
        <v/>
      </c>
      <c r="H1614" s="61" t="str">
        <f t="shared" si="179"/>
        <v/>
      </c>
      <c r="I1614" s="62" t="str">
        <f t="shared" si="180"/>
        <v/>
      </c>
      <c r="J1614" s="61" t="str">
        <f t="shared" si="181"/>
        <v/>
      </c>
      <c r="K1614" s="61" t="str">
        <f t="shared" si="182"/>
        <v/>
      </c>
      <c r="L1614" s="61" t="str">
        <f t="shared" si="183"/>
        <v/>
      </c>
      <c r="M1614" s="63" t="str">
        <f t="shared" si="184"/>
        <v/>
      </c>
      <c r="N1614" s="64"/>
    </row>
    <row r="1615" spans="1:14" x14ac:dyDescent="0.3">
      <c r="A1615" s="58" t="str">
        <f>IF([1]weekly_demand!A1616="","",[1]weekly_demand!A1616)</f>
        <v/>
      </c>
      <c r="B1615" s="59" t="str">
        <f>IF($A1615="","",[1]weekly_demand!F1616)</f>
        <v/>
      </c>
      <c r="C1615" s="60" t="str">
        <f>IF($A1615="","",[1]weekly_demand!H1616)</f>
        <v/>
      </c>
      <c r="D1615" s="61" t="str">
        <f>IF($A1615="","",IF(SUMIFS([1]Fixture_Capacity_Input!$C:$C,[1]Fixture_Capacity_Input!$A:$A,$B1615,[1]Fixture_Capacity_Input!$B:$B,$C1615)&gt;0,SUMIFS([1]Fixture_Capacity_Input!$C:$C,[1]Fixture_Capacity_Input!$A:$A,$B1615,[1]Fixture_Capacity_Input!$B:$B,$C1615),[1]weekly_demand!G1616))</f>
        <v/>
      </c>
      <c r="E1615" s="62" t="str">
        <f>IF($A1615="","",[1]weekly_demand!I1616)</f>
        <v/>
      </c>
      <c r="F1615" s="61" t="str">
        <f>IF($A1615="","",IF($A1615&lt;&gt;$A1614,IFERROR(INDEX([1]FG_Begin_Inventory!$B:$B,MATCH($A1615,[1]FG_Begin_Inventory!$A:$A,0)),0),J1614))</f>
        <v/>
      </c>
      <c r="G1615" s="61" t="str">
        <f t="shared" si="178"/>
        <v/>
      </c>
      <c r="H1615" s="61" t="str">
        <f t="shared" si="179"/>
        <v/>
      </c>
      <c r="I1615" s="62" t="str">
        <f t="shared" si="180"/>
        <v/>
      </c>
      <c r="J1615" s="61" t="str">
        <f t="shared" si="181"/>
        <v/>
      </c>
      <c r="K1615" s="61" t="str">
        <f t="shared" si="182"/>
        <v/>
      </c>
      <c r="L1615" s="61" t="str">
        <f t="shared" si="183"/>
        <v/>
      </c>
      <c r="M1615" s="63" t="str">
        <f t="shared" si="184"/>
        <v/>
      </c>
      <c r="N1615" s="64"/>
    </row>
    <row r="1616" spans="1:14" x14ac:dyDescent="0.3">
      <c r="A1616" s="58" t="str">
        <f>IF([1]weekly_demand!A1617="","",[1]weekly_demand!A1617)</f>
        <v/>
      </c>
      <c r="B1616" s="59" t="str">
        <f>IF($A1616="","",[1]weekly_demand!F1617)</f>
        <v/>
      </c>
      <c r="C1616" s="60" t="str">
        <f>IF($A1616="","",[1]weekly_demand!H1617)</f>
        <v/>
      </c>
      <c r="D1616" s="61" t="str">
        <f>IF($A1616="","",IF(SUMIFS([1]Fixture_Capacity_Input!$C:$C,[1]Fixture_Capacity_Input!$A:$A,$B1616,[1]Fixture_Capacity_Input!$B:$B,$C1616)&gt;0,SUMIFS([1]Fixture_Capacity_Input!$C:$C,[1]Fixture_Capacity_Input!$A:$A,$B1616,[1]Fixture_Capacity_Input!$B:$B,$C1616),[1]weekly_demand!G1617))</f>
        <v/>
      </c>
      <c r="E1616" s="62" t="str">
        <f>IF($A1616="","",[1]weekly_demand!I1617)</f>
        <v/>
      </c>
      <c r="F1616" s="61" t="str">
        <f>IF($A1616="","",IF($A1616&lt;&gt;$A1615,IFERROR(INDEX([1]FG_Begin_Inventory!$B:$B,MATCH($A1616,[1]FG_Begin_Inventory!$A:$A,0)),0),J1615))</f>
        <v/>
      </c>
      <c r="G1616" s="61" t="str">
        <f t="shared" si="178"/>
        <v/>
      </c>
      <c r="H1616" s="61" t="str">
        <f t="shared" si="179"/>
        <v/>
      </c>
      <c r="I1616" s="62" t="str">
        <f t="shared" si="180"/>
        <v/>
      </c>
      <c r="J1616" s="61" t="str">
        <f t="shared" si="181"/>
        <v/>
      </c>
      <c r="K1616" s="61" t="str">
        <f t="shared" si="182"/>
        <v/>
      </c>
      <c r="L1616" s="61" t="str">
        <f t="shared" si="183"/>
        <v/>
      </c>
      <c r="M1616" s="63" t="str">
        <f t="shared" si="184"/>
        <v/>
      </c>
      <c r="N1616" s="64"/>
    </row>
    <row r="1617" spans="1:14" x14ac:dyDescent="0.3">
      <c r="A1617" s="58" t="str">
        <f>IF([1]weekly_demand!A1618="","",[1]weekly_demand!A1618)</f>
        <v/>
      </c>
      <c r="B1617" s="59" t="str">
        <f>IF($A1617="","",[1]weekly_demand!F1618)</f>
        <v/>
      </c>
      <c r="C1617" s="60" t="str">
        <f>IF($A1617="","",[1]weekly_demand!H1618)</f>
        <v/>
      </c>
      <c r="D1617" s="61" t="str">
        <f>IF($A1617="","",IF(SUMIFS([1]Fixture_Capacity_Input!$C:$C,[1]Fixture_Capacity_Input!$A:$A,$B1617,[1]Fixture_Capacity_Input!$B:$B,$C1617)&gt;0,SUMIFS([1]Fixture_Capacity_Input!$C:$C,[1]Fixture_Capacity_Input!$A:$A,$B1617,[1]Fixture_Capacity_Input!$B:$B,$C1617),[1]weekly_demand!G1618))</f>
        <v/>
      </c>
      <c r="E1617" s="62" t="str">
        <f>IF($A1617="","",[1]weekly_demand!I1618)</f>
        <v/>
      </c>
      <c r="F1617" s="61" t="str">
        <f>IF($A1617="","",IF($A1617&lt;&gt;$A1616,IFERROR(INDEX([1]FG_Begin_Inventory!$B:$B,MATCH($A1617,[1]FG_Begin_Inventory!$A:$A,0)),0),J1616))</f>
        <v/>
      </c>
      <c r="G1617" s="61" t="str">
        <f t="shared" si="178"/>
        <v/>
      </c>
      <c r="H1617" s="61" t="str">
        <f t="shared" si="179"/>
        <v/>
      </c>
      <c r="I1617" s="62" t="str">
        <f t="shared" si="180"/>
        <v/>
      </c>
      <c r="J1617" s="61" t="str">
        <f t="shared" si="181"/>
        <v/>
      </c>
      <c r="K1617" s="61" t="str">
        <f t="shared" si="182"/>
        <v/>
      </c>
      <c r="L1617" s="61" t="str">
        <f t="shared" si="183"/>
        <v/>
      </c>
      <c r="M1617" s="63" t="str">
        <f t="shared" si="184"/>
        <v/>
      </c>
      <c r="N1617" s="64"/>
    </row>
    <row r="1618" spans="1:14" x14ac:dyDescent="0.3">
      <c r="A1618" s="58" t="str">
        <f>IF([1]weekly_demand!A1619="","",[1]weekly_demand!A1619)</f>
        <v/>
      </c>
      <c r="B1618" s="59" t="str">
        <f>IF($A1618="","",[1]weekly_demand!F1619)</f>
        <v/>
      </c>
      <c r="C1618" s="60" t="str">
        <f>IF($A1618="","",[1]weekly_demand!H1619)</f>
        <v/>
      </c>
      <c r="D1618" s="61" t="str">
        <f>IF($A1618="","",IF(SUMIFS([1]Fixture_Capacity_Input!$C:$C,[1]Fixture_Capacity_Input!$A:$A,$B1618,[1]Fixture_Capacity_Input!$B:$B,$C1618)&gt;0,SUMIFS([1]Fixture_Capacity_Input!$C:$C,[1]Fixture_Capacity_Input!$A:$A,$B1618,[1]Fixture_Capacity_Input!$B:$B,$C1618),[1]weekly_demand!G1619))</f>
        <v/>
      </c>
      <c r="E1618" s="62" t="str">
        <f>IF($A1618="","",[1]weekly_demand!I1619)</f>
        <v/>
      </c>
      <c r="F1618" s="61" t="str">
        <f>IF($A1618="","",IF($A1618&lt;&gt;$A1617,IFERROR(INDEX([1]FG_Begin_Inventory!$B:$B,MATCH($A1618,[1]FG_Begin_Inventory!$A:$A,0)),0),J1617))</f>
        <v/>
      </c>
      <c r="G1618" s="61" t="str">
        <f t="shared" si="178"/>
        <v/>
      </c>
      <c r="H1618" s="61" t="str">
        <f t="shared" si="179"/>
        <v/>
      </c>
      <c r="I1618" s="62" t="str">
        <f t="shared" si="180"/>
        <v/>
      </c>
      <c r="J1618" s="61" t="str">
        <f t="shared" si="181"/>
        <v/>
      </c>
      <c r="K1618" s="61" t="str">
        <f t="shared" si="182"/>
        <v/>
      </c>
      <c r="L1618" s="61" t="str">
        <f t="shared" si="183"/>
        <v/>
      </c>
      <c r="M1618" s="63" t="str">
        <f t="shared" si="184"/>
        <v/>
      </c>
      <c r="N1618" s="64"/>
    </row>
    <row r="1619" spans="1:14" x14ac:dyDescent="0.3">
      <c r="A1619" s="58" t="str">
        <f>IF([1]weekly_demand!A1620="","",[1]weekly_demand!A1620)</f>
        <v/>
      </c>
      <c r="B1619" s="59" t="str">
        <f>IF($A1619="","",[1]weekly_demand!F1620)</f>
        <v/>
      </c>
      <c r="C1619" s="60" t="str">
        <f>IF($A1619="","",[1]weekly_demand!H1620)</f>
        <v/>
      </c>
      <c r="D1619" s="61" t="str">
        <f>IF($A1619="","",IF(SUMIFS([1]Fixture_Capacity_Input!$C:$C,[1]Fixture_Capacity_Input!$A:$A,$B1619,[1]Fixture_Capacity_Input!$B:$B,$C1619)&gt;0,SUMIFS([1]Fixture_Capacity_Input!$C:$C,[1]Fixture_Capacity_Input!$A:$A,$B1619,[1]Fixture_Capacity_Input!$B:$B,$C1619),[1]weekly_demand!G1620))</f>
        <v/>
      </c>
      <c r="E1619" s="62" t="str">
        <f>IF($A1619="","",[1]weekly_demand!I1620)</f>
        <v/>
      </c>
      <c r="F1619" s="61" t="str">
        <f>IF($A1619="","",IF($A1619&lt;&gt;$A1618,IFERROR(INDEX([1]FG_Begin_Inventory!$B:$B,MATCH($A1619,[1]FG_Begin_Inventory!$A:$A,0)),0),J1618))</f>
        <v/>
      </c>
      <c r="G1619" s="61" t="str">
        <f t="shared" si="178"/>
        <v/>
      </c>
      <c r="H1619" s="61" t="str">
        <f t="shared" si="179"/>
        <v/>
      </c>
      <c r="I1619" s="62" t="str">
        <f t="shared" si="180"/>
        <v/>
      </c>
      <c r="J1619" s="61" t="str">
        <f t="shared" si="181"/>
        <v/>
      </c>
      <c r="K1619" s="61" t="str">
        <f t="shared" si="182"/>
        <v/>
      </c>
      <c r="L1619" s="61" t="str">
        <f t="shared" si="183"/>
        <v/>
      </c>
      <c r="M1619" s="63" t="str">
        <f t="shared" si="184"/>
        <v/>
      </c>
      <c r="N1619" s="64"/>
    </row>
    <row r="1620" spans="1:14" x14ac:dyDescent="0.3">
      <c r="A1620" s="58" t="str">
        <f>IF([1]weekly_demand!A1621="","",[1]weekly_demand!A1621)</f>
        <v/>
      </c>
      <c r="B1620" s="59" t="str">
        <f>IF($A1620="","",[1]weekly_demand!F1621)</f>
        <v/>
      </c>
      <c r="C1620" s="60" t="str">
        <f>IF($A1620="","",[1]weekly_demand!H1621)</f>
        <v/>
      </c>
      <c r="D1620" s="61" t="str">
        <f>IF($A1620="","",IF(SUMIFS([1]Fixture_Capacity_Input!$C:$C,[1]Fixture_Capacity_Input!$A:$A,$B1620,[1]Fixture_Capacity_Input!$B:$B,$C1620)&gt;0,SUMIFS([1]Fixture_Capacity_Input!$C:$C,[1]Fixture_Capacity_Input!$A:$A,$B1620,[1]Fixture_Capacity_Input!$B:$B,$C1620),[1]weekly_demand!G1621))</f>
        <v/>
      </c>
      <c r="E1620" s="62" t="str">
        <f>IF($A1620="","",[1]weekly_demand!I1621)</f>
        <v/>
      </c>
      <c r="F1620" s="61" t="str">
        <f>IF($A1620="","",IF($A1620&lt;&gt;$A1619,IFERROR(INDEX([1]FG_Begin_Inventory!$B:$B,MATCH($A1620,[1]FG_Begin_Inventory!$A:$A,0)),0),J1619))</f>
        <v/>
      </c>
      <c r="G1620" s="61" t="str">
        <f t="shared" si="178"/>
        <v/>
      </c>
      <c r="H1620" s="61" t="str">
        <f t="shared" si="179"/>
        <v/>
      </c>
      <c r="I1620" s="62" t="str">
        <f t="shared" si="180"/>
        <v/>
      </c>
      <c r="J1620" s="61" t="str">
        <f t="shared" si="181"/>
        <v/>
      </c>
      <c r="K1620" s="61" t="str">
        <f t="shared" si="182"/>
        <v/>
      </c>
      <c r="L1620" s="61" t="str">
        <f t="shared" si="183"/>
        <v/>
      </c>
      <c r="M1620" s="63" t="str">
        <f t="shared" si="184"/>
        <v/>
      </c>
      <c r="N1620" s="64"/>
    </row>
    <row r="1621" spans="1:14" x14ac:dyDescent="0.3">
      <c r="A1621" s="58" t="str">
        <f>IF([1]weekly_demand!A1622="","",[1]weekly_demand!A1622)</f>
        <v/>
      </c>
      <c r="B1621" s="59" t="str">
        <f>IF($A1621="","",[1]weekly_demand!F1622)</f>
        <v/>
      </c>
      <c r="C1621" s="60" t="str">
        <f>IF($A1621="","",[1]weekly_demand!H1622)</f>
        <v/>
      </c>
      <c r="D1621" s="61" t="str">
        <f>IF($A1621="","",IF(SUMIFS([1]Fixture_Capacity_Input!$C:$C,[1]Fixture_Capacity_Input!$A:$A,$B1621,[1]Fixture_Capacity_Input!$B:$B,$C1621)&gt;0,SUMIFS([1]Fixture_Capacity_Input!$C:$C,[1]Fixture_Capacity_Input!$A:$A,$B1621,[1]Fixture_Capacity_Input!$B:$B,$C1621),[1]weekly_demand!G1622))</f>
        <v/>
      </c>
      <c r="E1621" s="62" t="str">
        <f>IF($A1621="","",[1]weekly_demand!I1622)</f>
        <v/>
      </c>
      <c r="F1621" s="61" t="str">
        <f>IF($A1621="","",IF($A1621&lt;&gt;$A1620,IFERROR(INDEX([1]FG_Begin_Inventory!$B:$B,MATCH($A1621,[1]FG_Begin_Inventory!$A:$A,0)),0),J1620))</f>
        <v/>
      </c>
      <c r="G1621" s="61" t="str">
        <f t="shared" si="178"/>
        <v/>
      </c>
      <c r="H1621" s="61" t="str">
        <f t="shared" si="179"/>
        <v/>
      </c>
      <c r="I1621" s="62" t="str">
        <f t="shared" si="180"/>
        <v/>
      </c>
      <c r="J1621" s="61" t="str">
        <f t="shared" si="181"/>
        <v/>
      </c>
      <c r="K1621" s="61" t="str">
        <f t="shared" si="182"/>
        <v/>
      </c>
      <c r="L1621" s="61" t="str">
        <f t="shared" si="183"/>
        <v/>
      </c>
      <c r="M1621" s="63" t="str">
        <f t="shared" si="184"/>
        <v/>
      </c>
      <c r="N1621" s="64"/>
    </row>
    <row r="1622" spans="1:14" x14ac:dyDescent="0.3">
      <c r="A1622" s="58" t="str">
        <f>IF([1]weekly_demand!A1623="","",[1]weekly_demand!A1623)</f>
        <v/>
      </c>
      <c r="B1622" s="59" t="str">
        <f>IF($A1622="","",[1]weekly_demand!F1623)</f>
        <v/>
      </c>
      <c r="C1622" s="60" t="str">
        <f>IF($A1622="","",[1]weekly_demand!H1623)</f>
        <v/>
      </c>
      <c r="D1622" s="61" t="str">
        <f>IF($A1622="","",IF(SUMIFS([1]Fixture_Capacity_Input!$C:$C,[1]Fixture_Capacity_Input!$A:$A,$B1622,[1]Fixture_Capacity_Input!$B:$B,$C1622)&gt;0,SUMIFS([1]Fixture_Capacity_Input!$C:$C,[1]Fixture_Capacity_Input!$A:$A,$B1622,[1]Fixture_Capacity_Input!$B:$B,$C1622),[1]weekly_demand!G1623))</f>
        <v/>
      </c>
      <c r="E1622" s="62" t="str">
        <f>IF($A1622="","",[1]weekly_demand!I1623)</f>
        <v/>
      </c>
      <c r="F1622" s="61" t="str">
        <f>IF($A1622="","",IF($A1622&lt;&gt;$A1621,IFERROR(INDEX([1]FG_Begin_Inventory!$B:$B,MATCH($A1622,[1]FG_Begin_Inventory!$A:$A,0)),0),J1621))</f>
        <v/>
      </c>
      <c r="G1622" s="61" t="str">
        <f t="shared" si="178"/>
        <v/>
      </c>
      <c r="H1622" s="61" t="str">
        <f t="shared" si="179"/>
        <v/>
      </c>
      <c r="I1622" s="62" t="str">
        <f t="shared" si="180"/>
        <v/>
      </c>
      <c r="J1622" s="61" t="str">
        <f t="shared" si="181"/>
        <v/>
      </c>
      <c r="K1622" s="61" t="str">
        <f t="shared" si="182"/>
        <v/>
      </c>
      <c r="L1622" s="61" t="str">
        <f t="shared" si="183"/>
        <v/>
      </c>
      <c r="M1622" s="63" t="str">
        <f t="shared" si="184"/>
        <v/>
      </c>
      <c r="N1622" s="64"/>
    </row>
    <row r="1623" spans="1:14" x14ac:dyDescent="0.3">
      <c r="A1623" s="58" t="str">
        <f>IF([1]weekly_demand!A1624="","",[1]weekly_demand!A1624)</f>
        <v/>
      </c>
      <c r="B1623" s="59" t="str">
        <f>IF($A1623="","",[1]weekly_demand!F1624)</f>
        <v/>
      </c>
      <c r="C1623" s="60" t="str">
        <f>IF($A1623="","",[1]weekly_demand!H1624)</f>
        <v/>
      </c>
      <c r="D1623" s="61" t="str">
        <f>IF($A1623="","",IF(SUMIFS([1]Fixture_Capacity_Input!$C:$C,[1]Fixture_Capacity_Input!$A:$A,$B1623,[1]Fixture_Capacity_Input!$B:$B,$C1623)&gt;0,SUMIFS([1]Fixture_Capacity_Input!$C:$C,[1]Fixture_Capacity_Input!$A:$A,$B1623,[1]Fixture_Capacity_Input!$B:$B,$C1623),[1]weekly_demand!G1624))</f>
        <v/>
      </c>
      <c r="E1623" s="62" t="str">
        <f>IF($A1623="","",[1]weekly_demand!I1624)</f>
        <v/>
      </c>
      <c r="F1623" s="61" t="str">
        <f>IF($A1623="","",IF($A1623&lt;&gt;$A1622,IFERROR(INDEX([1]FG_Begin_Inventory!$B:$B,MATCH($A1623,[1]FG_Begin_Inventory!$A:$A,0)),0),J1622))</f>
        <v/>
      </c>
      <c r="G1623" s="61" t="str">
        <f t="shared" si="178"/>
        <v/>
      </c>
      <c r="H1623" s="61" t="str">
        <f t="shared" si="179"/>
        <v/>
      </c>
      <c r="I1623" s="62" t="str">
        <f t="shared" si="180"/>
        <v/>
      </c>
      <c r="J1623" s="61" t="str">
        <f t="shared" si="181"/>
        <v/>
      </c>
      <c r="K1623" s="61" t="str">
        <f t="shared" si="182"/>
        <v/>
      </c>
      <c r="L1623" s="61" t="str">
        <f t="shared" si="183"/>
        <v/>
      </c>
      <c r="M1623" s="63" t="str">
        <f t="shared" si="184"/>
        <v/>
      </c>
      <c r="N1623" s="64"/>
    </row>
    <row r="1624" spans="1:14" x14ac:dyDescent="0.3">
      <c r="A1624" s="58" t="str">
        <f>IF([1]weekly_demand!A1625="","",[1]weekly_demand!A1625)</f>
        <v/>
      </c>
      <c r="B1624" s="59" t="str">
        <f>IF($A1624="","",[1]weekly_demand!F1625)</f>
        <v/>
      </c>
      <c r="C1624" s="60" t="str">
        <f>IF($A1624="","",[1]weekly_demand!H1625)</f>
        <v/>
      </c>
      <c r="D1624" s="61" t="str">
        <f>IF($A1624="","",IF(SUMIFS([1]Fixture_Capacity_Input!$C:$C,[1]Fixture_Capacity_Input!$A:$A,$B1624,[1]Fixture_Capacity_Input!$B:$B,$C1624)&gt;0,SUMIFS([1]Fixture_Capacity_Input!$C:$C,[1]Fixture_Capacity_Input!$A:$A,$B1624,[1]Fixture_Capacity_Input!$B:$B,$C1624),[1]weekly_demand!G1625))</f>
        <v/>
      </c>
      <c r="E1624" s="62" t="str">
        <f>IF($A1624="","",[1]weekly_demand!I1625)</f>
        <v/>
      </c>
      <c r="F1624" s="61" t="str">
        <f>IF($A1624="","",IF($A1624&lt;&gt;$A1623,IFERROR(INDEX([1]FG_Begin_Inventory!$B:$B,MATCH($A1624,[1]FG_Begin_Inventory!$A:$A,0)),0),J1623))</f>
        <v/>
      </c>
      <c r="G1624" s="61" t="str">
        <f t="shared" si="178"/>
        <v/>
      </c>
      <c r="H1624" s="61" t="str">
        <f t="shared" si="179"/>
        <v/>
      </c>
      <c r="I1624" s="62" t="str">
        <f t="shared" si="180"/>
        <v/>
      </c>
      <c r="J1624" s="61" t="str">
        <f t="shared" si="181"/>
        <v/>
      </c>
      <c r="K1624" s="61" t="str">
        <f t="shared" si="182"/>
        <v/>
      </c>
      <c r="L1624" s="61" t="str">
        <f t="shared" si="183"/>
        <v/>
      </c>
      <c r="M1624" s="63" t="str">
        <f t="shared" si="184"/>
        <v/>
      </c>
      <c r="N1624" s="64"/>
    </row>
    <row r="1625" spans="1:14" x14ac:dyDescent="0.3">
      <c r="A1625" s="58" t="str">
        <f>IF([1]weekly_demand!A1626="","",[1]weekly_demand!A1626)</f>
        <v/>
      </c>
      <c r="B1625" s="59" t="str">
        <f>IF($A1625="","",[1]weekly_demand!F1626)</f>
        <v/>
      </c>
      <c r="C1625" s="60" t="str">
        <f>IF($A1625="","",[1]weekly_demand!H1626)</f>
        <v/>
      </c>
      <c r="D1625" s="61" t="str">
        <f>IF($A1625="","",IF(SUMIFS([1]Fixture_Capacity_Input!$C:$C,[1]Fixture_Capacity_Input!$A:$A,$B1625,[1]Fixture_Capacity_Input!$B:$B,$C1625)&gt;0,SUMIFS([1]Fixture_Capacity_Input!$C:$C,[1]Fixture_Capacity_Input!$A:$A,$B1625,[1]Fixture_Capacity_Input!$B:$B,$C1625),[1]weekly_demand!G1626))</f>
        <v/>
      </c>
      <c r="E1625" s="62" t="str">
        <f>IF($A1625="","",[1]weekly_demand!I1626)</f>
        <v/>
      </c>
      <c r="F1625" s="61" t="str">
        <f>IF($A1625="","",IF($A1625&lt;&gt;$A1624,IFERROR(INDEX([1]FG_Begin_Inventory!$B:$B,MATCH($A1625,[1]FG_Begin_Inventory!$A:$A,0)),0),J1624))</f>
        <v/>
      </c>
      <c r="G1625" s="61" t="str">
        <f t="shared" si="178"/>
        <v/>
      </c>
      <c r="H1625" s="61" t="str">
        <f t="shared" si="179"/>
        <v/>
      </c>
      <c r="I1625" s="62" t="str">
        <f t="shared" si="180"/>
        <v/>
      </c>
      <c r="J1625" s="61" t="str">
        <f t="shared" si="181"/>
        <v/>
      </c>
      <c r="K1625" s="61" t="str">
        <f t="shared" si="182"/>
        <v/>
      </c>
      <c r="L1625" s="61" t="str">
        <f t="shared" si="183"/>
        <v/>
      </c>
      <c r="M1625" s="63" t="str">
        <f t="shared" si="184"/>
        <v/>
      </c>
      <c r="N1625" s="64"/>
    </row>
    <row r="1626" spans="1:14" x14ac:dyDescent="0.3">
      <c r="A1626" s="58" t="str">
        <f>IF([1]weekly_demand!A1627="","",[1]weekly_demand!A1627)</f>
        <v/>
      </c>
      <c r="B1626" s="59" t="str">
        <f>IF($A1626="","",[1]weekly_demand!F1627)</f>
        <v/>
      </c>
      <c r="C1626" s="60" t="str">
        <f>IF($A1626="","",[1]weekly_demand!H1627)</f>
        <v/>
      </c>
      <c r="D1626" s="61" t="str">
        <f>IF($A1626="","",IF(SUMIFS([1]Fixture_Capacity_Input!$C:$C,[1]Fixture_Capacity_Input!$A:$A,$B1626,[1]Fixture_Capacity_Input!$B:$B,$C1626)&gt;0,SUMIFS([1]Fixture_Capacity_Input!$C:$C,[1]Fixture_Capacity_Input!$A:$A,$B1626,[1]Fixture_Capacity_Input!$B:$B,$C1626),[1]weekly_demand!G1627))</f>
        <v/>
      </c>
      <c r="E1626" s="62" t="str">
        <f>IF($A1626="","",[1]weekly_demand!I1627)</f>
        <v/>
      </c>
      <c r="F1626" s="61" t="str">
        <f>IF($A1626="","",IF($A1626&lt;&gt;$A1625,IFERROR(INDEX([1]FG_Begin_Inventory!$B:$B,MATCH($A1626,[1]FG_Begin_Inventory!$A:$A,0)),0),J1625))</f>
        <v/>
      </c>
      <c r="G1626" s="61" t="str">
        <f t="shared" si="178"/>
        <v/>
      </c>
      <c r="H1626" s="61" t="str">
        <f t="shared" si="179"/>
        <v/>
      </c>
      <c r="I1626" s="62" t="str">
        <f t="shared" si="180"/>
        <v/>
      </c>
      <c r="J1626" s="61" t="str">
        <f t="shared" si="181"/>
        <v/>
      </c>
      <c r="K1626" s="61" t="str">
        <f t="shared" si="182"/>
        <v/>
      </c>
      <c r="L1626" s="61" t="str">
        <f t="shared" si="183"/>
        <v/>
      </c>
      <c r="M1626" s="63" t="str">
        <f t="shared" si="184"/>
        <v/>
      </c>
      <c r="N1626" s="64"/>
    </row>
    <row r="1627" spans="1:14" x14ac:dyDescent="0.3">
      <c r="A1627" s="58" t="str">
        <f>IF([1]weekly_demand!A1628="","",[1]weekly_demand!A1628)</f>
        <v/>
      </c>
      <c r="B1627" s="59" t="str">
        <f>IF($A1627="","",[1]weekly_demand!F1628)</f>
        <v/>
      </c>
      <c r="C1627" s="60" t="str">
        <f>IF($A1627="","",[1]weekly_demand!H1628)</f>
        <v/>
      </c>
      <c r="D1627" s="61" t="str">
        <f>IF($A1627="","",IF(SUMIFS([1]Fixture_Capacity_Input!$C:$C,[1]Fixture_Capacity_Input!$A:$A,$B1627,[1]Fixture_Capacity_Input!$B:$B,$C1627)&gt;0,SUMIFS([1]Fixture_Capacity_Input!$C:$C,[1]Fixture_Capacity_Input!$A:$A,$B1627,[1]Fixture_Capacity_Input!$B:$B,$C1627),[1]weekly_demand!G1628))</f>
        <v/>
      </c>
      <c r="E1627" s="62" t="str">
        <f>IF($A1627="","",[1]weekly_demand!I1628)</f>
        <v/>
      </c>
      <c r="F1627" s="61" t="str">
        <f>IF($A1627="","",IF($A1627&lt;&gt;$A1626,IFERROR(INDEX([1]FG_Begin_Inventory!$B:$B,MATCH($A1627,[1]FG_Begin_Inventory!$A:$A,0)),0),J1626))</f>
        <v/>
      </c>
      <c r="G1627" s="61" t="str">
        <f t="shared" si="178"/>
        <v/>
      </c>
      <c r="H1627" s="61" t="str">
        <f t="shared" si="179"/>
        <v/>
      </c>
      <c r="I1627" s="62" t="str">
        <f t="shared" si="180"/>
        <v/>
      </c>
      <c r="J1627" s="61" t="str">
        <f t="shared" si="181"/>
        <v/>
      </c>
      <c r="K1627" s="61" t="str">
        <f t="shared" si="182"/>
        <v/>
      </c>
      <c r="L1627" s="61" t="str">
        <f t="shared" si="183"/>
        <v/>
      </c>
      <c r="M1627" s="63" t="str">
        <f t="shared" si="184"/>
        <v/>
      </c>
      <c r="N1627" s="64"/>
    </row>
    <row r="1628" spans="1:14" x14ac:dyDescent="0.3">
      <c r="A1628" s="58" t="str">
        <f>IF([1]weekly_demand!A1629="","",[1]weekly_demand!A1629)</f>
        <v/>
      </c>
      <c r="B1628" s="59" t="str">
        <f>IF($A1628="","",[1]weekly_demand!F1629)</f>
        <v/>
      </c>
      <c r="C1628" s="60" t="str">
        <f>IF($A1628="","",[1]weekly_demand!H1629)</f>
        <v/>
      </c>
      <c r="D1628" s="61" t="str">
        <f>IF($A1628="","",IF(SUMIFS([1]Fixture_Capacity_Input!$C:$C,[1]Fixture_Capacity_Input!$A:$A,$B1628,[1]Fixture_Capacity_Input!$B:$B,$C1628)&gt;0,SUMIFS([1]Fixture_Capacity_Input!$C:$C,[1]Fixture_Capacity_Input!$A:$A,$B1628,[1]Fixture_Capacity_Input!$B:$B,$C1628),[1]weekly_demand!G1629))</f>
        <v/>
      </c>
      <c r="E1628" s="62" t="str">
        <f>IF($A1628="","",[1]weekly_demand!I1629)</f>
        <v/>
      </c>
      <c r="F1628" s="61" t="str">
        <f>IF($A1628="","",IF($A1628&lt;&gt;$A1627,IFERROR(INDEX([1]FG_Begin_Inventory!$B:$B,MATCH($A1628,[1]FG_Begin_Inventory!$A:$A,0)),0),J1627))</f>
        <v/>
      </c>
      <c r="G1628" s="61" t="str">
        <f t="shared" si="178"/>
        <v/>
      </c>
      <c r="H1628" s="61" t="str">
        <f t="shared" si="179"/>
        <v/>
      </c>
      <c r="I1628" s="62" t="str">
        <f t="shared" si="180"/>
        <v/>
      </c>
      <c r="J1628" s="61" t="str">
        <f t="shared" si="181"/>
        <v/>
      </c>
      <c r="K1628" s="61" t="str">
        <f t="shared" si="182"/>
        <v/>
      </c>
      <c r="L1628" s="61" t="str">
        <f t="shared" si="183"/>
        <v/>
      </c>
      <c r="M1628" s="63" t="str">
        <f t="shared" si="184"/>
        <v/>
      </c>
      <c r="N1628" s="64"/>
    </row>
    <row r="1629" spans="1:14" x14ac:dyDescent="0.3">
      <c r="A1629" s="58" t="str">
        <f>IF([1]weekly_demand!A1630="","",[1]weekly_demand!A1630)</f>
        <v/>
      </c>
      <c r="B1629" s="59" t="str">
        <f>IF($A1629="","",[1]weekly_demand!F1630)</f>
        <v/>
      </c>
      <c r="C1629" s="60" t="str">
        <f>IF($A1629="","",[1]weekly_demand!H1630)</f>
        <v/>
      </c>
      <c r="D1629" s="61" t="str">
        <f>IF($A1629="","",IF(SUMIFS([1]Fixture_Capacity_Input!$C:$C,[1]Fixture_Capacity_Input!$A:$A,$B1629,[1]Fixture_Capacity_Input!$B:$B,$C1629)&gt;0,SUMIFS([1]Fixture_Capacity_Input!$C:$C,[1]Fixture_Capacity_Input!$A:$A,$B1629,[1]Fixture_Capacity_Input!$B:$B,$C1629),[1]weekly_demand!G1630))</f>
        <v/>
      </c>
      <c r="E1629" s="62" t="str">
        <f>IF($A1629="","",[1]weekly_demand!I1630)</f>
        <v/>
      </c>
      <c r="F1629" s="61" t="str">
        <f>IF($A1629="","",IF($A1629&lt;&gt;$A1628,IFERROR(INDEX([1]FG_Begin_Inventory!$B:$B,MATCH($A1629,[1]FG_Begin_Inventory!$A:$A,0)),0),J1628))</f>
        <v/>
      </c>
      <c r="G1629" s="61" t="str">
        <f t="shared" si="178"/>
        <v/>
      </c>
      <c r="H1629" s="61" t="str">
        <f t="shared" si="179"/>
        <v/>
      </c>
      <c r="I1629" s="62" t="str">
        <f t="shared" si="180"/>
        <v/>
      </c>
      <c r="J1629" s="61" t="str">
        <f t="shared" si="181"/>
        <v/>
      </c>
      <c r="K1629" s="61" t="str">
        <f t="shared" si="182"/>
        <v/>
      </c>
      <c r="L1629" s="61" t="str">
        <f t="shared" si="183"/>
        <v/>
      </c>
      <c r="M1629" s="63" t="str">
        <f t="shared" si="184"/>
        <v/>
      </c>
      <c r="N1629" s="64"/>
    </row>
    <row r="1630" spans="1:14" x14ac:dyDescent="0.3">
      <c r="A1630" s="58" t="str">
        <f>IF([1]weekly_demand!A1631="","",[1]weekly_demand!A1631)</f>
        <v/>
      </c>
      <c r="B1630" s="59" t="str">
        <f>IF($A1630="","",[1]weekly_demand!F1631)</f>
        <v/>
      </c>
      <c r="C1630" s="60" t="str">
        <f>IF($A1630="","",[1]weekly_demand!H1631)</f>
        <v/>
      </c>
      <c r="D1630" s="61" t="str">
        <f>IF($A1630="","",IF(SUMIFS([1]Fixture_Capacity_Input!$C:$C,[1]Fixture_Capacity_Input!$A:$A,$B1630,[1]Fixture_Capacity_Input!$B:$B,$C1630)&gt;0,SUMIFS([1]Fixture_Capacity_Input!$C:$C,[1]Fixture_Capacity_Input!$A:$A,$B1630,[1]Fixture_Capacity_Input!$B:$B,$C1630),[1]weekly_demand!G1631))</f>
        <v/>
      </c>
      <c r="E1630" s="62" t="str">
        <f>IF($A1630="","",[1]weekly_demand!I1631)</f>
        <v/>
      </c>
      <c r="F1630" s="61" t="str">
        <f>IF($A1630="","",IF($A1630&lt;&gt;$A1629,IFERROR(INDEX([1]FG_Begin_Inventory!$B:$B,MATCH($A1630,[1]FG_Begin_Inventory!$A:$A,0)),0),J1629))</f>
        <v/>
      </c>
      <c r="G1630" s="61" t="str">
        <f t="shared" si="178"/>
        <v/>
      </c>
      <c r="H1630" s="61" t="str">
        <f t="shared" si="179"/>
        <v/>
      </c>
      <c r="I1630" s="62" t="str">
        <f t="shared" si="180"/>
        <v/>
      </c>
      <c r="J1630" s="61" t="str">
        <f t="shared" si="181"/>
        <v/>
      </c>
      <c r="K1630" s="61" t="str">
        <f t="shared" si="182"/>
        <v/>
      </c>
      <c r="L1630" s="61" t="str">
        <f t="shared" si="183"/>
        <v/>
      </c>
      <c r="M1630" s="63" t="str">
        <f t="shared" si="184"/>
        <v/>
      </c>
      <c r="N1630" s="64"/>
    </row>
    <row r="1631" spans="1:14" x14ac:dyDescent="0.3">
      <c r="A1631" s="58" t="str">
        <f>IF([1]weekly_demand!A1632="","",[1]weekly_demand!A1632)</f>
        <v/>
      </c>
      <c r="B1631" s="59" t="str">
        <f>IF($A1631="","",[1]weekly_demand!F1632)</f>
        <v/>
      </c>
      <c r="C1631" s="60" t="str">
        <f>IF($A1631="","",[1]weekly_demand!H1632)</f>
        <v/>
      </c>
      <c r="D1631" s="61" t="str">
        <f>IF($A1631="","",IF(SUMIFS([1]Fixture_Capacity_Input!$C:$C,[1]Fixture_Capacity_Input!$A:$A,$B1631,[1]Fixture_Capacity_Input!$B:$B,$C1631)&gt;0,SUMIFS([1]Fixture_Capacity_Input!$C:$C,[1]Fixture_Capacity_Input!$A:$A,$B1631,[1]Fixture_Capacity_Input!$B:$B,$C1631),[1]weekly_demand!G1632))</f>
        <v/>
      </c>
      <c r="E1631" s="62" t="str">
        <f>IF($A1631="","",[1]weekly_demand!I1632)</f>
        <v/>
      </c>
      <c r="F1631" s="61" t="str">
        <f>IF($A1631="","",IF($A1631&lt;&gt;$A1630,IFERROR(INDEX([1]FG_Begin_Inventory!$B:$B,MATCH($A1631,[1]FG_Begin_Inventory!$A:$A,0)),0),J1630))</f>
        <v/>
      </c>
      <c r="G1631" s="61" t="str">
        <f t="shared" si="178"/>
        <v/>
      </c>
      <c r="H1631" s="61" t="str">
        <f t="shared" si="179"/>
        <v/>
      </c>
      <c r="I1631" s="62" t="str">
        <f t="shared" si="180"/>
        <v/>
      </c>
      <c r="J1631" s="61" t="str">
        <f t="shared" si="181"/>
        <v/>
      </c>
      <c r="K1631" s="61" t="str">
        <f t="shared" si="182"/>
        <v/>
      </c>
      <c r="L1631" s="61" t="str">
        <f t="shared" si="183"/>
        <v/>
      </c>
      <c r="M1631" s="63" t="str">
        <f t="shared" si="184"/>
        <v/>
      </c>
      <c r="N1631" s="64"/>
    </row>
    <row r="1632" spans="1:14" x14ac:dyDescent="0.3">
      <c r="A1632" s="58" t="str">
        <f>IF([1]weekly_demand!A1633="","",[1]weekly_demand!A1633)</f>
        <v/>
      </c>
      <c r="B1632" s="59" t="str">
        <f>IF($A1632="","",[1]weekly_demand!F1633)</f>
        <v/>
      </c>
      <c r="C1632" s="60" t="str">
        <f>IF($A1632="","",[1]weekly_demand!H1633)</f>
        <v/>
      </c>
      <c r="D1632" s="61" t="str">
        <f>IF($A1632="","",IF(SUMIFS([1]Fixture_Capacity_Input!$C:$C,[1]Fixture_Capacity_Input!$A:$A,$B1632,[1]Fixture_Capacity_Input!$B:$B,$C1632)&gt;0,SUMIFS([1]Fixture_Capacity_Input!$C:$C,[1]Fixture_Capacity_Input!$A:$A,$B1632,[1]Fixture_Capacity_Input!$B:$B,$C1632),[1]weekly_demand!G1633))</f>
        <v/>
      </c>
      <c r="E1632" s="62" t="str">
        <f>IF($A1632="","",[1]weekly_demand!I1633)</f>
        <v/>
      </c>
      <c r="F1632" s="61" t="str">
        <f>IF($A1632="","",IF($A1632&lt;&gt;$A1631,IFERROR(INDEX([1]FG_Begin_Inventory!$B:$B,MATCH($A1632,[1]FG_Begin_Inventory!$A:$A,0)),0),J1631))</f>
        <v/>
      </c>
      <c r="G1632" s="61" t="str">
        <f t="shared" si="178"/>
        <v/>
      </c>
      <c r="H1632" s="61" t="str">
        <f t="shared" si="179"/>
        <v/>
      </c>
      <c r="I1632" s="62" t="str">
        <f t="shared" si="180"/>
        <v/>
      </c>
      <c r="J1632" s="61" t="str">
        <f t="shared" si="181"/>
        <v/>
      </c>
      <c r="K1632" s="61" t="str">
        <f t="shared" si="182"/>
        <v/>
      </c>
      <c r="L1632" s="61" t="str">
        <f t="shared" si="183"/>
        <v/>
      </c>
      <c r="M1632" s="63" t="str">
        <f t="shared" si="184"/>
        <v/>
      </c>
      <c r="N1632" s="64"/>
    </row>
    <row r="1633" spans="1:14" x14ac:dyDescent="0.3">
      <c r="A1633" s="58" t="str">
        <f>IF([1]weekly_demand!A1634="","",[1]weekly_demand!A1634)</f>
        <v/>
      </c>
      <c r="B1633" s="59" t="str">
        <f>IF($A1633="","",[1]weekly_demand!F1634)</f>
        <v/>
      </c>
      <c r="C1633" s="60" t="str">
        <f>IF($A1633="","",[1]weekly_demand!H1634)</f>
        <v/>
      </c>
      <c r="D1633" s="61" t="str">
        <f>IF($A1633="","",IF(SUMIFS([1]Fixture_Capacity_Input!$C:$C,[1]Fixture_Capacity_Input!$A:$A,$B1633,[1]Fixture_Capacity_Input!$B:$B,$C1633)&gt;0,SUMIFS([1]Fixture_Capacity_Input!$C:$C,[1]Fixture_Capacity_Input!$A:$A,$B1633,[1]Fixture_Capacity_Input!$B:$B,$C1633),[1]weekly_demand!G1634))</f>
        <v/>
      </c>
      <c r="E1633" s="62" t="str">
        <f>IF($A1633="","",[1]weekly_demand!I1634)</f>
        <v/>
      </c>
      <c r="F1633" s="61" t="str">
        <f>IF($A1633="","",IF($A1633&lt;&gt;$A1632,IFERROR(INDEX([1]FG_Begin_Inventory!$B:$B,MATCH($A1633,[1]FG_Begin_Inventory!$A:$A,0)),0),J1632))</f>
        <v/>
      </c>
      <c r="G1633" s="61" t="str">
        <f t="shared" si="178"/>
        <v/>
      </c>
      <c r="H1633" s="61" t="str">
        <f t="shared" si="179"/>
        <v/>
      </c>
      <c r="I1633" s="62" t="str">
        <f t="shared" si="180"/>
        <v/>
      </c>
      <c r="J1633" s="61" t="str">
        <f t="shared" si="181"/>
        <v/>
      </c>
      <c r="K1633" s="61" t="str">
        <f t="shared" si="182"/>
        <v/>
      </c>
      <c r="L1633" s="61" t="str">
        <f t="shared" si="183"/>
        <v/>
      </c>
      <c r="M1633" s="63" t="str">
        <f t="shared" si="184"/>
        <v/>
      </c>
      <c r="N1633" s="64"/>
    </row>
    <row r="1634" spans="1:14" x14ac:dyDescent="0.3">
      <c r="A1634" s="58" t="str">
        <f>IF([1]weekly_demand!A1635="","",[1]weekly_demand!A1635)</f>
        <v/>
      </c>
      <c r="B1634" s="59" t="str">
        <f>IF($A1634="","",[1]weekly_demand!F1635)</f>
        <v/>
      </c>
      <c r="C1634" s="60" t="str">
        <f>IF($A1634="","",[1]weekly_demand!H1635)</f>
        <v/>
      </c>
      <c r="D1634" s="61" t="str">
        <f>IF($A1634="","",IF(SUMIFS([1]Fixture_Capacity_Input!$C:$C,[1]Fixture_Capacity_Input!$A:$A,$B1634,[1]Fixture_Capacity_Input!$B:$B,$C1634)&gt;0,SUMIFS([1]Fixture_Capacity_Input!$C:$C,[1]Fixture_Capacity_Input!$A:$A,$B1634,[1]Fixture_Capacity_Input!$B:$B,$C1634),[1]weekly_demand!G1635))</f>
        <v/>
      </c>
      <c r="E1634" s="62" t="str">
        <f>IF($A1634="","",[1]weekly_demand!I1635)</f>
        <v/>
      </c>
      <c r="F1634" s="61" t="str">
        <f>IF($A1634="","",IF($A1634&lt;&gt;$A1633,IFERROR(INDEX([1]FG_Begin_Inventory!$B:$B,MATCH($A1634,[1]FG_Begin_Inventory!$A:$A,0)),0),J1633))</f>
        <v/>
      </c>
      <c r="G1634" s="61" t="str">
        <f t="shared" si="178"/>
        <v/>
      </c>
      <c r="H1634" s="61" t="str">
        <f t="shared" si="179"/>
        <v/>
      </c>
      <c r="I1634" s="62" t="str">
        <f t="shared" si="180"/>
        <v/>
      </c>
      <c r="J1634" s="61" t="str">
        <f t="shared" si="181"/>
        <v/>
      </c>
      <c r="K1634" s="61" t="str">
        <f t="shared" si="182"/>
        <v/>
      </c>
      <c r="L1634" s="61" t="str">
        <f t="shared" si="183"/>
        <v/>
      </c>
      <c r="M1634" s="63" t="str">
        <f t="shared" si="184"/>
        <v/>
      </c>
      <c r="N1634" s="64"/>
    </row>
    <row r="1635" spans="1:14" x14ac:dyDescent="0.3">
      <c r="A1635" s="58" t="str">
        <f>IF([1]weekly_demand!A1636="","",[1]weekly_demand!A1636)</f>
        <v/>
      </c>
      <c r="B1635" s="59" t="str">
        <f>IF($A1635="","",[1]weekly_demand!F1636)</f>
        <v/>
      </c>
      <c r="C1635" s="60" t="str">
        <f>IF($A1635="","",[1]weekly_demand!H1636)</f>
        <v/>
      </c>
      <c r="D1635" s="61" t="str">
        <f>IF($A1635="","",IF(SUMIFS([1]Fixture_Capacity_Input!$C:$C,[1]Fixture_Capacity_Input!$A:$A,$B1635,[1]Fixture_Capacity_Input!$B:$B,$C1635)&gt;0,SUMIFS([1]Fixture_Capacity_Input!$C:$C,[1]Fixture_Capacity_Input!$A:$A,$B1635,[1]Fixture_Capacity_Input!$B:$B,$C1635),[1]weekly_demand!G1636))</f>
        <v/>
      </c>
      <c r="E1635" s="62" t="str">
        <f>IF($A1635="","",[1]weekly_demand!I1636)</f>
        <v/>
      </c>
      <c r="F1635" s="61" t="str">
        <f>IF($A1635="","",IF($A1635&lt;&gt;$A1634,IFERROR(INDEX([1]FG_Begin_Inventory!$B:$B,MATCH($A1635,[1]FG_Begin_Inventory!$A:$A,0)),0),J1634))</f>
        <v/>
      </c>
      <c r="G1635" s="61" t="str">
        <f t="shared" si="178"/>
        <v/>
      </c>
      <c r="H1635" s="61" t="str">
        <f t="shared" si="179"/>
        <v/>
      </c>
      <c r="I1635" s="62" t="str">
        <f t="shared" si="180"/>
        <v/>
      </c>
      <c r="J1635" s="61" t="str">
        <f t="shared" si="181"/>
        <v/>
      </c>
      <c r="K1635" s="61" t="str">
        <f t="shared" si="182"/>
        <v/>
      </c>
      <c r="L1635" s="61" t="str">
        <f t="shared" si="183"/>
        <v/>
      </c>
      <c r="M1635" s="63" t="str">
        <f t="shared" si="184"/>
        <v/>
      </c>
      <c r="N1635" s="64"/>
    </row>
    <row r="1636" spans="1:14" x14ac:dyDescent="0.3">
      <c r="A1636" s="58" t="str">
        <f>IF([1]weekly_demand!A1637="","",[1]weekly_demand!A1637)</f>
        <v/>
      </c>
      <c r="B1636" s="59" t="str">
        <f>IF($A1636="","",[1]weekly_demand!F1637)</f>
        <v/>
      </c>
      <c r="C1636" s="60" t="str">
        <f>IF($A1636="","",[1]weekly_demand!H1637)</f>
        <v/>
      </c>
      <c r="D1636" s="61" t="str">
        <f>IF($A1636="","",IF(SUMIFS([1]Fixture_Capacity_Input!$C:$C,[1]Fixture_Capacity_Input!$A:$A,$B1636,[1]Fixture_Capacity_Input!$B:$B,$C1636)&gt;0,SUMIFS([1]Fixture_Capacity_Input!$C:$C,[1]Fixture_Capacity_Input!$A:$A,$B1636,[1]Fixture_Capacity_Input!$B:$B,$C1636),[1]weekly_demand!G1637))</f>
        <v/>
      </c>
      <c r="E1636" s="62" t="str">
        <f>IF($A1636="","",[1]weekly_demand!I1637)</f>
        <v/>
      </c>
      <c r="F1636" s="61" t="str">
        <f>IF($A1636="","",IF($A1636&lt;&gt;$A1635,IFERROR(INDEX([1]FG_Begin_Inventory!$B:$B,MATCH($A1636,[1]FG_Begin_Inventory!$A:$A,0)),0),J1635))</f>
        <v/>
      </c>
      <c r="G1636" s="61" t="str">
        <f t="shared" si="178"/>
        <v/>
      </c>
      <c r="H1636" s="61" t="str">
        <f t="shared" si="179"/>
        <v/>
      </c>
      <c r="I1636" s="62" t="str">
        <f t="shared" si="180"/>
        <v/>
      </c>
      <c r="J1636" s="61" t="str">
        <f t="shared" si="181"/>
        <v/>
      </c>
      <c r="K1636" s="61" t="str">
        <f t="shared" si="182"/>
        <v/>
      </c>
      <c r="L1636" s="61" t="str">
        <f t="shared" si="183"/>
        <v/>
      </c>
      <c r="M1636" s="63" t="str">
        <f t="shared" si="184"/>
        <v/>
      </c>
      <c r="N1636" s="64"/>
    </row>
    <row r="1637" spans="1:14" x14ac:dyDescent="0.3">
      <c r="A1637" s="58" t="str">
        <f>IF([1]weekly_demand!A1638="","",[1]weekly_demand!A1638)</f>
        <v/>
      </c>
      <c r="B1637" s="59" t="str">
        <f>IF($A1637="","",[1]weekly_demand!F1638)</f>
        <v/>
      </c>
      <c r="C1637" s="60" t="str">
        <f>IF($A1637="","",[1]weekly_demand!H1638)</f>
        <v/>
      </c>
      <c r="D1637" s="61" t="str">
        <f>IF($A1637="","",IF(SUMIFS([1]Fixture_Capacity_Input!$C:$C,[1]Fixture_Capacity_Input!$A:$A,$B1637,[1]Fixture_Capacity_Input!$B:$B,$C1637)&gt;0,SUMIFS([1]Fixture_Capacity_Input!$C:$C,[1]Fixture_Capacity_Input!$A:$A,$B1637,[1]Fixture_Capacity_Input!$B:$B,$C1637),[1]weekly_demand!G1638))</f>
        <v/>
      </c>
      <c r="E1637" s="62" t="str">
        <f>IF($A1637="","",[1]weekly_demand!I1638)</f>
        <v/>
      </c>
      <c r="F1637" s="61" t="str">
        <f>IF($A1637="","",IF($A1637&lt;&gt;$A1636,IFERROR(INDEX([1]FG_Begin_Inventory!$B:$B,MATCH($A1637,[1]FG_Begin_Inventory!$A:$A,0)),0),J1636))</f>
        <v/>
      </c>
      <c r="G1637" s="61" t="str">
        <f t="shared" si="178"/>
        <v/>
      </c>
      <c r="H1637" s="61" t="str">
        <f t="shared" si="179"/>
        <v/>
      </c>
      <c r="I1637" s="62" t="str">
        <f t="shared" si="180"/>
        <v/>
      </c>
      <c r="J1637" s="61" t="str">
        <f t="shared" si="181"/>
        <v/>
      </c>
      <c r="K1637" s="61" t="str">
        <f t="shared" si="182"/>
        <v/>
      </c>
      <c r="L1637" s="61" t="str">
        <f t="shared" si="183"/>
        <v/>
      </c>
      <c r="M1637" s="63" t="str">
        <f t="shared" si="184"/>
        <v/>
      </c>
      <c r="N1637" s="64"/>
    </row>
    <row r="1638" spans="1:14" x14ac:dyDescent="0.3">
      <c r="A1638" s="58" t="str">
        <f>IF([1]weekly_demand!A1639="","",[1]weekly_demand!A1639)</f>
        <v/>
      </c>
      <c r="B1638" s="59" t="str">
        <f>IF($A1638="","",[1]weekly_demand!F1639)</f>
        <v/>
      </c>
      <c r="C1638" s="60" t="str">
        <f>IF($A1638="","",[1]weekly_demand!H1639)</f>
        <v/>
      </c>
      <c r="D1638" s="61" t="str">
        <f>IF($A1638="","",IF(SUMIFS([1]Fixture_Capacity_Input!$C:$C,[1]Fixture_Capacity_Input!$A:$A,$B1638,[1]Fixture_Capacity_Input!$B:$B,$C1638)&gt;0,SUMIFS([1]Fixture_Capacity_Input!$C:$C,[1]Fixture_Capacity_Input!$A:$A,$B1638,[1]Fixture_Capacity_Input!$B:$B,$C1638),[1]weekly_demand!G1639))</f>
        <v/>
      </c>
      <c r="E1638" s="62" t="str">
        <f>IF($A1638="","",[1]weekly_demand!I1639)</f>
        <v/>
      </c>
      <c r="F1638" s="61" t="str">
        <f>IF($A1638="","",IF($A1638&lt;&gt;$A1637,IFERROR(INDEX([1]FG_Begin_Inventory!$B:$B,MATCH($A1638,[1]FG_Begin_Inventory!$A:$A,0)),0),J1637))</f>
        <v/>
      </c>
      <c r="G1638" s="61" t="str">
        <f t="shared" si="178"/>
        <v/>
      </c>
      <c r="H1638" s="61" t="str">
        <f t="shared" si="179"/>
        <v/>
      </c>
      <c r="I1638" s="62" t="str">
        <f t="shared" si="180"/>
        <v/>
      </c>
      <c r="J1638" s="61" t="str">
        <f t="shared" si="181"/>
        <v/>
      </c>
      <c r="K1638" s="61" t="str">
        <f t="shared" si="182"/>
        <v/>
      </c>
      <c r="L1638" s="61" t="str">
        <f t="shared" si="183"/>
        <v/>
      </c>
      <c r="M1638" s="63" t="str">
        <f t="shared" si="184"/>
        <v/>
      </c>
      <c r="N1638" s="64"/>
    </row>
    <row r="1639" spans="1:14" x14ac:dyDescent="0.3">
      <c r="A1639" s="58" t="str">
        <f>IF([1]weekly_demand!A1640="","",[1]weekly_demand!A1640)</f>
        <v/>
      </c>
      <c r="B1639" s="59" t="str">
        <f>IF($A1639="","",[1]weekly_demand!F1640)</f>
        <v/>
      </c>
      <c r="C1639" s="60" t="str">
        <f>IF($A1639="","",[1]weekly_demand!H1640)</f>
        <v/>
      </c>
      <c r="D1639" s="61" t="str">
        <f>IF($A1639="","",IF(SUMIFS([1]Fixture_Capacity_Input!$C:$C,[1]Fixture_Capacity_Input!$A:$A,$B1639,[1]Fixture_Capacity_Input!$B:$B,$C1639)&gt;0,SUMIFS([1]Fixture_Capacity_Input!$C:$C,[1]Fixture_Capacity_Input!$A:$A,$B1639,[1]Fixture_Capacity_Input!$B:$B,$C1639),[1]weekly_demand!G1640))</f>
        <v/>
      </c>
      <c r="E1639" s="62" t="str">
        <f>IF($A1639="","",[1]weekly_demand!I1640)</f>
        <v/>
      </c>
      <c r="F1639" s="61" t="str">
        <f>IF($A1639="","",IF($A1639&lt;&gt;$A1638,IFERROR(INDEX([1]FG_Begin_Inventory!$B:$B,MATCH($A1639,[1]FG_Begin_Inventory!$A:$A,0)),0),J1638))</f>
        <v/>
      </c>
      <c r="G1639" s="61" t="str">
        <f t="shared" si="178"/>
        <v/>
      </c>
      <c r="H1639" s="61" t="str">
        <f t="shared" si="179"/>
        <v/>
      </c>
      <c r="I1639" s="62" t="str">
        <f t="shared" si="180"/>
        <v/>
      </c>
      <c r="J1639" s="61" t="str">
        <f t="shared" si="181"/>
        <v/>
      </c>
      <c r="K1639" s="61" t="str">
        <f t="shared" si="182"/>
        <v/>
      </c>
      <c r="L1639" s="61" t="str">
        <f t="shared" si="183"/>
        <v/>
      </c>
      <c r="M1639" s="63" t="str">
        <f t="shared" si="184"/>
        <v/>
      </c>
      <c r="N1639" s="64"/>
    </row>
    <row r="1640" spans="1:14" x14ac:dyDescent="0.3">
      <c r="A1640" s="58" t="str">
        <f>IF([1]weekly_demand!A1641="","",[1]weekly_demand!A1641)</f>
        <v/>
      </c>
      <c r="B1640" s="59" t="str">
        <f>IF($A1640="","",[1]weekly_demand!F1641)</f>
        <v/>
      </c>
      <c r="C1640" s="60" t="str">
        <f>IF($A1640="","",[1]weekly_demand!H1641)</f>
        <v/>
      </c>
      <c r="D1640" s="61" t="str">
        <f>IF($A1640="","",IF(SUMIFS([1]Fixture_Capacity_Input!$C:$C,[1]Fixture_Capacity_Input!$A:$A,$B1640,[1]Fixture_Capacity_Input!$B:$B,$C1640)&gt;0,SUMIFS([1]Fixture_Capacity_Input!$C:$C,[1]Fixture_Capacity_Input!$A:$A,$B1640,[1]Fixture_Capacity_Input!$B:$B,$C1640),[1]weekly_demand!G1641))</f>
        <v/>
      </c>
      <c r="E1640" s="62" t="str">
        <f>IF($A1640="","",[1]weekly_demand!I1641)</f>
        <v/>
      </c>
      <c r="F1640" s="61" t="str">
        <f>IF($A1640="","",IF($A1640&lt;&gt;$A1639,IFERROR(INDEX([1]FG_Begin_Inventory!$B:$B,MATCH($A1640,[1]FG_Begin_Inventory!$A:$A,0)),0),J1639))</f>
        <v/>
      </c>
      <c r="G1640" s="61" t="str">
        <f t="shared" si="178"/>
        <v/>
      </c>
      <c r="H1640" s="61" t="str">
        <f t="shared" si="179"/>
        <v/>
      </c>
      <c r="I1640" s="62" t="str">
        <f t="shared" si="180"/>
        <v/>
      </c>
      <c r="J1640" s="61" t="str">
        <f t="shared" si="181"/>
        <v/>
      </c>
      <c r="K1640" s="61" t="str">
        <f t="shared" si="182"/>
        <v/>
      </c>
      <c r="L1640" s="61" t="str">
        <f t="shared" si="183"/>
        <v/>
      </c>
      <c r="M1640" s="63" t="str">
        <f t="shared" si="184"/>
        <v/>
      </c>
      <c r="N1640" s="64"/>
    </row>
    <row r="1641" spans="1:14" x14ac:dyDescent="0.3">
      <c r="A1641" s="58" t="str">
        <f>IF([1]weekly_demand!A1642="","",[1]weekly_demand!A1642)</f>
        <v/>
      </c>
      <c r="B1641" s="59" t="str">
        <f>IF($A1641="","",[1]weekly_demand!F1642)</f>
        <v/>
      </c>
      <c r="C1641" s="60" t="str">
        <f>IF($A1641="","",[1]weekly_demand!H1642)</f>
        <v/>
      </c>
      <c r="D1641" s="61" t="str">
        <f>IF($A1641="","",IF(SUMIFS([1]Fixture_Capacity_Input!$C:$C,[1]Fixture_Capacity_Input!$A:$A,$B1641,[1]Fixture_Capacity_Input!$B:$B,$C1641)&gt;0,SUMIFS([1]Fixture_Capacity_Input!$C:$C,[1]Fixture_Capacity_Input!$A:$A,$B1641,[1]Fixture_Capacity_Input!$B:$B,$C1641),[1]weekly_demand!G1642))</f>
        <v/>
      </c>
      <c r="E1641" s="62" t="str">
        <f>IF($A1641="","",[1]weekly_demand!I1642)</f>
        <v/>
      </c>
      <c r="F1641" s="61" t="str">
        <f>IF($A1641="","",IF($A1641&lt;&gt;$A1640,IFERROR(INDEX([1]FG_Begin_Inventory!$B:$B,MATCH($A1641,[1]FG_Begin_Inventory!$A:$A,0)),0),J1640))</f>
        <v/>
      </c>
      <c r="G1641" s="61" t="str">
        <f t="shared" si="178"/>
        <v/>
      </c>
      <c r="H1641" s="61" t="str">
        <f t="shared" si="179"/>
        <v/>
      </c>
      <c r="I1641" s="62" t="str">
        <f t="shared" si="180"/>
        <v/>
      </c>
      <c r="J1641" s="61" t="str">
        <f t="shared" si="181"/>
        <v/>
      </c>
      <c r="K1641" s="61" t="str">
        <f t="shared" si="182"/>
        <v/>
      </c>
      <c r="L1641" s="61" t="str">
        <f t="shared" si="183"/>
        <v/>
      </c>
      <c r="M1641" s="63" t="str">
        <f t="shared" si="184"/>
        <v/>
      </c>
      <c r="N1641" s="64"/>
    </row>
    <row r="1642" spans="1:14" x14ac:dyDescent="0.3">
      <c r="A1642" s="58" t="str">
        <f>IF([1]weekly_demand!A1643="","",[1]weekly_demand!A1643)</f>
        <v/>
      </c>
      <c r="B1642" s="59" t="str">
        <f>IF($A1642="","",[1]weekly_demand!F1643)</f>
        <v/>
      </c>
      <c r="C1642" s="60" t="str">
        <f>IF($A1642="","",[1]weekly_demand!H1643)</f>
        <v/>
      </c>
      <c r="D1642" s="61" t="str">
        <f>IF($A1642="","",IF(SUMIFS([1]Fixture_Capacity_Input!$C:$C,[1]Fixture_Capacity_Input!$A:$A,$B1642,[1]Fixture_Capacity_Input!$B:$B,$C1642)&gt;0,SUMIFS([1]Fixture_Capacity_Input!$C:$C,[1]Fixture_Capacity_Input!$A:$A,$B1642,[1]Fixture_Capacity_Input!$B:$B,$C1642),[1]weekly_demand!G1643))</f>
        <v/>
      </c>
      <c r="E1642" s="62" t="str">
        <f>IF($A1642="","",[1]weekly_demand!I1643)</f>
        <v/>
      </c>
      <c r="F1642" s="61" t="str">
        <f>IF($A1642="","",IF($A1642&lt;&gt;$A1641,IFERROR(INDEX([1]FG_Begin_Inventory!$B:$B,MATCH($A1642,[1]FG_Begin_Inventory!$A:$A,0)),0),J1641))</f>
        <v/>
      </c>
      <c r="G1642" s="61" t="str">
        <f t="shared" si="178"/>
        <v/>
      </c>
      <c r="H1642" s="61" t="str">
        <f t="shared" si="179"/>
        <v/>
      </c>
      <c r="I1642" s="62" t="str">
        <f t="shared" si="180"/>
        <v/>
      </c>
      <c r="J1642" s="61" t="str">
        <f t="shared" si="181"/>
        <v/>
      </c>
      <c r="K1642" s="61" t="str">
        <f t="shared" si="182"/>
        <v/>
      </c>
      <c r="L1642" s="61" t="str">
        <f t="shared" si="183"/>
        <v/>
      </c>
      <c r="M1642" s="63" t="str">
        <f t="shared" si="184"/>
        <v/>
      </c>
      <c r="N1642" s="64"/>
    </row>
    <row r="1643" spans="1:14" x14ac:dyDescent="0.3">
      <c r="A1643" s="58" t="str">
        <f>IF([1]weekly_demand!A1644="","",[1]weekly_demand!A1644)</f>
        <v/>
      </c>
      <c r="B1643" s="59" t="str">
        <f>IF($A1643="","",[1]weekly_demand!F1644)</f>
        <v/>
      </c>
      <c r="C1643" s="60" t="str">
        <f>IF($A1643="","",[1]weekly_demand!H1644)</f>
        <v/>
      </c>
      <c r="D1643" s="61" t="str">
        <f>IF($A1643="","",IF(SUMIFS([1]Fixture_Capacity_Input!$C:$C,[1]Fixture_Capacity_Input!$A:$A,$B1643,[1]Fixture_Capacity_Input!$B:$B,$C1643)&gt;0,SUMIFS([1]Fixture_Capacity_Input!$C:$C,[1]Fixture_Capacity_Input!$A:$A,$B1643,[1]Fixture_Capacity_Input!$B:$B,$C1643),[1]weekly_demand!G1644))</f>
        <v/>
      </c>
      <c r="E1643" s="62" t="str">
        <f>IF($A1643="","",[1]weekly_demand!I1644)</f>
        <v/>
      </c>
      <c r="F1643" s="61" t="str">
        <f>IF($A1643="","",IF($A1643&lt;&gt;$A1642,IFERROR(INDEX([1]FG_Begin_Inventory!$B:$B,MATCH($A1643,[1]FG_Begin_Inventory!$A:$A,0)),0),J1642))</f>
        <v/>
      </c>
      <c r="G1643" s="61" t="str">
        <f t="shared" si="178"/>
        <v/>
      </c>
      <c r="H1643" s="61" t="str">
        <f t="shared" si="179"/>
        <v/>
      </c>
      <c r="I1643" s="62" t="str">
        <f t="shared" si="180"/>
        <v/>
      </c>
      <c r="J1643" s="61" t="str">
        <f t="shared" si="181"/>
        <v/>
      </c>
      <c r="K1643" s="61" t="str">
        <f t="shared" si="182"/>
        <v/>
      </c>
      <c r="L1643" s="61" t="str">
        <f t="shared" si="183"/>
        <v/>
      </c>
      <c r="M1643" s="63" t="str">
        <f t="shared" si="184"/>
        <v/>
      </c>
      <c r="N1643" s="64"/>
    </row>
    <row r="1644" spans="1:14" x14ac:dyDescent="0.3">
      <c r="A1644" s="58" t="str">
        <f>IF([1]weekly_demand!A1645="","",[1]weekly_demand!A1645)</f>
        <v/>
      </c>
      <c r="B1644" s="59" t="str">
        <f>IF($A1644="","",[1]weekly_demand!F1645)</f>
        <v/>
      </c>
      <c r="C1644" s="60" t="str">
        <f>IF($A1644="","",[1]weekly_demand!H1645)</f>
        <v/>
      </c>
      <c r="D1644" s="61" t="str">
        <f>IF($A1644="","",IF(SUMIFS([1]Fixture_Capacity_Input!$C:$C,[1]Fixture_Capacity_Input!$A:$A,$B1644,[1]Fixture_Capacity_Input!$B:$B,$C1644)&gt;0,SUMIFS([1]Fixture_Capacity_Input!$C:$C,[1]Fixture_Capacity_Input!$A:$A,$B1644,[1]Fixture_Capacity_Input!$B:$B,$C1644),[1]weekly_demand!G1645))</f>
        <v/>
      </c>
      <c r="E1644" s="62" t="str">
        <f>IF($A1644="","",[1]weekly_demand!I1645)</f>
        <v/>
      </c>
      <c r="F1644" s="61" t="str">
        <f>IF($A1644="","",IF($A1644&lt;&gt;$A1643,IFERROR(INDEX([1]FG_Begin_Inventory!$B:$B,MATCH($A1644,[1]FG_Begin_Inventory!$A:$A,0)),0),J1643))</f>
        <v/>
      </c>
      <c r="G1644" s="61" t="str">
        <f t="shared" si="178"/>
        <v/>
      </c>
      <c r="H1644" s="61" t="str">
        <f t="shared" si="179"/>
        <v/>
      </c>
      <c r="I1644" s="62" t="str">
        <f t="shared" si="180"/>
        <v/>
      </c>
      <c r="J1644" s="61" t="str">
        <f t="shared" si="181"/>
        <v/>
      </c>
      <c r="K1644" s="61" t="str">
        <f t="shared" si="182"/>
        <v/>
      </c>
      <c r="L1644" s="61" t="str">
        <f t="shared" si="183"/>
        <v/>
      </c>
      <c r="M1644" s="63" t="str">
        <f t="shared" si="184"/>
        <v/>
      </c>
      <c r="N1644" s="64"/>
    </row>
    <row r="1645" spans="1:14" x14ac:dyDescent="0.3">
      <c r="A1645" s="58" t="str">
        <f>IF([1]weekly_demand!A1646="","",[1]weekly_demand!A1646)</f>
        <v/>
      </c>
      <c r="B1645" s="59" t="str">
        <f>IF($A1645="","",[1]weekly_demand!F1646)</f>
        <v/>
      </c>
      <c r="C1645" s="60" t="str">
        <f>IF($A1645="","",[1]weekly_demand!H1646)</f>
        <v/>
      </c>
      <c r="D1645" s="61" t="str">
        <f>IF($A1645="","",IF(SUMIFS([1]Fixture_Capacity_Input!$C:$C,[1]Fixture_Capacity_Input!$A:$A,$B1645,[1]Fixture_Capacity_Input!$B:$B,$C1645)&gt;0,SUMIFS([1]Fixture_Capacity_Input!$C:$C,[1]Fixture_Capacity_Input!$A:$A,$B1645,[1]Fixture_Capacity_Input!$B:$B,$C1645),[1]weekly_demand!G1646))</f>
        <v/>
      </c>
      <c r="E1645" s="62" t="str">
        <f>IF($A1645="","",[1]weekly_demand!I1646)</f>
        <v/>
      </c>
      <c r="F1645" s="61" t="str">
        <f>IF($A1645="","",IF($A1645&lt;&gt;$A1644,IFERROR(INDEX([1]FG_Begin_Inventory!$B:$B,MATCH($A1645,[1]FG_Begin_Inventory!$A:$A,0)),0),J1644))</f>
        <v/>
      </c>
      <c r="G1645" s="61" t="str">
        <f t="shared" si="178"/>
        <v/>
      </c>
      <c r="H1645" s="61" t="str">
        <f t="shared" si="179"/>
        <v/>
      </c>
      <c r="I1645" s="62" t="str">
        <f t="shared" si="180"/>
        <v/>
      </c>
      <c r="J1645" s="61" t="str">
        <f t="shared" si="181"/>
        <v/>
      </c>
      <c r="K1645" s="61" t="str">
        <f t="shared" si="182"/>
        <v/>
      </c>
      <c r="L1645" s="61" t="str">
        <f t="shared" si="183"/>
        <v/>
      </c>
      <c r="M1645" s="63" t="str">
        <f t="shared" si="184"/>
        <v/>
      </c>
      <c r="N1645" s="64"/>
    </row>
    <row r="1646" spans="1:14" x14ac:dyDescent="0.3">
      <c r="A1646" s="58" t="str">
        <f>IF([1]weekly_demand!A1647="","",[1]weekly_demand!A1647)</f>
        <v/>
      </c>
      <c r="B1646" s="59" t="str">
        <f>IF($A1646="","",[1]weekly_demand!F1647)</f>
        <v/>
      </c>
      <c r="C1646" s="60" t="str">
        <f>IF($A1646="","",[1]weekly_demand!H1647)</f>
        <v/>
      </c>
      <c r="D1646" s="61" t="str">
        <f>IF($A1646="","",IF(SUMIFS([1]Fixture_Capacity_Input!$C:$C,[1]Fixture_Capacity_Input!$A:$A,$B1646,[1]Fixture_Capacity_Input!$B:$B,$C1646)&gt;0,SUMIFS([1]Fixture_Capacity_Input!$C:$C,[1]Fixture_Capacity_Input!$A:$A,$B1646,[1]Fixture_Capacity_Input!$B:$B,$C1646),[1]weekly_demand!G1647))</f>
        <v/>
      </c>
      <c r="E1646" s="62" t="str">
        <f>IF($A1646="","",[1]weekly_demand!I1647)</f>
        <v/>
      </c>
      <c r="F1646" s="61" t="str">
        <f>IF($A1646="","",IF($A1646&lt;&gt;$A1645,IFERROR(INDEX([1]FG_Begin_Inventory!$B:$B,MATCH($A1646,[1]FG_Begin_Inventory!$A:$A,0)),0),J1645))</f>
        <v/>
      </c>
      <c r="G1646" s="61" t="str">
        <f t="shared" si="178"/>
        <v/>
      </c>
      <c r="H1646" s="61" t="str">
        <f t="shared" si="179"/>
        <v/>
      </c>
      <c r="I1646" s="62" t="str">
        <f t="shared" si="180"/>
        <v/>
      </c>
      <c r="J1646" s="61" t="str">
        <f t="shared" si="181"/>
        <v/>
      </c>
      <c r="K1646" s="61" t="str">
        <f t="shared" si="182"/>
        <v/>
      </c>
      <c r="L1646" s="61" t="str">
        <f t="shared" si="183"/>
        <v/>
      </c>
      <c r="M1646" s="63" t="str">
        <f t="shared" si="184"/>
        <v/>
      </c>
      <c r="N1646" s="64"/>
    </row>
    <row r="1647" spans="1:14" x14ac:dyDescent="0.3">
      <c r="A1647" s="58" t="str">
        <f>IF([1]weekly_demand!A1648="","",[1]weekly_demand!A1648)</f>
        <v/>
      </c>
      <c r="B1647" s="59" t="str">
        <f>IF($A1647="","",[1]weekly_demand!F1648)</f>
        <v/>
      </c>
      <c r="C1647" s="60" t="str">
        <f>IF($A1647="","",[1]weekly_demand!H1648)</f>
        <v/>
      </c>
      <c r="D1647" s="61" t="str">
        <f>IF($A1647="","",IF(SUMIFS([1]Fixture_Capacity_Input!$C:$C,[1]Fixture_Capacity_Input!$A:$A,$B1647,[1]Fixture_Capacity_Input!$B:$B,$C1647)&gt;0,SUMIFS([1]Fixture_Capacity_Input!$C:$C,[1]Fixture_Capacity_Input!$A:$A,$B1647,[1]Fixture_Capacity_Input!$B:$B,$C1647),[1]weekly_demand!G1648))</f>
        <v/>
      </c>
      <c r="E1647" s="62" t="str">
        <f>IF($A1647="","",[1]weekly_demand!I1648)</f>
        <v/>
      </c>
      <c r="F1647" s="61" t="str">
        <f>IF($A1647="","",IF($A1647&lt;&gt;$A1646,IFERROR(INDEX([1]FG_Begin_Inventory!$B:$B,MATCH($A1647,[1]FG_Begin_Inventory!$A:$A,0)),0),J1646))</f>
        <v/>
      </c>
      <c r="G1647" s="61" t="str">
        <f t="shared" si="178"/>
        <v/>
      </c>
      <c r="H1647" s="61" t="str">
        <f t="shared" si="179"/>
        <v/>
      </c>
      <c r="I1647" s="62" t="str">
        <f t="shared" si="180"/>
        <v/>
      </c>
      <c r="J1647" s="61" t="str">
        <f t="shared" si="181"/>
        <v/>
      </c>
      <c r="K1647" s="61" t="str">
        <f t="shared" si="182"/>
        <v/>
      </c>
      <c r="L1647" s="61" t="str">
        <f t="shared" si="183"/>
        <v/>
      </c>
      <c r="M1647" s="63" t="str">
        <f t="shared" si="184"/>
        <v/>
      </c>
      <c r="N1647" s="64"/>
    </row>
    <row r="1648" spans="1:14" x14ac:dyDescent="0.3">
      <c r="A1648" s="58" t="str">
        <f>IF([1]weekly_demand!A1649="","",[1]weekly_demand!A1649)</f>
        <v/>
      </c>
      <c r="B1648" s="59" t="str">
        <f>IF($A1648="","",[1]weekly_demand!F1649)</f>
        <v/>
      </c>
      <c r="C1648" s="60" t="str">
        <f>IF($A1648="","",[1]weekly_demand!H1649)</f>
        <v/>
      </c>
      <c r="D1648" s="61" t="str">
        <f>IF($A1648="","",IF(SUMIFS([1]Fixture_Capacity_Input!$C:$C,[1]Fixture_Capacity_Input!$A:$A,$B1648,[1]Fixture_Capacity_Input!$B:$B,$C1648)&gt;0,SUMIFS([1]Fixture_Capacity_Input!$C:$C,[1]Fixture_Capacity_Input!$A:$A,$B1648,[1]Fixture_Capacity_Input!$B:$B,$C1648),[1]weekly_demand!G1649))</f>
        <v/>
      </c>
      <c r="E1648" s="62" t="str">
        <f>IF($A1648="","",[1]weekly_demand!I1649)</f>
        <v/>
      </c>
      <c r="F1648" s="61" t="str">
        <f>IF($A1648="","",IF($A1648&lt;&gt;$A1647,IFERROR(INDEX([1]FG_Begin_Inventory!$B:$B,MATCH($A1648,[1]FG_Begin_Inventory!$A:$A,0)),0),J1647))</f>
        <v/>
      </c>
      <c r="G1648" s="61" t="str">
        <f t="shared" si="178"/>
        <v/>
      </c>
      <c r="H1648" s="61" t="str">
        <f t="shared" si="179"/>
        <v/>
      </c>
      <c r="I1648" s="62" t="str">
        <f t="shared" si="180"/>
        <v/>
      </c>
      <c r="J1648" s="61" t="str">
        <f t="shared" si="181"/>
        <v/>
      </c>
      <c r="K1648" s="61" t="str">
        <f t="shared" si="182"/>
        <v/>
      </c>
      <c r="L1648" s="61" t="str">
        <f t="shared" si="183"/>
        <v/>
      </c>
      <c r="M1648" s="63" t="str">
        <f t="shared" si="184"/>
        <v/>
      </c>
      <c r="N1648" s="64"/>
    </row>
    <row r="1649" spans="1:14" x14ac:dyDescent="0.3">
      <c r="A1649" s="58" t="str">
        <f>IF([1]weekly_demand!A1650="","",[1]weekly_demand!A1650)</f>
        <v/>
      </c>
      <c r="B1649" s="59" t="str">
        <f>IF($A1649="","",[1]weekly_demand!F1650)</f>
        <v/>
      </c>
      <c r="C1649" s="60" t="str">
        <f>IF($A1649="","",[1]weekly_demand!H1650)</f>
        <v/>
      </c>
      <c r="D1649" s="61" t="str">
        <f>IF($A1649="","",IF(SUMIFS([1]Fixture_Capacity_Input!$C:$C,[1]Fixture_Capacity_Input!$A:$A,$B1649,[1]Fixture_Capacity_Input!$B:$B,$C1649)&gt;0,SUMIFS([1]Fixture_Capacity_Input!$C:$C,[1]Fixture_Capacity_Input!$A:$A,$B1649,[1]Fixture_Capacity_Input!$B:$B,$C1649),[1]weekly_demand!G1650))</f>
        <v/>
      </c>
      <c r="E1649" s="62" t="str">
        <f>IF($A1649="","",[1]weekly_demand!I1650)</f>
        <v/>
      </c>
      <c r="F1649" s="61" t="str">
        <f>IF($A1649="","",IF($A1649&lt;&gt;$A1648,IFERROR(INDEX([1]FG_Begin_Inventory!$B:$B,MATCH($A1649,[1]FG_Begin_Inventory!$A:$A,0)),0),J1648))</f>
        <v/>
      </c>
      <c r="G1649" s="61" t="str">
        <f t="shared" si="178"/>
        <v/>
      </c>
      <c r="H1649" s="61" t="str">
        <f t="shared" si="179"/>
        <v/>
      </c>
      <c r="I1649" s="62" t="str">
        <f t="shared" si="180"/>
        <v/>
      </c>
      <c r="J1649" s="61" t="str">
        <f t="shared" si="181"/>
        <v/>
      </c>
      <c r="K1649" s="61" t="str">
        <f t="shared" si="182"/>
        <v/>
      </c>
      <c r="L1649" s="61" t="str">
        <f t="shared" si="183"/>
        <v/>
      </c>
      <c r="M1649" s="63" t="str">
        <f t="shared" si="184"/>
        <v/>
      </c>
      <c r="N1649" s="64"/>
    </row>
    <row r="1650" spans="1:14" x14ac:dyDescent="0.3">
      <c r="A1650" s="58" t="str">
        <f>IF([1]weekly_demand!A1651="","",[1]weekly_demand!A1651)</f>
        <v/>
      </c>
      <c r="B1650" s="59" t="str">
        <f>IF($A1650="","",[1]weekly_demand!F1651)</f>
        <v/>
      </c>
      <c r="C1650" s="60" t="str">
        <f>IF($A1650="","",[1]weekly_demand!H1651)</f>
        <v/>
      </c>
      <c r="D1650" s="61" t="str">
        <f>IF($A1650="","",IF(SUMIFS([1]Fixture_Capacity_Input!$C:$C,[1]Fixture_Capacity_Input!$A:$A,$B1650,[1]Fixture_Capacity_Input!$B:$B,$C1650)&gt;0,SUMIFS([1]Fixture_Capacity_Input!$C:$C,[1]Fixture_Capacity_Input!$A:$A,$B1650,[1]Fixture_Capacity_Input!$B:$B,$C1650),[1]weekly_demand!G1651))</f>
        <v/>
      </c>
      <c r="E1650" s="62" t="str">
        <f>IF($A1650="","",[1]weekly_demand!I1651)</f>
        <v/>
      </c>
      <c r="F1650" s="61" t="str">
        <f>IF($A1650="","",IF($A1650&lt;&gt;$A1649,IFERROR(INDEX([1]FG_Begin_Inventory!$B:$B,MATCH($A1650,[1]FG_Begin_Inventory!$A:$A,0)),0),J1649))</f>
        <v/>
      </c>
      <c r="G1650" s="61" t="str">
        <f t="shared" si="178"/>
        <v/>
      </c>
      <c r="H1650" s="61" t="str">
        <f t="shared" si="179"/>
        <v/>
      </c>
      <c r="I1650" s="62" t="str">
        <f t="shared" si="180"/>
        <v/>
      </c>
      <c r="J1650" s="61" t="str">
        <f t="shared" si="181"/>
        <v/>
      </c>
      <c r="K1650" s="61" t="str">
        <f t="shared" si="182"/>
        <v/>
      </c>
      <c r="L1650" s="61" t="str">
        <f t="shared" si="183"/>
        <v/>
      </c>
      <c r="M1650" s="63" t="str">
        <f t="shared" si="184"/>
        <v/>
      </c>
      <c r="N1650" s="64"/>
    </row>
    <row r="1651" spans="1:14" x14ac:dyDescent="0.3">
      <c r="A1651" s="58" t="str">
        <f>IF([1]weekly_demand!A1652="","",[1]weekly_demand!A1652)</f>
        <v/>
      </c>
      <c r="B1651" s="59" t="str">
        <f>IF($A1651="","",[1]weekly_demand!F1652)</f>
        <v/>
      </c>
      <c r="C1651" s="60" t="str">
        <f>IF($A1651="","",[1]weekly_demand!H1652)</f>
        <v/>
      </c>
      <c r="D1651" s="61" t="str">
        <f>IF($A1651="","",IF(SUMIFS([1]Fixture_Capacity_Input!$C:$C,[1]Fixture_Capacity_Input!$A:$A,$B1651,[1]Fixture_Capacity_Input!$B:$B,$C1651)&gt;0,SUMIFS([1]Fixture_Capacity_Input!$C:$C,[1]Fixture_Capacity_Input!$A:$A,$B1651,[1]Fixture_Capacity_Input!$B:$B,$C1651),[1]weekly_demand!G1652))</f>
        <v/>
      </c>
      <c r="E1651" s="62" t="str">
        <f>IF($A1651="","",[1]weekly_demand!I1652)</f>
        <v/>
      </c>
      <c r="F1651" s="61" t="str">
        <f>IF($A1651="","",IF($A1651&lt;&gt;$A1650,IFERROR(INDEX([1]FG_Begin_Inventory!$B:$B,MATCH($A1651,[1]FG_Begin_Inventory!$A:$A,0)),0),J1650))</f>
        <v/>
      </c>
      <c r="G1651" s="61" t="str">
        <f t="shared" ref="G1651:G1714" si="185">IF($A1651="","",IF($A1651&lt;&gt;$A1652,0,MAX(0,G1652+E1652-D1652)))</f>
        <v/>
      </c>
      <c r="H1651" s="61" t="str">
        <f t="shared" si="179"/>
        <v/>
      </c>
      <c r="I1651" s="62" t="str">
        <f t="shared" si="180"/>
        <v/>
      </c>
      <c r="J1651" s="61" t="str">
        <f t="shared" si="181"/>
        <v/>
      </c>
      <c r="K1651" s="61" t="str">
        <f t="shared" si="182"/>
        <v/>
      </c>
      <c r="L1651" s="61" t="str">
        <f t="shared" si="183"/>
        <v/>
      </c>
      <c r="M1651" s="63" t="str">
        <f t="shared" si="184"/>
        <v/>
      </c>
      <c r="N1651" s="64"/>
    </row>
    <row r="1652" spans="1:14" x14ac:dyDescent="0.3">
      <c r="A1652" s="58" t="str">
        <f>IF([1]weekly_demand!A1653="","",[1]weekly_demand!A1653)</f>
        <v/>
      </c>
      <c r="B1652" s="59" t="str">
        <f>IF($A1652="","",[1]weekly_demand!F1653)</f>
        <v/>
      </c>
      <c r="C1652" s="60" t="str">
        <f>IF($A1652="","",[1]weekly_demand!H1653)</f>
        <v/>
      </c>
      <c r="D1652" s="61" t="str">
        <f>IF($A1652="","",IF(SUMIFS([1]Fixture_Capacity_Input!$C:$C,[1]Fixture_Capacity_Input!$A:$A,$B1652,[1]Fixture_Capacity_Input!$B:$B,$C1652)&gt;0,SUMIFS([1]Fixture_Capacity_Input!$C:$C,[1]Fixture_Capacity_Input!$A:$A,$B1652,[1]Fixture_Capacity_Input!$B:$B,$C1652),[1]weekly_demand!G1653))</f>
        <v/>
      </c>
      <c r="E1652" s="62" t="str">
        <f>IF($A1652="","",[1]weekly_demand!I1653)</f>
        <v/>
      </c>
      <c r="F1652" s="61" t="str">
        <f>IF($A1652="","",IF($A1652&lt;&gt;$A1651,IFERROR(INDEX([1]FG_Begin_Inventory!$B:$B,MATCH($A1652,[1]FG_Begin_Inventory!$A:$A,0)),0),J1651))</f>
        <v/>
      </c>
      <c r="G1652" s="61" t="str">
        <f t="shared" si="185"/>
        <v/>
      </c>
      <c r="H1652" s="61" t="str">
        <f t="shared" si="179"/>
        <v/>
      </c>
      <c r="I1652" s="62" t="str">
        <f t="shared" si="180"/>
        <v/>
      </c>
      <c r="J1652" s="61" t="str">
        <f t="shared" si="181"/>
        <v/>
      </c>
      <c r="K1652" s="61" t="str">
        <f t="shared" si="182"/>
        <v/>
      </c>
      <c r="L1652" s="61" t="str">
        <f t="shared" si="183"/>
        <v/>
      </c>
      <c r="M1652" s="63" t="str">
        <f t="shared" si="184"/>
        <v/>
      </c>
      <c r="N1652" s="64"/>
    </row>
    <row r="1653" spans="1:14" x14ac:dyDescent="0.3">
      <c r="A1653" s="58" t="str">
        <f>IF([1]weekly_demand!A1654="","",[1]weekly_demand!A1654)</f>
        <v/>
      </c>
      <c r="B1653" s="59" t="str">
        <f>IF($A1653="","",[1]weekly_demand!F1654)</f>
        <v/>
      </c>
      <c r="C1653" s="60" t="str">
        <f>IF($A1653="","",[1]weekly_demand!H1654)</f>
        <v/>
      </c>
      <c r="D1653" s="61" t="str">
        <f>IF($A1653="","",IF(SUMIFS([1]Fixture_Capacity_Input!$C:$C,[1]Fixture_Capacity_Input!$A:$A,$B1653,[1]Fixture_Capacity_Input!$B:$B,$C1653)&gt;0,SUMIFS([1]Fixture_Capacity_Input!$C:$C,[1]Fixture_Capacity_Input!$A:$A,$B1653,[1]Fixture_Capacity_Input!$B:$B,$C1653),[1]weekly_demand!G1654))</f>
        <v/>
      </c>
      <c r="E1653" s="62" t="str">
        <f>IF($A1653="","",[1]weekly_demand!I1654)</f>
        <v/>
      </c>
      <c r="F1653" s="61" t="str">
        <f>IF($A1653="","",IF($A1653&lt;&gt;$A1652,IFERROR(INDEX([1]FG_Begin_Inventory!$B:$B,MATCH($A1653,[1]FG_Begin_Inventory!$A:$A,0)),0),J1652))</f>
        <v/>
      </c>
      <c r="G1653" s="61" t="str">
        <f t="shared" si="185"/>
        <v/>
      </c>
      <c r="H1653" s="61" t="str">
        <f t="shared" si="179"/>
        <v/>
      </c>
      <c r="I1653" s="62" t="str">
        <f t="shared" si="180"/>
        <v/>
      </c>
      <c r="J1653" s="61" t="str">
        <f t="shared" si="181"/>
        <v/>
      </c>
      <c r="K1653" s="61" t="str">
        <f t="shared" si="182"/>
        <v/>
      </c>
      <c r="L1653" s="61" t="str">
        <f t="shared" si="183"/>
        <v/>
      </c>
      <c r="M1653" s="63" t="str">
        <f t="shared" si="184"/>
        <v/>
      </c>
      <c r="N1653" s="64"/>
    </row>
    <row r="1654" spans="1:14" x14ac:dyDescent="0.3">
      <c r="A1654" s="58" t="str">
        <f>IF([1]weekly_demand!A1655="","",[1]weekly_demand!A1655)</f>
        <v/>
      </c>
      <c r="B1654" s="59" t="str">
        <f>IF($A1654="","",[1]weekly_demand!F1655)</f>
        <v/>
      </c>
      <c r="C1654" s="60" t="str">
        <f>IF($A1654="","",[1]weekly_demand!H1655)</f>
        <v/>
      </c>
      <c r="D1654" s="61" t="str">
        <f>IF($A1654="","",IF(SUMIFS([1]Fixture_Capacity_Input!$C:$C,[1]Fixture_Capacity_Input!$A:$A,$B1654,[1]Fixture_Capacity_Input!$B:$B,$C1654)&gt;0,SUMIFS([1]Fixture_Capacity_Input!$C:$C,[1]Fixture_Capacity_Input!$A:$A,$B1654,[1]Fixture_Capacity_Input!$B:$B,$C1654),[1]weekly_demand!G1655))</f>
        <v/>
      </c>
      <c r="E1654" s="62" t="str">
        <f>IF($A1654="","",[1]weekly_demand!I1655)</f>
        <v/>
      </c>
      <c r="F1654" s="61" t="str">
        <f>IF($A1654="","",IF($A1654&lt;&gt;$A1653,IFERROR(INDEX([1]FG_Begin_Inventory!$B:$B,MATCH($A1654,[1]FG_Begin_Inventory!$A:$A,0)),0),J1653))</f>
        <v/>
      </c>
      <c r="G1654" s="61" t="str">
        <f t="shared" si="185"/>
        <v/>
      </c>
      <c r="H1654" s="61" t="str">
        <f t="shared" si="179"/>
        <v/>
      </c>
      <c r="I1654" s="62" t="str">
        <f t="shared" si="180"/>
        <v/>
      </c>
      <c r="J1654" s="61" t="str">
        <f t="shared" si="181"/>
        <v/>
      </c>
      <c r="K1654" s="61" t="str">
        <f t="shared" si="182"/>
        <v/>
      </c>
      <c r="L1654" s="61" t="str">
        <f t="shared" si="183"/>
        <v/>
      </c>
      <c r="M1654" s="63" t="str">
        <f t="shared" si="184"/>
        <v/>
      </c>
      <c r="N1654" s="64"/>
    </row>
    <row r="1655" spans="1:14" x14ac:dyDescent="0.3">
      <c r="A1655" s="58" t="str">
        <f>IF([1]weekly_demand!A1656="","",[1]weekly_demand!A1656)</f>
        <v/>
      </c>
      <c r="B1655" s="59" t="str">
        <f>IF($A1655="","",[1]weekly_demand!F1656)</f>
        <v/>
      </c>
      <c r="C1655" s="60" t="str">
        <f>IF($A1655="","",[1]weekly_demand!H1656)</f>
        <v/>
      </c>
      <c r="D1655" s="61" t="str">
        <f>IF($A1655="","",IF(SUMIFS([1]Fixture_Capacity_Input!$C:$C,[1]Fixture_Capacity_Input!$A:$A,$B1655,[1]Fixture_Capacity_Input!$B:$B,$C1655)&gt;0,SUMIFS([1]Fixture_Capacity_Input!$C:$C,[1]Fixture_Capacity_Input!$A:$A,$B1655,[1]Fixture_Capacity_Input!$B:$B,$C1655),[1]weekly_demand!G1656))</f>
        <v/>
      </c>
      <c r="E1655" s="62" t="str">
        <f>IF($A1655="","",[1]weekly_demand!I1656)</f>
        <v/>
      </c>
      <c r="F1655" s="61" t="str">
        <f>IF($A1655="","",IF($A1655&lt;&gt;$A1654,IFERROR(INDEX([1]FG_Begin_Inventory!$B:$B,MATCH($A1655,[1]FG_Begin_Inventory!$A:$A,0)),0),J1654))</f>
        <v/>
      </c>
      <c r="G1655" s="61" t="str">
        <f t="shared" si="185"/>
        <v/>
      </c>
      <c r="H1655" s="61" t="str">
        <f t="shared" si="179"/>
        <v/>
      </c>
      <c r="I1655" s="62" t="str">
        <f t="shared" si="180"/>
        <v/>
      </c>
      <c r="J1655" s="61" t="str">
        <f t="shared" si="181"/>
        <v/>
      </c>
      <c r="K1655" s="61" t="str">
        <f t="shared" si="182"/>
        <v/>
      </c>
      <c r="L1655" s="61" t="str">
        <f t="shared" si="183"/>
        <v/>
      </c>
      <c r="M1655" s="63" t="str">
        <f t="shared" si="184"/>
        <v/>
      </c>
      <c r="N1655" s="64"/>
    </row>
    <row r="1656" spans="1:14" x14ac:dyDescent="0.3">
      <c r="A1656" s="58" t="str">
        <f>IF([1]weekly_demand!A1657="","",[1]weekly_demand!A1657)</f>
        <v/>
      </c>
      <c r="B1656" s="59" t="str">
        <f>IF($A1656="","",[1]weekly_demand!F1657)</f>
        <v/>
      </c>
      <c r="C1656" s="60" t="str">
        <f>IF($A1656="","",[1]weekly_demand!H1657)</f>
        <v/>
      </c>
      <c r="D1656" s="61" t="str">
        <f>IF($A1656="","",IF(SUMIFS([1]Fixture_Capacity_Input!$C:$C,[1]Fixture_Capacity_Input!$A:$A,$B1656,[1]Fixture_Capacity_Input!$B:$B,$C1656)&gt;0,SUMIFS([1]Fixture_Capacity_Input!$C:$C,[1]Fixture_Capacity_Input!$A:$A,$B1656,[1]Fixture_Capacity_Input!$B:$B,$C1656),[1]weekly_demand!G1657))</f>
        <v/>
      </c>
      <c r="E1656" s="62" t="str">
        <f>IF($A1656="","",[1]weekly_demand!I1657)</f>
        <v/>
      </c>
      <c r="F1656" s="61" t="str">
        <f>IF($A1656="","",IF($A1656&lt;&gt;$A1655,IFERROR(INDEX([1]FG_Begin_Inventory!$B:$B,MATCH($A1656,[1]FG_Begin_Inventory!$A:$A,0)),0),J1655))</f>
        <v/>
      </c>
      <c r="G1656" s="61" t="str">
        <f t="shared" si="185"/>
        <v/>
      </c>
      <c r="H1656" s="61" t="str">
        <f t="shared" si="179"/>
        <v/>
      </c>
      <c r="I1656" s="62" t="str">
        <f t="shared" si="180"/>
        <v/>
      </c>
      <c r="J1656" s="61" t="str">
        <f t="shared" si="181"/>
        <v/>
      </c>
      <c r="K1656" s="61" t="str">
        <f t="shared" si="182"/>
        <v/>
      </c>
      <c r="L1656" s="61" t="str">
        <f t="shared" si="183"/>
        <v/>
      </c>
      <c r="M1656" s="63" t="str">
        <f t="shared" si="184"/>
        <v/>
      </c>
      <c r="N1656" s="64"/>
    </row>
    <row r="1657" spans="1:14" x14ac:dyDescent="0.3">
      <c r="A1657" s="58" t="str">
        <f>IF([1]weekly_demand!A1658="","",[1]weekly_demand!A1658)</f>
        <v/>
      </c>
      <c r="B1657" s="59" t="str">
        <f>IF($A1657="","",[1]weekly_demand!F1658)</f>
        <v/>
      </c>
      <c r="C1657" s="60" t="str">
        <f>IF($A1657="","",[1]weekly_demand!H1658)</f>
        <v/>
      </c>
      <c r="D1657" s="61" t="str">
        <f>IF($A1657="","",IF(SUMIFS([1]Fixture_Capacity_Input!$C:$C,[1]Fixture_Capacity_Input!$A:$A,$B1657,[1]Fixture_Capacity_Input!$B:$B,$C1657)&gt;0,SUMIFS([1]Fixture_Capacity_Input!$C:$C,[1]Fixture_Capacity_Input!$A:$A,$B1657,[1]Fixture_Capacity_Input!$B:$B,$C1657),[1]weekly_demand!G1658))</f>
        <v/>
      </c>
      <c r="E1657" s="62" t="str">
        <f>IF($A1657="","",[1]weekly_demand!I1658)</f>
        <v/>
      </c>
      <c r="F1657" s="61" t="str">
        <f>IF($A1657="","",IF($A1657&lt;&gt;$A1656,IFERROR(INDEX([1]FG_Begin_Inventory!$B:$B,MATCH($A1657,[1]FG_Begin_Inventory!$A:$A,0)),0),J1656))</f>
        <v/>
      </c>
      <c r="G1657" s="61" t="str">
        <f t="shared" si="185"/>
        <v/>
      </c>
      <c r="H1657" s="61" t="str">
        <f t="shared" si="179"/>
        <v/>
      </c>
      <c r="I1657" s="62" t="str">
        <f t="shared" si="180"/>
        <v/>
      </c>
      <c r="J1657" s="61" t="str">
        <f t="shared" si="181"/>
        <v/>
      </c>
      <c r="K1657" s="61" t="str">
        <f t="shared" si="182"/>
        <v/>
      </c>
      <c r="L1657" s="61" t="str">
        <f t="shared" si="183"/>
        <v/>
      </c>
      <c r="M1657" s="63" t="str">
        <f t="shared" si="184"/>
        <v/>
      </c>
      <c r="N1657" s="64"/>
    </row>
    <row r="1658" spans="1:14" x14ac:dyDescent="0.3">
      <c r="A1658" s="58" t="str">
        <f>IF([1]weekly_demand!A1659="","",[1]weekly_demand!A1659)</f>
        <v/>
      </c>
      <c r="B1658" s="59" t="str">
        <f>IF($A1658="","",[1]weekly_demand!F1659)</f>
        <v/>
      </c>
      <c r="C1658" s="60" t="str">
        <f>IF($A1658="","",[1]weekly_demand!H1659)</f>
        <v/>
      </c>
      <c r="D1658" s="61" t="str">
        <f>IF($A1658="","",IF(SUMIFS([1]Fixture_Capacity_Input!$C:$C,[1]Fixture_Capacity_Input!$A:$A,$B1658,[1]Fixture_Capacity_Input!$B:$B,$C1658)&gt;0,SUMIFS([1]Fixture_Capacity_Input!$C:$C,[1]Fixture_Capacity_Input!$A:$A,$B1658,[1]Fixture_Capacity_Input!$B:$B,$C1658),[1]weekly_demand!G1659))</f>
        <v/>
      </c>
      <c r="E1658" s="62" t="str">
        <f>IF($A1658="","",[1]weekly_demand!I1659)</f>
        <v/>
      </c>
      <c r="F1658" s="61" t="str">
        <f>IF($A1658="","",IF($A1658&lt;&gt;$A1657,IFERROR(INDEX([1]FG_Begin_Inventory!$B:$B,MATCH($A1658,[1]FG_Begin_Inventory!$A:$A,0)),0),J1657))</f>
        <v/>
      </c>
      <c r="G1658" s="61" t="str">
        <f t="shared" si="185"/>
        <v/>
      </c>
      <c r="H1658" s="61" t="str">
        <f t="shared" si="179"/>
        <v/>
      </c>
      <c r="I1658" s="62" t="str">
        <f t="shared" si="180"/>
        <v/>
      </c>
      <c r="J1658" s="61" t="str">
        <f t="shared" si="181"/>
        <v/>
      </c>
      <c r="K1658" s="61" t="str">
        <f t="shared" si="182"/>
        <v/>
      </c>
      <c r="L1658" s="61" t="str">
        <f t="shared" si="183"/>
        <v/>
      </c>
      <c r="M1658" s="63" t="str">
        <f t="shared" si="184"/>
        <v/>
      </c>
      <c r="N1658" s="64"/>
    </row>
    <row r="1659" spans="1:14" x14ac:dyDescent="0.3">
      <c r="A1659" s="58" t="str">
        <f>IF([1]weekly_demand!A1660="","",[1]weekly_demand!A1660)</f>
        <v/>
      </c>
      <c r="B1659" s="59" t="str">
        <f>IF($A1659="","",[1]weekly_demand!F1660)</f>
        <v/>
      </c>
      <c r="C1659" s="60" t="str">
        <f>IF($A1659="","",[1]weekly_demand!H1660)</f>
        <v/>
      </c>
      <c r="D1659" s="61" t="str">
        <f>IF($A1659="","",IF(SUMIFS([1]Fixture_Capacity_Input!$C:$C,[1]Fixture_Capacity_Input!$A:$A,$B1659,[1]Fixture_Capacity_Input!$B:$B,$C1659)&gt;0,SUMIFS([1]Fixture_Capacity_Input!$C:$C,[1]Fixture_Capacity_Input!$A:$A,$B1659,[1]Fixture_Capacity_Input!$B:$B,$C1659),[1]weekly_demand!G1660))</f>
        <v/>
      </c>
      <c r="E1659" s="62" t="str">
        <f>IF($A1659="","",[1]weekly_demand!I1660)</f>
        <v/>
      </c>
      <c r="F1659" s="61" t="str">
        <f>IF($A1659="","",IF($A1659&lt;&gt;$A1658,IFERROR(INDEX([1]FG_Begin_Inventory!$B:$B,MATCH($A1659,[1]FG_Begin_Inventory!$A:$A,0)),0),J1658))</f>
        <v/>
      </c>
      <c r="G1659" s="61" t="str">
        <f t="shared" si="185"/>
        <v/>
      </c>
      <c r="H1659" s="61" t="str">
        <f t="shared" si="179"/>
        <v/>
      </c>
      <c r="I1659" s="62" t="str">
        <f t="shared" si="180"/>
        <v/>
      </c>
      <c r="J1659" s="61" t="str">
        <f t="shared" si="181"/>
        <v/>
      </c>
      <c r="K1659" s="61" t="str">
        <f t="shared" si="182"/>
        <v/>
      </c>
      <c r="L1659" s="61" t="str">
        <f t="shared" si="183"/>
        <v/>
      </c>
      <c r="M1659" s="63" t="str">
        <f t="shared" si="184"/>
        <v/>
      </c>
      <c r="N1659" s="64"/>
    </row>
    <row r="1660" spans="1:14" x14ac:dyDescent="0.3">
      <c r="A1660" s="58" t="str">
        <f>IF([1]weekly_demand!A1661="","",[1]weekly_demand!A1661)</f>
        <v/>
      </c>
      <c r="B1660" s="59" t="str">
        <f>IF($A1660="","",[1]weekly_demand!F1661)</f>
        <v/>
      </c>
      <c r="C1660" s="60" t="str">
        <f>IF($A1660="","",[1]weekly_demand!H1661)</f>
        <v/>
      </c>
      <c r="D1660" s="61" t="str">
        <f>IF($A1660="","",IF(SUMIFS([1]Fixture_Capacity_Input!$C:$C,[1]Fixture_Capacity_Input!$A:$A,$B1660,[1]Fixture_Capacity_Input!$B:$B,$C1660)&gt;0,SUMIFS([1]Fixture_Capacity_Input!$C:$C,[1]Fixture_Capacity_Input!$A:$A,$B1660,[1]Fixture_Capacity_Input!$B:$B,$C1660),[1]weekly_demand!G1661))</f>
        <v/>
      </c>
      <c r="E1660" s="62" t="str">
        <f>IF($A1660="","",[1]weekly_demand!I1661)</f>
        <v/>
      </c>
      <c r="F1660" s="61" t="str">
        <f>IF($A1660="","",IF($A1660&lt;&gt;$A1659,IFERROR(INDEX([1]FG_Begin_Inventory!$B:$B,MATCH($A1660,[1]FG_Begin_Inventory!$A:$A,0)),0),J1659))</f>
        <v/>
      </c>
      <c r="G1660" s="61" t="str">
        <f t="shared" si="185"/>
        <v/>
      </c>
      <c r="H1660" s="61" t="str">
        <f t="shared" si="179"/>
        <v/>
      </c>
      <c r="I1660" s="62" t="str">
        <f t="shared" si="180"/>
        <v/>
      </c>
      <c r="J1660" s="61" t="str">
        <f t="shared" si="181"/>
        <v/>
      </c>
      <c r="K1660" s="61" t="str">
        <f t="shared" si="182"/>
        <v/>
      </c>
      <c r="L1660" s="61" t="str">
        <f t="shared" si="183"/>
        <v/>
      </c>
      <c r="M1660" s="63" t="str">
        <f t="shared" si="184"/>
        <v/>
      </c>
      <c r="N1660" s="64"/>
    </row>
    <row r="1661" spans="1:14" x14ac:dyDescent="0.3">
      <c r="A1661" s="58" t="str">
        <f>IF([1]weekly_demand!A1662="","",[1]weekly_demand!A1662)</f>
        <v/>
      </c>
      <c r="B1661" s="59" t="str">
        <f>IF($A1661="","",[1]weekly_demand!F1662)</f>
        <v/>
      </c>
      <c r="C1661" s="60" t="str">
        <f>IF($A1661="","",[1]weekly_demand!H1662)</f>
        <v/>
      </c>
      <c r="D1661" s="61" t="str">
        <f>IF($A1661="","",IF(SUMIFS([1]Fixture_Capacity_Input!$C:$C,[1]Fixture_Capacity_Input!$A:$A,$B1661,[1]Fixture_Capacity_Input!$B:$B,$C1661)&gt;0,SUMIFS([1]Fixture_Capacity_Input!$C:$C,[1]Fixture_Capacity_Input!$A:$A,$B1661,[1]Fixture_Capacity_Input!$B:$B,$C1661),[1]weekly_demand!G1662))</f>
        <v/>
      </c>
      <c r="E1661" s="62" t="str">
        <f>IF($A1661="","",[1]weekly_demand!I1662)</f>
        <v/>
      </c>
      <c r="F1661" s="61" t="str">
        <f>IF($A1661="","",IF($A1661&lt;&gt;$A1660,IFERROR(INDEX([1]FG_Begin_Inventory!$B:$B,MATCH($A1661,[1]FG_Begin_Inventory!$A:$A,0)),0),J1660))</f>
        <v/>
      </c>
      <c r="G1661" s="61" t="str">
        <f t="shared" si="185"/>
        <v/>
      </c>
      <c r="H1661" s="61" t="str">
        <f t="shared" si="179"/>
        <v/>
      </c>
      <c r="I1661" s="62" t="str">
        <f t="shared" si="180"/>
        <v/>
      </c>
      <c r="J1661" s="61" t="str">
        <f t="shared" si="181"/>
        <v/>
      </c>
      <c r="K1661" s="61" t="str">
        <f t="shared" si="182"/>
        <v/>
      </c>
      <c r="L1661" s="61" t="str">
        <f t="shared" si="183"/>
        <v/>
      </c>
      <c r="M1661" s="63" t="str">
        <f t="shared" si="184"/>
        <v/>
      </c>
      <c r="N1661" s="64"/>
    </row>
    <row r="1662" spans="1:14" x14ac:dyDescent="0.3">
      <c r="A1662" s="58" t="str">
        <f>IF([1]weekly_demand!A1663="","",[1]weekly_demand!A1663)</f>
        <v/>
      </c>
      <c r="B1662" s="59" t="str">
        <f>IF($A1662="","",[1]weekly_demand!F1663)</f>
        <v/>
      </c>
      <c r="C1662" s="60" t="str">
        <f>IF($A1662="","",[1]weekly_demand!H1663)</f>
        <v/>
      </c>
      <c r="D1662" s="61" t="str">
        <f>IF($A1662="","",IF(SUMIFS([1]Fixture_Capacity_Input!$C:$C,[1]Fixture_Capacity_Input!$A:$A,$B1662,[1]Fixture_Capacity_Input!$B:$B,$C1662)&gt;0,SUMIFS([1]Fixture_Capacity_Input!$C:$C,[1]Fixture_Capacity_Input!$A:$A,$B1662,[1]Fixture_Capacity_Input!$B:$B,$C1662),[1]weekly_demand!G1663))</f>
        <v/>
      </c>
      <c r="E1662" s="62" t="str">
        <f>IF($A1662="","",[1]weekly_demand!I1663)</f>
        <v/>
      </c>
      <c r="F1662" s="61" t="str">
        <f>IF($A1662="","",IF($A1662&lt;&gt;$A1661,IFERROR(INDEX([1]FG_Begin_Inventory!$B:$B,MATCH($A1662,[1]FG_Begin_Inventory!$A:$A,0)),0),J1661))</f>
        <v/>
      </c>
      <c r="G1662" s="61" t="str">
        <f t="shared" si="185"/>
        <v/>
      </c>
      <c r="H1662" s="61" t="str">
        <f t="shared" si="179"/>
        <v/>
      </c>
      <c r="I1662" s="62" t="str">
        <f t="shared" si="180"/>
        <v/>
      </c>
      <c r="J1662" s="61" t="str">
        <f t="shared" si="181"/>
        <v/>
      </c>
      <c r="K1662" s="61" t="str">
        <f t="shared" si="182"/>
        <v/>
      </c>
      <c r="L1662" s="61" t="str">
        <f t="shared" si="183"/>
        <v/>
      </c>
      <c r="M1662" s="63" t="str">
        <f t="shared" si="184"/>
        <v/>
      </c>
      <c r="N1662" s="64"/>
    </row>
    <row r="1663" spans="1:14" x14ac:dyDescent="0.3">
      <c r="A1663" s="58" t="str">
        <f>IF([1]weekly_demand!A1664="","",[1]weekly_demand!A1664)</f>
        <v/>
      </c>
      <c r="B1663" s="59" t="str">
        <f>IF($A1663="","",[1]weekly_demand!F1664)</f>
        <v/>
      </c>
      <c r="C1663" s="60" t="str">
        <f>IF($A1663="","",[1]weekly_demand!H1664)</f>
        <v/>
      </c>
      <c r="D1663" s="61" t="str">
        <f>IF($A1663="","",IF(SUMIFS([1]Fixture_Capacity_Input!$C:$C,[1]Fixture_Capacity_Input!$A:$A,$B1663,[1]Fixture_Capacity_Input!$B:$B,$C1663)&gt;0,SUMIFS([1]Fixture_Capacity_Input!$C:$C,[1]Fixture_Capacity_Input!$A:$A,$B1663,[1]Fixture_Capacity_Input!$B:$B,$C1663),[1]weekly_demand!G1664))</f>
        <v/>
      </c>
      <c r="E1663" s="62" t="str">
        <f>IF($A1663="","",[1]weekly_demand!I1664)</f>
        <v/>
      </c>
      <c r="F1663" s="61" t="str">
        <f>IF($A1663="","",IF($A1663&lt;&gt;$A1662,IFERROR(INDEX([1]FG_Begin_Inventory!$B:$B,MATCH($A1663,[1]FG_Begin_Inventory!$A:$A,0)),0),J1662))</f>
        <v/>
      </c>
      <c r="G1663" s="61" t="str">
        <f t="shared" si="185"/>
        <v/>
      </c>
      <c r="H1663" s="61" t="str">
        <f t="shared" si="179"/>
        <v/>
      </c>
      <c r="I1663" s="62" t="str">
        <f t="shared" si="180"/>
        <v/>
      </c>
      <c r="J1663" s="61" t="str">
        <f t="shared" si="181"/>
        <v/>
      </c>
      <c r="K1663" s="61" t="str">
        <f t="shared" si="182"/>
        <v/>
      </c>
      <c r="L1663" s="61" t="str">
        <f t="shared" si="183"/>
        <v/>
      </c>
      <c r="M1663" s="63" t="str">
        <f t="shared" si="184"/>
        <v/>
      </c>
      <c r="N1663" s="64"/>
    </row>
    <row r="1664" spans="1:14" x14ac:dyDescent="0.3">
      <c r="A1664" s="58" t="str">
        <f>IF([1]weekly_demand!A1665="","",[1]weekly_demand!A1665)</f>
        <v/>
      </c>
      <c r="B1664" s="59" t="str">
        <f>IF($A1664="","",[1]weekly_demand!F1665)</f>
        <v/>
      </c>
      <c r="C1664" s="60" t="str">
        <f>IF($A1664="","",[1]weekly_demand!H1665)</f>
        <v/>
      </c>
      <c r="D1664" s="61" t="str">
        <f>IF($A1664="","",IF(SUMIFS([1]Fixture_Capacity_Input!$C:$C,[1]Fixture_Capacity_Input!$A:$A,$B1664,[1]Fixture_Capacity_Input!$B:$B,$C1664)&gt;0,SUMIFS([1]Fixture_Capacity_Input!$C:$C,[1]Fixture_Capacity_Input!$A:$A,$B1664,[1]Fixture_Capacity_Input!$B:$B,$C1664),[1]weekly_demand!G1665))</f>
        <v/>
      </c>
      <c r="E1664" s="62" t="str">
        <f>IF($A1664="","",[1]weekly_demand!I1665)</f>
        <v/>
      </c>
      <c r="F1664" s="61" t="str">
        <f>IF($A1664="","",IF($A1664&lt;&gt;$A1663,IFERROR(INDEX([1]FG_Begin_Inventory!$B:$B,MATCH($A1664,[1]FG_Begin_Inventory!$A:$A,0)),0),J1663))</f>
        <v/>
      </c>
      <c r="G1664" s="61" t="str">
        <f t="shared" si="185"/>
        <v/>
      </c>
      <c r="H1664" s="61" t="str">
        <f t="shared" si="179"/>
        <v/>
      </c>
      <c r="I1664" s="62" t="str">
        <f t="shared" si="180"/>
        <v/>
      </c>
      <c r="J1664" s="61" t="str">
        <f t="shared" si="181"/>
        <v/>
      </c>
      <c r="K1664" s="61" t="str">
        <f t="shared" si="182"/>
        <v/>
      </c>
      <c r="L1664" s="61" t="str">
        <f t="shared" si="183"/>
        <v/>
      </c>
      <c r="M1664" s="63" t="str">
        <f t="shared" si="184"/>
        <v/>
      </c>
      <c r="N1664" s="64"/>
    </row>
    <row r="1665" spans="1:14" x14ac:dyDescent="0.3">
      <c r="A1665" s="58" t="str">
        <f>IF([1]weekly_demand!A1666="","",[1]weekly_demand!A1666)</f>
        <v/>
      </c>
      <c r="B1665" s="59" t="str">
        <f>IF($A1665="","",[1]weekly_demand!F1666)</f>
        <v/>
      </c>
      <c r="C1665" s="60" t="str">
        <f>IF($A1665="","",[1]weekly_demand!H1666)</f>
        <v/>
      </c>
      <c r="D1665" s="61" t="str">
        <f>IF($A1665="","",IF(SUMIFS([1]Fixture_Capacity_Input!$C:$C,[1]Fixture_Capacity_Input!$A:$A,$B1665,[1]Fixture_Capacity_Input!$B:$B,$C1665)&gt;0,SUMIFS([1]Fixture_Capacity_Input!$C:$C,[1]Fixture_Capacity_Input!$A:$A,$B1665,[1]Fixture_Capacity_Input!$B:$B,$C1665),[1]weekly_demand!G1666))</f>
        <v/>
      </c>
      <c r="E1665" s="62" t="str">
        <f>IF($A1665="","",[1]weekly_demand!I1666)</f>
        <v/>
      </c>
      <c r="F1665" s="61" t="str">
        <f>IF($A1665="","",IF($A1665&lt;&gt;$A1664,IFERROR(INDEX([1]FG_Begin_Inventory!$B:$B,MATCH($A1665,[1]FG_Begin_Inventory!$A:$A,0)),0),J1664))</f>
        <v/>
      </c>
      <c r="G1665" s="61" t="str">
        <f t="shared" si="185"/>
        <v/>
      </c>
      <c r="H1665" s="61" t="str">
        <f t="shared" si="179"/>
        <v/>
      </c>
      <c r="I1665" s="62" t="str">
        <f t="shared" si="180"/>
        <v/>
      </c>
      <c r="J1665" s="61" t="str">
        <f t="shared" si="181"/>
        <v/>
      </c>
      <c r="K1665" s="61" t="str">
        <f t="shared" si="182"/>
        <v/>
      </c>
      <c r="L1665" s="61" t="str">
        <f t="shared" si="183"/>
        <v/>
      </c>
      <c r="M1665" s="63" t="str">
        <f t="shared" si="184"/>
        <v/>
      </c>
      <c r="N1665" s="64"/>
    </row>
    <row r="1666" spans="1:14" x14ac:dyDescent="0.3">
      <c r="A1666" s="58" t="str">
        <f>IF([1]weekly_demand!A1667="","",[1]weekly_demand!A1667)</f>
        <v/>
      </c>
      <c r="B1666" s="59" t="str">
        <f>IF($A1666="","",[1]weekly_demand!F1667)</f>
        <v/>
      </c>
      <c r="C1666" s="60" t="str">
        <f>IF($A1666="","",[1]weekly_demand!H1667)</f>
        <v/>
      </c>
      <c r="D1666" s="61" t="str">
        <f>IF($A1666="","",IF(SUMIFS([1]Fixture_Capacity_Input!$C:$C,[1]Fixture_Capacity_Input!$A:$A,$B1666,[1]Fixture_Capacity_Input!$B:$B,$C1666)&gt;0,SUMIFS([1]Fixture_Capacity_Input!$C:$C,[1]Fixture_Capacity_Input!$A:$A,$B1666,[1]Fixture_Capacity_Input!$B:$B,$C1666),[1]weekly_demand!G1667))</f>
        <v/>
      </c>
      <c r="E1666" s="62" t="str">
        <f>IF($A1666="","",[1]weekly_demand!I1667)</f>
        <v/>
      </c>
      <c r="F1666" s="61" t="str">
        <f>IF($A1666="","",IF($A1666&lt;&gt;$A1665,IFERROR(INDEX([1]FG_Begin_Inventory!$B:$B,MATCH($A1666,[1]FG_Begin_Inventory!$A:$A,0)),0),J1665))</f>
        <v/>
      </c>
      <c r="G1666" s="61" t="str">
        <f t="shared" si="185"/>
        <v/>
      </c>
      <c r="H1666" s="61" t="str">
        <f t="shared" ref="H1666:H1729" si="186">IF($A1666="","",MAX(0,E1666+G1666-F1666))</f>
        <v/>
      </c>
      <c r="I1666" s="62" t="str">
        <f t="shared" ref="I1666:I1729" si="187">IF($A1666="","",MIN(D1666,H1666))</f>
        <v/>
      </c>
      <c r="J1666" s="61" t="str">
        <f t="shared" ref="J1666:J1729" si="188">IF($A1666="","",MAX(0,F1666+I1666-E1666))</f>
        <v/>
      </c>
      <c r="K1666" s="61" t="str">
        <f t="shared" ref="K1666:K1729" si="189">IF($A1666="","",MAX(0,E1666-F1666-I1666))</f>
        <v/>
      </c>
      <c r="L1666" s="61" t="str">
        <f t="shared" ref="L1666:L1729" si="190">IF($A1666="","",MAX(0,F1666+I1666-E1666))</f>
        <v/>
      </c>
      <c r="M1666" s="63" t="str">
        <f t="shared" ref="M1666:M1729" si="191">IF($A1666="","",IFERROR(I1666/D1666,0))</f>
        <v/>
      </c>
      <c r="N1666" s="64"/>
    </row>
    <row r="1667" spans="1:14" x14ac:dyDescent="0.3">
      <c r="A1667" s="58" t="str">
        <f>IF([1]weekly_demand!A1668="","",[1]weekly_demand!A1668)</f>
        <v/>
      </c>
      <c r="B1667" s="59" t="str">
        <f>IF($A1667="","",[1]weekly_demand!F1668)</f>
        <v/>
      </c>
      <c r="C1667" s="60" t="str">
        <f>IF($A1667="","",[1]weekly_demand!H1668)</f>
        <v/>
      </c>
      <c r="D1667" s="61" t="str">
        <f>IF($A1667="","",IF(SUMIFS([1]Fixture_Capacity_Input!$C:$C,[1]Fixture_Capacity_Input!$A:$A,$B1667,[1]Fixture_Capacity_Input!$B:$B,$C1667)&gt;0,SUMIFS([1]Fixture_Capacity_Input!$C:$C,[1]Fixture_Capacity_Input!$A:$A,$B1667,[1]Fixture_Capacity_Input!$B:$B,$C1667),[1]weekly_demand!G1668))</f>
        <v/>
      </c>
      <c r="E1667" s="62" t="str">
        <f>IF($A1667="","",[1]weekly_demand!I1668)</f>
        <v/>
      </c>
      <c r="F1667" s="61" t="str">
        <f>IF($A1667="","",IF($A1667&lt;&gt;$A1666,IFERROR(INDEX([1]FG_Begin_Inventory!$B:$B,MATCH($A1667,[1]FG_Begin_Inventory!$A:$A,0)),0),J1666))</f>
        <v/>
      </c>
      <c r="G1667" s="61" t="str">
        <f t="shared" si="185"/>
        <v/>
      </c>
      <c r="H1667" s="61" t="str">
        <f t="shared" si="186"/>
        <v/>
      </c>
      <c r="I1667" s="62" t="str">
        <f t="shared" si="187"/>
        <v/>
      </c>
      <c r="J1667" s="61" t="str">
        <f t="shared" si="188"/>
        <v/>
      </c>
      <c r="K1667" s="61" t="str">
        <f t="shared" si="189"/>
        <v/>
      </c>
      <c r="L1667" s="61" t="str">
        <f t="shared" si="190"/>
        <v/>
      </c>
      <c r="M1667" s="63" t="str">
        <f t="shared" si="191"/>
        <v/>
      </c>
      <c r="N1667" s="64"/>
    </row>
    <row r="1668" spans="1:14" x14ac:dyDescent="0.3">
      <c r="A1668" s="58" t="str">
        <f>IF([1]weekly_demand!A1669="","",[1]weekly_demand!A1669)</f>
        <v/>
      </c>
      <c r="B1668" s="59" t="str">
        <f>IF($A1668="","",[1]weekly_demand!F1669)</f>
        <v/>
      </c>
      <c r="C1668" s="60" t="str">
        <f>IF($A1668="","",[1]weekly_demand!H1669)</f>
        <v/>
      </c>
      <c r="D1668" s="61" t="str">
        <f>IF($A1668="","",IF(SUMIFS([1]Fixture_Capacity_Input!$C:$C,[1]Fixture_Capacity_Input!$A:$A,$B1668,[1]Fixture_Capacity_Input!$B:$B,$C1668)&gt;0,SUMIFS([1]Fixture_Capacity_Input!$C:$C,[1]Fixture_Capacity_Input!$A:$A,$B1668,[1]Fixture_Capacity_Input!$B:$B,$C1668),[1]weekly_demand!G1669))</f>
        <v/>
      </c>
      <c r="E1668" s="62" t="str">
        <f>IF($A1668="","",[1]weekly_demand!I1669)</f>
        <v/>
      </c>
      <c r="F1668" s="61" t="str">
        <f>IF($A1668="","",IF($A1668&lt;&gt;$A1667,IFERROR(INDEX([1]FG_Begin_Inventory!$B:$B,MATCH($A1668,[1]FG_Begin_Inventory!$A:$A,0)),0),J1667))</f>
        <v/>
      </c>
      <c r="G1668" s="61" t="str">
        <f t="shared" si="185"/>
        <v/>
      </c>
      <c r="H1668" s="61" t="str">
        <f t="shared" si="186"/>
        <v/>
      </c>
      <c r="I1668" s="62" t="str">
        <f t="shared" si="187"/>
        <v/>
      </c>
      <c r="J1668" s="61" t="str">
        <f t="shared" si="188"/>
        <v/>
      </c>
      <c r="K1668" s="61" t="str">
        <f t="shared" si="189"/>
        <v/>
      </c>
      <c r="L1668" s="61" t="str">
        <f t="shared" si="190"/>
        <v/>
      </c>
      <c r="M1668" s="63" t="str">
        <f t="shared" si="191"/>
        <v/>
      </c>
      <c r="N1668" s="64"/>
    </row>
    <row r="1669" spans="1:14" x14ac:dyDescent="0.3">
      <c r="A1669" s="58" t="str">
        <f>IF([1]weekly_demand!A1670="","",[1]weekly_demand!A1670)</f>
        <v/>
      </c>
      <c r="B1669" s="59" t="str">
        <f>IF($A1669="","",[1]weekly_demand!F1670)</f>
        <v/>
      </c>
      <c r="C1669" s="60" t="str">
        <f>IF($A1669="","",[1]weekly_demand!H1670)</f>
        <v/>
      </c>
      <c r="D1669" s="61" t="str">
        <f>IF($A1669="","",IF(SUMIFS([1]Fixture_Capacity_Input!$C:$C,[1]Fixture_Capacity_Input!$A:$A,$B1669,[1]Fixture_Capacity_Input!$B:$B,$C1669)&gt;0,SUMIFS([1]Fixture_Capacity_Input!$C:$C,[1]Fixture_Capacity_Input!$A:$A,$B1669,[1]Fixture_Capacity_Input!$B:$B,$C1669),[1]weekly_demand!G1670))</f>
        <v/>
      </c>
      <c r="E1669" s="62" t="str">
        <f>IF($A1669="","",[1]weekly_demand!I1670)</f>
        <v/>
      </c>
      <c r="F1669" s="61" t="str">
        <f>IF($A1669="","",IF($A1669&lt;&gt;$A1668,IFERROR(INDEX([1]FG_Begin_Inventory!$B:$B,MATCH($A1669,[1]FG_Begin_Inventory!$A:$A,0)),0),J1668))</f>
        <v/>
      </c>
      <c r="G1669" s="61" t="str">
        <f t="shared" si="185"/>
        <v/>
      </c>
      <c r="H1669" s="61" t="str">
        <f t="shared" si="186"/>
        <v/>
      </c>
      <c r="I1669" s="62" t="str">
        <f t="shared" si="187"/>
        <v/>
      </c>
      <c r="J1669" s="61" t="str">
        <f t="shared" si="188"/>
        <v/>
      </c>
      <c r="K1669" s="61" t="str">
        <f t="shared" si="189"/>
        <v/>
      </c>
      <c r="L1669" s="61" t="str">
        <f t="shared" si="190"/>
        <v/>
      </c>
      <c r="M1669" s="63" t="str">
        <f t="shared" si="191"/>
        <v/>
      </c>
      <c r="N1669" s="64"/>
    </row>
    <row r="1670" spans="1:14" x14ac:dyDescent="0.3">
      <c r="A1670" s="58" t="str">
        <f>IF([1]weekly_demand!A1671="","",[1]weekly_demand!A1671)</f>
        <v/>
      </c>
      <c r="B1670" s="59" t="str">
        <f>IF($A1670="","",[1]weekly_demand!F1671)</f>
        <v/>
      </c>
      <c r="C1670" s="60" t="str">
        <f>IF($A1670="","",[1]weekly_demand!H1671)</f>
        <v/>
      </c>
      <c r="D1670" s="61" t="str">
        <f>IF($A1670="","",IF(SUMIFS([1]Fixture_Capacity_Input!$C:$C,[1]Fixture_Capacity_Input!$A:$A,$B1670,[1]Fixture_Capacity_Input!$B:$B,$C1670)&gt;0,SUMIFS([1]Fixture_Capacity_Input!$C:$C,[1]Fixture_Capacity_Input!$A:$A,$B1670,[1]Fixture_Capacity_Input!$B:$B,$C1670),[1]weekly_demand!G1671))</f>
        <v/>
      </c>
      <c r="E1670" s="62" t="str">
        <f>IF($A1670="","",[1]weekly_demand!I1671)</f>
        <v/>
      </c>
      <c r="F1670" s="61" t="str">
        <f>IF($A1670="","",IF($A1670&lt;&gt;$A1669,IFERROR(INDEX([1]FG_Begin_Inventory!$B:$B,MATCH($A1670,[1]FG_Begin_Inventory!$A:$A,0)),0),J1669))</f>
        <v/>
      </c>
      <c r="G1670" s="61" t="str">
        <f t="shared" si="185"/>
        <v/>
      </c>
      <c r="H1670" s="61" t="str">
        <f t="shared" si="186"/>
        <v/>
      </c>
      <c r="I1670" s="62" t="str">
        <f t="shared" si="187"/>
        <v/>
      </c>
      <c r="J1670" s="61" t="str">
        <f t="shared" si="188"/>
        <v/>
      </c>
      <c r="K1670" s="61" t="str">
        <f t="shared" si="189"/>
        <v/>
      </c>
      <c r="L1670" s="61" t="str">
        <f t="shared" si="190"/>
        <v/>
      </c>
      <c r="M1670" s="63" t="str">
        <f t="shared" si="191"/>
        <v/>
      </c>
      <c r="N1670" s="64"/>
    </row>
    <row r="1671" spans="1:14" x14ac:dyDescent="0.3">
      <c r="A1671" s="58" t="str">
        <f>IF([1]weekly_demand!A1672="","",[1]weekly_demand!A1672)</f>
        <v/>
      </c>
      <c r="B1671" s="59" t="str">
        <f>IF($A1671="","",[1]weekly_demand!F1672)</f>
        <v/>
      </c>
      <c r="C1671" s="60" t="str">
        <f>IF($A1671="","",[1]weekly_demand!H1672)</f>
        <v/>
      </c>
      <c r="D1671" s="61" t="str">
        <f>IF($A1671="","",IF(SUMIFS([1]Fixture_Capacity_Input!$C:$C,[1]Fixture_Capacity_Input!$A:$A,$B1671,[1]Fixture_Capacity_Input!$B:$B,$C1671)&gt;0,SUMIFS([1]Fixture_Capacity_Input!$C:$C,[1]Fixture_Capacity_Input!$A:$A,$B1671,[1]Fixture_Capacity_Input!$B:$B,$C1671),[1]weekly_demand!G1672))</f>
        <v/>
      </c>
      <c r="E1671" s="62" t="str">
        <f>IF($A1671="","",[1]weekly_demand!I1672)</f>
        <v/>
      </c>
      <c r="F1671" s="61" t="str">
        <f>IF($A1671="","",IF($A1671&lt;&gt;$A1670,IFERROR(INDEX([1]FG_Begin_Inventory!$B:$B,MATCH($A1671,[1]FG_Begin_Inventory!$A:$A,0)),0),J1670))</f>
        <v/>
      </c>
      <c r="G1671" s="61" t="str">
        <f t="shared" si="185"/>
        <v/>
      </c>
      <c r="H1671" s="61" t="str">
        <f t="shared" si="186"/>
        <v/>
      </c>
      <c r="I1671" s="62" t="str">
        <f t="shared" si="187"/>
        <v/>
      </c>
      <c r="J1671" s="61" t="str">
        <f t="shared" si="188"/>
        <v/>
      </c>
      <c r="K1671" s="61" t="str">
        <f t="shared" si="189"/>
        <v/>
      </c>
      <c r="L1671" s="61" t="str">
        <f t="shared" si="190"/>
        <v/>
      </c>
      <c r="M1671" s="63" t="str">
        <f t="shared" si="191"/>
        <v/>
      </c>
      <c r="N1671" s="64"/>
    </row>
    <row r="1672" spans="1:14" x14ac:dyDescent="0.3">
      <c r="A1672" s="58" t="str">
        <f>IF([1]weekly_demand!A1673="","",[1]weekly_demand!A1673)</f>
        <v/>
      </c>
      <c r="B1672" s="59" t="str">
        <f>IF($A1672="","",[1]weekly_demand!F1673)</f>
        <v/>
      </c>
      <c r="C1672" s="60" t="str">
        <f>IF($A1672="","",[1]weekly_demand!H1673)</f>
        <v/>
      </c>
      <c r="D1672" s="61" t="str">
        <f>IF($A1672="","",IF(SUMIFS([1]Fixture_Capacity_Input!$C:$C,[1]Fixture_Capacity_Input!$A:$A,$B1672,[1]Fixture_Capacity_Input!$B:$B,$C1672)&gt;0,SUMIFS([1]Fixture_Capacity_Input!$C:$C,[1]Fixture_Capacity_Input!$A:$A,$B1672,[1]Fixture_Capacity_Input!$B:$B,$C1672),[1]weekly_demand!G1673))</f>
        <v/>
      </c>
      <c r="E1672" s="62" t="str">
        <f>IF($A1672="","",[1]weekly_demand!I1673)</f>
        <v/>
      </c>
      <c r="F1672" s="61" t="str">
        <f>IF($A1672="","",IF($A1672&lt;&gt;$A1671,IFERROR(INDEX([1]FG_Begin_Inventory!$B:$B,MATCH($A1672,[1]FG_Begin_Inventory!$A:$A,0)),0),J1671))</f>
        <v/>
      </c>
      <c r="G1672" s="61" t="str">
        <f t="shared" si="185"/>
        <v/>
      </c>
      <c r="H1672" s="61" t="str">
        <f t="shared" si="186"/>
        <v/>
      </c>
      <c r="I1672" s="62" t="str">
        <f t="shared" si="187"/>
        <v/>
      </c>
      <c r="J1672" s="61" t="str">
        <f t="shared" si="188"/>
        <v/>
      </c>
      <c r="K1672" s="61" t="str">
        <f t="shared" si="189"/>
        <v/>
      </c>
      <c r="L1672" s="61" t="str">
        <f t="shared" si="190"/>
        <v/>
      </c>
      <c r="M1672" s="63" t="str">
        <f t="shared" si="191"/>
        <v/>
      </c>
      <c r="N1672" s="64"/>
    </row>
    <row r="1673" spans="1:14" x14ac:dyDescent="0.3">
      <c r="A1673" s="58" t="str">
        <f>IF([1]weekly_demand!A1674="","",[1]weekly_demand!A1674)</f>
        <v/>
      </c>
      <c r="B1673" s="59" t="str">
        <f>IF($A1673="","",[1]weekly_demand!F1674)</f>
        <v/>
      </c>
      <c r="C1673" s="60" t="str">
        <f>IF($A1673="","",[1]weekly_demand!H1674)</f>
        <v/>
      </c>
      <c r="D1673" s="61" t="str">
        <f>IF($A1673="","",IF(SUMIFS([1]Fixture_Capacity_Input!$C:$C,[1]Fixture_Capacity_Input!$A:$A,$B1673,[1]Fixture_Capacity_Input!$B:$B,$C1673)&gt;0,SUMIFS([1]Fixture_Capacity_Input!$C:$C,[1]Fixture_Capacity_Input!$A:$A,$B1673,[1]Fixture_Capacity_Input!$B:$B,$C1673),[1]weekly_demand!G1674))</f>
        <v/>
      </c>
      <c r="E1673" s="62" t="str">
        <f>IF($A1673="","",[1]weekly_demand!I1674)</f>
        <v/>
      </c>
      <c r="F1673" s="61" t="str">
        <f>IF($A1673="","",IF($A1673&lt;&gt;$A1672,IFERROR(INDEX([1]FG_Begin_Inventory!$B:$B,MATCH($A1673,[1]FG_Begin_Inventory!$A:$A,0)),0),J1672))</f>
        <v/>
      </c>
      <c r="G1673" s="61" t="str">
        <f t="shared" si="185"/>
        <v/>
      </c>
      <c r="H1673" s="61" t="str">
        <f t="shared" si="186"/>
        <v/>
      </c>
      <c r="I1673" s="62" t="str">
        <f t="shared" si="187"/>
        <v/>
      </c>
      <c r="J1673" s="61" t="str">
        <f t="shared" si="188"/>
        <v/>
      </c>
      <c r="K1673" s="61" t="str">
        <f t="shared" si="189"/>
        <v/>
      </c>
      <c r="L1673" s="61" t="str">
        <f t="shared" si="190"/>
        <v/>
      </c>
      <c r="M1673" s="63" t="str">
        <f t="shared" si="191"/>
        <v/>
      </c>
      <c r="N1673" s="64"/>
    </row>
    <row r="1674" spans="1:14" x14ac:dyDescent="0.3">
      <c r="A1674" s="58" t="str">
        <f>IF([1]weekly_demand!A1675="","",[1]weekly_demand!A1675)</f>
        <v/>
      </c>
      <c r="B1674" s="59" t="str">
        <f>IF($A1674="","",[1]weekly_demand!F1675)</f>
        <v/>
      </c>
      <c r="C1674" s="60" t="str">
        <f>IF($A1674="","",[1]weekly_demand!H1675)</f>
        <v/>
      </c>
      <c r="D1674" s="61" t="str">
        <f>IF($A1674="","",IF(SUMIFS([1]Fixture_Capacity_Input!$C:$C,[1]Fixture_Capacity_Input!$A:$A,$B1674,[1]Fixture_Capacity_Input!$B:$B,$C1674)&gt;0,SUMIFS([1]Fixture_Capacity_Input!$C:$C,[1]Fixture_Capacity_Input!$A:$A,$B1674,[1]Fixture_Capacity_Input!$B:$B,$C1674),[1]weekly_demand!G1675))</f>
        <v/>
      </c>
      <c r="E1674" s="62" t="str">
        <f>IF($A1674="","",[1]weekly_demand!I1675)</f>
        <v/>
      </c>
      <c r="F1674" s="61" t="str">
        <f>IF($A1674="","",IF($A1674&lt;&gt;$A1673,IFERROR(INDEX([1]FG_Begin_Inventory!$B:$B,MATCH($A1674,[1]FG_Begin_Inventory!$A:$A,0)),0),J1673))</f>
        <v/>
      </c>
      <c r="G1674" s="61" t="str">
        <f t="shared" si="185"/>
        <v/>
      </c>
      <c r="H1674" s="61" t="str">
        <f t="shared" si="186"/>
        <v/>
      </c>
      <c r="I1674" s="62" t="str">
        <f t="shared" si="187"/>
        <v/>
      </c>
      <c r="J1674" s="61" t="str">
        <f t="shared" si="188"/>
        <v/>
      </c>
      <c r="K1674" s="61" t="str">
        <f t="shared" si="189"/>
        <v/>
      </c>
      <c r="L1674" s="61" t="str">
        <f t="shared" si="190"/>
        <v/>
      </c>
      <c r="M1674" s="63" t="str">
        <f t="shared" si="191"/>
        <v/>
      </c>
      <c r="N1674" s="64"/>
    </row>
    <row r="1675" spans="1:14" x14ac:dyDescent="0.3">
      <c r="A1675" s="58" t="str">
        <f>IF([1]weekly_demand!A1676="","",[1]weekly_demand!A1676)</f>
        <v/>
      </c>
      <c r="B1675" s="59" t="str">
        <f>IF($A1675="","",[1]weekly_demand!F1676)</f>
        <v/>
      </c>
      <c r="C1675" s="60" t="str">
        <f>IF($A1675="","",[1]weekly_demand!H1676)</f>
        <v/>
      </c>
      <c r="D1675" s="61" t="str">
        <f>IF($A1675="","",IF(SUMIFS([1]Fixture_Capacity_Input!$C:$C,[1]Fixture_Capacity_Input!$A:$A,$B1675,[1]Fixture_Capacity_Input!$B:$B,$C1675)&gt;0,SUMIFS([1]Fixture_Capacity_Input!$C:$C,[1]Fixture_Capacity_Input!$A:$A,$B1675,[1]Fixture_Capacity_Input!$B:$B,$C1675),[1]weekly_demand!G1676))</f>
        <v/>
      </c>
      <c r="E1675" s="62" t="str">
        <f>IF($A1675="","",[1]weekly_demand!I1676)</f>
        <v/>
      </c>
      <c r="F1675" s="61" t="str">
        <f>IF($A1675="","",IF($A1675&lt;&gt;$A1674,IFERROR(INDEX([1]FG_Begin_Inventory!$B:$B,MATCH($A1675,[1]FG_Begin_Inventory!$A:$A,0)),0),J1674))</f>
        <v/>
      </c>
      <c r="G1675" s="61" t="str">
        <f t="shared" si="185"/>
        <v/>
      </c>
      <c r="H1675" s="61" t="str">
        <f t="shared" si="186"/>
        <v/>
      </c>
      <c r="I1675" s="62" t="str">
        <f t="shared" si="187"/>
        <v/>
      </c>
      <c r="J1675" s="61" t="str">
        <f t="shared" si="188"/>
        <v/>
      </c>
      <c r="K1675" s="61" t="str">
        <f t="shared" si="189"/>
        <v/>
      </c>
      <c r="L1675" s="61" t="str">
        <f t="shared" si="190"/>
        <v/>
      </c>
      <c r="M1675" s="63" t="str">
        <f t="shared" si="191"/>
        <v/>
      </c>
      <c r="N1675" s="64"/>
    </row>
    <row r="1676" spans="1:14" x14ac:dyDescent="0.3">
      <c r="A1676" s="58" t="str">
        <f>IF([1]weekly_demand!A1677="","",[1]weekly_demand!A1677)</f>
        <v/>
      </c>
      <c r="B1676" s="59" t="str">
        <f>IF($A1676="","",[1]weekly_demand!F1677)</f>
        <v/>
      </c>
      <c r="C1676" s="60" t="str">
        <f>IF($A1676="","",[1]weekly_demand!H1677)</f>
        <v/>
      </c>
      <c r="D1676" s="61" t="str">
        <f>IF($A1676="","",IF(SUMIFS([1]Fixture_Capacity_Input!$C:$C,[1]Fixture_Capacity_Input!$A:$A,$B1676,[1]Fixture_Capacity_Input!$B:$B,$C1676)&gt;0,SUMIFS([1]Fixture_Capacity_Input!$C:$C,[1]Fixture_Capacity_Input!$A:$A,$B1676,[1]Fixture_Capacity_Input!$B:$B,$C1676),[1]weekly_demand!G1677))</f>
        <v/>
      </c>
      <c r="E1676" s="62" t="str">
        <f>IF($A1676="","",[1]weekly_demand!I1677)</f>
        <v/>
      </c>
      <c r="F1676" s="61" t="str">
        <f>IF($A1676="","",IF($A1676&lt;&gt;$A1675,IFERROR(INDEX([1]FG_Begin_Inventory!$B:$B,MATCH($A1676,[1]FG_Begin_Inventory!$A:$A,0)),0),J1675))</f>
        <v/>
      </c>
      <c r="G1676" s="61" t="str">
        <f t="shared" si="185"/>
        <v/>
      </c>
      <c r="H1676" s="61" t="str">
        <f t="shared" si="186"/>
        <v/>
      </c>
      <c r="I1676" s="62" t="str">
        <f t="shared" si="187"/>
        <v/>
      </c>
      <c r="J1676" s="61" t="str">
        <f t="shared" si="188"/>
        <v/>
      </c>
      <c r="K1676" s="61" t="str">
        <f t="shared" si="189"/>
        <v/>
      </c>
      <c r="L1676" s="61" t="str">
        <f t="shared" si="190"/>
        <v/>
      </c>
      <c r="M1676" s="63" t="str">
        <f t="shared" si="191"/>
        <v/>
      </c>
      <c r="N1676" s="64"/>
    </row>
    <row r="1677" spans="1:14" x14ac:dyDescent="0.3">
      <c r="A1677" s="58" t="str">
        <f>IF([1]weekly_demand!A1678="","",[1]weekly_demand!A1678)</f>
        <v/>
      </c>
      <c r="B1677" s="59" t="str">
        <f>IF($A1677="","",[1]weekly_demand!F1678)</f>
        <v/>
      </c>
      <c r="C1677" s="60" t="str">
        <f>IF($A1677="","",[1]weekly_demand!H1678)</f>
        <v/>
      </c>
      <c r="D1677" s="61" t="str">
        <f>IF($A1677="","",IF(SUMIFS([1]Fixture_Capacity_Input!$C:$C,[1]Fixture_Capacity_Input!$A:$A,$B1677,[1]Fixture_Capacity_Input!$B:$B,$C1677)&gt;0,SUMIFS([1]Fixture_Capacity_Input!$C:$C,[1]Fixture_Capacity_Input!$A:$A,$B1677,[1]Fixture_Capacity_Input!$B:$B,$C1677),[1]weekly_demand!G1678))</f>
        <v/>
      </c>
      <c r="E1677" s="62" t="str">
        <f>IF($A1677="","",[1]weekly_demand!I1678)</f>
        <v/>
      </c>
      <c r="F1677" s="61" t="str">
        <f>IF($A1677="","",IF($A1677&lt;&gt;$A1676,IFERROR(INDEX([1]FG_Begin_Inventory!$B:$B,MATCH($A1677,[1]FG_Begin_Inventory!$A:$A,0)),0),J1676))</f>
        <v/>
      </c>
      <c r="G1677" s="61" t="str">
        <f t="shared" si="185"/>
        <v/>
      </c>
      <c r="H1677" s="61" t="str">
        <f t="shared" si="186"/>
        <v/>
      </c>
      <c r="I1677" s="62" t="str">
        <f t="shared" si="187"/>
        <v/>
      </c>
      <c r="J1677" s="61" t="str">
        <f t="shared" si="188"/>
        <v/>
      </c>
      <c r="K1677" s="61" t="str">
        <f t="shared" si="189"/>
        <v/>
      </c>
      <c r="L1677" s="61" t="str">
        <f t="shared" si="190"/>
        <v/>
      </c>
      <c r="M1677" s="63" t="str">
        <f t="shared" si="191"/>
        <v/>
      </c>
      <c r="N1677" s="64"/>
    </row>
    <row r="1678" spans="1:14" x14ac:dyDescent="0.3">
      <c r="A1678" s="58" t="str">
        <f>IF([1]weekly_demand!A1679="","",[1]weekly_demand!A1679)</f>
        <v/>
      </c>
      <c r="B1678" s="59" t="str">
        <f>IF($A1678="","",[1]weekly_demand!F1679)</f>
        <v/>
      </c>
      <c r="C1678" s="60" t="str">
        <f>IF($A1678="","",[1]weekly_demand!H1679)</f>
        <v/>
      </c>
      <c r="D1678" s="61" t="str">
        <f>IF($A1678="","",IF(SUMIFS([1]Fixture_Capacity_Input!$C:$C,[1]Fixture_Capacity_Input!$A:$A,$B1678,[1]Fixture_Capacity_Input!$B:$B,$C1678)&gt;0,SUMIFS([1]Fixture_Capacity_Input!$C:$C,[1]Fixture_Capacity_Input!$A:$A,$B1678,[1]Fixture_Capacity_Input!$B:$B,$C1678),[1]weekly_demand!G1679))</f>
        <v/>
      </c>
      <c r="E1678" s="62" t="str">
        <f>IF($A1678="","",[1]weekly_demand!I1679)</f>
        <v/>
      </c>
      <c r="F1678" s="61" t="str">
        <f>IF($A1678="","",IF($A1678&lt;&gt;$A1677,IFERROR(INDEX([1]FG_Begin_Inventory!$B:$B,MATCH($A1678,[1]FG_Begin_Inventory!$A:$A,0)),0),J1677))</f>
        <v/>
      </c>
      <c r="G1678" s="61" t="str">
        <f t="shared" si="185"/>
        <v/>
      </c>
      <c r="H1678" s="61" t="str">
        <f t="shared" si="186"/>
        <v/>
      </c>
      <c r="I1678" s="62" t="str">
        <f t="shared" si="187"/>
        <v/>
      </c>
      <c r="J1678" s="61" t="str">
        <f t="shared" si="188"/>
        <v/>
      </c>
      <c r="K1678" s="61" t="str">
        <f t="shared" si="189"/>
        <v/>
      </c>
      <c r="L1678" s="61" t="str">
        <f t="shared" si="190"/>
        <v/>
      </c>
      <c r="M1678" s="63" t="str">
        <f t="shared" si="191"/>
        <v/>
      </c>
      <c r="N1678" s="64"/>
    </row>
    <row r="1679" spans="1:14" x14ac:dyDescent="0.3">
      <c r="A1679" s="58" t="str">
        <f>IF([1]weekly_demand!A1680="","",[1]weekly_demand!A1680)</f>
        <v/>
      </c>
      <c r="B1679" s="59" t="str">
        <f>IF($A1679="","",[1]weekly_demand!F1680)</f>
        <v/>
      </c>
      <c r="C1679" s="60" t="str">
        <f>IF($A1679="","",[1]weekly_demand!H1680)</f>
        <v/>
      </c>
      <c r="D1679" s="61" t="str">
        <f>IF($A1679="","",IF(SUMIFS([1]Fixture_Capacity_Input!$C:$C,[1]Fixture_Capacity_Input!$A:$A,$B1679,[1]Fixture_Capacity_Input!$B:$B,$C1679)&gt;0,SUMIFS([1]Fixture_Capacity_Input!$C:$C,[1]Fixture_Capacity_Input!$A:$A,$B1679,[1]Fixture_Capacity_Input!$B:$B,$C1679),[1]weekly_demand!G1680))</f>
        <v/>
      </c>
      <c r="E1679" s="62" t="str">
        <f>IF($A1679="","",[1]weekly_demand!I1680)</f>
        <v/>
      </c>
      <c r="F1679" s="61" t="str">
        <f>IF($A1679="","",IF($A1679&lt;&gt;$A1678,IFERROR(INDEX([1]FG_Begin_Inventory!$B:$B,MATCH($A1679,[1]FG_Begin_Inventory!$A:$A,0)),0),J1678))</f>
        <v/>
      </c>
      <c r="G1679" s="61" t="str">
        <f t="shared" si="185"/>
        <v/>
      </c>
      <c r="H1679" s="61" t="str">
        <f t="shared" si="186"/>
        <v/>
      </c>
      <c r="I1679" s="62" t="str">
        <f t="shared" si="187"/>
        <v/>
      </c>
      <c r="J1679" s="61" t="str">
        <f t="shared" si="188"/>
        <v/>
      </c>
      <c r="K1679" s="61" t="str">
        <f t="shared" si="189"/>
        <v/>
      </c>
      <c r="L1679" s="61" t="str">
        <f t="shared" si="190"/>
        <v/>
      </c>
      <c r="M1679" s="63" t="str">
        <f t="shared" si="191"/>
        <v/>
      </c>
      <c r="N1679" s="64"/>
    </row>
    <row r="1680" spans="1:14" x14ac:dyDescent="0.3">
      <c r="A1680" s="58" t="str">
        <f>IF([1]weekly_demand!A1681="","",[1]weekly_demand!A1681)</f>
        <v/>
      </c>
      <c r="B1680" s="59" t="str">
        <f>IF($A1680="","",[1]weekly_demand!F1681)</f>
        <v/>
      </c>
      <c r="C1680" s="60" t="str">
        <f>IF($A1680="","",[1]weekly_demand!H1681)</f>
        <v/>
      </c>
      <c r="D1680" s="61" t="str">
        <f>IF($A1680="","",IF(SUMIFS([1]Fixture_Capacity_Input!$C:$C,[1]Fixture_Capacity_Input!$A:$A,$B1680,[1]Fixture_Capacity_Input!$B:$B,$C1680)&gt;0,SUMIFS([1]Fixture_Capacity_Input!$C:$C,[1]Fixture_Capacity_Input!$A:$A,$B1680,[1]Fixture_Capacity_Input!$B:$B,$C1680),[1]weekly_demand!G1681))</f>
        <v/>
      </c>
      <c r="E1680" s="62" t="str">
        <f>IF($A1680="","",[1]weekly_demand!I1681)</f>
        <v/>
      </c>
      <c r="F1680" s="61" t="str">
        <f>IF($A1680="","",IF($A1680&lt;&gt;$A1679,IFERROR(INDEX([1]FG_Begin_Inventory!$B:$B,MATCH($A1680,[1]FG_Begin_Inventory!$A:$A,0)),0),J1679))</f>
        <v/>
      </c>
      <c r="G1680" s="61" t="str">
        <f t="shared" si="185"/>
        <v/>
      </c>
      <c r="H1680" s="61" t="str">
        <f t="shared" si="186"/>
        <v/>
      </c>
      <c r="I1680" s="62" t="str">
        <f t="shared" si="187"/>
        <v/>
      </c>
      <c r="J1680" s="61" t="str">
        <f t="shared" si="188"/>
        <v/>
      </c>
      <c r="K1680" s="61" t="str">
        <f t="shared" si="189"/>
        <v/>
      </c>
      <c r="L1680" s="61" t="str">
        <f t="shared" si="190"/>
        <v/>
      </c>
      <c r="M1680" s="63" t="str">
        <f t="shared" si="191"/>
        <v/>
      </c>
      <c r="N1680" s="64"/>
    </row>
    <row r="1681" spans="1:14" x14ac:dyDescent="0.3">
      <c r="A1681" s="58" t="str">
        <f>IF([1]weekly_demand!A1682="","",[1]weekly_demand!A1682)</f>
        <v/>
      </c>
      <c r="B1681" s="59" t="str">
        <f>IF($A1681="","",[1]weekly_demand!F1682)</f>
        <v/>
      </c>
      <c r="C1681" s="60" t="str">
        <f>IF($A1681="","",[1]weekly_demand!H1682)</f>
        <v/>
      </c>
      <c r="D1681" s="61" t="str">
        <f>IF($A1681="","",IF(SUMIFS([1]Fixture_Capacity_Input!$C:$C,[1]Fixture_Capacity_Input!$A:$A,$B1681,[1]Fixture_Capacity_Input!$B:$B,$C1681)&gt;0,SUMIFS([1]Fixture_Capacity_Input!$C:$C,[1]Fixture_Capacity_Input!$A:$A,$B1681,[1]Fixture_Capacity_Input!$B:$B,$C1681),[1]weekly_demand!G1682))</f>
        <v/>
      </c>
      <c r="E1681" s="62" t="str">
        <f>IF($A1681="","",[1]weekly_demand!I1682)</f>
        <v/>
      </c>
      <c r="F1681" s="61" t="str">
        <f>IF($A1681="","",IF($A1681&lt;&gt;$A1680,IFERROR(INDEX([1]FG_Begin_Inventory!$B:$B,MATCH($A1681,[1]FG_Begin_Inventory!$A:$A,0)),0),J1680))</f>
        <v/>
      </c>
      <c r="G1681" s="61" t="str">
        <f t="shared" si="185"/>
        <v/>
      </c>
      <c r="H1681" s="61" t="str">
        <f t="shared" si="186"/>
        <v/>
      </c>
      <c r="I1681" s="62" t="str">
        <f t="shared" si="187"/>
        <v/>
      </c>
      <c r="J1681" s="61" t="str">
        <f t="shared" si="188"/>
        <v/>
      </c>
      <c r="K1681" s="61" t="str">
        <f t="shared" si="189"/>
        <v/>
      </c>
      <c r="L1681" s="61" t="str">
        <f t="shared" si="190"/>
        <v/>
      </c>
      <c r="M1681" s="63" t="str">
        <f t="shared" si="191"/>
        <v/>
      </c>
      <c r="N1681" s="64"/>
    </row>
    <row r="1682" spans="1:14" x14ac:dyDescent="0.3">
      <c r="A1682" s="58" t="str">
        <f>IF([1]weekly_demand!A1683="","",[1]weekly_demand!A1683)</f>
        <v/>
      </c>
      <c r="B1682" s="59" t="str">
        <f>IF($A1682="","",[1]weekly_demand!F1683)</f>
        <v/>
      </c>
      <c r="C1682" s="60" t="str">
        <f>IF($A1682="","",[1]weekly_demand!H1683)</f>
        <v/>
      </c>
      <c r="D1682" s="61" t="str">
        <f>IF($A1682="","",IF(SUMIFS([1]Fixture_Capacity_Input!$C:$C,[1]Fixture_Capacity_Input!$A:$A,$B1682,[1]Fixture_Capacity_Input!$B:$B,$C1682)&gt;0,SUMIFS([1]Fixture_Capacity_Input!$C:$C,[1]Fixture_Capacity_Input!$A:$A,$B1682,[1]Fixture_Capacity_Input!$B:$B,$C1682),[1]weekly_demand!G1683))</f>
        <v/>
      </c>
      <c r="E1682" s="62" t="str">
        <f>IF($A1682="","",[1]weekly_demand!I1683)</f>
        <v/>
      </c>
      <c r="F1682" s="61" t="str">
        <f>IF($A1682="","",IF($A1682&lt;&gt;$A1681,IFERROR(INDEX([1]FG_Begin_Inventory!$B:$B,MATCH($A1682,[1]FG_Begin_Inventory!$A:$A,0)),0),J1681))</f>
        <v/>
      </c>
      <c r="G1682" s="61" t="str">
        <f t="shared" si="185"/>
        <v/>
      </c>
      <c r="H1682" s="61" t="str">
        <f t="shared" si="186"/>
        <v/>
      </c>
      <c r="I1682" s="62" t="str">
        <f t="shared" si="187"/>
        <v/>
      </c>
      <c r="J1682" s="61" t="str">
        <f t="shared" si="188"/>
        <v/>
      </c>
      <c r="K1682" s="61" t="str">
        <f t="shared" si="189"/>
        <v/>
      </c>
      <c r="L1682" s="61" t="str">
        <f t="shared" si="190"/>
        <v/>
      </c>
      <c r="M1682" s="63" t="str">
        <f t="shared" si="191"/>
        <v/>
      </c>
      <c r="N1682" s="64"/>
    </row>
    <row r="1683" spans="1:14" x14ac:dyDescent="0.3">
      <c r="A1683" s="58" t="str">
        <f>IF([1]weekly_demand!A1684="","",[1]weekly_demand!A1684)</f>
        <v/>
      </c>
      <c r="B1683" s="59" t="str">
        <f>IF($A1683="","",[1]weekly_demand!F1684)</f>
        <v/>
      </c>
      <c r="C1683" s="60" t="str">
        <f>IF($A1683="","",[1]weekly_demand!H1684)</f>
        <v/>
      </c>
      <c r="D1683" s="61" t="str">
        <f>IF($A1683="","",IF(SUMIFS([1]Fixture_Capacity_Input!$C:$C,[1]Fixture_Capacity_Input!$A:$A,$B1683,[1]Fixture_Capacity_Input!$B:$B,$C1683)&gt;0,SUMIFS([1]Fixture_Capacity_Input!$C:$C,[1]Fixture_Capacity_Input!$A:$A,$B1683,[1]Fixture_Capacity_Input!$B:$B,$C1683),[1]weekly_demand!G1684))</f>
        <v/>
      </c>
      <c r="E1683" s="62" t="str">
        <f>IF($A1683="","",[1]weekly_demand!I1684)</f>
        <v/>
      </c>
      <c r="F1683" s="61" t="str">
        <f>IF($A1683="","",IF($A1683&lt;&gt;$A1682,IFERROR(INDEX([1]FG_Begin_Inventory!$B:$B,MATCH($A1683,[1]FG_Begin_Inventory!$A:$A,0)),0),J1682))</f>
        <v/>
      </c>
      <c r="G1683" s="61" t="str">
        <f t="shared" si="185"/>
        <v/>
      </c>
      <c r="H1683" s="61" t="str">
        <f t="shared" si="186"/>
        <v/>
      </c>
      <c r="I1683" s="62" t="str">
        <f t="shared" si="187"/>
        <v/>
      </c>
      <c r="J1683" s="61" t="str">
        <f t="shared" si="188"/>
        <v/>
      </c>
      <c r="K1683" s="61" t="str">
        <f t="shared" si="189"/>
        <v/>
      </c>
      <c r="L1683" s="61" t="str">
        <f t="shared" si="190"/>
        <v/>
      </c>
      <c r="M1683" s="63" t="str">
        <f t="shared" si="191"/>
        <v/>
      </c>
      <c r="N1683" s="64"/>
    </row>
    <row r="1684" spans="1:14" x14ac:dyDescent="0.3">
      <c r="A1684" s="58" t="str">
        <f>IF([1]weekly_demand!A1685="","",[1]weekly_demand!A1685)</f>
        <v/>
      </c>
      <c r="B1684" s="59" t="str">
        <f>IF($A1684="","",[1]weekly_demand!F1685)</f>
        <v/>
      </c>
      <c r="C1684" s="60" t="str">
        <f>IF($A1684="","",[1]weekly_demand!H1685)</f>
        <v/>
      </c>
      <c r="D1684" s="61" t="str">
        <f>IF($A1684="","",IF(SUMIFS([1]Fixture_Capacity_Input!$C:$C,[1]Fixture_Capacity_Input!$A:$A,$B1684,[1]Fixture_Capacity_Input!$B:$B,$C1684)&gt;0,SUMIFS([1]Fixture_Capacity_Input!$C:$C,[1]Fixture_Capacity_Input!$A:$A,$B1684,[1]Fixture_Capacity_Input!$B:$B,$C1684),[1]weekly_demand!G1685))</f>
        <v/>
      </c>
      <c r="E1684" s="62" t="str">
        <f>IF($A1684="","",[1]weekly_demand!I1685)</f>
        <v/>
      </c>
      <c r="F1684" s="61" t="str">
        <f>IF($A1684="","",IF($A1684&lt;&gt;$A1683,IFERROR(INDEX([1]FG_Begin_Inventory!$B:$B,MATCH($A1684,[1]FG_Begin_Inventory!$A:$A,0)),0),J1683))</f>
        <v/>
      </c>
      <c r="G1684" s="61" t="str">
        <f t="shared" si="185"/>
        <v/>
      </c>
      <c r="H1684" s="61" t="str">
        <f t="shared" si="186"/>
        <v/>
      </c>
      <c r="I1684" s="62" t="str">
        <f t="shared" si="187"/>
        <v/>
      </c>
      <c r="J1684" s="61" t="str">
        <f t="shared" si="188"/>
        <v/>
      </c>
      <c r="K1684" s="61" t="str">
        <f t="shared" si="189"/>
        <v/>
      </c>
      <c r="L1684" s="61" t="str">
        <f t="shared" si="190"/>
        <v/>
      </c>
      <c r="M1684" s="63" t="str">
        <f t="shared" si="191"/>
        <v/>
      </c>
      <c r="N1684" s="64"/>
    </row>
    <row r="1685" spans="1:14" x14ac:dyDescent="0.3">
      <c r="A1685" s="58" t="str">
        <f>IF([1]weekly_demand!A1686="","",[1]weekly_demand!A1686)</f>
        <v/>
      </c>
      <c r="B1685" s="59" t="str">
        <f>IF($A1685="","",[1]weekly_demand!F1686)</f>
        <v/>
      </c>
      <c r="C1685" s="60" t="str">
        <f>IF($A1685="","",[1]weekly_demand!H1686)</f>
        <v/>
      </c>
      <c r="D1685" s="61" t="str">
        <f>IF($A1685="","",IF(SUMIFS([1]Fixture_Capacity_Input!$C:$C,[1]Fixture_Capacity_Input!$A:$A,$B1685,[1]Fixture_Capacity_Input!$B:$B,$C1685)&gt;0,SUMIFS([1]Fixture_Capacity_Input!$C:$C,[1]Fixture_Capacity_Input!$A:$A,$B1685,[1]Fixture_Capacity_Input!$B:$B,$C1685),[1]weekly_demand!G1686))</f>
        <v/>
      </c>
      <c r="E1685" s="62" t="str">
        <f>IF($A1685="","",[1]weekly_demand!I1686)</f>
        <v/>
      </c>
      <c r="F1685" s="61" t="str">
        <f>IF($A1685="","",IF($A1685&lt;&gt;$A1684,IFERROR(INDEX([1]FG_Begin_Inventory!$B:$B,MATCH($A1685,[1]FG_Begin_Inventory!$A:$A,0)),0),J1684))</f>
        <v/>
      </c>
      <c r="G1685" s="61" t="str">
        <f t="shared" si="185"/>
        <v/>
      </c>
      <c r="H1685" s="61" t="str">
        <f t="shared" si="186"/>
        <v/>
      </c>
      <c r="I1685" s="62" t="str">
        <f t="shared" si="187"/>
        <v/>
      </c>
      <c r="J1685" s="61" t="str">
        <f t="shared" si="188"/>
        <v/>
      </c>
      <c r="K1685" s="61" t="str">
        <f t="shared" si="189"/>
        <v/>
      </c>
      <c r="L1685" s="61" t="str">
        <f t="shared" si="190"/>
        <v/>
      </c>
      <c r="M1685" s="63" t="str">
        <f t="shared" si="191"/>
        <v/>
      </c>
      <c r="N1685" s="64"/>
    </row>
    <row r="1686" spans="1:14" x14ac:dyDescent="0.3">
      <c r="A1686" s="58" t="str">
        <f>IF([1]weekly_demand!A1687="","",[1]weekly_demand!A1687)</f>
        <v/>
      </c>
      <c r="B1686" s="59" t="str">
        <f>IF($A1686="","",[1]weekly_demand!F1687)</f>
        <v/>
      </c>
      <c r="C1686" s="60" t="str">
        <f>IF($A1686="","",[1]weekly_demand!H1687)</f>
        <v/>
      </c>
      <c r="D1686" s="61" t="str">
        <f>IF($A1686="","",IF(SUMIFS([1]Fixture_Capacity_Input!$C:$C,[1]Fixture_Capacity_Input!$A:$A,$B1686,[1]Fixture_Capacity_Input!$B:$B,$C1686)&gt;0,SUMIFS([1]Fixture_Capacity_Input!$C:$C,[1]Fixture_Capacity_Input!$A:$A,$B1686,[1]Fixture_Capacity_Input!$B:$B,$C1686),[1]weekly_demand!G1687))</f>
        <v/>
      </c>
      <c r="E1686" s="62" t="str">
        <f>IF($A1686="","",[1]weekly_demand!I1687)</f>
        <v/>
      </c>
      <c r="F1686" s="61" t="str">
        <f>IF($A1686="","",IF($A1686&lt;&gt;$A1685,IFERROR(INDEX([1]FG_Begin_Inventory!$B:$B,MATCH($A1686,[1]FG_Begin_Inventory!$A:$A,0)),0),J1685))</f>
        <v/>
      </c>
      <c r="G1686" s="61" t="str">
        <f t="shared" si="185"/>
        <v/>
      </c>
      <c r="H1686" s="61" t="str">
        <f t="shared" si="186"/>
        <v/>
      </c>
      <c r="I1686" s="62" t="str">
        <f t="shared" si="187"/>
        <v/>
      </c>
      <c r="J1686" s="61" t="str">
        <f t="shared" si="188"/>
        <v/>
      </c>
      <c r="K1686" s="61" t="str">
        <f t="shared" si="189"/>
        <v/>
      </c>
      <c r="L1686" s="61" t="str">
        <f t="shared" si="190"/>
        <v/>
      </c>
      <c r="M1686" s="63" t="str">
        <f t="shared" si="191"/>
        <v/>
      </c>
      <c r="N1686" s="64"/>
    </row>
    <row r="1687" spans="1:14" x14ac:dyDescent="0.3">
      <c r="A1687" s="58" t="str">
        <f>IF([1]weekly_demand!A1688="","",[1]weekly_demand!A1688)</f>
        <v/>
      </c>
      <c r="B1687" s="59" t="str">
        <f>IF($A1687="","",[1]weekly_demand!F1688)</f>
        <v/>
      </c>
      <c r="C1687" s="60" t="str">
        <f>IF($A1687="","",[1]weekly_demand!H1688)</f>
        <v/>
      </c>
      <c r="D1687" s="61" t="str">
        <f>IF($A1687="","",IF(SUMIFS([1]Fixture_Capacity_Input!$C:$C,[1]Fixture_Capacity_Input!$A:$A,$B1687,[1]Fixture_Capacity_Input!$B:$B,$C1687)&gt;0,SUMIFS([1]Fixture_Capacity_Input!$C:$C,[1]Fixture_Capacity_Input!$A:$A,$B1687,[1]Fixture_Capacity_Input!$B:$B,$C1687),[1]weekly_demand!G1688))</f>
        <v/>
      </c>
      <c r="E1687" s="62" t="str">
        <f>IF($A1687="","",[1]weekly_demand!I1688)</f>
        <v/>
      </c>
      <c r="F1687" s="61" t="str">
        <f>IF($A1687="","",IF($A1687&lt;&gt;$A1686,IFERROR(INDEX([1]FG_Begin_Inventory!$B:$B,MATCH($A1687,[1]FG_Begin_Inventory!$A:$A,0)),0),J1686))</f>
        <v/>
      </c>
      <c r="G1687" s="61" t="str">
        <f t="shared" si="185"/>
        <v/>
      </c>
      <c r="H1687" s="61" t="str">
        <f t="shared" si="186"/>
        <v/>
      </c>
      <c r="I1687" s="62" t="str">
        <f t="shared" si="187"/>
        <v/>
      </c>
      <c r="J1687" s="61" t="str">
        <f t="shared" si="188"/>
        <v/>
      </c>
      <c r="K1687" s="61" t="str">
        <f t="shared" si="189"/>
        <v/>
      </c>
      <c r="L1687" s="61" t="str">
        <f t="shared" si="190"/>
        <v/>
      </c>
      <c r="M1687" s="63" t="str">
        <f t="shared" si="191"/>
        <v/>
      </c>
      <c r="N1687" s="64"/>
    </row>
    <row r="1688" spans="1:14" x14ac:dyDescent="0.3">
      <c r="A1688" s="58" t="str">
        <f>IF([1]weekly_demand!A1689="","",[1]weekly_demand!A1689)</f>
        <v/>
      </c>
      <c r="B1688" s="59" t="str">
        <f>IF($A1688="","",[1]weekly_demand!F1689)</f>
        <v/>
      </c>
      <c r="C1688" s="60" t="str">
        <f>IF($A1688="","",[1]weekly_demand!H1689)</f>
        <v/>
      </c>
      <c r="D1688" s="61" t="str">
        <f>IF($A1688="","",IF(SUMIFS([1]Fixture_Capacity_Input!$C:$C,[1]Fixture_Capacity_Input!$A:$A,$B1688,[1]Fixture_Capacity_Input!$B:$B,$C1688)&gt;0,SUMIFS([1]Fixture_Capacity_Input!$C:$C,[1]Fixture_Capacity_Input!$A:$A,$B1688,[1]Fixture_Capacity_Input!$B:$B,$C1688),[1]weekly_demand!G1689))</f>
        <v/>
      </c>
      <c r="E1688" s="62" t="str">
        <f>IF($A1688="","",[1]weekly_demand!I1689)</f>
        <v/>
      </c>
      <c r="F1688" s="61" t="str">
        <f>IF($A1688="","",IF($A1688&lt;&gt;$A1687,IFERROR(INDEX([1]FG_Begin_Inventory!$B:$B,MATCH($A1688,[1]FG_Begin_Inventory!$A:$A,0)),0),J1687))</f>
        <v/>
      </c>
      <c r="G1688" s="61" t="str">
        <f t="shared" si="185"/>
        <v/>
      </c>
      <c r="H1688" s="61" t="str">
        <f t="shared" si="186"/>
        <v/>
      </c>
      <c r="I1688" s="62" t="str">
        <f t="shared" si="187"/>
        <v/>
      </c>
      <c r="J1688" s="61" t="str">
        <f t="shared" si="188"/>
        <v/>
      </c>
      <c r="K1688" s="61" t="str">
        <f t="shared" si="189"/>
        <v/>
      </c>
      <c r="L1688" s="61" t="str">
        <f t="shared" si="190"/>
        <v/>
      </c>
      <c r="M1688" s="63" t="str">
        <f t="shared" si="191"/>
        <v/>
      </c>
      <c r="N1688" s="64"/>
    </row>
    <row r="1689" spans="1:14" x14ac:dyDescent="0.3">
      <c r="A1689" s="58" t="str">
        <f>IF([1]weekly_demand!A1690="","",[1]weekly_demand!A1690)</f>
        <v/>
      </c>
      <c r="B1689" s="59" t="str">
        <f>IF($A1689="","",[1]weekly_demand!F1690)</f>
        <v/>
      </c>
      <c r="C1689" s="60" t="str">
        <f>IF($A1689="","",[1]weekly_demand!H1690)</f>
        <v/>
      </c>
      <c r="D1689" s="61" t="str">
        <f>IF($A1689="","",IF(SUMIFS([1]Fixture_Capacity_Input!$C:$C,[1]Fixture_Capacity_Input!$A:$A,$B1689,[1]Fixture_Capacity_Input!$B:$B,$C1689)&gt;0,SUMIFS([1]Fixture_Capacity_Input!$C:$C,[1]Fixture_Capacity_Input!$A:$A,$B1689,[1]Fixture_Capacity_Input!$B:$B,$C1689),[1]weekly_demand!G1690))</f>
        <v/>
      </c>
      <c r="E1689" s="62" t="str">
        <f>IF($A1689="","",[1]weekly_demand!I1690)</f>
        <v/>
      </c>
      <c r="F1689" s="61" t="str">
        <f>IF($A1689="","",IF($A1689&lt;&gt;$A1688,IFERROR(INDEX([1]FG_Begin_Inventory!$B:$B,MATCH($A1689,[1]FG_Begin_Inventory!$A:$A,0)),0),J1688))</f>
        <v/>
      </c>
      <c r="G1689" s="61" t="str">
        <f t="shared" si="185"/>
        <v/>
      </c>
      <c r="H1689" s="61" t="str">
        <f t="shared" si="186"/>
        <v/>
      </c>
      <c r="I1689" s="62" t="str">
        <f t="shared" si="187"/>
        <v/>
      </c>
      <c r="J1689" s="61" t="str">
        <f t="shared" si="188"/>
        <v/>
      </c>
      <c r="K1689" s="61" t="str">
        <f t="shared" si="189"/>
        <v/>
      </c>
      <c r="L1689" s="61" t="str">
        <f t="shared" si="190"/>
        <v/>
      </c>
      <c r="M1689" s="63" t="str">
        <f t="shared" si="191"/>
        <v/>
      </c>
      <c r="N1689" s="64"/>
    </row>
    <row r="1690" spans="1:14" x14ac:dyDescent="0.3">
      <c r="A1690" s="58" t="str">
        <f>IF([1]weekly_demand!A1691="","",[1]weekly_demand!A1691)</f>
        <v/>
      </c>
      <c r="B1690" s="59" t="str">
        <f>IF($A1690="","",[1]weekly_demand!F1691)</f>
        <v/>
      </c>
      <c r="C1690" s="60" t="str">
        <f>IF($A1690="","",[1]weekly_demand!H1691)</f>
        <v/>
      </c>
      <c r="D1690" s="61" t="str">
        <f>IF($A1690="","",IF(SUMIFS([1]Fixture_Capacity_Input!$C:$C,[1]Fixture_Capacity_Input!$A:$A,$B1690,[1]Fixture_Capacity_Input!$B:$B,$C1690)&gt;0,SUMIFS([1]Fixture_Capacity_Input!$C:$C,[1]Fixture_Capacity_Input!$A:$A,$B1690,[1]Fixture_Capacity_Input!$B:$B,$C1690),[1]weekly_demand!G1691))</f>
        <v/>
      </c>
      <c r="E1690" s="62" t="str">
        <f>IF($A1690="","",[1]weekly_demand!I1691)</f>
        <v/>
      </c>
      <c r="F1690" s="61" t="str">
        <f>IF($A1690="","",IF($A1690&lt;&gt;$A1689,IFERROR(INDEX([1]FG_Begin_Inventory!$B:$B,MATCH($A1690,[1]FG_Begin_Inventory!$A:$A,0)),0),J1689))</f>
        <v/>
      </c>
      <c r="G1690" s="61" t="str">
        <f t="shared" si="185"/>
        <v/>
      </c>
      <c r="H1690" s="61" t="str">
        <f t="shared" si="186"/>
        <v/>
      </c>
      <c r="I1690" s="62" t="str">
        <f t="shared" si="187"/>
        <v/>
      </c>
      <c r="J1690" s="61" t="str">
        <f t="shared" si="188"/>
        <v/>
      </c>
      <c r="K1690" s="61" t="str">
        <f t="shared" si="189"/>
        <v/>
      </c>
      <c r="L1690" s="61" t="str">
        <f t="shared" si="190"/>
        <v/>
      </c>
      <c r="M1690" s="63" t="str">
        <f t="shared" si="191"/>
        <v/>
      </c>
      <c r="N1690" s="64"/>
    </row>
    <row r="1691" spans="1:14" x14ac:dyDescent="0.3">
      <c r="A1691" s="58" t="str">
        <f>IF([1]weekly_demand!A1692="","",[1]weekly_demand!A1692)</f>
        <v/>
      </c>
      <c r="B1691" s="59" t="str">
        <f>IF($A1691="","",[1]weekly_demand!F1692)</f>
        <v/>
      </c>
      <c r="C1691" s="60" t="str">
        <f>IF($A1691="","",[1]weekly_demand!H1692)</f>
        <v/>
      </c>
      <c r="D1691" s="61" t="str">
        <f>IF($A1691="","",IF(SUMIFS([1]Fixture_Capacity_Input!$C:$C,[1]Fixture_Capacity_Input!$A:$A,$B1691,[1]Fixture_Capacity_Input!$B:$B,$C1691)&gt;0,SUMIFS([1]Fixture_Capacity_Input!$C:$C,[1]Fixture_Capacity_Input!$A:$A,$B1691,[1]Fixture_Capacity_Input!$B:$B,$C1691),[1]weekly_demand!G1692))</f>
        <v/>
      </c>
      <c r="E1691" s="62" t="str">
        <f>IF($A1691="","",[1]weekly_demand!I1692)</f>
        <v/>
      </c>
      <c r="F1691" s="61" t="str">
        <f>IF($A1691="","",IF($A1691&lt;&gt;$A1690,IFERROR(INDEX([1]FG_Begin_Inventory!$B:$B,MATCH($A1691,[1]FG_Begin_Inventory!$A:$A,0)),0),J1690))</f>
        <v/>
      </c>
      <c r="G1691" s="61" t="str">
        <f t="shared" si="185"/>
        <v/>
      </c>
      <c r="H1691" s="61" t="str">
        <f t="shared" si="186"/>
        <v/>
      </c>
      <c r="I1691" s="62" t="str">
        <f t="shared" si="187"/>
        <v/>
      </c>
      <c r="J1691" s="61" t="str">
        <f t="shared" si="188"/>
        <v/>
      </c>
      <c r="K1691" s="61" t="str">
        <f t="shared" si="189"/>
        <v/>
      </c>
      <c r="L1691" s="61" t="str">
        <f t="shared" si="190"/>
        <v/>
      </c>
      <c r="M1691" s="63" t="str">
        <f t="shared" si="191"/>
        <v/>
      </c>
      <c r="N1691" s="64"/>
    </row>
    <row r="1692" spans="1:14" x14ac:dyDescent="0.3">
      <c r="A1692" s="58" t="str">
        <f>IF([1]weekly_demand!A1693="","",[1]weekly_demand!A1693)</f>
        <v/>
      </c>
      <c r="B1692" s="59" t="str">
        <f>IF($A1692="","",[1]weekly_demand!F1693)</f>
        <v/>
      </c>
      <c r="C1692" s="60" t="str">
        <f>IF($A1692="","",[1]weekly_demand!H1693)</f>
        <v/>
      </c>
      <c r="D1692" s="61" t="str">
        <f>IF($A1692="","",IF(SUMIFS([1]Fixture_Capacity_Input!$C:$C,[1]Fixture_Capacity_Input!$A:$A,$B1692,[1]Fixture_Capacity_Input!$B:$B,$C1692)&gt;0,SUMIFS([1]Fixture_Capacity_Input!$C:$C,[1]Fixture_Capacity_Input!$A:$A,$B1692,[1]Fixture_Capacity_Input!$B:$B,$C1692),[1]weekly_demand!G1693))</f>
        <v/>
      </c>
      <c r="E1692" s="62" t="str">
        <f>IF($A1692="","",[1]weekly_demand!I1693)</f>
        <v/>
      </c>
      <c r="F1692" s="61" t="str">
        <f>IF($A1692="","",IF($A1692&lt;&gt;$A1691,IFERROR(INDEX([1]FG_Begin_Inventory!$B:$B,MATCH($A1692,[1]FG_Begin_Inventory!$A:$A,0)),0),J1691))</f>
        <v/>
      </c>
      <c r="G1692" s="61" t="str">
        <f t="shared" si="185"/>
        <v/>
      </c>
      <c r="H1692" s="61" t="str">
        <f t="shared" si="186"/>
        <v/>
      </c>
      <c r="I1692" s="62" t="str">
        <f t="shared" si="187"/>
        <v/>
      </c>
      <c r="J1692" s="61" t="str">
        <f t="shared" si="188"/>
        <v/>
      </c>
      <c r="K1692" s="61" t="str">
        <f t="shared" si="189"/>
        <v/>
      </c>
      <c r="L1692" s="61" t="str">
        <f t="shared" si="190"/>
        <v/>
      </c>
      <c r="M1692" s="63" t="str">
        <f t="shared" si="191"/>
        <v/>
      </c>
      <c r="N1692" s="64"/>
    </row>
    <row r="1693" spans="1:14" x14ac:dyDescent="0.3">
      <c r="A1693" s="58" t="str">
        <f>IF([1]weekly_demand!A1694="","",[1]weekly_demand!A1694)</f>
        <v/>
      </c>
      <c r="B1693" s="59" t="str">
        <f>IF($A1693="","",[1]weekly_demand!F1694)</f>
        <v/>
      </c>
      <c r="C1693" s="60" t="str">
        <f>IF($A1693="","",[1]weekly_demand!H1694)</f>
        <v/>
      </c>
      <c r="D1693" s="61" t="str">
        <f>IF($A1693="","",IF(SUMIFS([1]Fixture_Capacity_Input!$C:$C,[1]Fixture_Capacity_Input!$A:$A,$B1693,[1]Fixture_Capacity_Input!$B:$B,$C1693)&gt;0,SUMIFS([1]Fixture_Capacity_Input!$C:$C,[1]Fixture_Capacity_Input!$A:$A,$B1693,[1]Fixture_Capacity_Input!$B:$B,$C1693),[1]weekly_demand!G1694))</f>
        <v/>
      </c>
      <c r="E1693" s="62" t="str">
        <f>IF($A1693="","",[1]weekly_demand!I1694)</f>
        <v/>
      </c>
      <c r="F1693" s="61" t="str">
        <f>IF($A1693="","",IF($A1693&lt;&gt;$A1692,IFERROR(INDEX([1]FG_Begin_Inventory!$B:$B,MATCH($A1693,[1]FG_Begin_Inventory!$A:$A,0)),0),J1692))</f>
        <v/>
      </c>
      <c r="G1693" s="61" t="str">
        <f t="shared" si="185"/>
        <v/>
      </c>
      <c r="H1693" s="61" t="str">
        <f t="shared" si="186"/>
        <v/>
      </c>
      <c r="I1693" s="62" t="str">
        <f t="shared" si="187"/>
        <v/>
      </c>
      <c r="J1693" s="61" t="str">
        <f t="shared" si="188"/>
        <v/>
      </c>
      <c r="K1693" s="61" t="str">
        <f t="shared" si="189"/>
        <v/>
      </c>
      <c r="L1693" s="61" t="str">
        <f t="shared" si="190"/>
        <v/>
      </c>
      <c r="M1693" s="63" t="str">
        <f t="shared" si="191"/>
        <v/>
      </c>
      <c r="N1693" s="64"/>
    </row>
    <row r="1694" spans="1:14" x14ac:dyDescent="0.3">
      <c r="A1694" s="58" t="str">
        <f>IF([1]weekly_demand!A1695="","",[1]weekly_demand!A1695)</f>
        <v/>
      </c>
      <c r="B1694" s="59" t="str">
        <f>IF($A1694="","",[1]weekly_demand!F1695)</f>
        <v/>
      </c>
      <c r="C1694" s="60" t="str">
        <f>IF($A1694="","",[1]weekly_demand!H1695)</f>
        <v/>
      </c>
      <c r="D1694" s="61" t="str">
        <f>IF($A1694="","",IF(SUMIFS([1]Fixture_Capacity_Input!$C:$C,[1]Fixture_Capacity_Input!$A:$A,$B1694,[1]Fixture_Capacity_Input!$B:$B,$C1694)&gt;0,SUMIFS([1]Fixture_Capacity_Input!$C:$C,[1]Fixture_Capacity_Input!$A:$A,$B1694,[1]Fixture_Capacity_Input!$B:$B,$C1694),[1]weekly_demand!G1695))</f>
        <v/>
      </c>
      <c r="E1694" s="62" t="str">
        <f>IF($A1694="","",[1]weekly_demand!I1695)</f>
        <v/>
      </c>
      <c r="F1694" s="61" t="str">
        <f>IF($A1694="","",IF($A1694&lt;&gt;$A1693,IFERROR(INDEX([1]FG_Begin_Inventory!$B:$B,MATCH($A1694,[1]FG_Begin_Inventory!$A:$A,0)),0),J1693))</f>
        <v/>
      </c>
      <c r="G1694" s="61" t="str">
        <f t="shared" si="185"/>
        <v/>
      </c>
      <c r="H1694" s="61" t="str">
        <f t="shared" si="186"/>
        <v/>
      </c>
      <c r="I1694" s="62" t="str">
        <f t="shared" si="187"/>
        <v/>
      </c>
      <c r="J1694" s="61" t="str">
        <f t="shared" si="188"/>
        <v/>
      </c>
      <c r="K1694" s="61" t="str">
        <f t="shared" si="189"/>
        <v/>
      </c>
      <c r="L1694" s="61" t="str">
        <f t="shared" si="190"/>
        <v/>
      </c>
      <c r="M1694" s="63" t="str">
        <f t="shared" si="191"/>
        <v/>
      </c>
      <c r="N1694" s="64"/>
    </row>
    <row r="1695" spans="1:14" x14ac:dyDescent="0.3">
      <c r="A1695" s="58" t="str">
        <f>IF([1]weekly_demand!A1696="","",[1]weekly_demand!A1696)</f>
        <v/>
      </c>
      <c r="B1695" s="59" t="str">
        <f>IF($A1695="","",[1]weekly_demand!F1696)</f>
        <v/>
      </c>
      <c r="C1695" s="60" t="str">
        <f>IF($A1695="","",[1]weekly_demand!H1696)</f>
        <v/>
      </c>
      <c r="D1695" s="61" t="str">
        <f>IF($A1695="","",IF(SUMIFS([1]Fixture_Capacity_Input!$C:$C,[1]Fixture_Capacity_Input!$A:$A,$B1695,[1]Fixture_Capacity_Input!$B:$B,$C1695)&gt;0,SUMIFS([1]Fixture_Capacity_Input!$C:$C,[1]Fixture_Capacity_Input!$A:$A,$B1695,[1]Fixture_Capacity_Input!$B:$B,$C1695),[1]weekly_demand!G1696))</f>
        <v/>
      </c>
      <c r="E1695" s="62" t="str">
        <f>IF($A1695="","",[1]weekly_demand!I1696)</f>
        <v/>
      </c>
      <c r="F1695" s="61" t="str">
        <f>IF($A1695="","",IF($A1695&lt;&gt;$A1694,IFERROR(INDEX([1]FG_Begin_Inventory!$B:$B,MATCH($A1695,[1]FG_Begin_Inventory!$A:$A,0)),0),J1694))</f>
        <v/>
      </c>
      <c r="G1695" s="61" t="str">
        <f t="shared" si="185"/>
        <v/>
      </c>
      <c r="H1695" s="61" t="str">
        <f t="shared" si="186"/>
        <v/>
      </c>
      <c r="I1695" s="62" t="str">
        <f t="shared" si="187"/>
        <v/>
      </c>
      <c r="J1695" s="61" t="str">
        <f t="shared" si="188"/>
        <v/>
      </c>
      <c r="K1695" s="61" t="str">
        <f t="shared" si="189"/>
        <v/>
      </c>
      <c r="L1695" s="61" t="str">
        <f t="shared" si="190"/>
        <v/>
      </c>
      <c r="M1695" s="63" t="str">
        <f t="shared" si="191"/>
        <v/>
      </c>
      <c r="N1695" s="64"/>
    </row>
    <row r="1696" spans="1:14" x14ac:dyDescent="0.3">
      <c r="A1696" s="58" t="str">
        <f>IF([1]weekly_demand!A1697="","",[1]weekly_demand!A1697)</f>
        <v/>
      </c>
      <c r="B1696" s="59" t="str">
        <f>IF($A1696="","",[1]weekly_demand!F1697)</f>
        <v/>
      </c>
      <c r="C1696" s="60" t="str">
        <f>IF($A1696="","",[1]weekly_demand!H1697)</f>
        <v/>
      </c>
      <c r="D1696" s="61" t="str">
        <f>IF($A1696="","",IF(SUMIFS([1]Fixture_Capacity_Input!$C:$C,[1]Fixture_Capacity_Input!$A:$A,$B1696,[1]Fixture_Capacity_Input!$B:$B,$C1696)&gt;0,SUMIFS([1]Fixture_Capacity_Input!$C:$C,[1]Fixture_Capacity_Input!$A:$A,$B1696,[1]Fixture_Capacity_Input!$B:$B,$C1696),[1]weekly_demand!G1697))</f>
        <v/>
      </c>
      <c r="E1696" s="62" t="str">
        <f>IF($A1696="","",[1]weekly_demand!I1697)</f>
        <v/>
      </c>
      <c r="F1696" s="61" t="str">
        <f>IF($A1696="","",IF($A1696&lt;&gt;$A1695,IFERROR(INDEX([1]FG_Begin_Inventory!$B:$B,MATCH($A1696,[1]FG_Begin_Inventory!$A:$A,0)),0),J1695))</f>
        <v/>
      </c>
      <c r="G1696" s="61" t="str">
        <f t="shared" si="185"/>
        <v/>
      </c>
      <c r="H1696" s="61" t="str">
        <f t="shared" si="186"/>
        <v/>
      </c>
      <c r="I1696" s="62" t="str">
        <f t="shared" si="187"/>
        <v/>
      </c>
      <c r="J1696" s="61" t="str">
        <f t="shared" si="188"/>
        <v/>
      </c>
      <c r="K1696" s="61" t="str">
        <f t="shared" si="189"/>
        <v/>
      </c>
      <c r="L1696" s="61" t="str">
        <f t="shared" si="190"/>
        <v/>
      </c>
      <c r="M1696" s="63" t="str">
        <f t="shared" si="191"/>
        <v/>
      </c>
      <c r="N1696" s="64"/>
    </row>
    <row r="1697" spans="1:14" x14ac:dyDescent="0.3">
      <c r="A1697" s="58" t="str">
        <f>IF([1]weekly_demand!A1698="","",[1]weekly_demand!A1698)</f>
        <v/>
      </c>
      <c r="B1697" s="59" t="str">
        <f>IF($A1697="","",[1]weekly_demand!F1698)</f>
        <v/>
      </c>
      <c r="C1697" s="60" t="str">
        <f>IF($A1697="","",[1]weekly_demand!H1698)</f>
        <v/>
      </c>
      <c r="D1697" s="61" t="str">
        <f>IF($A1697="","",IF(SUMIFS([1]Fixture_Capacity_Input!$C:$C,[1]Fixture_Capacity_Input!$A:$A,$B1697,[1]Fixture_Capacity_Input!$B:$B,$C1697)&gt;0,SUMIFS([1]Fixture_Capacity_Input!$C:$C,[1]Fixture_Capacity_Input!$A:$A,$B1697,[1]Fixture_Capacity_Input!$B:$B,$C1697),[1]weekly_demand!G1698))</f>
        <v/>
      </c>
      <c r="E1697" s="62" t="str">
        <f>IF($A1697="","",[1]weekly_demand!I1698)</f>
        <v/>
      </c>
      <c r="F1697" s="61" t="str">
        <f>IF($A1697="","",IF($A1697&lt;&gt;$A1696,IFERROR(INDEX([1]FG_Begin_Inventory!$B:$B,MATCH($A1697,[1]FG_Begin_Inventory!$A:$A,0)),0),J1696))</f>
        <v/>
      </c>
      <c r="G1697" s="61" t="str">
        <f t="shared" si="185"/>
        <v/>
      </c>
      <c r="H1697" s="61" t="str">
        <f t="shared" si="186"/>
        <v/>
      </c>
      <c r="I1697" s="62" t="str">
        <f t="shared" si="187"/>
        <v/>
      </c>
      <c r="J1697" s="61" t="str">
        <f t="shared" si="188"/>
        <v/>
      </c>
      <c r="K1697" s="61" t="str">
        <f t="shared" si="189"/>
        <v/>
      </c>
      <c r="L1697" s="61" t="str">
        <f t="shared" si="190"/>
        <v/>
      </c>
      <c r="M1697" s="63" t="str">
        <f t="shared" si="191"/>
        <v/>
      </c>
      <c r="N1697" s="64"/>
    </row>
    <row r="1698" spans="1:14" x14ac:dyDescent="0.3">
      <c r="A1698" s="58" t="str">
        <f>IF([1]weekly_demand!A1699="","",[1]weekly_demand!A1699)</f>
        <v/>
      </c>
      <c r="B1698" s="59" t="str">
        <f>IF($A1698="","",[1]weekly_demand!F1699)</f>
        <v/>
      </c>
      <c r="C1698" s="60" t="str">
        <f>IF($A1698="","",[1]weekly_demand!H1699)</f>
        <v/>
      </c>
      <c r="D1698" s="61" t="str">
        <f>IF($A1698="","",IF(SUMIFS([1]Fixture_Capacity_Input!$C:$C,[1]Fixture_Capacity_Input!$A:$A,$B1698,[1]Fixture_Capacity_Input!$B:$B,$C1698)&gt;0,SUMIFS([1]Fixture_Capacity_Input!$C:$C,[1]Fixture_Capacity_Input!$A:$A,$B1698,[1]Fixture_Capacity_Input!$B:$B,$C1698),[1]weekly_demand!G1699))</f>
        <v/>
      </c>
      <c r="E1698" s="62" t="str">
        <f>IF($A1698="","",[1]weekly_demand!I1699)</f>
        <v/>
      </c>
      <c r="F1698" s="61" t="str">
        <f>IF($A1698="","",IF($A1698&lt;&gt;$A1697,IFERROR(INDEX([1]FG_Begin_Inventory!$B:$B,MATCH($A1698,[1]FG_Begin_Inventory!$A:$A,0)),0),J1697))</f>
        <v/>
      </c>
      <c r="G1698" s="61" t="str">
        <f t="shared" si="185"/>
        <v/>
      </c>
      <c r="H1698" s="61" t="str">
        <f t="shared" si="186"/>
        <v/>
      </c>
      <c r="I1698" s="62" t="str">
        <f t="shared" si="187"/>
        <v/>
      </c>
      <c r="J1698" s="61" t="str">
        <f t="shared" si="188"/>
        <v/>
      </c>
      <c r="K1698" s="61" t="str">
        <f t="shared" si="189"/>
        <v/>
      </c>
      <c r="L1698" s="61" t="str">
        <f t="shared" si="190"/>
        <v/>
      </c>
      <c r="M1698" s="63" t="str">
        <f t="shared" si="191"/>
        <v/>
      </c>
      <c r="N1698" s="64"/>
    </row>
    <row r="1699" spans="1:14" x14ac:dyDescent="0.3">
      <c r="A1699" s="58" t="str">
        <f>IF([1]weekly_demand!A1700="","",[1]weekly_demand!A1700)</f>
        <v/>
      </c>
      <c r="B1699" s="59" t="str">
        <f>IF($A1699="","",[1]weekly_demand!F1700)</f>
        <v/>
      </c>
      <c r="C1699" s="60" t="str">
        <f>IF($A1699="","",[1]weekly_demand!H1700)</f>
        <v/>
      </c>
      <c r="D1699" s="61" t="str">
        <f>IF($A1699="","",IF(SUMIFS([1]Fixture_Capacity_Input!$C:$C,[1]Fixture_Capacity_Input!$A:$A,$B1699,[1]Fixture_Capacity_Input!$B:$B,$C1699)&gt;0,SUMIFS([1]Fixture_Capacity_Input!$C:$C,[1]Fixture_Capacity_Input!$A:$A,$B1699,[1]Fixture_Capacity_Input!$B:$B,$C1699),[1]weekly_demand!G1700))</f>
        <v/>
      </c>
      <c r="E1699" s="62" t="str">
        <f>IF($A1699="","",[1]weekly_demand!I1700)</f>
        <v/>
      </c>
      <c r="F1699" s="61" t="str">
        <f>IF($A1699="","",IF($A1699&lt;&gt;$A1698,IFERROR(INDEX([1]FG_Begin_Inventory!$B:$B,MATCH($A1699,[1]FG_Begin_Inventory!$A:$A,0)),0),J1698))</f>
        <v/>
      </c>
      <c r="G1699" s="61" t="str">
        <f t="shared" si="185"/>
        <v/>
      </c>
      <c r="H1699" s="61" t="str">
        <f t="shared" si="186"/>
        <v/>
      </c>
      <c r="I1699" s="62" t="str">
        <f t="shared" si="187"/>
        <v/>
      </c>
      <c r="J1699" s="61" t="str">
        <f t="shared" si="188"/>
        <v/>
      </c>
      <c r="K1699" s="61" t="str">
        <f t="shared" si="189"/>
        <v/>
      </c>
      <c r="L1699" s="61" t="str">
        <f t="shared" si="190"/>
        <v/>
      </c>
      <c r="M1699" s="63" t="str">
        <f t="shared" si="191"/>
        <v/>
      </c>
      <c r="N1699" s="64"/>
    </row>
    <row r="1700" spans="1:14" x14ac:dyDescent="0.3">
      <c r="A1700" s="58" t="str">
        <f>IF([1]weekly_demand!A1701="","",[1]weekly_demand!A1701)</f>
        <v/>
      </c>
      <c r="B1700" s="59" t="str">
        <f>IF($A1700="","",[1]weekly_demand!F1701)</f>
        <v/>
      </c>
      <c r="C1700" s="60" t="str">
        <f>IF($A1700="","",[1]weekly_demand!H1701)</f>
        <v/>
      </c>
      <c r="D1700" s="61" t="str">
        <f>IF($A1700="","",IF(SUMIFS([1]Fixture_Capacity_Input!$C:$C,[1]Fixture_Capacity_Input!$A:$A,$B1700,[1]Fixture_Capacity_Input!$B:$B,$C1700)&gt;0,SUMIFS([1]Fixture_Capacity_Input!$C:$C,[1]Fixture_Capacity_Input!$A:$A,$B1700,[1]Fixture_Capacity_Input!$B:$B,$C1700),[1]weekly_demand!G1701))</f>
        <v/>
      </c>
      <c r="E1700" s="62" t="str">
        <f>IF($A1700="","",[1]weekly_demand!I1701)</f>
        <v/>
      </c>
      <c r="F1700" s="61" t="str">
        <f>IF($A1700="","",IF($A1700&lt;&gt;$A1699,IFERROR(INDEX([1]FG_Begin_Inventory!$B:$B,MATCH($A1700,[1]FG_Begin_Inventory!$A:$A,0)),0),J1699))</f>
        <v/>
      </c>
      <c r="G1700" s="61" t="str">
        <f t="shared" si="185"/>
        <v/>
      </c>
      <c r="H1700" s="61" t="str">
        <f t="shared" si="186"/>
        <v/>
      </c>
      <c r="I1700" s="62" t="str">
        <f t="shared" si="187"/>
        <v/>
      </c>
      <c r="J1700" s="61" t="str">
        <f t="shared" si="188"/>
        <v/>
      </c>
      <c r="K1700" s="61" t="str">
        <f t="shared" si="189"/>
        <v/>
      </c>
      <c r="L1700" s="61" t="str">
        <f t="shared" si="190"/>
        <v/>
      </c>
      <c r="M1700" s="63" t="str">
        <f t="shared" si="191"/>
        <v/>
      </c>
      <c r="N1700" s="64"/>
    </row>
    <row r="1701" spans="1:14" x14ac:dyDescent="0.3">
      <c r="A1701" s="58" t="str">
        <f>IF([1]weekly_demand!A1702="","",[1]weekly_demand!A1702)</f>
        <v/>
      </c>
      <c r="B1701" s="59" t="str">
        <f>IF($A1701="","",[1]weekly_demand!F1702)</f>
        <v/>
      </c>
      <c r="C1701" s="60" t="str">
        <f>IF($A1701="","",[1]weekly_demand!H1702)</f>
        <v/>
      </c>
      <c r="D1701" s="61" t="str">
        <f>IF($A1701="","",IF(SUMIFS([1]Fixture_Capacity_Input!$C:$C,[1]Fixture_Capacity_Input!$A:$A,$B1701,[1]Fixture_Capacity_Input!$B:$B,$C1701)&gt;0,SUMIFS([1]Fixture_Capacity_Input!$C:$C,[1]Fixture_Capacity_Input!$A:$A,$B1701,[1]Fixture_Capacity_Input!$B:$B,$C1701),[1]weekly_demand!G1702))</f>
        <v/>
      </c>
      <c r="E1701" s="62" t="str">
        <f>IF($A1701="","",[1]weekly_demand!I1702)</f>
        <v/>
      </c>
      <c r="F1701" s="61" t="str">
        <f>IF($A1701="","",IF($A1701&lt;&gt;$A1700,IFERROR(INDEX([1]FG_Begin_Inventory!$B:$B,MATCH($A1701,[1]FG_Begin_Inventory!$A:$A,0)),0),J1700))</f>
        <v/>
      </c>
      <c r="G1701" s="61" t="str">
        <f t="shared" si="185"/>
        <v/>
      </c>
      <c r="H1701" s="61" t="str">
        <f t="shared" si="186"/>
        <v/>
      </c>
      <c r="I1701" s="62" t="str">
        <f t="shared" si="187"/>
        <v/>
      </c>
      <c r="J1701" s="61" t="str">
        <f t="shared" si="188"/>
        <v/>
      </c>
      <c r="K1701" s="61" t="str">
        <f t="shared" si="189"/>
        <v/>
      </c>
      <c r="L1701" s="61" t="str">
        <f t="shared" si="190"/>
        <v/>
      </c>
      <c r="M1701" s="63" t="str">
        <f t="shared" si="191"/>
        <v/>
      </c>
      <c r="N1701" s="64"/>
    </row>
    <row r="1702" spans="1:14" x14ac:dyDescent="0.3">
      <c r="A1702" s="58" t="str">
        <f>IF([1]weekly_demand!A1703="","",[1]weekly_demand!A1703)</f>
        <v/>
      </c>
      <c r="B1702" s="59" t="str">
        <f>IF($A1702="","",[1]weekly_demand!F1703)</f>
        <v/>
      </c>
      <c r="C1702" s="60" t="str">
        <f>IF($A1702="","",[1]weekly_demand!H1703)</f>
        <v/>
      </c>
      <c r="D1702" s="61" t="str">
        <f>IF($A1702="","",IF(SUMIFS([1]Fixture_Capacity_Input!$C:$C,[1]Fixture_Capacity_Input!$A:$A,$B1702,[1]Fixture_Capacity_Input!$B:$B,$C1702)&gt;0,SUMIFS([1]Fixture_Capacity_Input!$C:$C,[1]Fixture_Capacity_Input!$A:$A,$B1702,[1]Fixture_Capacity_Input!$B:$B,$C1702),[1]weekly_demand!G1703))</f>
        <v/>
      </c>
      <c r="E1702" s="62" t="str">
        <f>IF($A1702="","",[1]weekly_demand!I1703)</f>
        <v/>
      </c>
      <c r="F1702" s="61" t="str">
        <f>IF($A1702="","",IF($A1702&lt;&gt;$A1701,IFERROR(INDEX([1]FG_Begin_Inventory!$B:$B,MATCH($A1702,[1]FG_Begin_Inventory!$A:$A,0)),0),J1701))</f>
        <v/>
      </c>
      <c r="G1702" s="61" t="str">
        <f t="shared" si="185"/>
        <v/>
      </c>
      <c r="H1702" s="61" t="str">
        <f t="shared" si="186"/>
        <v/>
      </c>
      <c r="I1702" s="62" t="str">
        <f t="shared" si="187"/>
        <v/>
      </c>
      <c r="J1702" s="61" t="str">
        <f t="shared" si="188"/>
        <v/>
      </c>
      <c r="K1702" s="61" t="str">
        <f t="shared" si="189"/>
        <v/>
      </c>
      <c r="L1702" s="61" t="str">
        <f t="shared" si="190"/>
        <v/>
      </c>
      <c r="M1702" s="63" t="str">
        <f t="shared" si="191"/>
        <v/>
      </c>
      <c r="N1702" s="64"/>
    </row>
    <row r="1703" spans="1:14" x14ac:dyDescent="0.3">
      <c r="A1703" s="58" t="str">
        <f>IF([1]weekly_demand!A1704="","",[1]weekly_demand!A1704)</f>
        <v/>
      </c>
      <c r="B1703" s="59" t="str">
        <f>IF($A1703="","",[1]weekly_demand!F1704)</f>
        <v/>
      </c>
      <c r="C1703" s="60" t="str">
        <f>IF($A1703="","",[1]weekly_demand!H1704)</f>
        <v/>
      </c>
      <c r="D1703" s="61" t="str">
        <f>IF($A1703="","",IF(SUMIFS([1]Fixture_Capacity_Input!$C:$C,[1]Fixture_Capacity_Input!$A:$A,$B1703,[1]Fixture_Capacity_Input!$B:$B,$C1703)&gt;0,SUMIFS([1]Fixture_Capacity_Input!$C:$C,[1]Fixture_Capacity_Input!$A:$A,$B1703,[1]Fixture_Capacity_Input!$B:$B,$C1703),[1]weekly_demand!G1704))</f>
        <v/>
      </c>
      <c r="E1703" s="62" t="str">
        <f>IF($A1703="","",[1]weekly_demand!I1704)</f>
        <v/>
      </c>
      <c r="F1703" s="61" t="str">
        <f>IF($A1703="","",IF($A1703&lt;&gt;$A1702,IFERROR(INDEX([1]FG_Begin_Inventory!$B:$B,MATCH($A1703,[1]FG_Begin_Inventory!$A:$A,0)),0),J1702))</f>
        <v/>
      </c>
      <c r="G1703" s="61" t="str">
        <f t="shared" si="185"/>
        <v/>
      </c>
      <c r="H1703" s="61" t="str">
        <f t="shared" si="186"/>
        <v/>
      </c>
      <c r="I1703" s="62" t="str">
        <f t="shared" si="187"/>
        <v/>
      </c>
      <c r="J1703" s="61" t="str">
        <f t="shared" si="188"/>
        <v/>
      </c>
      <c r="K1703" s="61" t="str">
        <f t="shared" si="189"/>
        <v/>
      </c>
      <c r="L1703" s="61" t="str">
        <f t="shared" si="190"/>
        <v/>
      </c>
      <c r="M1703" s="63" t="str">
        <f t="shared" si="191"/>
        <v/>
      </c>
      <c r="N1703" s="64"/>
    </row>
    <row r="1704" spans="1:14" x14ac:dyDescent="0.3">
      <c r="A1704" s="58" t="str">
        <f>IF([1]weekly_demand!A1705="","",[1]weekly_demand!A1705)</f>
        <v/>
      </c>
      <c r="B1704" s="59" t="str">
        <f>IF($A1704="","",[1]weekly_demand!F1705)</f>
        <v/>
      </c>
      <c r="C1704" s="60" t="str">
        <f>IF($A1704="","",[1]weekly_demand!H1705)</f>
        <v/>
      </c>
      <c r="D1704" s="61" t="str">
        <f>IF($A1704="","",IF(SUMIFS([1]Fixture_Capacity_Input!$C:$C,[1]Fixture_Capacity_Input!$A:$A,$B1704,[1]Fixture_Capacity_Input!$B:$B,$C1704)&gt;0,SUMIFS([1]Fixture_Capacity_Input!$C:$C,[1]Fixture_Capacity_Input!$A:$A,$B1704,[1]Fixture_Capacity_Input!$B:$B,$C1704),[1]weekly_demand!G1705))</f>
        <v/>
      </c>
      <c r="E1704" s="62" t="str">
        <f>IF($A1704="","",[1]weekly_demand!I1705)</f>
        <v/>
      </c>
      <c r="F1704" s="61" t="str">
        <f>IF($A1704="","",IF($A1704&lt;&gt;$A1703,IFERROR(INDEX([1]FG_Begin_Inventory!$B:$B,MATCH($A1704,[1]FG_Begin_Inventory!$A:$A,0)),0),J1703))</f>
        <v/>
      </c>
      <c r="G1704" s="61" t="str">
        <f t="shared" si="185"/>
        <v/>
      </c>
      <c r="H1704" s="61" t="str">
        <f t="shared" si="186"/>
        <v/>
      </c>
      <c r="I1704" s="62" t="str">
        <f t="shared" si="187"/>
        <v/>
      </c>
      <c r="J1704" s="61" t="str">
        <f t="shared" si="188"/>
        <v/>
      </c>
      <c r="K1704" s="61" t="str">
        <f t="shared" si="189"/>
        <v/>
      </c>
      <c r="L1704" s="61" t="str">
        <f t="shared" si="190"/>
        <v/>
      </c>
      <c r="M1704" s="63" t="str">
        <f t="shared" si="191"/>
        <v/>
      </c>
      <c r="N1704" s="64"/>
    </row>
    <row r="1705" spans="1:14" x14ac:dyDescent="0.3">
      <c r="A1705" s="58" t="str">
        <f>IF([1]weekly_demand!A1706="","",[1]weekly_demand!A1706)</f>
        <v/>
      </c>
      <c r="B1705" s="59" t="str">
        <f>IF($A1705="","",[1]weekly_demand!F1706)</f>
        <v/>
      </c>
      <c r="C1705" s="60" t="str">
        <f>IF($A1705="","",[1]weekly_demand!H1706)</f>
        <v/>
      </c>
      <c r="D1705" s="61" t="str">
        <f>IF($A1705="","",IF(SUMIFS([1]Fixture_Capacity_Input!$C:$C,[1]Fixture_Capacity_Input!$A:$A,$B1705,[1]Fixture_Capacity_Input!$B:$B,$C1705)&gt;0,SUMIFS([1]Fixture_Capacity_Input!$C:$C,[1]Fixture_Capacity_Input!$A:$A,$B1705,[1]Fixture_Capacity_Input!$B:$B,$C1705),[1]weekly_demand!G1706))</f>
        <v/>
      </c>
      <c r="E1705" s="62" t="str">
        <f>IF($A1705="","",[1]weekly_demand!I1706)</f>
        <v/>
      </c>
      <c r="F1705" s="61" t="str">
        <f>IF($A1705="","",IF($A1705&lt;&gt;$A1704,IFERROR(INDEX([1]FG_Begin_Inventory!$B:$B,MATCH($A1705,[1]FG_Begin_Inventory!$A:$A,0)),0),J1704))</f>
        <v/>
      </c>
      <c r="G1705" s="61" t="str">
        <f t="shared" si="185"/>
        <v/>
      </c>
      <c r="H1705" s="61" t="str">
        <f t="shared" si="186"/>
        <v/>
      </c>
      <c r="I1705" s="62" t="str">
        <f t="shared" si="187"/>
        <v/>
      </c>
      <c r="J1705" s="61" t="str">
        <f t="shared" si="188"/>
        <v/>
      </c>
      <c r="K1705" s="61" t="str">
        <f t="shared" si="189"/>
        <v/>
      </c>
      <c r="L1705" s="61" t="str">
        <f t="shared" si="190"/>
        <v/>
      </c>
      <c r="M1705" s="63" t="str">
        <f t="shared" si="191"/>
        <v/>
      </c>
      <c r="N1705" s="64"/>
    </row>
    <row r="1706" spans="1:14" x14ac:dyDescent="0.3">
      <c r="A1706" s="58" t="str">
        <f>IF([1]weekly_demand!A1707="","",[1]weekly_demand!A1707)</f>
        <v/>
      </c>
      <c r="B1706" s="59" t="str">
        <f>IF($A1706="","",[1]weekly_demand!F1707)</f>
        <v/>
      </c>
      <c r="C1706" s="60" t="str">
        <f>IF($A1706="","",[1]weekly_demand!H1707)</f>
        <v/>
      </c>
      <c r="D1706" s="61" t="str">
        <f>IF($A1706="","",IF(SUMIFS([1]Fixture_Capacity_Input!$C:$C,[1]Fixture_Capacity_Input!$A:$A,$B1706,[1]Fixture_Capacity_Input!$B:$B,$C1706)&gt;0,SUMIFS([1]Fixture_Capacity_Input!$C:$C,[1]Fixture_Capacity_Input!$A:$A,$B1706,[1]Fixture_Capacity_Input!$B:$B,$C1706),[1]weekly_demand!G1707))</f>
        <v/>
      </c>
      <c r="E1706" s="62" t="str">
        <f>IF($A1706="","",[1]weekly_demand!I1707)</f>
        <v/>
      </c>
      <c r="F1706" s="61" t="str">
        <f>IF($A1706="","",IF($A1706&lt;&gt;$A1705,IFERROR(INDEX([1]FG_Begin_Inventory!$B:$B,MATCH($A1706,[1]FG_Begin_Inventory!$A:$A,0)),0),J1705))</f>
        <v/>
      </c>
      <c r="G1706" s="61" t="str">
        <f t="shared" si="185"/>
        <v/>
      </c>
      <c r="H1706" s="61" t="str">
        <f t="shared" si="186"/>
        <v/>
      </c>
      <c r="I1706" s="62" t="str">
        <f t="shared" si="187"/>
        <v/>
      </c>
      <c r="J1706" s="61" t="str">
        <f t="shared" si="188"/>
        <v/>
      </c>
      <c r="K1706" s="61" t="str">
        <f t="shared" si="189"/>
        <v/>
      </c>
      <c r="L1706" s="61" t="str">
        <f t="shared" si="190"/>
        <v/>
      </c>
      <c r="M1706" s="63" t="str">
        <f t="shared" si="191"/>
        <v/>
      </c>
      <c r="N1706" s="64"/>
    </row>
    <row r="1707" spans="1:14" x14ac:dyDescent="0.3">
      <c r="A1707" s="58" t="str">
        <f>IF([1]weekly_demand!A1708="","",[1]weekly_demand!A1708)</f>
        <v/>
      </c>
      <c r="B1707" s="59" t="str">
        <f>IF($A1707="","",[1]weekly_demand!F1708)</f>
        <v/>
      </c>
      <c r="C1707" s="60" t="str">
        <f>IF($A1707="","",[1]weekly_demand!H1708)</f>
        <v/>
      </c>
      <c r="D1707" s="61" t="str">
        <f>IF($A1707="","",IF(SUMIFS([1]Fixture_Capacity_Input!$C:$C,[1]Fixture_Capacity_Input!$A:$A,$B1707,[1]Fixture_Capacity_Input!$B:$B,$C1707)&gt;0,SUMIFS([1]Fixture_Capacity_Input!$C:$C,[1]Fixture_Capacity_Input!$A:$A,$B1707,[1]Fixture_Capacity_Input!$B:$B,$C1707),[1]weekly_demand!G1708))</f>
        <v/>
      </c>
      <c r="E1707" s="62" t="str">
        <f>IF($A1707="","",[1]weekly_demand!I1708)</f>
        <v/>
      </c>
      <c r="F1707" s="61" t="str">
        <f>IF($A1707="","",IF($A1707&lt;&gt;$A1706,IFERROR(INDEX([1]FG_Begin_Inventory!$B:$B,MATCH($A1707,[1]FG_Begin_Inventory!$A:$A,0)),0),J1706))</f>
        <v/>
      </c>
      <c r="G1707" s="61" t="str">
        <f t="shared" si="185"/>
        <v/>
      </c>
      <c r="H1707" s="61" t="str">
        <f t="shared" si="186"/>
        <v/>
      </c>
      <c r="I1707" s="62" t="str">
        <f t="shared" si="187"/>
        <v/>
      </c>
      <c r="J1707" s="61" t="str">
        <f t="shared" si="188"/>
        <v/>
      </c>
      <c r="K1707" s="61" t="str">
        <f t="shared" si="189"/>
        <v/>
      </c>
      <c r="L1707" s="61" t="str">
        <f t="shared" si="190"/>
        <v/>
      </c>
      <c r="M1707" s="63" t="str">
        <f t="shared" si="191"/>
        <v/>
      </c>
      <c r="N1707" s="64"/>
    </row>
    <row r="1708" spans="1:14" x14ac:dyDescent="0.3">
      <c r="A1708" s="58" t="str">
        <f>IF([1]weekly_demand!A1709="","",[1]weekly_demand!A1709)</f>
        <v/>
      </c>
      <c r="B1708" s="59" t="str">
        <f>IF($A1708="","",[1]weekly_demand!F1709)</f>
        <v/>
      </c>
      <c r="C1708" s="60" t="str">
        <f>IF($A1708="","",[1]weekly_demand!H1709)</f>
        <v/>
      </c>
      <c r="D1708" s="61" t="str">
        <f>IF($A1708="","",IF(SUMIFS([1]Fixture_Capacity_Input!$C:$C,[1]Fixture_Capacity_Input!$A:$A,$B1708,[1]Fixture_Capacity_Input!$B:$B,$C1708)&gt;0,SUMIFS([1]Fixture_Capacity_Input!$C:$C,[1]Fixture_Capacity_Input!$A:$A,$B1708,[1]Fixture_Capacity_Input!$B:$B,$C1708),[1]weekly_demand!G1709))</f>
        <v/>
      </c>
      <c r="E1708" s="62" t="str">
        <f>IF($A1708="","",[1]weekly_demand!I1709)</f>
        <v/>
      </c>
      <c r="F1708" s="61" t="str">
        <f>IF($A1708="","",IF($A1708&lt;&gt;$A1707,IFERROR(INDEX([1]FG_Begin_Inventory!$B:$B,MATCH($A1708,[1]FG_Begin_Inventory!$A:$A,0)),0),J1707))</f>
        <v/>
      </c>
      <c r="G1708" s="61" t="str">
        <f t="shared" si="185"/>
        <v/>
      </c>
      <c r="H1708" s="61" t="str">
        <f t="shared" si="186"/>
        <v/>
      </c>
      <c r="I1708" s="62" t="str">
        <f t="shared" si="187"/>
        <v/>
      </c>
      <c r="J1708" s="61" t="str">
        <f t="shared" si="188"/>
        <v/>
      </c>
      <c r="K1708" s="61" t="str">
        <f t="shared" si="189"/>
        <v/>
      </c>
      <c r="L1708" s="61" t="str">
        <f t="shared" si="190"/>
        <v/>
      </c>
      <c r="M1708" s="63" t="str">
        <f t="shared" si="191"/>
        <v/>
      </c>
      <c r="N1708" s="64"/>
    </row>
    <row r="1709" spans="1:14" x14ac:dyDescent="0.3">
      <c r="A1709" s="58" t="str">
        <f>IF([1]weekly_demand!A1710="","",[1]weekly_demand!A1710)</f>
        <v/>
      </c>
      <c r="B1709" s="59" t="str">
        <f>IF($A1709="","",[1]weekly_demand!F1710)</f>
        <v/>
      </c>
      <c r="C1709" s="60" t="str">
        <f>IF($A1709="","",[1]weekly_demand!H1710)</f>
        <v/>
      </c>
      <c r="D1709" s="61" t="str">
        <f>IF($A1709="","",IF(SUMIFS([1]Fixture_Capacity_Input!$C:$C,[1]Fixture_Capacity_Input!$A:$A,$B1709,[1]Fixture_Capacity_Input!$B:$B,$C1709)&gt;0,SUMIFS([1]Fixture_Capacity_Input!$C:$C,[1]Fixture_Capacity_Input!$A:$A,$B1709,[1]Fixture_Capacity_Input!$B:$B,$C1709),[1]weekly_demand!G1710))</f>
        <v/>
      </c>
      <c r="E1709" s="62" t="str">
        <f>IF($A1709="","",[1]weekly_demand!I1710)</f>
        <v/>
      </c>
      <c r="F1709" s="61" t="str">
        <f>IF($A1709="","",IF($A1709&lt;&gt;$A1708,IFERROR(INDEX([1]FG_Begin_Inventory!$B:$B,MATCH($A1709,[1]FG_Begin_Inventory!$A:$A,0)),0),J1708))</f>
        <v/>
      </c>
      <c r="G1709" s="61" t="str">
        <f t="shared" si="185"/>
        <v/>
      </c>
      <c r="H1709" s="61" t="str">
        <f t="shared" si="186"/>
        <v/>
      </c>
      <c r="I1709" s="62" t="str">
        <f t="shared" si="187"/>
        <v/>
      </c>
      <c r="J1709" s="61" t="str">
        <f t="shared" si="188"/>
        <v/>
      </c>
      <c r="K1709" s="61" t="str">
        <f t="shared" si="189"/>
        <v/>
      </c>
      <c r="L1709" s="61" t="str">
        <f t="shared" si="190"/>
        <v/>
      </c>
      <c r="M1709" s="63" t="str">
        <f t="shared" si="191"/>
        <v/>
      </c>
      <c r="N1709" s="64"/>
    </row>
    <row r="1710" spans="1:14" x14ac:dyDescent="0.3">
      <c r="A1710" s="58" t="str">
        <f>IF([1]weekly_demand!A1711="","",[1]weekly_demand!A1711)</f>
        <v/>
      </c>
      <c r="B1710" s="59" t="str">
        <f>IF($A1710="","",[1]weekly_demand!F1711)</f>
        <v/>
      </c>
      <c r="C1710" s="60" t="str">
        <f>IF($A1710="","",[1]weekly_demand!H1711)</f>
        <v/>
      </c>
      <c r="D1710" s="61" t="str">
        <f>IF($A1710="","",IF(SUMIFS([1]Fixture_Capacity_Input!$C:$C,[1]Fixture_Capacity_Input!$A:$A,$B1710,[1]Fixture_Capacity_Input!$B:$B,$C1710)&gt;0,SUMIFS([1]Fixture_Capacity_Input!$C:$C,[1]Fixture_Capacity_Input!$A:$A,$B1710,[1]Fixture_Capacity_Input!$B:$B,$C1710),[1]weekly_demand!G1711))</f>
        <v/>
      </c>
      <c r="E1710" s="62" t="str">
        <f>IF($A1710="","",[1]weekly_demand!I1711)</f>
        <v/>
      </c>
      <c r="F1710" s="61" t="str">
        <f>IF($A1710="","",IF($A1710&lt;&gt;$A1709,IFERROR(INDEX([1]FG_Begin_Inventory!$B:$B,MATCH($A1710,[1]FG_Begin_Inventory!$A:$A,0)),0),J1709))</f>
        <v/>
      </c>
      <c r="G1710" s="61" t="str">
        <f t="shared" si="185"/>
        <v/>
      </c>
      <c r="H1710" s="61" t="str">
        <f t="shared" si="186"/>
        <v/>
      </c>
      <c r="I1710" s="62" t="str">
        <f t="shared" si="187"/>
        <v/>
      </c>
      <c r="J1710" s="61" t="str">
        <f t="shared" si="188"/>
        <v/>
      </c>
      <c r="K1710" s="61" t="str">
        <f t="shared" si="189"/>
        <v/>
      </c>
      <c r="L1710" s="61" t="str">
        <f t="shared" si="190"/>
        <v/>
      </c>
      <c r="M1710" s="63" t="str">
        <f t="shared" si="191"/>
        <v/>
      </c>
      <c r="N1710" s="64"/>
    </row>
    <row r="1711" spans="1:14" x14ac:dyDescent="0.3">
      <c r="A1711" s="58" t="str">
        <f>IF([1]weekly_demand!A1712="","",[1]weekly_demand!A1712)</f>
        <v/>
      </c>
      <c r="B1711" s="59" t="str">
        <f>IF($A1711="","",[1]weekly_demand!F1712)</f>
        <v/>
      </c>
      <c r="C1711" s="60" t="str">
        <f>IF($A1711="","",[1]weekly_demand!H1712)</f>
        <v/>
      </c>
      <c r="D1711" s="61" t="str">
        <f>IF($A1711="","",IF(SUMIFS([1]Fixture_Capacity_Input!$C:$C,[1]Fixture_Capacity_Input!$A:$A,$B1711,[1]Fixture_Capacity_Input!$B:$B,$C1711)&gt;0,SUMIFS([1]Fixture_Capacity_Input!$C:$C,[1]Fixture_Capacity_Input!$A:$A,$B1711,[1]Fixture_Capacity_Input!$B:$B,$C1711),[1]weekly_demand!G1712))</f>
        <v/>
      </c>
      <c r="E1711" s="62" t="str">
        <f>IF($A1711="","",[1]weekly_demand!I1712)</f>
        <v/>
      </c>
      <c r="F1711" s="61" t="str">
        <f>IF($A1711="","",IF($A1711&lt;&gt;$A1710,IFERROR(INDEX([1]FG_Begin_Inventory!$B:$B,MATCH($A1711,[1]FG_Begin_Inventory!$A:$A,0)),0),J1710))</f>
        <v/>
      </c>
      <c r="G1711" s="61" t="str">
        <f t="shared" si="185"/>
        <v/>
      </c>
      <c r="H1711" s="61" t="str">
        <f t="shared" si="186"/>
        <v/>
      </c>
      <c r="I1711" s="62" t="str">
        <f t="shared" si="187"/>
        <v/>
      </c>
      <c r="J1711" s="61" t="str">
        <f t="shared" si="188"/>
        <v/>
      </c>
      <c r="K1711" s="61" t="str">
        <f t="shared" si="189"/>
        <v/>
      </c>
      <c r="L1711" s="61" t="str">
        <f t="shared" si="190"/>
        <v/>
      </c>
      <c r="M1711" s="63" t="str">
        <f t="shared" si="191"/>
        <v/>
      </c>
      <c r="N1711" s="64"/>
    </row>
    <row r="1712" spans="1:14" x14ac:dyDescent="0.3">
      <c r="A1712" s="58" t="str">
        <f>IF([1]weekly_demand!A1713="","",[1]weekly_demand!A1713)</f>
        <v/>
      </c>
      <c r="B1712" s="59" t="str">
        <f>IF($A1712="","",[1]weekly_demand!F1713)</f>
        <v/>
      </c>
      <c r="C1712" s="60" t="str">
        <f>IF($A1712="","",[1]weekly_demand!H1713)</f>
        <v/>
      </c>
      <c r="D1712" s="61" t="str">
        <f>IF($A1712="","",IF(SUMIFS([1]Fixture_Capacity_Input!$C:$C,[1]Fixture_Capacity_Input!$A:$A,$B1712,[1]Fixture_Capacity_Input!$B:$B,$C1712)&gt;0,SUMIFS([1]Fixture_Capacity_Input!$C:$C,[1]Fixture_Capacity_Input!$A:$A,$B1712,[1]Fixture_Capacity_Input!$B:$B,$C1712),[1]weekly_demand!G1713))</f>
        <v/>
      </c>
      <c r="E1712" s="62" t="str">
        <f>IF($A1712="","",[1]weekly_demand!I1713)</f>
        <v/>
      </c>
      <c r="F1712" s="61" t="str">
        <f>IF($A1712="","",IF($A1712&lt;&gt;$A1711,IFERROR(INDEX([1]FG_Begin_Inventory!$B:$B,MATCH($A1712,[1]FG_Begin_Inventory!$A:$A,0)),0),J1711))</f>
        <v/>
      </c>
      <c r="G1712" s="61" t="str">
        <f t="shared" si="185"/>
        <v/>
      </c>
      <c r="H1712" s="61" t="str">
        <f t="shared" si="186"/>
        <v/>
      </c>
      <c r="I1712" s="62" t="str">
        <f t="shared" si="187"/>
        <v/>
      </c>
      <c r="J1712" s="61" t="str">
        <f t="shared" si="188"/>
        <v/>
      </c>
      <c r="K1712" s="61" t="str">
        <f t="shared" si="189"/>
        <v/>
      </c>
      <c r="L1712" s="61" t="str">
        <f t="shared" si="190"/>
        <v/>
      </c>
      <c r="M1712" s="63" t="str">
        <f t="shared" si="191"/>
        <v/>
      </c>
      <c r="N1712" s="64"/>
    </row>
    <row r="1713" spans="1:14" x14ac:dyDescent="0.3">
      <c r="A1713" s="58" t="str">
        <f>IF([1]weekly_demand!A1714="","",[1]weekly_demand!A1714)</f>
        <v/>
      </c>
      <c r="B1713" s="59" t="str">
        <f>IF($A1713="","",[1]weekly_demand!F1714)</f>
        <v/>
      </c>
      <c r="C1713" s="60" t="str">
        <f>IF($A1713="","",[1]weekly_demand!H1714)</f>
        <v/>
      </c>
      <c r="D1713" s="61" t="str">
        <f>IF($A1713="","",IF(SUMIFS([1]Fixture_Capacity_Input!$C:$C,[1]Fixture_Capacity_Input!$A:$A,$B1713,[1]Fixture_Capacity_Input!$B:$B,$C1713)&gt;0,SUMIFS([1]Fixture_Capacity_Input!$C:$C,[1]Fixture_Capacity_Input!$A:$A,$B1713,[1]Fixture_Capacity_Input!$B:$B,$C1713),[1]weekly_demand!G1714))</f>
        <v/>
      </c>
      <c r="E1713" s="62" t="str">
        <f>IF($A1713="","",[1]weekly_demand!I1714)</f>
        <v/>
      </c>
      <c r="F1713" s="61" t="str">
        <f>IF($A1713="","",IF($A1713&lt;&gt;$A1712,IFERROR(INDEX([1]FG_Begin_Inventory!$B:$B,MATCH($A1713,[1]FG_Begin_Inventory!$A:$A,0)),0),J1712))</f>
        <v/>
      </c>
      <c r="G1713" s="61" t="str">
        <f t="shared" si="185"/>
        <v/>
      </c>
      <c r="H1713" s="61" t="str">
        <f t="shared" si="186"/>
        <v/>
      </c>
      <c r="I1713" s="62" t="str">
        <f t="shared" si="187"/>
        <v/>
      </c>
      <c r="J1713" s="61" t="str">
        <f t="shared" si="188"/>
        <v/>
      </c>
      <c r="K1713" s="61" t="str">
        <f t="shared" si="189"/>
        <v/>
      </c>
      <c r="L1713" s="61" t="str">
        <f t="shared" si="190"/>
        <v/>
      </c>
      <c r="M1713" s="63" t="str">
        <f t="shared" si="191"/>
        <v/>
      </c>
      <c r="N1713" s="64"/>
    </row>
    <row r="1714" spans="1:14" x14ac:dyDescent="0.3">
      <c r="A1714" s="58" t="str">
        <f>IF([1]weekly_demand!A1715="","",[1]weekly_demand!A1715)</f>
        <v/>
      </c>
      <c r="B1714" s="59" t="str">
        <f>IF($A1714="","",[1]weekly_demand!F1715)</f>
        <v/>
      </c>
      <c r="C1714" s="60" t="str">
        <f>IF($A1714="","",[1]weekly_demand!H1715)</f>
        <v/>
      </c>
      <c r="D1714" s="61" t="str">
        <f>IF($A1714="","",IF(SUMIFS([1]Fixture_Capacity_Input!$C:$C,[1]Fixture_Capacity_Input!$A:$A,$B1714,[1]Fixture_Capacity_Input!$B:$B,$C1714)&gt;0,SUMIFS([1]Fixture_Capacity_Input!$C:$C,[1]Fixture_Capacity_Input!$A:$A,$B1714,[1]Fixture_Capacity_Input!$B:$B,$C1714),[1]weekly_demand!G1715))</f>
        <v/>
      </c>
      <c r="E1714" s="62" t="str">
        <f>IF($A1714="","",[1]weekly_demand!I1715)</f>
        <v/>
      </c>
      <c r="F1714" s="61" t="str">
        <f>IF($A1714="","",IF($A1714&lt;&gt;$A1713,IFERROR(INDEX([1]FG_Begin_Inventory!$B:$B,MATCH($A1714,[1]FG_Begin_Inventory!$A:$A,0)),0),J1713))</f>
        <v/>
      </c>
      <c r="G1714" s="61" t="str">
        <f t="shared" si="185"/>
        <v/>
      </c>
      <c r="H1714" s="61" t="str">
        <f t="shared" si="186"/>
        <v/>
      </c>
      <c r="I1714" s="62" t="str">
        <f t="shared" si="187"/>
        <v/>
      </c>
      <c r="J1714" s="61" t="str">
        <f t="shared" si="188"/>
        <v/>
      </c>
      <c r="K1714" s="61" t="str">
        <f t="shared" si="189"/>
        <v/>
      </c>
      <c r="L1714" s="61" t="str">
        <f t="shared" si="190"/>
        <v/>
      </c>
      <c r="M1714" s="63" t="str">
        <f t="shared" si="191"/>
        <v/>
      </c>
      <c r="N1714" s="64"/>
    </row>
    <row r="1715" spans="1:14" x14ac:dyDescent="0.3">
      <c r="A1715" s="58" t="str">
        <f>IF([1]weekly_demand!A1716="","",[1]weekly_demand!A1716)</f>
        <v/>
      </c>
      <c r="B1715" s="59" t="str">
        <f>IF($A1715="","",[1]weekly_demand!F1716)</f>
        <v/>
      </c>
      <c r="C1715" s="60" t="str">
        <f>IF($A1715="","",[1]weekly_demand!H1716)</f>
        <v/>
      </c>
      <c r="D1715" s="61" t="str">
        <f>IF($A1715="","",IF(SUMIFS([1]Fixture_Capacity_Input!$C:$C,[1]Fixture_Capacity_Input!$A:$A,$B1715,[1]Fixture_Capacity_Input!$B:$B,$C1715)&gt;0,SUMIFS([1]Fixture_Capacity_Input!$C:$C,[1]Fixture_Capacity_Input!$A:$A,$B1715,[1]Fixture_Capacity_Input!$B:$B,$C1715),[1]weekly_demand!G1716))</f>
        <v/>
      </c>
      <c r="E1715" s="62" t="str">
        <f>IF($A1715="","",[1]weekly_demand!I1716)</f>
        <v/>
      </c>
      <c r="F1715" s="61" t="str">
        <f>IF($A1715="","",IF($A1715&lt;&gt;$A1714,IFERROR(INDEX([1]FG_Begin_Inventory!$B:$B,MATCH($A1715,[1]FG_Begin_Inventory!$A:$A,0)),0),J1714))</f>
        <v/>
      </c>
      <c r="G1715" s="61" t="str">
        <f t="shared" ref="G1715:G1778" si="192">IF($A1715="","",IF($A1715&lt;&gt;$A1716,0,MAX(0,G1716+E1716-D1716)))</f>
        <v/>
      </c>
      <c r="H1715" s="61" t="str">
        <f t="shared" si="186"/>
        <v/>
      </c>
      <c r="I1715" s="62" t="str">
        <f t="shared" si="187"/>
        <v/>
      </c>
      <c r="J1715" s="61" t="str">
        <f t="shared" si="188"/>
        <v/>
      </c>
      <c r="K1715" s="61" t="str">
        <f t="shared" si="189"/>
        <v/>
      </c>
      <c r="L1715" s="61" t="str">
        <f t="shared" si="190"/>
        <v/>
      </c>
      <c r="M1715" s="63" t="str">
        <f t="shared" si="191"/>
        <v/>
      </c>
      <c r="N1715" s="64"/>
    </row>
    <row r="1716" spans="1:14" x14ac:dyDescent="0.3">
      <c r="A1716" s="58" t="str">
        <f>IF([1]weekly_demand!A1717="","",[1]weekly_demand!A1717)</f>
        <v/>
      </c>
      <c r="B1716" s="59" t="str">
        <f>IF($A1716="","",[1]weekly_demand!F1717)</f>
        <v/>
      </c>
      <c r="C1716" s="60" t="str">
        <f>IF($A1716="","",[1]weekly_demand!H1717)</f>
        <v/>
      </c>
      <c r="D1716" s="61" t="str">
        <f>IF($A1716="","",IF(SUMIFS([1]Fixture_Capacity_Input!$C:$C,[1]Fixture_Capacity_Input!$A:$A,$B1716,[1]Fixture_Capacity_Input!$B:$B,$C1716)&gt;0,SUMIFS([1]Fixture_Capacity_Input!$C:$C,[1]Fixture_Capacity_Input!$A:$A,$B1716,[1]Fixture_Capacity_Input!$B:$B,$C1716),[1]weekly_demand!G1717))</f>
        <v/>
      </c>
      <c r="E1716" s="62" t="str">
        <f>IF($A1716="","",[1]weekly_demand!I1717)</f>
        <v/>
      </c>
      <c r="F1716" s="61" t="str">
        <f>IF($A1716="","",IF($A1716&lt;&gt;$A1715,IFERROR(INDEX([1]FG_Begin_Inventory!$B:$B,MATCH($A1716,[1]FG_Begin_Inventory!$A:$A,0)),0),J1715))</f>
        <v/>
      </c>
      <c r="G1716" s="61" t="str">
        <f t="shared" si="192"/>
        <v/>
      </c>
      <c r="H1716" s="61" t="str">
        <f t="shared" si="186"/>
        <v/>
      </c>
      <c r="I1716" s="62" t="str">
        <f t="shared" si="187"/>
        <v/>
      </c>
      <c r="J1716" s="61" t="str">
        <f t="shared" si="188"/>
        <v/>
      </c>
      <c r="K1716" s="61" t="str">
        <f t="shared" si="189"/>
        <v/>
      </c>
      <c r="L1716" s="61" t="str">
        <f t="shared" si="190"/>
        <v/>
      </c>
      <c r="M1716" s="63" t="str">
        <f t="shared" si="191"/>
        <v/>
      </c>
      <c r="N1716" s="64"/>
    </row>
    <row r="1717" spans="1:14" x14ac:dyDescent="0.3">
      <c r="A1717" s="58" t="str">
        <f>IF([1]weekly_demand!A1718="","",[1]weekly_demand!A1718)</f>
        <v/>
      </c>
      <c r="B1717" s="59" t="str">
        <f>IF($A1717="","",[1]weekly_demand!F1718)</f>
        <v/>
      </c>
      <c r="C1717" s="60" t="str">
        <f>IF($A1717="","",[1]weekly_demand!H1718)</f>
        <v/>
      </c>
      <c r="D1717" s="61" t="str">
        <f>IF($A1717="","",IF(SUMIFS([1]Fixture_Capacity_Input!$C:$C,[1]Fixture_Capacity_Input!$A:$A,$B1717,[1]Fixture_Capacity_Input!$B:$B,$C1717)&gt;0,SUMIFS([1]Fixture_Capacity_Input!$C:$C,[1]Fixture_Capacity_Input!$A:$A,$B1717,[1]Fixture_Capacity_Input!$B:$B,$C1717),[1]weekly_demand!G1718))</f>
        <v/>
      </c>
      <c r="E1717" s="62" t="str">
        <f>IF($A1717="","",[1]weekly_demand!I1718)</f>
        <v/>
      </c>
      <c r="F1717" s="61" t="str">
        <f>IF($A1717="","",IF($A1717&lt;&gt;$A1716,IFERROR(INDEX([1]FG_Begin_Inventory!$B:$B,MATCH($A1717,[1]FG_Begin_Inventory!$A:$A,0)),0),J1716))</f>
        <v/>
      </c>
      <c r="G1717" s="61" t="str">
        <f t="shared" si="192"/>
        <v/>
      </c>
      <c r="H1717" s="61" t="str">
        <f t="shared" si="186"/>
        <v/>
      </c>
      <c r="I1717" s="62" t="str">
        <f t="shared" si="187"/>
        <v/>
      </c>
      <c r="J1717" s="61" t="str">
        <f t="shared" si="188"/>
        <v/>
      </c>
      <c r="K1717" s="61" t="str">
        <f t="shared" si="189"/>
        <v/>
      </c>
      <c r="L1717" s="61" t="str">
        <f t="shared" si="190"/>
        <v/>
      </c>
      <c r="M1717" s="63" t="str">
        <f t="shared" si="191"/>
        <v/>
      </c>
      <c r="N1717" s="64"/>
    </row>
    <row r="1718" spans="1:14" x14ac:dyDescent="0.3">
      <c r="A1718" s="58" t="str">
        <f>IF([1]weekly_demand!A1719="","",[1]weekly_demand!A1719)</f>
        <v/>
      </c>
      <c r="B1718" s="59" t="str">
        <f>IF($A1718="","",[1]weekly_demand!F1719)</f>
        <v/>
      </c>
      <c r="C1718" s="60" t="str">
        <f>IF($A1718="","",[1]weekly_demand!H1719)</f>
        <v/>
      </c>
      <c r="D1718" s="61" t="str">
        <f>IF($A1718="","",IF(SUMIFS([1]Fixture_Capacity_Input!$C:$C,[1]Fixture_Capacity_Input!$A:$A,$B1718,[1]Fixture_Capacity_Input!$B:$B,$C1718)&gt;0,SUMIFS([1]Fixture_Capacity_Input!$C:$C,[1]Fixture_Capacity_Input!$A:$A,$B1718,[1]Fixture_Capacity_Input!$B:$B,$C1718),[1]weekly_demand!G1719))</f>
        <v/>
      </c>
      <c r="E1718" s="62" t="str">
        <f>IF($A1718="","",[1]weekly_demand!I1719)</f>
        <v/>
      </c>
      <c r="F1718" s="61" t="str">
        <f>IF($A1718="","",IF($A1718&lt;&gt;$A1717,IFERROR(INDEX([1]FG_Begin_Inventory!$B:$B,MATCH($A1718,[1]FG_Begin_Inventory!$A:$A,0)),0),J1717))</f>
        <v/>
      </c>
      <c r="G1718" s="61" t="str">
        <f t="shared" si="192"/>
        <v/>
      </c>
      <c r="H1718" s="61" t="str">
        <f t="shared" si="186"/>
        <v/>
      </c>
      <c r="I1718" s="62" t="str">
        <f t="shared" si="187"/>
        <v/>
      </c>
      <c r="J1718" s="61" t="str">
        <f t="shared" si="188"/>
        <v/>
      </c>
      <c r="K1718" s="61" t="str">
        <f t="shared" si="189"/>
        <v/>
      </c>
      <c r="L1718" s="61" t="str">
        <f t="shared" si="190"/>
        <v/>
      </c>
      <c r="M1718" s="63" t="str">
        <f t="shared" si="191"/>
        <v/>
      </c>
      <c r="N1718" s="64"/>
    </row>
    <row r="1719" spans="1:14" x14ac:dyDescent="0.3">
      <c r="A1719" s="58" t="str">
        <f>IF([1]weekly_demand!A1720="","",[1]weekly_demand!A1720)</f>
        <v/>
      </c>
      <c r="B1719" s="59" t="str">
        <f>IF($A1719="","",[1]weekly_demand!F1720)</f>
        <v/>
      </c>
      <c r="C1719" s="60" t="str">
        <f>IF($A1719="","",[1]weekly_demand!H1720)</f>
        <v/>
      </c>
      <c r="D1719" s="61" t="str">
        <f>IF($A1719="","",IF(SUMIFS([1]Fixture_Capacity_Input!$C:$C,[1]Fixture_Capacity_Input!$A:$A,$B1719,[1]Fixture_Capacity_Input!$B:$B,$C1719)&gt;0,SUMIFS([1]Fixture_Capacity_Input!$C:$C,[1]Fixture_Capacity_Input!$A:$A,$B1719,[1]Fixture_Capacity_Input!$B:$B,$C1719),[1]weekly_demand!G1720))</f>
        <v/>
      </c>
      <c r="E1719" s="62" t="str">
        <f>IF($A1719="","",[1]weekly_demand!I1720)</f>
        <v/>
      </c>
      <c r="F1719" s="61" t="str">
        <f>IF($A1719="","",IF($A1719&lt;&gt;$A1718,IFERROR(INDEX([1]FG_Begin_Inventory!$B:$B,MATCH($A1719,[1]FG_Begin_Inventory!$A:$A,0)),0),J1718))</f>
        <v/>
      </c>
      <c r="G1719" s="61" t="str">
        <f t="shared" si="192"/>
        <v/>
      </c>
      <c r="H1719" s="61" t="str">
        <f t="shared" si="186"/>
        <v/>
      </c>
      <c r="I1719" s="62" t="str">
        <f t="shared" si="187"/>
        <v/>
      </c>
      <c r="J1719" s="61" t="str">
        <f t="shared" si="188"/>
        <v/>
      </c>
      <c r="K1719" s="61" t="str">
        <f t="shared" si="189"/>
        <v/>
      </c>
      <c r="L1719" s="61" t="str">
        <f t="shared" si="190"/>
        <v/>
      </c>
      <c r="M1719" s="63" t="str">
        <f t="shared" si="191"/>
        <v/>
      </c>
      <c r="N1719" s="64"/>
    </row>
    <row r="1720" spans="1:14" x14ac:dyDescent="0.3">
      <c r="A1720" s="58" t="str">
        <f>IF([1]weekly_demand!A1721="","",[1]weekly_demand!A1721)</f>
        <v/>
      </c>
      <c r="B1720" s="59" t="str">
        <f>IF($A1720="","",[1]weekly_demand!F1721)</f>
        <v/>
      </c>
      <c r="C1720" s="60" t="str">
        <f>IF($A1720="","",[1]weekly_demand!H1721)</f>
        <v/>
      </c>
      <c r="D1720" s="61" t="str">
        <f>IF($A1720="","",IF(SUMIFS([1]Fixture_Capacity_Input!$C:$C,[1]Fixture_Capacity_Input!$A:$A,$B1720,[1]Fixture_Capacity_Input!$B:$B,$C1720)&gt;0,SUMIFS([1]Fixture_Capacity_Input!$C:$C,[1]Fixture_Capacity_Input!$A:$A,$B1720,[1]Fixture_Capacity_Input!$B:$B,$C1720),[1]weekly_demand!G1721))</f>
        <v/>
      </c>
      <c r="E1720" s="62" t="str">
        <f>IF($A1720="","",[1]weekly_demand!I1721)</f>
        <v/>
      </c>
      <c r="F1720" s="61" t="str">
        <f>IF($A1720="","",IF($A1720&lt;&gt;$A1719,IFERROR(INDEX([1]FG_Begin_Inventory!$B:$B,MATCH($A1720,[1]FG_Begin_Inventory!$A:$A,0)),0),J1719))</f>
        <v/>
      </c>
      <c r="G1720" s="61" t="str">
        <f t="shared" si="192"/>
        <v/>
      </c>
      <c r="H1720" s="61" t="str">
        <f t="shared" si="186"/>
        <v/>
      </c>
      <c r="I1720" s="62" t="str">
        <f t="shared" si="187"/>
        <v/>
      </c>
      <c r="J1720" s="61" t="str">
        <f t="shared" si="188"/>
        <v/>
      </c>
      <c r="K1720" s="61" t="str">
        <f t="shared" si="189"/>
        <v/>
      </c>
      <c r="L1720" s="61" t="str">
        <f t="shared" si="190"/>
        <v/>
      </c>
      <c r="M1720" s="63" t="str">
        <f t="shared" si="191"/>
        <v/>
      </c>
      <c r="N1720" s="64"/>
    </row>
    <row r="1721" spans="1:14" x14ac:dyDescent="0.3">
      <c r="A1721" s="58" t="str">
        <f>IF([1]weekly_demand!A1722="","",[1]weekly_demand!A1722)</f>
        <v/>
      </c>
      <c r="B1721" s="59" t="str">
        <f>IF($A1721="","",[1]weekly_demand!F1722)</f>
        <v/>
      </c>
      <c r="C1721" s="60" t="str">
        <f>IF($A1721="","",[1]weekly_demand!H1722)</f>
        <v/>
      </c>
      <c r="D1721" s="61" t="str">
        <f>IF($A1721="","",IF(SUMIFS([1]Fixture_Capacity_Input!$C:$C,[1]Fixture_Capacity_Input!$A:$A,$B1721,[1]Fixture_Capacity_Input!$B:$B,$C1721)&gt;0,SUMIFS([1]Fixture_Capacity_Input!$C:$C,[1]Fixture_Capacity_Input!$A:$A,$B1721,[1]Fixture_Capacity_Input!$B:$B,$C1721),[1]weekly_demand!G1722))</f>
        <v/>
      </c>
      <c r="E1721" s="62" t="str">
        <f>IF($A1721="","",[1]weekly_demand!I1722)</f>
        <v/>
      </c>
      <c r="F1721" s="61" t="str">
        <f>IF($A1721="","",IF($A1721&lt;&gt;$A1720,IFERROR(INDEX([1]FG_Begin_Inventory!$B:$B,MATCH($A1721,[1]FG_Begin_Inventory!$A:$A,0)),0),J1720))</f>
        <v/>
      </c>
      <c r="G1721" s="61" t="str">
        <f t="shared" si="192"/>
        <v/>
      </c>
      <c r="H1721" s="61" t="str">
        <f t="shared" si="186"/>
        <v/>
      </c>
      <c r="I1721" s="62" t="str">
        <f t="shared" si="187"/>
        <v/>
      </c>
      <c r="J1721" s="61" t="str">
        <f t="shared" si="188"/>
        <v/>
      </c>
      <c r="K1721" s="61" t="str">
        <f t="shared" si="189"/>
        <v/>
      </c>
      <c r="L1721" s="61" t="str">
        <f t="shared" si="190"/>
        <v/>
      </c>
      <c r="M1721" s="63" t="str">
        <f t="shared" si="191"/>
        <v/>
      </c>
      <c r="N1721" s="64"/>
    </row>
    <row r="1722" spans="1:14" x14ac:dyDescent="0.3">
      <c r="A1722" s="58" t="str">
        <f>IF([1]weekly_demand!A1723="","",[1]weekly_demand!A1723)</f>
        <v/>
      </c>
      <c r="B1722" s="59" t="str">
        <f>IF($A1722="","",[1]weekly_demand!F1723)</f>
        <v/>
      </c>
      <c r="C1722" s="60" t="str">
        <f>IF($A1722="","",[1]weekly_demand!H1723)</f>
        <v/>
      </c>
      <c r="D1722" s="61" t="str">
        <f>IF($A1722="","",IF(SUMIFS([1]Fixture_Capacity_Input!$C:$C,[1]Fixture_Capacity_Input!$A:$A,$B1722,[1]Fixture_Capacity_Input!$B:$B,$C1722)&gt;0,SUMIFS([1]Fixture_Capacity_Input!$C:$C,[1]Fixture_Capacity_Input!$A:$A,$B1722,[1]Fixture_Capacity_Input!$B:$B,$C1722),[1]weekly_demand!G1723))</f>
        <v/>
      </c>
      <c r="E1722" s="62" t="str">
        <f>IF($A1722="","",[1]weekly_demand!I1723)</f>
        <v/>
      </c>
      <c r="F1722" s="61" t="str">
        <f>IF($A1722="","",IF($A1722&lt;&gt;$A1721,IFERROR(INDEX([1]FG_Begin_Inventory!$B:$B,MATCH($A1722,[1]FG_Begin_Inventory!$A:$A,0)),0),J1721))</f>
        <v/>
      </c>
      <c r="G1722" s="61" t="str">
        <f t="shared" si="192"/>
        <v/>
      </c>
      <c r="H1722" s="61" t="str">
        <f t="shared" si="186"/>
        <v/>
      </c>
      <c r="I1722" s="62" t="str">
        <f t="shared" si="187"/>
        <v/>
      </c>
      <c r="J1722" s="61" t="str">
        <f t="shared" si="188"/>
        <v/>
      </c>
      <c r="K1722" s="61" t="str">
        <f t="shared" si="189"/>
        <v/>
      </c>
      <c r="L1722" s="61" t="str">
        <f t="shared" si="190"/>
        <v/>
      </c>
      <c r="M1722" s="63" t="str">
        <f t="shared" si="191"/>
        <v/>
      </c>
      <c r="N1722" s="64"/>
    </row>
    <row r="1723" spans="1:14" x14ac:dyDescent="0.3">
      <c r="A1723" s="58" t="str">
        <f>IF([1]weekly_demand!A1724="","",[1]weekly_demand!A1724)</f>
        <v/>
      </c>
      <c r="B1723" s="59" t="str">
        <f>IF($A1723="","",[1]weekly_demand!F1724)</f>
        <v/>
      </c>
      <c r="C1723" s="60" t="str">
        <f>IF($A1723="","",[1]weekly_demand!H1724)</f>
        <v/>
      </c>
      <c r="D1723" s="61" t="str">
        <f>IF($A1723="","",IF(SUMIFS([1]Fixture_Capacity_Input!$C:$C,[1]Fixture_Capacity_Input!$A:$A,$B1723,[1]Fixture_Capacity_Input!$B:$B,$C1723)&gt;0,SUMIFS([1]Fixture_Capacity_Input!$C:$C,[1]Fixture_Capacity_Input!$A:$A,$B1723,[1]Fixture_Capacity_Input!$B:$B,$C1723),[1]weekly_demand!G1724))</f>
        <v/>
      </c>
      <c r="E1723" s="62" t="str">
        <f>IF($A1723="","",[1]weekly_demand!I1724)</f>
        <v/>
      </c>
      <c r="F1723" s="61" t="str">
        <f>IF($A1723="","",IF($A1723&lt;&gt;$A1722,IFERROR(INDEX([1]FG_Begin_Inventory!$B:$B,MATCH($A1723,[1]FG_Begin_Inventory!$A:$A,0)),0),J1722))</f>
        <v/>
      </c>
      <c r="G1723" s="61" t="str">
        <f t="shared" si="192"/>
        <v/>
      </c>
      <c r="H1723" s="61" t="str">
        <f t="shared" si="186"/>
        <v/>
      </c>
      <c r="I1723" s="62" t="str">
        <f t="shared" si="187"/>
        <v/>
      </c>
      <c r="J1723" s="61" t="str">
        <f t="shared" si="188"/>
        <v/>
      </c>
      <c r="K1723" s="61" t="str">
        <f t="shared" si="189"/>
        <v/>
      </c>
      <c r="L1723" s="61" t="str">
        <f t="shared" si="190"/>
        <v/>
      </c>
      <c r="M1723" s="63" t="str">
        <f t="shared" si="191"/>
        <v/>
      </c>
      <c r="N1723" s="64"/>
    </row>
    <row r="1724" spans="1:14" x14ac:dyDescent="0.3">
      <c r="A1724" s="58" t="str">
        <f>IF([1]weekly_demand!A1725="","",[1]weekly_demand!A1725)</f>
        <v/>
      </c>
      <c r="B1724" s="59" t="str">
        <f>IF($A1724="","",[1]weekly_demand!F1725)</f>
        <v/>
      </c>
      <c r="C1724" s="60" t="str">
        <f>IF($A1724="","",[1]weekly_demand!H1725)</f>
        <v/>
      </c>
      <c r="D1724" s="61" t="str">
        <f>IF($A1724="","",IF(SUMIFS([1]Fixture_Capacity_Input!$C:$C,[1]Fixture_Capacity_Input!$A:$A,$B1724,[1]Fixture_Capacity_Input!$B:$B,$C1724)&gt;0,SUMIFS([1]Fixture_Capacity_Input!$C:$C,[1]Fixture_Capacity_Input!$A:$A,$B1724,[1]Fixture_Capacity_Input!$B:$B,$C1724),[1]weekly_demand!G1725))</f>
        <v/>
      </c>
      <c r="E1724" s="62" t="str">
        <f>IF($A1724="","",[1]weekly_demand!I1725)</f>
        <v/>
      </c>
      <c r="F1724" s="61" t="str">
        <f>IF($A1724="","",IF($A1724&lt;&gt;$A1723,IFERROR(INDEX([1]FG_Begin_Inventory!$B:$B,MATCH($A1724,[1]FG_Begin_Inventory!$A:$A,0)),0),J1723))</f>
        <v/>
      </c>
      <c r="G1724" s="61" t="str">
        <f t="shared" si="192"/>
        <v/>
      </c>
      <c r="H1724" s="61" t="str">
        <f t="shared" si="186"/>
        <v/>
      </c>
      <c r="I1724" s="62" t="str">
        <f t="shared" si="187"/>
        <v/>
      </c>
      <c r="J1724" s="61" t="str">
        <f t="shared" si="188"/>
        <v/>
      </c>
      <c r="K1724" s="61" t="str">
        <f t="shared" si="189"/>
        <v/>
      </c>
      <c r="L1724" s="61" t="str">
        <f t="shared" si="190"/>
        <v/>
      </c>
      <c r="M1724" s="63" t="str">
        <f t="shared" si="191"/>
        <v/>
      </c>
      <c r="N1724" s="64"/>
    </row>
    <row r="1725" spans="1:14" x14ac:dyDescent="0.3">
      <c r="A1725" s="58" t="str">
        <f>IF([1]weekly_demand!A1726="","",[1]weekly_demand!A1726)</f>
        <v/>
      </c>
      <c r="B1725" s="59" t="str">
        <f>IF($A1725="","",[1]weekly_demand!F1726)</f>
        <v/>
      </c>
      <c r="C1725" s="60" t="str">
        <f>IF($A1725="","",[1]weekly_demand!H1726)</f>
        <v/>
      </c>
      <c r="D1725" s="61" t="str">
        <f>IF($A1725="","",IF(SUMIFS([1]Fixture_Capacity_Input!$C:$C,[1]Fixture_Capacity_Input!$A:$A,$B1725,[1]Fixture_Capacity_Input!$B:$B,$C1725)&gt;0,SUMIFS([1]Fixture_Capacity_Input!$C:$C,[1]Fixture_Capacity_Input!$A:$A,$B1725,[1]Fixture_Capacity_Input!$B:$B,$C1725),[1]weekly_demand!G1726))</f>
        <v/>
      </c>
      <c r="E1725" s="62" t="str">
        <f>IF($A1725="","",[1]weekly_demand!I1726)</f>
        <v/>
      </c>
      <c r="F1725" s="61" t="str">
        <f>IF($A1725="","",IF($A1725&lt;&gt;$A1724,IFERROR(INDEX([1]FG_Begin_Inventory!$B:$B,MATCH($A1725,[1]FG_Begin_Inventory!$A:$A,0)),0),J1724))</f>
        <v/>
      </c>
      <c r="G1725" s="61" t="str">
        <f t="shared" si="192"/>
        <v/>
      </c>
      <c r="H1725" s="61" t="str">
        <f t="shared" si="186"/>
        <v/>
      </c>
      <c r="I1725" s="62" t="str">
        <f t="shared" si="187"/>
        <v/>
      </c>
      <c r="J1725" s="61" t="str">
        <f t="shared" si="188"/>
        <v/>
      </c>
      <c r="K1725" s="61" t="str">
        <f t="shared" si="189"/>
        <v/>
      </c>
      <c r="L1725" s="61" t="str">
        <f t="shared" si="190"/>
        <v/>
      </c>
      <c r="M1725" s="63" t="str">
        <f t="shared" si="191"/>
        <v/>
      </c>
      <c r="N1725" s="64"/>
    </row>
    <row r="1726" spans="1:14" x14ac:dyDescent="0.3">
      <c r="A1726" s="58" t="str">
        <f>IF([1]weekly_demand!A1727="","",[1]weekly_demand!A1727)</f>
        <v/>
      </c>
      <c r="B1726" s="59" t="str">
        <f>IF($A1726="","",[1]weekly_demand!F1727)</f>
        <v/>
      </c>
      <c r="C1726" s="60" t="str">
        <f>IF($A1726="","",[1]weekly_demand!H1727)</f>
        <v/>
      </c>
      <c r="D1726" s="61" t="str">
        <f>IF($A1726="","",IF(SUMIFS([1]Fixture_Capacity_Input!$C:$C,[1]Fixture_Capacity_Input!$A:$A,$B1726,[1]Fixture_Capacity_Input!$B:$B,$C1726)&gt;0,SUMIFS([1]Fixture_Capacity_Input!$C:$C,[1]Fixture_Capacity_Input!$A:$A,$B1726,[1]Fixture_Capacity_Input!$B:$B,$C1726),[1]weekly_demand!G1727))</f>
        <v/>
      </c>
      <c r="E1726" s="62" t="str">
        <f>IF($A1726="","",[1]weekly_demand!I1727)</f>
        <v/>
      </c>
      <c r="F1726" s="61" t="str">
        <f>IF($A1726="","",IF($A1726&lt;&gt;$A1725,IFERROR(INDEX([1]FG_Begin_Inventory!$B:$B,MATCH($A1726,[1]FG_Begin_Inventory!$A:$A,0)),0),J1725))</f>
        <v/>
      </c>
      <c r="G1726" s="61" t="str">
        <f t="shared" si="192"/>
        <v/>
      </c>
      <c r="H1726" s="61" t="str">
        <f t="shared" si="186"/>
        <v/>
      </c>
      <c r="I1726" s="62" t="str">
        <f t="shared" si="187"/>
        <v/>
      </c>
      <c r="J1726" s="61" t="str">
        <f t="shared" si="188"/>
        <v/>
      </c>
      <c r="K1726" s="61" t="str">
        <f t="shared" si="189"/>
        <v/>
      </c>
      <c r="L1726" s="61" t="str">
        <f t="shared" si="190"/>
        <v/>
      </c>
      <c r="M1726" s="63" t="str">
        <f t="shared" si="191"/>
        <v/>
      </c>
      <c r="N1726" s="64"/>
    </row>
    <row r="1727" spans="1:14" x14ac:dyDescent="0.3">
      <c r="A1727" s="58" t="str">
        <f>IF([1]weekly_demand!A1728="","",[1]weekly_demand!A1728)</f>
        <v/>
      </c>
      <c r="B1727" s="59" t="str">
        <f>IF($A1727="","",[1]weekly_demand!F1728)</f>
        <v/>
      </c>
      <c r="C1727" s="60" t="str">
        <f>IF($A1727="","",[1]weekly_demand!H1728)</f>
        <v/>
      </c>
      <c r="D1727" s="61" t="str">
        <f>IF($A1727="","",IF(SUMIFS([1]Fixture_Capacity_Input!$C:$C,[1]Fixture_Capacity_Input!$A:$A,$B1727,[1]Fixture_Capacity_Input!$B:$B,$C1727)&gt;0,SUMIFS([1]Fixture_Capacity_Input!$C:$C,[1]Fixture_Capacity_Input!$A:$A,$B1727,[1]Fixture_Capacity_Input!$B:$B,$C1727),[1]weekly_demand!G1728))</f>
        <v/>
      </c>
      <c r="E1727" s="62" t="str">
        <f>IF($A1727="","",[1]weekly_demand!I1728)</f>
        <v/>
      </c>
      <c r="F1727" s="61" t="str">
        <f>IF($A1727="","",IF($A1727&lt;&gt;$A1726,IFERROR(INDEX([1]FG_Begin_Inventory!$B:$B,MATCH($A1727,[1]FG_Begin_Inventory!$A:$A,0)),0),J1726))</f>
        <v/>
      </c>
      <c r="G1727" s="61" t="str">
        <f t="shared" si="192"/>
        <v/>
      </c>
      <c r="H1727" s="61" t="str">
        <f t="shared" si="186"/>
        <v/>
      </c>
      <c r="I1727" s="62" t="str">
        <f t="shared" si="187"/>
        <v/>
      </c>
      <c r="J1727" s="61" t="str">
        <f t="shared" si="188"/>
        <v/>
      </c>
      <c r="K1727" s="61" t="str">
        <f t="shared" si="189"/>
        <v/>
      </c>
      <c r="L1727" s="61" t="str">
        <f t="shared" si="190"/>
        <v/>
      </c>
      <c r="M1727" s="63" t="str">
        <f t="shared" si="191"/>
        <v/>
      </c>
      <c r="N1727" s="64"/>
    </row>
    <row r="1728" spans="1:14" x14ac:dyDescent="0.3">
      <c r="A1728" s="58" t="str">
        <f>IF([1]weekly_demand!A1729="","",[1]weekly_demand!A1729)</f>
        <v/>
      </c>
      <c r="B1728" s="59" t="str">
        <f>IF($A1728="","",[1]weekly_demand!F1729)</f>
        <v/>
      </c>
      <c r="C1728" s="60" t="str">
        <f>IF($A1728="","",[1]weekly_demand!H1729)</f>
        <v/>
      </c>
      <c r="D1728" s="61" t="str">
        <f>IF($A1728="","",IF(SUMIFS([1]Fixture_Capacity_Input!$C:$C,[1]Fixture_Capacity_Input!$A:$A,$B1728,[1]Fixture_Capacity_Input!$B:$B,$C1728)&gt;0,SUMIFS([1]Fixture_Capacity_Input!$C:$C,[1]Fixture_Capacity_Input!$A:$A,$B1728,[1]Fixture_Capacity_Input!$B:$B,$C1728),[1]weekly_demand!G1729))</f>
        <v/>
      </c>
      <c r="E1728" s="62" t="str">
        <f>IF($A1728="","",[1]weekly_demand!I1729)</f>
        <v/>
      </c>
      <c r="F1728" s="61" t="str">
        <f>IF($A1728="","",IF($A1728&lt;&gt;$A1727,IFERROR(INDEX([1]FG_Begin_Inventory!$B:$B,MATCH($A1728,[1]FG_Begin_Inventory!$A:$A,0)),0),J1727))</f>
        <v/>
      </c>
      <c r="G1728" s="61" t="str">
        <f t="shared" si="192"/>
        <v/>
      </c>
      <c r="H1728" s="61" t="str">
        <f t="shared" si="186"/>
        <v/>
      </c>
      <c r="I1728" s="62" t="str">
        <f t="shared" si="187"/>
        <v/>
      </c>
      <c r="J1728" s="61" t="str">
        <f t="shared" si="188"/>
        <v/>
      </c>
      <c r="K1728" s="61" t="str">
        <f t="shared" si="189"/>
        <v/>
      </c>
      <c r="L1728" s="61" t="str">
        <f t="shared" si="190"/>
        <v/>
      </c>
      <c r="M1728" s="63" t="str">
        <f t="shared" si="191"/>
        <v/>
      </c>
      <c r="N1728" s="64"/>
    </row>
    <row r="1729" spans="1:14" x14ac:dyDescent="0.3">
      <c r="A1729" s="58" t="str">
        <f>IF([1]weekly_demand!A1730="","",[1]weekly_demand!A1730)</f>
        <v/>
      </c>
      <c r="B1729" s="59" t="str">
        <f>IF($A1729="","",[1]weekly_demand!F1730)</f>
        <v/>
      </c>
      <c r="C1729" s="60" t="str">
        <f>IF($A1729="","",[1]weekly_demand!H1730)</f>
        <v/>
      </c>
      <c r="D1729" s="61" t="str">
        <f>IF($A1729="","",IF(SUMIFS([1]Fixture_Capacity_Input!$C:$C,[1]Fixture_Capacity_Input!$A:$A,$B1729,[1]Fixture_Capacity_Input!$B:$B,$C1729)&gt;0,SUMIFS([1]Fixture_Capacity_Input!$C:$C,[1]Fixture_Capacity_Input!$A:$A,$B1729,[1]Fixture_Capacity_Input!$B:$B,$C1729),[1]weekly_demand!G1730))</f>
        <v/>
      </c>
      <c r="E1729" s="62" t="str">
        <f>IF($A1729="","",[1]weekly_demand!I1730)</f>
        <v/>
      </c>
      <c r="F1729" s="61" t="str">
        <f>IF($A1729="","",IF($A1729&lt;&gt;$A1728,IFERROR(INDEX([1]FG_Begin_Inventory!$B:$B,MATCH($A1729,[1]FG_Begin_Inventory!$A:$A,0)),0),J1728))</f>
        <v/>
      </c>
      <c r="G1729" s="61" t="str">
        <f t="shared" si="192"/>
        <v/>
      </c>
      <c r="H1729" s="61" t="str">
        <f t="shared" si="186"/>
        <v/>
      </c>
      <c r="I1729" s="62" t="str">
        <f t="shared" si="187"/>
        <v/>
      </c>
      <c r="J1729" s="61" t="str">
        <f t="shared" si="188"/>
        <v/>
      </c>
      <c r="K1729" s="61" t="str">
        <f t="shared" si="189"/>
        <v/>
      </c>
      <c r="L1729" s="61" t="str">
        <f t="shared" si="190"/>
        <v/>
      </c>
      <c r="M1729" s="63" t="str">
        <f t="shared" si="191"/>
        <v/>
      </c>
      <c r="N1729" s="64"/>
    </row>
    <row r="1730" spans="1:14" x14ac:dyDescent="0.3">
      <c r="A1730" s="58" t="str">
        <f>IF([1]weekly_demand!A1731="","",[1]weekly_demand!A1731)</f>
        <v/>
      </c>
      <c r="B1730" s="59" t="str">
        <f>IF($A1730="","",[1]weekly_demand!F1731)</f>
        <v/>
      </c>
      <c r="C1730" s="60" t="str">
        <f>IF($A1730="","",[1]weekly_demand!H1731)</f>
        <v/>
      </c>
      <c r="D1730" s="61" t="str">
        <f>IF($A1730="","",IF(SUMIFS([1]Fixture_Capacity_Input!$C:$C,[1]Fixture_Capacity_Input!$A:$A,$B1730,[1]Fixture_Capacity_Input!$B:$B,$C1730)&gt;0,SUMIFS([1]Fixture_Capacity_Input!$C:$C,[1]Fixture_Capacity_Input!$A:$A,$B1730,[1]Fixture_Capacity_Input!$B:$B,$C1730),[1]weekly_demand!G1731))</f>
        <v/>
      </c>
      <c r="E1730" s="62" t="str">
        <f>IF($A1730="","",[1]weekly_demand!I1731)</f>
        <v/>
      </c>
      <c r="F1730" s="61" t="str">
        <f>IF($A1730="","",IF($A1730&lt;&gt;$A1729,IFERROR(INDEX([1]FG_Begin_Inventory!$B:$B,MATCH($A1730,[1]FG_Begin_Inventory!$A:$A,0)),0),J1729))</f>
        <v/>
      </c>
      <c r="G1730" s="61" t="str">
        <f t="shared" si="192"/>
        <v/>
      </c>
      <c r="H1730" s="61" t="str">
        <f t="shared" ref="H1730:H1793" si="193">IF($A1730="","",MAX(0,E1730+G1730-F1730))</f>
        <v/>
      </c>
      <c r="I1730" s="62" t="str">
        <f t="shared" ref="I1730:I1793" si="194">IF($A1730="","",MIN(D1730,H1730))</f>
        <v/>
      </c>
      <c r="J1730" s="61" t="str">
        <f t="shared" ref="J1730:J1793" si="195">IF($A1730="","",MAX(0,F1730+I1730-E1730))</f>
        <v/>
      </c>
      <c r="K1730" s="61" t="str">
        <f t="shared" ref="K1730:K1793" si="196">IF($A1730="","",MAX(0,E1730-F1730-I1730))</f>
        <v/>
      </c>
      <c r="L1730" s="61" t="str">
        <f t="shared" ref="L1730:L1793" si="197">IF($A1730="","",MAX(0,F1730+I1730-E1730))</f>
        <v/>
      </c>
      <c r="M1730" s="63" t="str">
        <f t="shared" ref="M1730:M1793" si="198">IF($A1730="","",IFERROR(I1730/D1730,0))</f>
        <v/>
      </c>
      <c r="N1730" s="64"/>
    </row>
    <row r="1731" spans="1:14" x14ac:dyDescent="0.3">
      <c r="A1731" s="58" t="str">
        <f>IF([1]weekly_demand!A1732="","",[1]weekly_demand!A1732)</f>
        <v/>
      </c>
      <c r="B1731" s="59" t="str">
        <f>IF($A1731="","",[1]weekly_demand!F1732)</f>
        <v/>
      </c>
      <c r="C1731" s="60" t="str">
        <f>IF($A1731="","",[1]weekly_demand!H1732)</f>
        <v/>
      </c>
      <c r="D1731" s="61" t="str">
        <f>IF($A1731="","",IF(SUMIFS([1]Fixture_Capacity_Input!$C:$C,[1]Fixture_Capacity_Input!$A:$A,$B1731,[1]Fixture_Capacity_Input!$B:$B,$C1731)&gt;0,SUMIFS([1]Fixture_Capacity_Input!$C:$C,[1]Fixture_Capacity_Input!$A:$A,$B1731,[1]Fixture_Capacity_Input!$B:$B,$C1731),[1]weekly_demand!G1732))</f>
        <v/>
      </c>
      <c r="E1731" s="62" t="str">
        <f>IF($A1731="","",[1]weekly_demand!I1732)</f>
        <v/>
      </c>
      <c r="F1731" s="61" t="str">
        <f>IF($A1731="","",IF($A1731&lt;&gt;$A1730,IFERROR(INDEX([1]FG_Begin_Inventory!$B:$B,MATCH($A1731,[1]FG_Begin_Inventory!$A:$A,0)),0),J1730))</f>
        <v/>
      </c>
      <c r="G1731" s="61" t="str">
        <f t="shared" si="192"/>
        <v/>
      </c>
      <c r="H1731" s="61" t="str">
        <f t="shared" si="193"/>
        <v/>
      </c>
      <c r="I1731" s="62" t="str">
        <f t="shared" si="194"/>
        <v/>
      </c>
      <c r="J1731" s="61" t="str">
        <f t="shared" si="195"/>
        <v/>
      </c>
      <c r="K1731" s="61" t="str">
        <f t="shared" si="196"/>
        <v/>
      </c>
      <c r="L1731" s="61" t="str">
        <f t="shared" si="197"/>
        <v/>
      </c>
      <c r="M1731" s="63" t="str">
        <f t="shared" si="198"/>
        <v/>
      </c>
      <c r="N1731" s="64"/>
    </row>
    <row r="1732" spans="1:14" x14ac:dyDescent="0.3">
      <c r="A1732" s="58" t="str">
        <f>IF([1]weekly_demand!A1733="","",[1]weekly_demand!A1733)</f>
        <v/>
      </c>
      <c r="B1732" s="59" t="str">
        <f>IF($A1732="","",[1]weekly_demand!F1733)</f>
        <v/>
      </c>
      <c r="C1732" s="60" t="str">
        <f>IF($A1732="","",[1]weekly_demand!H1733)</f>
        <v/>
      </c>
      <c r="D1732" s="61" t="str">
        <f>IF($A1732="","",IF(SUMIFS([1]Fixture_Capacity_Input!$C:$C,[1]Fixture_Capacity_Input!$A:$A,$B1732,[1]Fixture_Capacity_Input!$B:$B,$C1732)&gt;0,SUMIFS([1]Fixture_Capacity_Input!$C:$C,[1]Fixture_Capacity_Input!$A:$A,$B1732,[1]Fixture_Capacity_Input!$B:$B,$C1732),[1]weekly_demand!G1733))</f>
        <v/>
      </c>
      <c r="E1732" s="62" t="str">
        <f>IF($A1732="","",[1]weekly_demand!I1733)</f>
        <v/>
      </c>
      <c r="F1732" s="61" t="str">
        <f>IF($A1732="","",IF($A1732&lt;&gt;$A1731,IFERROR(INDEX([1]FG_Begin_Inventory!$B:$B,MATCH($A1732,[1]FG_Begin_Inventory!$A:$A,0)),0),J1731))</f>
        <v/>
      </c>
      <c r="G1732" s="61" t="str">
        <f t="shared" si="192"/>
        <v/>
      </c>
      <c r="H1732" s="61" t="str">
        <f t="shared" si="193"/>
        <v/>
      </c>
      <c r="I1732" s="62" t="str">
        <f t="shared" si="194"/>
        <v/>
      </c>
      <c r="J1732" s="61" t="str">
        <f t="shared" si="195"/>
        <v/>
      </c>
      <c r="K1732" s="61" t="str">
        <f t="shared" si="196"/>
        <v/>
      </c>
      <c r="L1732" s="61" t="str">
        <f t="shared" si="197"/>
        <v/>
      </c>
      <c r="M1732" s="63" t="str">
        <f t="shared" si="198"/>
        <v/>
      </c>
      <c r="N1732" s="64"/>
    </row>
    <row r="1733" spans="1:14" x14ac:dyDescent="0.3">
      <c r="A1733" s="58" t="str">
        <f>IF([1]weekly_demand!A1734="","",[1]weekly_demand!A1734)</f>
        <v/>
      </c>
      <c r="B1733" s="59" t="str">
        <f>IF($A1733="","",[1]weekly_demand!F1734)</f>
        <v/>
      </c>
      <c r="C1733" s="60" t="str">
        <f>IF($A1733="","",[1]weekly_demand!H1734)</f>
        <v/>
      </c>
      <c r="D1733" s="61" t="str">
        <f>IF($A1733="","",IF(SUMIFS([1]Fixture_Capacity_Input!$C:$C,[1]Fixture_Capacity_Input!$A:$A,$B1733,[1]Fixture_Capacity_Input!$B:$B,$C1733)&gt;0,SUMIFS([1]Fixture_Capacity_Input!$C:$C,[1]Fixture_Capacity_Input!$A:$A,$B1733,[1]Fixture_Capacity_Input!$B:$B,$C1733),[1]weekly_demand!G1734))</f>
        <v/>
      </c>
      <c r="E1733" s="62" t="str">
        <f>IF($A1733="","",[1]weekly_demand!I1734)</f>
        <v/>
      </c>
      <c r="F1733" s="61" t="str">
        <f>IF($A1733="","",IF($A1733&lt;&gt;$A1732,IFERROR(INDEX([1]FG_Begin_Inventory!$B:$B,MATCH($A1733,[1]FG_Begin_Inventory!$A:$A,0)),0),J1732))</f>
        <v/>
      </c>
      <c r="G1733" s="61" t="str">
        <f t="shared" si="192"/>
        <v/>
      </c>
      <c r="H1733" s="61" t="str">
        <f t="shared" si="193"/>
        <v/>
      </c>
      <c r="I1733" s="62" t="str">
        <f t="shared" si="194"/>
        <v/>
      </c>
      <c r="J1733" s="61" t="str">
        <f t="shared" si="195"/>
        <v/>
      </c>
      <c r="K1733" s="61" t="str">
        <f t="shared" si="196"/>
        <v/>
      </c>
      <c r="L1733" s="61" t="str">
        <f t="shared" si="197"/>
        <v/>
      </c>
      <c r="M1733" s="63" t="str">
        <f t="shared" si="198"/>
        <v/>
      </c>
      <c r="N1733" s="64"/>
    </row>
    <row r="1734" spans="1:14" x14ac:dyDescent="0.3">
      <c r="A1734" s="58" t="str">
        <f>IF([1]weekly_demand!A1735="","",[1]weekly_demand!A1735)</f>
        <v/>
      </c>
      <c r="B1734" s="59" t="str">
        <f>IF($A1734="","",[1]weekly_demand!F1735)</f>
        <v/>
      </c>
      <c r="C1734" s="60" t="str">
        <f>IF($A1734="","",[1]weekly_demand!H1735)</f>
        <v/>
      </c>
      <c r="D1734" s="61" t="str">
        <f>IF($A1734="","",IF(SUMIFS([1]Fixture_Capacity_Input!$C:$C,[1]Fixture_Capacity_Input!$A:$A,$B1734,[1]Fixture_Capacity_Input!$B:$B,$C1734)&gt;0,SUMIFS([1]Fixture_Capacity_Input!$C:$C,[1]Fixture_Capacity_Input!$A:$A,$B1734,[1]Fixture_Capacity_Input!$B:$B,$C1734),[1]weekly_demand!G1735))</f>
        <v/>
      </c>
      <c r="E1734" s="62" t="str">
        <f>IF($A1734="","",[1]weekly_demand!I1735)</f>
        <v/>
      </c>
      <c r="F1734" s="61" t="str">
        <f>IF($A1734="","",IF($A1734&lt;&gt;$A1733,IFERROR(INDEX([1]FG_Begin_Inventory!$B:$B,MATCH($A1734,[1]FG_Begin_Inventory!$A:$A,0)),0),J1733))</f>
        <v/>
      </c>
      <c r="G1734" s="61" t="str">
        <f t="shared" si="192"/>
        <v/>
      </c>
      <c r="H1734" s="61" t="str">
        <f t="shared" si="193"/>
        <v/>
      </c>
      <c r="I1734" s="62" t="str">
        <f t="shared" si="194"/>
        <v/>
      </c>
      <c r="J1734" s="61" t="str">
        <f t="shared" si="195"/>
        <v/>
      </c>
      <c r="K1734" s="61" t="str">
        <f t="shared" si="196"/>
        <v/>
      </c>
      <c r="L1734" s="61" t="str">
        <f t="shared" si="197"/>
        <v/>
      </c>
      <c r="M1734" s="63" t="str">
        <f t="shared" si="198"/>
        <v/>
      </c>
      <c r="N1734" s="64"/>
    </row>
    <row r="1735" spans="1:14" x14ac:dyDescent="0.3">
      <c r="A1735" s="58" t="str">
        <f>IF([1]weekly_demand!A1736="","",[1]weekly_demand!A1736)</f>
        <v/>
      </c>
      <c r="B1735" s="59" t="str">
        <f>IF($A1735="","",[1]weekly_demand!F1736)</f>
        <v/>
      </c>
      <c r="C1735" s="60" t="str">
        <f>IF($A1735="","",[1]weekly_demand!H1736)</f>
        <v/>
      </c>
      <c r="D1735" s="61" t="str">
        <f>IF($A1735="","",IF(SUMIFS([1]Fixture_Capacity_Input!$C:$C,[1]Fixture_Capacity_Input!$A:$A,$B1735,[1]Fixture_Capacity_Input!$B:$B,$C1735)&gt;0,SUMIFS([1]Fixture_Capacity_Input!$C:$C,[1]Fixture_Capacity_Input!$A:$A,$B1735,[1]Fixture_Capacity_Input!$B:$B,$C1735),[1]weekly_demand!G1736))</f>
        <v/>
      </c>
      <c r="E1735" s="62" t="str">
        <f>IF($A1735="","",[1]weekly_demand!I1736)</f>
        <v/>
      </c>
      <c r="F1735" s="61" t="str">
        <f>IF($A1735="","",IF($A1735&lt;&gt;$A1734,IFERROR(INDEX([1]FG_Begin_Inventory!$B:$B,MATCH($A1735,[1]FG_Begin_Inventory!$A:$A,0)),0),J1734))</f>
        <v/>
      </c>
      <c r="G1735" s="61" t="str">
        <f t="shared" si="192"/>
        <v/>
      </c>
      <c r="H1735" s="61" t="str">
        <f t="shared" si="193"/>
        <v/>
      </c>
      <c r="I1735" s="62" t="str">
        <f t="shared" si="194"/>
        <v/>
      </c>
      <c r="J1735" s="61" t="str">
        <f t="shared" si="195"/>
        <v/>
      </c>
      <c r="K1735" s="61" t="str">
        <f t="shared" si="196"/>
        <v/>
      </c>
      <c r="L1735" s="61" t="str">
        <f t="shared" si="197"/>
        <v/>
      </c>
      <c r="M1735" s="63" t="str">
        <f t="shared" si="198"/>
        <v/>
      </c>
      <c r="N1735" s="64"/>
    </row>
    <row r="1736" spans="1:14" x14ac:dyDescent="0.3">
      <c r="A1736" s="58" t="str">
        <f>IF([1]weekly_demand!A1737="","",[1]weekly_demand!A1737)</f>
        <v/>
      </c>
      <c r="B1736" s="59" t="str">
        <f>IF($A1736="","",[1]weekly_demand!F1737)</f>
        <v/>
      </c>
      <c r="C1736" s="60" t="str">
        <f>IF($A1736="","",[1]weekly_demand!H1737)</f>
        <v/>
      </c>
      <c r="D1736" s="61" t="str">
        <f>IF($A1736="","",IF(SUMIFS([1]Fixture_Capacity_Input!$C:$C,[1]Fixture_Capacity_Input!$A:$A,$B1736,[1]Fixture_Capacity_Input!$B:$B,$C1736)&gt;0,SUMIFS([1]Fixture_Capacity_Input!$C:$C,[1]Fixture_Capacity_Input!$A:$A,$B1736,[1]Fixture_Capacity_Input!$B:$B,$C1736),[1]weekly_demand!G1737))</f>
        <v/>
      </c>
      <c r="E1736" s="62" t="str">
        <f>IF($A1736="","",[1]weekly_demand!I1737)</f>
        <v/>
      </c>
      <c r="F1736" s="61" t="str">
        <f>IF($A1736="","",IF($A1736&lt;&gt;$A1735,IFERROR(INDEX([1]FG_Begin_Inventory!$B:$B,MATCH($A1736,[1]FG_Begin_Inventory!$A:$A,0)),0),J1735))</f>
        <v/>
      </c>
      <c r="G1736" s="61" t="str">
        <f t="shared" si="192"/>
        <v/>
      </c>
      <c r="H1736" s="61" t="str">
        <f t="shared" si="193"/>
        <v/>
      </c>
      <c r="I1736" s="62" t="str">
        <f t="shared" si="194"/>
        <v/>
      </c>
      <c r="J1736" s="61" t="str">
        <f t="shared" si="195"/>
        <v/>
      </c>
      <c r="K1736" s="61" t="str">
        <f t="shared" si="196"/>
        <v/>
      </c>
      <c r="L1736" s="61" t="str">
        <f t="shared" si="197"/>
        <v/>
      </c>
      <c r="M1736" s="63" t="str">
        <f t="shared" si="198"/>
        <v/>
      </c>
      <c r="N1736" s="64"/>
    </row>
    <row r="1737" spans="1:14" x14ac:dyDescent="0.3">
      <c r="A1737" s="58" t="str">
        <f>IF([1]weekly_demand!A1738="","",[1]weekly_demand!A1738)</f>
        <v/>
      </c>
      <c r="B1737" s="59" t="str">
        <f>IF($A1737="","",[1]weekly_demand!F1738)</f>
        <v/>
      </c>
      <c r="C1737" s="60" t="str">
        <f>IF($A1737="","",[1]weekly_demand!H1738)</f>
        <v/>
      </c>
      <c r="D1737" s="61" t="str">
        <f>IF($A1737="","",IF(SUMIFS([1]Fixture_Capacity_Input!$C:$C,[1]Fixture_Capacity_Input!$A:$A,$B1737,[1]Fixture_Capacity_Input!$B:$B,$C1737)&gt;0,SUMIFS([1]Fixture_Capacity_Input!$C:$C,[1]Fixture_Capacity_Input!$A:$A,$B1737,[1]Fixture_Capacity_Input!$B:$B,$C1737),[1]weekly_demand!G1738))</f>
        <v/>
      </c>
      <c r="E1737" s="62" t="str">
        <f>IF($A1737="","",[1]weekly_demand!I1738)</f>
        <v/>
      </c>
      <c r="F1737" s="61" t="str">
        <f>IF($A1737="","",IF($A1737&lt;&gt;$A1736,IFERROR(INDEX([1]FG_Begin_Inventory!$B:$B,MATCH($A1737,[1]FG_Begin_Inventory!$A:$A,0)),0),J1736))</f>
        <v/>
      </c>
      <c r="G1737" s="61" t="str">
        <f t="shared" si="192"/>
        <v/>
      </c>
      <c r="H1737" s="61" t="str">
        <f t="shared" si="193"/>
        <v/>
      </c>
      <c r="I1737" s="62" t="str">
        <f t="shared" si="194"/>
        <v/>
      </c>
      <c r="J1737" s="61" t="str">
        <f t="shared" si="195"/>
        <v/>
      </c>
      <c r="K1737" s="61" t="str">
        <f t="shared" si="196"/>
        <v/>
      </c>
      <c r="L1737" s="61" t="str">
        <f t="shared" si="197"/>
        <v/>
      </c>
      <c r="M1737" s="63" t="str">
        <f t="shared" si="198"/>
        <v/>
      </c>
      <c r="N1737" s="64"/>
    </row>
    <row r="1738" spans="1:14" x14ac:dyDescent="0.3">
      <c r="A1738" s="58" t="str">
        <f>IF([1]weekly_demand!A1739="","",[1]weekly_demand!A1739)</f>
        <v/>
      </c>
      <c r="B1738" s="59" t="str">
        <f>IF($A1738="","",[1]weekly_demand!F1739)</f>
        <v/>
      </c>
      <c r="C1738" s="60" t="str">
        <f>IF($A1738="","",[1]weekly_demand!H1739)</f>
        <v/>
      </c>
      <c r="D1738" s="61" t="str">
        <f>IF($A1738="","",IF(SUMIFS([1]Fixture_Capacity_Input!$C:$C,[1]Fixture_Capacity_Input!$A:$A,$B1738,[1]Fixture_Capacity_Input!$B:$B,$C1738)&gt;0,SUMIFS([1]Fixture_Capacity_Input!$C:$C,[1]Fixture_Capacity_Input!$A:$A,$B1738,[1]Fixture_Capacity_Input!$B:$B,$C1738),[1]weekly_demand!G1739))</f>
        <v/>
      </c>
      <c r="E1738" s="62" t="str">
        <f>IF($A1738="","",[1]weekly_demand!I1739)</f>
        <v/>
      </c>
      <c r="F1738" s="61" t="str">
        <f>IF($A1738="","",IF($A1738&lt;&gt;$A1737,IFERROR(INDEX([1]FG_Begin_Inventory!$B:$B,MATCH($A1738,[1]FG_Begin_Inventory!$A:$A,0)),0),J1737))</f>
        <v/>
      </c>
      <c r="G1738" s="61" t="str">
        <f t="shared" si="192"/>
        <v/>
      </c>
      <c r="H1738" s="61" t="str">
        <f t="shared" si="193"/>
        <v/>
      </c>
      <c r="I1738" s="62" t="str">
        <f t="shared" si="194"/>
        <v/>
      </c>
      <c r="J1738" s="61" t="str">
        <f t="shared" si="195"/>
        <v/>
      </c>
      <c r="K1738" s="61" t="str">
        <f t="shared" si="196"/>
        <v/>
      </c>
      <c r="L1738" s="61" t="str">
        <f t="shared" si="197"/>
        <v/>
      </c>
      <c r="M1738" s="63" t="str">
        <f t="shared" si="198"/>
        <v/>
      </c>
      <c r="N1738" s="64"/>
    </row>
    <row r="1739" spans="1:14" x14ac:dyDescent="0.3">
      <c r="A1739" s="58" t="str">
        <f>IF([1]weekly_demand!A1740="","",[1]weekly_demand!A1740)</f>
        <v/>
      </c>
      <c r="B1739" s="59" t="str">
        <f>IF($A1739="","",[1]weekly_demand!F1740)</f>
        <v/>
      </c>
      <c r="C1739" s="60" t="str">
        <f>IF($A1739="","",[1]weekly_demand!H1740)</f>
        <v/>
      </c>
      <c r="D1739" s="61" t="str">
        <f>IF($A1739="","",IF(SUMIFS([1]Fixture_Capacity_Input!$C:$C,[1]Fixture_Capacity_Input!$A:$A,$B1739,[1]Fixture_Capacity_Input!$B:$B,$C1739)&gt;0,SUMIFS([1]Fixture_Capacity_Input!$C:$C,[1]Fixture_Capacity_Input!$A:$A,$B1739,[1]Fixture_Capacity_Input!$B:$B,$C1739),[1]weekly_demand!G1740))</f>
        <v/>
      </c>
      <c r="E1739" s="62" t="str">
        <f>IF($A1739="","",[1]weekly_demand!I1740)</f>
        <v/>
      </c>
      <c r="F1739" s="61" t="str">
        <f>IF($A1739="","",IF($A1739&lt;&gt;$A1738,IFERROR(INDEX([1]FG_Begin_Inventory!$B:$B,MATCH($A1739,[1]FG_Begin_Inventory!$A:$A,0)),0),J1738))</f>
        <v/>
      </c>
      <c r="G1739" s="61" t="str">
        <f t="shared" si="192"/>
        <v/>
      </c>
      <c r="H1739" s="61" t="str">
        <f t="shared" si="193"/>
        <v/>
      </c>
      <c r="I1739" s="62" t="str">
        <f t="shared" si="194"/>
        <v/>
      </c>
      <c r="J1739" s="61" t="str">
        <f t="shared" si="195"/>
        <v/>
      </c>
      <c r="K1739" s="61" t="str">
        <f t="shared" si="196"/>
        <v/>
      </c>
      <c r="L1739" s="61" t="str">
        <f t="shared" si="197"/>
        <v/>
      </c>
      <c r="M1739" s="63" t="str">
        <f t="shared" si="198"/>
        <v/>
      </c>
      <c r="N1739" s="64"/>
    </row>
    <row r="1740" spans="1:14" x14ac:dyDescent="0.3">
      <c r="A1740" s="58" t="str">
        <f>IF([1]weekly_demand!A1741="","",[1]weekly_demand!A1741)</f>
        <v/>
      </c>
      <c r="B1740" s="59" t="str">
        <f>IF($A1740="","",[1]weekly_demand!F1741)</f>
        <v/>
      </c>
      <c r="C1740" s="60" t="str">
        <f>IF($A1740="","",[1]weekly_demand!H1741)</f>
        <v/>
      </c>
      <c r="D1740" s="61" t="str">
        <f>IF($A1740="","",IF(SUMIFS([1]Fixture_Capacity_Input!$C:$C,[1]Fixture_Capacity_Input!$A:$A,$B1740,[1]Fixture_Capacity_Input!$B:$B,$C1740)&gt;0,SUMIFS([1]Fixture_Capacity_Input!$C:$C,[1]Fixture_Capacity_Input!$A:$A,$B1740,[1]Fixture_Capacity_Input!$B:$B,$C1740),[1]weekly_demand!G1741))</f>
        <v/>
      </c>
      <c r="E1740" s="62" t="str">
        <f>IF($A1740="","",[1]weekly_demand!I1741)</f>
        <v/>
      </c>
      <c r="F1740" s="61" t="str">
        <f>IF($A1740="","",IF($A1740&lt;&gt;$A1739,IFERROR(INDEX([1]FG_Begin_Inventory!$B:$B,MATCH($A1740,[1]FG_Begin_Inventory!$A:$A,0)),0),J1739))</f>
        <v/>
      </c>
      <c r="G1740" s="61" t="str">
        <f t="shared" si="192"/>
        <v/>
      </c>
      <c r="H1740" s="61" t="str">
        <f t="shared" si="193"/>
        <v/>
      </c>
      <c r="I1740" s="62" t="str">
        <f t="shared" si="194"/>
        <v/>
      </c>
      <c r="J1740" s="61" t="str">
        <f t="shared" si="195"/>
        <v/>
      </c>
      <c r="K1740" s="61" t="str">
        <f t="shared" si="196"/>
        <v/>
      </c>
      <c r="L1740" s="61" t="str">
        <f t="shared" si="197"/>
        <v/>
      </c>
      <c r="M1740" s="63" t="str">
        <f t="shared" si="198"/>
        <v/>
      </c>
      <c r="N1740" s="64"/>
    </row>
    <row r="1741" spans="1:14" x14ac:dyDescent="0.3">
      <c r="A1741" s="58" t="str">
        <f>IF([1]weekly_demand!A1742="","",[1]weekly_demand!A1742)</f>
        <v/>
      </c>
      <c r="B1741" s="59" t="str">
        <f>IF($A1741="","",[1]weekly_demand!F1742)</f>
        <v/>
      </c>
      <c r="C1741" s="60" t="str">
        <f>IF($A1741="","",[1]weekly_demand!H1742)</f>
        <v/>
      </c>
      <c r="D1741" s="61" t="str">
        <f>IF($A1741="","",IF(SUMIFS([1]Fixture_Capacity_Input!$C:$C,[1]Fixture_Capacity_Input!$A:$A,$B1741,[1]Fixture_Capacity_Input!$B:$B,$C1741)&gt;0,SUMIFS([1]Fixture_Capacity_Input!$C:$C,[1]Fixture_Capacity_Input!$A:$A,$B1741,[1]Fixture_Capacity_Input!$B:$B,$C1741),[1]weekly_demand!G1742))</f>
        <v/>
      </c>
      <c r="E1741" s="62" t="str">
        <f>IF($A1741="","",[1]weekly_demand!I1742)</f>
        <v/>
      </c>
      <c r="F1741" s="61" t="str">
        <f>IF($A1741="","",IF($A1741&lt;&gt;$A1740,IFERROR(INDEX([1]FG_Begin_Inventory!$B:$B,MATCH($A1741,[1]FG_Begin_Inventory!$A:$A,0)),0),J1740))</f>
        <v/>
      </c>
      <c r="G1741" s="61" t="str">
        <f t="shared" si="192"/>
        <v/>
      </c>
      <c r="H1741" s="61" t="str">
        <f t="shared" si="193"/>
        <v/>
      </c>
      <c r="I1741" s="62" t="str">
        <f t="shared" si="194"/>
        <v/>
      </c>
      <c r="J1741" s="61" t="str">
        <f t="shared" si="195"/>
        <v/>
      </c>
      <c r="K1741" s="61" t="str">
        <f t="shared" si="196"/>
        <v/>
      </c>
      <c r="L1741" s="61" t="str">
        <f t="shared" si="197"/>
        <v/>
      </c>
      <c r="M1741" s="63" t="str">
        <f t="shared" si="198"/>
        <v/>
      </c>
      <c r="N1741" s="64"/>
    </row>
    <row r="1742" spans="1:14" x14ac:dyDescent="0.3">
      <c r="A1742" s="58" t="str">
        <f>IF([1]weekly_demand!A1743="","",[1]weekly_demand!A1743)</f>
        <v/>
      </c>
      <c r="B1742" s="59" t="str">
        <f>IF($A1742="","",[1]weekly_demand!F1743)</f>
        <v/>
      </c>
      <c r="C1742" s="60" t="str">
        <f>IF($A1742="","",[1]weekly_demand!H1743)</f>
        <v/>
      </c>
      <c r="D1742" s="61" t="str">
        <f>IF($A1742="","",IF(SUMIFS([1]Fixture_Capacity_Input!$C:$C,[1]Fixture_Capacity_Input!$A:$A,$B1742,[1]Fixture_Capacity_Input!$B:$B,$C1742)&gt;0,SUMIFS([1]Fixture_Capacity_Input!$C:$C,[1]Fixture_Capacity_Input!$A:$A,$B1742,[1]Fixture_Capacity_Input!$B:$B,$C1742),[1]weekly_demand!G1743))</f>
        <v/>
      </c>
      <c r="E1742" s="62" t="str">
        <f>IF($A1742="","",[1]weekly_demand!I1743)</f>
        <v/>
      </c>
      <c r="F1742" s="61" t="str">
        <f>IF($A1742="","",IF($A1742&lt;&gt;$A1741,IFERROR(INDEX([1]FG_Begin_Inventory!$B:$B,MATCH($A1742,[1]FG_Begin_Inventory!$A:$A,0)),0),J1741))</f>
        <v/>
      </c>
      <c r="G1742" s="61" t="str">
        <f t="shared" si="192"/>
        <v/>
      </c>
      <c r="H1742" s="61" t="str">
        <f t="shared" si="193"/>
        <v/>
      </c>
      <c r="I1742" s="62" t="str">
        <f t="shared" si="194"/>
        <v/>
      </c>
      <c r="J1742" s="61" t="str">
        <f t="shared" si="195"/>
        <v/>
      </c>
      <c r="K1742" s="61" t="str">
        <f t="shared" si="196"/>
        <v/>
      </c>
      <c r="L1742" s="61" t="str">
        <f t="shared" si="197"/>
        <v/>
      </c>
      <c r="M1742" s="63" t="str">
        <f t="shared" si="198"/>
        <v/>
      </c>
      <c r="N1742" s="64"/>
    </row>
    <row r="1743" spans="1:14" x14ac:dyDescent="0.3">
      <c r="A1743" s="58" t="str">
        <f>IF([1]weekly_demand!A1744="","",[1]weekly_demand!A1744)</f>
        <v/>
      </c>
      <c r="B1743" s="59" t="str">
        <f>IF($A1743="","",[1]weekly_demand!F1744)</f>
        <v/>
      </c>
      <c r="C1743" s="60" t="str">
        <f>IF($A1743="","",[1]weekly_demand!H1744)</f>
        <v/>
      </c>
      <c r="D1743" s="61" t="str">
        <f>IF($A1743="","",IF(SUMIFS([1]Fixture_Capacity_Input!$C:$C,[1]Fixture_Capacity_Input!$A:$A,$B1743,[1]Fixture_Capacity_Input!$B:$B,$C1743)&gt;0,SUMIFS([1]Fixture_Capacity_Input!$C:$C,[1]Fixture_Capacity_Input!$A:$A,$B1743,[1]Fixture_Capacity_Input!$B:$B,$C1743),[1]weekly_demand!G1744))</f>
        <v/>
      </c>
      <c r="E1743" s="62" t="str">
        <f>IF($A1743="","",[1]weekly_demand!I1744)</f>
        <v/>
      </c>
      <c r="F1743" s="61" t="str">
        <f>IF($A1743="","",IF($A1743&lt;&gt;$A1742,IFERROR(INDEX([1]FG_Begin_Inventory!$B:$B,MATCH($A1743,[1]FG_Begin_Inventory!$A:$A,0)),0),J1742))</f>
        <v/>
      </c>
      <c r="G1743" s="61" t="str">
        <f t="shared" si="192"/>
        <v/>
      </c>
      <c r="H1743" s="61" t="str">
        <f t="shared" si="193"/>
        <v/>
      </c>
      <c r="I1743" s="62" t="str">
        <f t="shared" si="194"/>
        <v/>
      </c>
      <c r="J1743" s="61" t="str">
        <f t="shared" si="195"/>
        <v/>
      </c>
      <c r="K1743" s="61" t="str">
        <f t="shared" si="196"/>
        <v/>
      </c>
      <c r="L1743" s="61" t="str">
        <f t="shared" si="197"/>
        <v/>
      </c>
      <c r="M1743" s="63" t="str">
        <f t="shared" si="198"/>
        <v/>
      </c>
      <c r="N1743" s="64"/>
    </row>
    <row r="1744" spans="1:14" x14ac:dyDescent="0.3">
      <c r="A1744" s="58" t="str">
        <f>IF([1]weekly_demand!A1745="","",[1]weekly_demand!A1745)</f>
        <v/>
      </c>
      <c r="B1744" s="59" t="str">
        <f>IF($A1744="","",[1]weekly_demand!F1745)</f>
        <v/>
      </c>
      <c r="C1744" s="60" t="str">
        <f>IF($A1744="","",[1]weekly_demand!H1745)</f>
        <v/>
      </c>
      <c r="D1744" s="61" t="str">
        <f>IF($A1744="","",IF(SUMIFS([1]Fixture_Capacity_Input!$C:$C,[1]Fixture_Capacity_Input!$A:$A,$B1744,[1]Fixture_Capacity_Input!$B:$B,$C1744)&gt;0,SUMIFS([1]Fixture_Capacity_Input!$C:$C,[1]Fixture_Capacity_Input!$A:$A,$B1744,[1]Fixture_Capacity_Input!$B:$B,$C1744),[1]weekly_demand!G1745))</f>
        <v/>
      </c>
      <c r="E1744" s="62" t="str">
        <f>IF($A1744="","",[1]weekly_demand!I1745)</f>
        <v/>
      </c>
      <c r="F1744" s="61" t="str">
        <f>IF($A1744="","",IF($A1744&lt;&gt;$A1743,IFERROR(INDEX([1]FG_Begin_Inventory!$B:$B,MATCH($A1744,[1]FG_Begin_Inventory!$A:$A,0)),0),J1743))</f>
        <v/>
      </c>
      <c r="G1744" s="61" t="str">
        <f t="shared" si="192"/>
        <v/>
      </c>
      <c r="H1744" s="61" t="str">
        <f t="shared" si="193"/>
        <v/>
      </c>
      <c r="I1744" s="62" t="str">
        <f t="shared" si="194"/>
        <v/>
      </c>
      <c r="J1744" s="61" t="str">
        <f t="shared" si="195"/>
        <v/>
      </c>
      <c r="K1744" s="61" t="str">
        <f t="shared" si="196"/>
        <v/>
      </c>
      <c r="L1744" s="61" t="str">
        <f t="shared" si="197"/>
        <v/>
      </c>
      <c r="M1744" s="63" t="str">
        <f t="shared" si="198"/>
        <v/>
      </c>
      <c r="N1744" s="64"/>
    </row>
    <row r="1745" spans="1:14" x14ac:dyDescent="0.3">
      <c r="A1745" s="58" t="str">
        <f>IF([1]weekly_demand!A1746="","",[1]weekly_demand!A1746)</f>
        <v/>
      </c>
      <c r="B1745" s="59" t="str">
        <f>IF($A1745="","",[1]weekly_demand!F1746)</f>
        <v/>
      </c>
      <c r="C1745" s="60" t="str">
        <f>IF($A1745="","",[1]weekly_demand!H1746)</f>
        <v/>
      </c>
      <c r="D1745" s="61" t="str">
        <f>IF($A1745="","",IF(SUMIFS([1]Fixture_Capacity_Input!$C:$C,[1]Fixture_Capacity_Input!$A:$A,$B1745,[1]Fixture_Capacity_Input!$B:$B,$C1745)&gt;0,SUMIFS([1]Fixture_Capacity_Input!$C:$C,[1]Fixture_Capacity_Input!$A:$A,$B1745,[1]Fixture_Capacity_Input!$B:$B,$C1745),[1]weekly_demand!G1746))</f>
        <v/>
      </c>
      <c r="E1745" s="62" t="str">
        <f>IF($A1745="","",[1]weekly_demand!I1746)</f>
        <v/>
      </c>
      <c r="F1745" s="61" t="str">
        <f>IF($A1745="","",IF($A1745&lt;&gt;$A1744,IFERROR(INDEX([1]FG_Begin_Inventory!$B:$B,MATCH($A1745,[1]FG_Begin_Inventory!$A:$A,0)),0),J1744))</f>
        <v/>
      </c>
      <c r="G1745" s="61" t="str">
        <f t="shared" si="192"/>
        <v/>
      </c>
      <c r="H1745" s="61" t="str">
        <f t="shared" si="193"/>
        <v/>
      </c>
      <c r="I1745" s="62" t="str">
        <f t="shared" si="194"/>
        <v/>
      </c>
      <c r="J1745" s="61" t="str">
        <f t="shared" si="195"/>
        <v/>
      </c>
      <c r="K1745" s="61" t="str">
        <f t="shared" si="196"/>
        <v/>
      </c>
      <c r="L1745" s="61" t="str">
        <f t="shared" si="197"/>
        <v/>
      </c>
      <c r="M1745" s="63" t="str">
        <f t="shared" si="198"/>
        <v/>
      </c>
      <c r="N1745" s="64"/>
    </row>
    <row r="1746" spans="1:14" x14ac:dyDescent="0.3">
      <c r="A1746" s="58" t="str">
        <f>IF([1]weekly_demand!A1747="","",[1]weekly_demand!A1747)</f>
        <v/>
      </c>
      <c r="B1746" s="59" t="str">
        <f>IF($A1746="","",[1]weekly_demand!F1747)</f>
        <v/>
      </c>
      <c r="C1746" s="60" t="str">
        <f>IF($A1746="","",[1]weekly_demand!H1747)</f>
        <v/>
      </c>
      <c r="D1746" s="61" t="str">
        <f>IF($A1746="","",IF(SUMIFS([1]Fixture_Capacity_Input!$C:$C,[1]Fixture_Capacity_Input!$A:$A,$B1746,[1]Fixture_Capacity_Input!$B:$B,$C1746)&gt;0,SUMIFS([1]Fixture_Capacity_Input!$C:$C,[1]Fixture_Capacity_Input!$A:$A,$B1746,[1]Fixture_Capacity_Input!$B:$B,$C1746),[1]weekly_demand!G1747))</f>
        <v/>
      </c>
      <c r="E1746" s="62" t="str">
        <f>IF($A1746="","",[1]weekly_demand!I1747)</f>
        <v/>
      </c>
      <c r="F1746" s="61" t="str">
        <f>IF($A1746="","",IF($A1746&lt;&gt;$A1745,IFERROR(INDEX([1]FG_Begin_Inventory!$B:$B,MATCH($A1746,[1]FG_Begin_Inventory!$A:$A,0)),0),J1745))</f>
        <v/>
      </c>
      <c r="G1746" s="61" t="str">
        <f t="shared" si="192"/>
        <v/>
      </c>
      <c r="H1746" s="61" t="str">
        <f t="shared" si="193"/>
        <v/>
      </c>
      <c r="I1746" s="62" t="str">
        <f t="shared" si="194"/>
        <v/>
      </c>
      <c r="J1746" s="61" t="str">
        <f t="shared" si="195"/>
        <v/>
      </c>
      <c r="K1746" s="61" t="str">
        <f t="shared" si="196"/>
        <v/>
      </c>
      <c r="L1746" s="61" t="str">
        <f t="shared" si="197"/>
        <v/>
      </c>
      <c r="M1746" s="63" t="str">
        <f t="shared" si="198"/>
        <v/>
      </c>
      <c r="N1746" s="64"/>
    </row>
    <row r="1747" spans="1:14" x14ac:dyDescent="0.3">
      <c r="A1747" s="58" t="str">
        <f>IF([1]weekly_demand!A1748="","",[1]weekly_demand!A1748)</f>
        <v/>
      </c>
      <c r="B1747" s="59" t="str">
        <f>IF($A1747="","",[1]weekly_demand!F1748)</f>
        <v/>
      </c>
      <c r="C1747" s="60" t="str">
        <f>IF($A1747="","",[1]weekly_demand!H1748)</f>
        <v/>
      </c>
      <c r="D1747" s="61" t="str">
        <f>IF($A1747="","",IF(SUMIFS([1]Fixture_Capacity_Input!$C:$C,[1]Fixture_Capacity_Input!$A:$A,$B1747,[1]Fixture_Capacity_Input!$B:$B,$C1747)&gt;0,SUMIFS([1]Fixture_Capacity_Input!$C:$C,[1]Fixture_Capacity_Input!$A:$A,$B1747,[1]Fixture_Capacity_Input!$B:$B,$C1747),[1]weekly_demand!G1748))</f>
        <v/>
      </c>
      <c r="E1747" s="62" t="str">
        <f>IF($A1747="","",[1]weekly_demand!I1748)</f>
        <v/>
      </c>
      <c r="F1747" s="61" t="str">
        <f>IF($A1747="","",IF($A1747&lt;&gt;$A1746,IFERROR(INDEX([1]FG_Begin_Inventory!$B:$B,MATCH($A1747,[1]FG_Begin_Inventory!$A:$A,0)),0),J1746))</f>
        <v/>
      </c>
      <c r="G1747" s="61" t="str">
        <f t="shared" si="192"/>
        <v/>
      </c>
      <c r="H1747" s="61" t="str">
        <f t="shared" si="193"/>
        <v/>
      </c>
      <c r="I1747" s="62" t="str">
        <f t="shared" si="194"/>
        <v/>
      </c>
      <c r="J1747" s="61" t="str">
        <f t="shared" si="195"/>
        <v/>
      </c>
      <c r="K1747" s="61" t="str">
        <f t="shared" si="196"/>
        <v/>
      </c>
      <c r="L1747" s="61" t="str">
        <f t="shared" si="197"/>
        <v/>
      </c>
      <c r="M1747" s="63" t="str">
        <f t="shared" si="198"/>
        <v/>
      </c>
      <c r="N1747" s="64"/>
    </row>
    <row r="1748" spans="1:14" x14ac:dyDescent="0.3">
      <c r="A1748" s="58" t="str">
        <f>IF([1]weekly_demand!A1749="","",[1]weekly_demand!A1749)</f>
        <v/>
      </c>
      <c r="B1748" s="59" t="str">
        <f>IF($A1748="","",[1]weekly_demand!F1749)</f>
        <v/>
      </c>
      <c r="C1748" s="60" t="str">
        <f>IF($A1748="","",[1]weekly_demand!H1749)</f>
        <v/>
      </c>
      <c r="D1748" s="61" t="str">
        <f>IF($A1748="","",IF(SUMIFS([1]Fixture_Capacity_Input!$C:$C,[1]Fixture_Capacity_Input!$A:$A,$B1748,[1]Fixture_Capacity_Input!$B:$B,$C1748)&gt;0,SUMIFS([1]Fixture_Capacity_Input!$C:$C,[1]Fixture_Capacity_Input!$A:$A,$B1748,[1]Fixture_Capacity_Input!$B:$B,$C1748),[1]weekly_demand!G1749))</f>
        <v/>
      </c>
      <c r="E1748" s="62" t="str">
        <f>IF($A1748="","",[1]weekly_demand!I1749)</f>
        <v/>
      </c>
      <c r="F1748" s="61" t="str">
        <f>IF($A1748="","",IF($A1748&lt;&gt;$A1747,IFERROR(INDEX([1]FG_Begin_Inventory!$B:$B,MATCH($A1748,[1]FG_Begin_Inventory!$A:$A,0)),0),J1747))</f>
        <v/>
      </c>
      <c r="G1748" s="61" t="str">
        <f t="shared" si="192"/>
        <v/>
      </c>
      <c r="H1748" s="61" t="str">
        <f t="shared" si="193"/>
        <v/>
      </c>
      <c r="I1748" s="62" t="str">
        <f t="shared" si="194"/>
        <v/>
      </c>
      <c r="J1748" s="61" t="str">
        <f t="shared" si="195"/>
        <v/>
      </c>
      <c r="K1748" s="61" t="str">
        <f t="shared" si="196"/>
        <v/>
      </c>
      <c r="L1748" s="61" t="str">
        <f t="shared" si="197"/>
        <v/>
      </c>
      <c r="M1748" s="63" t="str">
        <f t="shared" si="198"/>
        <v/>
      </c>
      <c r="N1748" s="64"/>
    </row>
    <row r="1749" spans="1:14" x14ac:dyDescent="0.3">
      <c r="A1749" s="58" t="str">
        <f>IF([1]weekly_demand!A1750="","",[1]weekly_demand!A1750)</f>
        <v/>
      </c>
      <c r="B1749" s="59" t="str">
        <f>IF($A1749="","",[1]weekly_demand!F1750)</f>
        <v/>
      </c>
      <c r="C1749" s="60" t="str">
        <f>IF($A1749="","",[1]weekly_demand!H1750)</f>
        <v/>
      </c>
      <c r="D1749" s="61" t="str">
        <f>IF($A1749="","",IF(SUMIFS([1]Fixture_Capacity_Input!$C:$C,[1]Fixture_Capacity_Input!$A:$A,$B1749,[1]Fixture_Capacity_Input!$B:$B,$C1749)&gt;0,SUMIFS([1]Fixture_Capacity_Input!$C:$C,[1]Fixture_Capacity_Input!$A:$A,$B1749,[1]Fixture_Capacity_Input!$B:$B,$C1749),[1]weekly_demand!G1750))</f>
        <v/>
      </c>
      <c r="E1749" s="62" t="str">
        <f>IF($A1749="","",[1]weekly_demand!I1750)</f>
        <v/>
      </c>
      <c r="F1749" s="61" t="str">
        <f>IF($A1749="","",IF($A1749&lt;&gt;$A1748,IFERROR(INDEX([1]FG_Begin_Inventory!$B:$B,MATCH($A1749,[1]FG_Begin_Inventory!$A:$A,0)),0),J1748))</f>
        <v/>
      </c>
      <c r="G1749" s="61" t="str">
        <f t="shared" si="192"/>
        <v/>
      </c>
      <c r="H1749" s="61" t="str">
        <f t="shared" si="193"/>
        <v/>
      </c>
      <c r="I1749" s="62" t="str">
        <f t="shared" si="194"/>
        <v/>
      </c>
      <c r="J1749" s="61" t="str">
        <f t="shared" si="195"/>
        <v/>
      </c>
      <c r="K1749" s="61" t="str">
        <f t="shared" si="196"/>
        <v/>
      </c>
      <c r="L1749" s="61" t="str">
        <f t="shared" si="197"/>
        <v/>
      </c>
      <c r="M1749" s="63" t="str">
        <f t="shared" si="198"/>
        <v/>
      </c>
      <c r="N1749" s="64"/>
    </row>
    <row r="1750" spans="1:14" x14ac:dyDescent="0.3">
      <c r="A1750" s="58" t="str">
        <f>IF([1]weekly_demand!A1751="","",[1]weekly_demand!A1751)</f>
        <v/>
      </c>
      <c r="B1750" s="59" t="str">
        <f>IF($A1750="","",[1]weekly_demand!F1751)</f>
        <v/>
      </c>
      <c r="C1750" s="60" t="str">
        <f>IF($A1750="","",[1]weekly_demand!H1751)</f>
        <v/>
      </c>
      <c r="D1750" s="61" t="str">
        <f>IF($A1750="","",IF(SUMIFS([1]Fixture_Capacity_Input!$C:$C,[1]Fixture_Capacity_Input!$A:$A,$B1750,[1]Fixture_Capacity_Input!$B:$B,$C1750)&gt;0,SUMIFS([1]Fixture_Capacity_Input!$C:$C,[1]Fixture_Capacity_Input!$A:$A,$B1750,[1]Fixture_Capacity_Input!$B:$B,$C1750),[1]weekly_demand!G1751))</f>
        <v/>
      </c>
      <c r="E1750" s="62" t="str">
        <f>IF($A1750="","",[1]weekly_demand!I1751)</f>
        <v/>
      </c>
      <c r="F1750" s="61" t="str">
        <f>IF($A1750="","",IF($A1750&lt;&gt;$A1749,IFERROR(INDEX([1]FG_Begin_Inventory!$B:$B,MATCH($A1750,[1]FG_Begin_Inventory!$A:$A,0)),0),J1749))</f>
        <v/>
      </c>
      <c r="G1750" s="61" t="str">
        <f t="shared" si="192"/>
        <v/>
      </c>
      <c r="H1750" s="61" t="str">
        <f t="shared" si="193"/>
        <v/>
      </c>
      <c r="I1750" s="62" t="str">
        <f t="shared" si="194"/>
        <v/>
      </c>
      <c r="J1750" s="61" t="str">
        <f t="shared" si="195"/>
        <v/>
      </c>
      <c r="K1750" s="61" t="str">
        <f t="shared" si="196"/>
        <v/>
      </c>
      <c r="L1750" s="61" t="str">
        <f t="shared" si="197"/>
        <v/>
      </c>
      <c r="M1750" s="63" t="str">
        <f t="shared" si="198"/>
        <v/>
      </c>
      <c r="N1750" s="64"/>
    </row>
    <row r="1751" spans="1:14" x14ac:dyDescent="0.3">
      <c r="A1751" s="58" t="str">
        <f>IF([1]weekly_demand!A1752="","",[1]weekly_demand!A1752)</f>
        <v/>
      </c>
      <c r="B1751" s="59" t="str">
        <f>IF($A1751="","",[1]weekly_demand!F1752)</f>
        <v/>
      </c>
      <c r="C1751" s="60" t="str">
        <f>IF($A1751="","",[1]weekly_demand!H1752)</f>
        <v/>
      </c>
      <c r="D1751" s="61" t="str">
        <f>IF($A1751="","",IF(SUMIFS([1]Fixture_Capacity_Input!$C:$C,[1]Fixture_Capacity_Input!$A:$A,$B1751,[1]Fixture_Capacity_Input!$B:$B,$C1751)&gt;0,SUMIFS([1]Fixture_Capacity_Input!$C:$C,[1]Fixture_Capacity_Input!$A:$A,$B1751,[1]Fixture_Capacity_Input!$B:$B,$C1751),[1]weekly_demand!G1752))</f>
        <v/>
      </c>
      <c r="E1751" s="62" t="str">
        <f>IF($A1751="","",[1]weekly_demand!I1752)</f>
        <v/>
      </c>
      <c r="F1751" s="61" t="str">
        <f>IF($A1751="","",IF($A1751&lt;&gt;$A1750,IFERROR(INDEX([1]FG_Begin_Inventory!$B:$B,MATCH($A1751,[1]FG_Begin_Inventory!$A:$A,0)),0),J1750))</f>
        <v/>
      </c>
      <c r="G1751" s="61" t="str">
        <f t="shared" si="192"/>
        <v/>
      </c>
      <c r="H1751" s="61" t="str">
        <f t="shared" si="193"/>
        <v/>
      </c>
      <c r="I1751" s="62" t="str">
        <f t="shared" si="194"/>
        <v/>
      </c>
      <c r="J1751" s="61" t="str">
        <f t="shared" si="195"/>
        <v/>
      </c>
      <c r="K1751" s="61" t="str">
        <f t="shared" si="196"/>
        <v/>
      </c>
      <c r="L1751" s="61" t="str">
        <f t="shared" si="197"/>
        <v/>
      </c>
      <c r="M1751" s="63" t="str">
        <f t="shared" si="198"/>
        <v/>
      </c>
      <c r="N1751" s="64"/>
    </row>
    <row r="1752" spans="1:14" x14ac:dyDescent="0.3">
      <c r="A1752" s="58" t="str">
        <f>IF([1]weekly_demand!A1753="","",[1]weekly_demand!A1753)</f>
        <v/>
      </c>
      <c r="B1752" s="59" t="str">
        <f>IF($A1752="","",[1]weekly_demand!F1753)</f>
        <v/>
      </c>
      <c r="C1752" s="60" t="str">
        <f>IF($A1752="","",[1]weekly_demand!H1753)</f>
        <v/>
      </c>
      <c r="D1752" s="61" t="str">
        <f>IF($A1752="","",IF(SUMIFS([1]Fixture_Capacity_Input!$C:$C,[1]Fixture_Capacity_Input!$A:$A,$B1752,[1]Fixture_Capacity_Input!$B:$B,$C1752)&gt;0,SUMIFS([1]Fixture_Capacity_Input!$C:$C,[1]Fixture_Capacity_Input!$A:$A,$B1752,[1]Fixture_Capacity_Input!$B:$B,$C1752),[1]weekly_demand!G1753))</f>
        <v/>
      </c>
      <c r="E1752" s="62" t="str">
        <f>IF($A1752="","",[1]weekly_demand!I1753)</f>
        <v/>
      </c>
      <c r="F1752" s="61" t="str">
        <f>IF($A1752="","",IF($A1752&lt;&gt;$A1751,IFERROR(INDEX([1]FG_Begin_Inventory!$B:$B,MATCH($A1752,[1]FG_Begin_Inventory!$A:$A,0)),0),J1751))</f>
        <v/>
      </c>
      <c r="G1752" s="61" t="str">
        <f t="shared" si="192"/>
        <v/>
      </c>
      <c r="H1752" s="61" t="str">
        <f t="shared" si="193"/>
        <v/>
      </c>
      <c r="I1752" s="62" t="str">
        <f t="shared" si="194"/>
        <v/>
      </c>
      <c r="J1752" s="61" t="str">
        <f t="shared" si="195"/>
        <v/>
      </c>
      <c r="K1752" s="61" t="str">
        <f t="shared" si="196"/>
        <v/>
      </c>
      <c r="L1752" s="61" t="str">
        <f t="shared" si="197"/>
        <v/>
      </c>
      <c r="M1752" s="63" t="str">
        <f t="shared" si="198"/>
        <v/>
      </c>
      <c r="N1752" s="64"/>
    </row>
    <row r="1753" spans="1:14" x14ac:dyDescent="0.3">
      <c r="A1753" s="58" t="str">
        <f>IF([1]weekly_demand!A1754="","",[1]weekly_demand!A1754)</f>
        <v/>
      </c>
      <c r="B1753" s="59" t="str">
        <f>IF($A1753="","",[1]weekly_demand!F1754)</f>
        <v/>
      </c>
      <c r="C1753" s="60" t="str">
        <f>IF($A1753="","",[1]weekly_demand!H1754)</f>
        <v/>
      </c>
      <c r="D1753" s="61" t="str">
        <f>IF($A1753="","",IF(SUMIFS([1]Fixture_Capacity_Input!$C:$C,[1]Fixture_Capacity_Input!$A:$A,$B1753,[1]Fixture_Capacity_Input!$B:$B,$C1753)&gt;0,SUMIFS([1]Fixture_Capacity_Input!$C:$C,[1]Fixture_Capacity_Input!$A:$A,$B1753,[1]Fixture_Capacity_Input!$B:$B,$C1753),[1]weekly_demand!G1754))</f>
        <v/>
      </c>
      <c r="E1753" s="62" t="str">
        <f>IF($A1753="","",[1]weekly_demand!I1754)</f>
        <v/>
      </c>
      <c r="F1753" s="61" t="str">
        <f>IF($A1753="","",IF($A1753&lt;&gt;$A1752,IFERROR(INDEX([1]FG_Begin_Inventory!$B:$B,MATCH($A1753,[1]FG_Begin_Inventory!$A:$A,0)),0),J1752))</f>
        <v/>
      </c>
      <c r="G1753" s="61" t="str">
        <f t="shared" si="192"/>
        <v/>
      </c>
      <c r="H1753" s="61" t="str">
        <f t="shared" si="193"/>
        <v/>
      </c>
      <c r="I1753" s="62" t="str">
        <f t="shared" si="194"/>
        <v/>
      </c>
      <c r="J1753" s="61" t="str">
        <f t="shared" si="195"/>
        <v/>
      </c>
      <c r="K1753" s="61" t="str">
        <f t="shared" si="196"/>
        <v/>
      </c>
      <c r="L1753" s="61" t="str">
        <f t="shared" si="197"/>
        <v/>
      </c>
      <c r="M1753" s="63" t="str">
        <f t="shared" si="198"/>
        <v/>
      </c>
      <c r="N1753" s="64"/>
    </row>
    <row r="1754" spans="1:14" x14ac:dyDescent="0.3">
      <c r="A1754" s="58" t="str">
        <f>IF([1]weekly_demand!A1755="","",[1]weekly_demand!A1755)</f>
        <v/>
      </c>
      <c r="B1754" s="59" t="str">
        <f>IF($A1754="","",[1]weekly_demand!F1755)</f>
        <v/>
      </c>
      <c r="C1754" s="60" t="str">
        <f>IF($A1754="","",[1]weekly_demand!H1755)</f>
        <v/>
      </c>
      <c r="D1754" s="61" t="str">
        <f>IF($A1754="","",IF(SUMIFS([1]Fixture_Capacity_Input!$C:$C,[1]Fixture_Capacity_Input!$A:$A,$B1754,[1]Fixture_Capacity_Input!$B:$B,$C1754)&gt;0,SUMIFS([1]Fixture_Capacity_Input!$C:$C,[1]Fixture_Capacity_Input!$A:$A,$B1754,[1]Fixture_Capacity_Input!$B:$B,$C1754),[1]weekly_demand!G1755))</f>
        <v/>
      </c>
      <c r="E1754" s="62" t="str">
        <f>IF($A1754="","",[1]weekly_demand!I1755)</f>
        <v/>
      </c>
      <c r="F1754" s="61" t="str">
        <f>IF($A1754="","",IF($A1754&lt;&gt;$A1753,IFERROR(INDEX([1]FG_Begin_Inventory!$B:$B,MATCH($A1754,[1]FG_Begin_Inventory!$A:$A,0)),0),J1753))</f>
        <v/>
      </c>
      <c r="G1754" s="61" t="str">
        <f t="shared" si="192"/>
        <v/>
      </c>
      <c r="H1754" s="61" t="str">
        <f t="shared" si="193"/>
        <v/>
      </c>
      <c r="I1754" s="62" t="str">
        <f t="shared" si="194"/>
        <v/>
      </c>
      <c r="J1754" s="61" t="str">
        <f t="shared" si="195"/>
        <v/>
      </c>
      <c r="K1754" s="61" t="str">
        <f t="shared" si="196"/>
        <v/>
      </c>
      <c r="L1754" s="61" t="str">
        <f t="shared" si="197"/>
        <v/>
      </c>
      <c r="M1754" s="63" t="str">
        <f t="shared" si="198"/>
        <v/>
      </c>
      <c r="N1754" s="64"/>
    </row>
    <row r="1755" spans="1:14" x14ac:dyDescent="0.3">
      <c r="A1755" s="58" t="str">
        <f>IF([1]weekly_demand!A1756="","",[1]weekly_demand!A1756)</f>
        <v/>
      </c>
      <c r="B1755" s="59" t="str">
        <f>IF($A1755="","",[1]weekly_demand!F1756)</f>
        <v/>
      </c>
      <c r="C1755" s="60" t="str">
        <f>IF($A1755="","",[1]weekly_demand!H1756)</f>
        <v/>
      </c>
      <c r="D1755" s="61" t="str">
        <f>IF($A1755="","",IF(SUMIFS([1]Fixture_Capacity_Input!$C:$C,[1]Fixture_Capacity_Input!$A:$A,$B1755,[1]Fixture_Capacity_Input!$B:$B,$C1755)&gt;0,SUMIFS([1]Fixture_Capacity_Input!$C:$C,[1]Fixture_Capacity_Input!$A:$A,$B1755,[1]Fixture_Capacity_Input!$B:$B,$C1755),[1]weekly_demand!G1756))</f>
        <v/>
      </c>
      <c r="E1755" s="62" t="str">
        <f>IF($A1755="","",[1]weekly_demand!I1756)</f>
        <v/>
      </c>
      <c r="F1755" s="61" t="str">
        <f>IF($A1755="","",IF($A1755&lt;&gt;$A1754,IFERROR(INDEX([1]FG_Begin_Inventory!$B:$B,MATCH($A1755,[1]FG_Begin_Inventory!$A:$A,0)),0),J1754))</f>
        <v/>
      </c>
      <c r="G1755" s="61" t="str">
        <f t="shared" si="192"/>
        <v/>
      </c>
      <c r="H1755" s="61" t="str">
        <f t="shared" si="193"/>
        <v/>
      </c>
      <c r="I1755" s="62" t="str">
        <f t="shared" si="194"/>
        <v/>
      </c>
      <c r="J1755" s="61" t="str">
        <f t="shared" si="195"/>
        <v/>
      </c>
      <c r="K1755" s="61" t="str">
        <f t="shared" si="196"/>
        <v/>
      </c>
      <c r="L1755" s="61" t="str">
        <f t="shared" si="197"/>
        <v/>
      </c>
      <c r="M1755" s="63" t="str">
        <f t="shared" si="198"/>
        <v/>
      </c>
      <c r="N1755" s="64"/>
    </row>
    <row r="1756" spans="1:14" x14ac:dyDescent="0.3">
      <c r="A1756" s="58" t="str">
        <f>IF([1]weekly_demand!A1757="","",[1]weekly_demand!A1757)</f>
        <v/>
      </c>
      <c r="B1756" s="59" t="str">
        <f>IF($A1756="","",[1]weekly_demand!F1757)</f>
        <v/>
      </c>
      <c r="C1756" s="60" t="str">
        <f>IF($A1756="","",[1]weekly_demand!H1757)</f>
        <v/>
      </c>
      <c r="D1756" s="61" t="str">
        <f>IF($A1756="","",IF(SUMIFS([1]Fixture_Capacity_Input!$C:$C,[1]Fixture_Capacity_Input!$A:$A,$B1756,[1]Fixture_Capacity_Input!$B:$B,$C1756)&gt;0,SUMIFS([1]Fixture_Capacity_Input!$C:$C,[1]Fixture_Capacity_Input!$A:$A,$B1756,[1]Fixture_Capacity_Input!$B:$B,$C1756),[1]weekly_demand!G1757))</f>
        <v/>
      </c>
      <c r="E1756" s="62" t="str">
        <f>IF($A1756="","",[1]weekly_demand!I1757)</f>
        <v/>
      </c>
      <c r="F1756" s="61" t="str">
        <f>IF($A1756="","",IF($A1756&lt;&gt;$A1755,IFERROR(INDEX([1]FG_Begin_Inventory!$B:$B,MATCH($A1756,[1]FG_Begin_Inventory!$A:$A,0)),0),J1755))</f>
        <v/>
      </c>
      <c r="G1756" s="61" t="str">
        <f t="shared" si="192"/>
        <v/>
      </c>
      <c r="H1756" s="61" t="str">
        <f t="shared" si="193"/>
        <v/>
      </c>
      <c r="I1756" s="62" t="str">
        <f t="shared" si="194"/>
        <v/>
      </c>
      <c r="J1756" s="61" t="str">
        <f t="shared" si="195"/>
        <v/>
      </c>
      <c r="K1756" s="61" t="str">
        <f t="shared" si="196"/>
        <v/>
      </c>
      <c r="L1756" s="61" t="str">
        <f t="shared" si="197"/>
        <v/>
      </c>
      <c r="M1756" s="63" t="str">
        <f t="shared" si="198"/>
        <v/>
      </c>
      <c r="N1756" s="64"/>
    </row>
    <row r="1757" spans="1:14" x14ac:dyDescent="0.3">
      <c r="A1757" s="58" t="str">
        <f>IF([1]weekly_demand!A1758="","",[1]weekly_demand!A1758)</f>
        <v/>
      </c>
      <c r="B1757" s="59" t="str">
        <f>IF($A1757="","",[1]weekly_demand!F1758)</f>
        <v/>
      </c>
      <c r="C1757" s="60" t="str">
        <f>IF($A1757="","",[1]weekly_demand!H1758)</f>
        <v/>
      </c>
      <c r="D1757" s="61" t="str">
        <f>IF($A1757="","",IF(SUMIFS([1]Fixture_Capacity_Input!$C:$C,[1]Fixture_Capacity_Input!$A:$A,$B1757,[1]Fixture_Capacity_Input!$B:$B,$C1757)&gt;0,SUMIFS([1]Fixture_Capacity_Input!$C:$C,[1]Fixture_Capacity_Input!$A:$A,$B1757,[1]Fixture_Capacity_Input!$B:$B,$C1757),[1]weekly_demand!G1758))</f>
        <v/>
      </c>
      <c r="E1757" s="62" t="str">
        <f>IF($A1757="","",[1]weekly_demand!I1758)</f>
        <v/>
      </c>
      <c r="F1757" s="61" t="str">
        <f>IF($A1757="","",IF($A1757&lt;&gt;$A1756,IFERROR(INDEX([1]FG_Begin_Inventory!$B:$B,MATCH($A1757,[1]FG_Begin_Inventory!$A:$A,0)),0),J1756))</f>
        <v/>
      </c>
      <c r="G1757" s="61" t="str">
        <f t="shared" si="192"/>
        <v/>
      </c>
      <c r="H1757" s="61" t="str">
        <f t="shared" si="193"/>
        <v/>
      </c>
      <c r="I1757" s="62" t="str">
        <f t="shared" si="194"/>
        <v/>
      </c>
      <c r="J1757" s="61" t="str">
        <f t="shared" si="195"/>
        <v/>
      </c>
      <c r="K1757" s="61" t="str">
        <f t="shared" si="196"/>
        <v/>
      </c>
      <c r="L1757" s="61" t="str">
        <f t="shared" si="197"/>
        <v/>
      </c>
      <c r="M1757" s="63" t="str">
        <f t="shared" si="198"/>
        <v/>
      </c>
      <c r="N1757" s="64"/>
    </row>
    <row r="1758" spans="1:14" x14ac:dyDescent="0.3">
      <c r="A1758" s="58" t="str">
        <f>IF([1]weekly_demand!A1759="","",[1]weekly_demand!A1759)</f>
        <v/>
      </c>
      <c r="B1758" s="59" t="str">
        <f>IF($A1758="","",[1]weekly_demand!F1759)</f>
        <v/>
      </c>
      <c r="C1758" s="60" t="str">
        <f>IF($A1758="","",[1]weekly_demand!H1759)</f>
        <v/>
      </c>
      <c r="D1758" s="61" t="str">
        <f>IF($A1758="","",IF(SUMIFS([1]Fixture_Capacity_Input!$C:$C,[1]Fixture_Capacity_Input!$A:$A,$B1758,[1]Fixture_Capacity_Input!$B:$B,$C1758)&gt;0,SUMIFS([1]Fixture_Capacity_Input!$C:$C,[1]Fixture_Capacity_Input!$A:$A,$B1758,[1]Fixture_Capacity_Input!$B:$B,$C1758),[1]weekly_demand!G1759))</f>
        <v/>
      </c>
      <c r="E1758" s="62" t="str">
        <f>IF($A1758="","",[1]weekly_demand!I1759)</f>
        <v/>
      </c>
      <c r="F1758" s="61" t="str">
        <f>IF($A1758="","",IF($A1758&lt;&gt;$A1757,IFERROR(INDEX([1]FG_Begin_Inventory!$B:$B,MATCH($A1758,[1]FG_Begin_Inventory!$A:$A,0)),0),J1757))</f>
        <v/>
      </c>
      <c r="G1758" s="61" t="str">
        <f t="shared" si="192"/>
        <v/>
      </c>
      <c r="H1758" s="61" t="str">
        <f t="shared" si="193"/>
        <v/>
      </c>
      <c r="I1758" s="62" t="str">
        <f t="shared" si="194"/>
        <v/>
      </c>
      <c r="J1758" s="61" t="str">
        <f t="shared" si="195"/>
        <v/>
      </c>
      <c r="K1758" s="61" t="str">
        <f t="shared" si="196"/>
        <v/>
      </c>
      <c r="L1758" s="61" t="str">
        <f t="shared" si="197"/>
        <v/>
      </c>
      <c r="M1758" s="63" t="str">
        <f t="shared" si="198"/>
        <v/>
      </c>
      <c r="N1758" s="64"/>
    </row>
    <row r="1759" spans="1:14" x14ac:dyDescent="0.3">
      <c r="A1759" s="58" t="str">
        <f>IF([1]weekly_demand!A1760="","",[1]weekly_demand!A1760)</f>
        <v/>
      </c>
      <c r="B1759" s="59" t="str">
        <f>IF($A1759="","",[1]weekly_demand!F1760)</f>
        <v/>
      </c>
      <c r="C1759" s="60" t="str">
        <f>IF($A1759="","",[1]weekly_demand!H1760)</f>
        <v/>
      </c>
      <c r="D1759" s="61" t="str">
        <f>IF($A1759="","",IF(SUMIFS([1]Fixture_Capacity_Input!$C:$C,[1]Fixture_Capacity_Input!$A:$A,$B1759,[1]Fixture_Capacity_Input!$B:$B,$C1759)&gt;0,SUMIFS([1]Fixture_Capacity_Input!$C:$C,[1]Fixture_Capacity_Input!$A:$A,$B1759,[1]Fixture_Capacity_Input!$B:$B,$C1759),[1]weekly_demand!G1760))</f>
        <v/>
      </c>
      <c r="E1759" s="62" t="str">
        <f>IF($A1759="","",[1]weekly_demand!I1760)</f>
        <v/>
      </c>
      <c r="F1759" s="61" t="str">
        <f>IF($A1759="","",IF($A1759&lt;&gt;$A1758,IFERROR(INDEX([1]FG_Begin_Inventory!$B:$B,MATCH($A1759,[1]FG_Begin_Inventory!$A:$A,0)),0),J1758))</f>
        <v/>
      </c>
      <c r="G1759" s="61" t="str">
        <f t="shared" si="192"/>
        <v/>
      </c>
      <c r="H1759" s="61" t="str">
        <f t="shared" si="193"/>
        <v/>
      </c>
      <c r="I1759" s="62" t="str">
        <f t="shared" si="194"/>
        <v/>
      </c>
      <c r="J1759" s="61" t="str">
        <f t="shared" si="195"/>
        <v/>
      </c>
      <c r="K1759" s="61" t="str">
        <f t="shared" si="196"/>
        <v/>
      </c>
      <c r="L1759" s="61" t="str">
        <f t="shared" si="197"/>
        <v/>
      </c>
      <c r="M1759" s="63" t="str">
        <f t="shared" si="198"/>
        <v/>
      </c>
      <c r="N1759" s="64"/>
    </row>
    <row r="1760" spans="1:14" x14ac:dyDescent="0.3">
      <c r="A1760" s="58" t="str">
        <f>IF([1]weekly_demand!A1761="","",[1]weekly_demand!A1761)</f>
        <v/>
      </c>
      <c r="B1760" s="59" t="str">
        <f>IF($A1760="","",[1]weekly_demand!F1761)</f>
        <v/>
      </c>
      <c r="C1760" s="60" t="str">
        <f>IF($A1760="","",[1]weekly_demand!H1761)</f>
        <v/>
      </c>
      <c r="D1760" s="61" t="str">
        <f>IF($A1760="","",IF(SUMIFS([1]Fixture_Capacity_Input!$C:$C,[1]Fixture_Capacity_Input!$A:$A,$B1760,[1]Fixture_Capacity_Input!$B:$B,$C1760)&gt;0,SUMIFS([1]Fixture_Capacity_Input!$C:$C,[1]Fixture_Capacity_Input!$A:$A,$B1760,[1]Fixture_Capacity_Input!$B:$B,$C1760),[1]weekly_demand!G1761))</f>
        <v/>
      </c>
      <c r="E1760" s="62" t="str">
        <f>IF($A1760="","",[1]weekly_demand!I1761)</f>
        <v/>
      </c>
      <c r="F1760" s="61" t="str">
        <f>IF($A1760="","",IF($A1760&lt;&gt;$A1759,IFERROR(INDEX([1]FG_Begin_Inventory!$B:$B,MATCH($A1760,[1]FG_Begin_Inventory!$A:$A,0)),0),J1759))</f>
        <v/>
      </c>
      <c r="G1760" s="61" t="str">
        <f t="shared" si="192"/>
        <v/>
      </c>
      <c r="H1760" s="61" t="str">
        <f t="shared" si="193"/>
        <v/>
      </c>
      <c r="I1760" s="62" t="str">
        <f t="shared" si="194"/>
        <v/>
      </c>
      <c r="J1760" s="61" t="str">
        <f t="shared" si="195"/>
        <v/>
      </c>
      <c r="K1760" s="61" t="str">
        <f t="shared" si="196"/>
        <v/>
      </c>
      <c r="L1760" s="61" t="str">
        <f t="shared" si="197"/>
        <v/>
      </c>
      <c r="M1760" s="63" t="str">
        <f t="shared" si="198"/>
        <v/>
      </c>
      <c r="N1760" s="64"/>
    </row>
    <row r="1761" spans="1:14" x14ac:dyDescent="0.3">
      <c r="A1761" s="58" t="str">
        <f>IF([1]weekly_demand!A1762="","",[1]weekly_demand!A1762)</f>
        <v/>
      </c>
      <c r="B1761" s="59" t="str">
        <f>IF($A1761="","",[1]weekly_demand!F1762)</f>
        <v/>
      </c>
      <c r="C1761" s="60" t="str">
        <f>IF($A1761="","",[1]weekly_demand!H1762)</f>
        <v/>
      </c>
      <c r="D1761" s="61" t="str">
        <f>IF($A1761="","",IF(SUMIFS([1]Fixture_Capacity_Input!$C:$C,[1]Fixture_Capacity_Input!$A:$A,$B1761,[1]Fixture_Capacity_Input!$B:$B,$C1761)&gt;0,SUMIFS([1]Fixture_Capacity_Input!$C:$C,[1]Fixture_Capacity_Input!$A:$A,$B1761,[1]Fixture_Capacity_Input!$B:$B,$C1761),[1]weekly_demand!G1762))</f>
        <v/>
      </c>
      <c r="E1761" s="62" t="str">
        <f>IF($A1761="","",[1]weekly_demand!I1762)</f>
        <v/>
      </c>
      <c r="F1761" s="61" t="str">
        <f>IF($A1761="","",IF($A1761&lt;&gt;$A1760,IFERROR(INDEX([1]FG_Begin_Inventory!$B:$B,MATCH($A1761,[1]FG_Begin_Inventory!$A:$A,0)),0),J1760))</f>
        <v/>
      </c>
      <c r="G1761" s="61" t="str">
        <f t="shared" si="192"/>
        <v/>
      </c>
      <c r="H1761" s="61" t="str">
        <f t="shared" si="193"/>
        <v/>
      </c>
      <c r="I1761" s="62" t="str">
        <f t="shared" si="194"/>
        <v/>
      </c>
      <c r="J1761" s="61" t="str">
        <f t="shared" si="195"/>
        <v/>
      </c>
      <c r="K1761" s="61" t="str">
        <f t="shared" si="196"/>
        <v/>
      </c>
      <c r="L1761" s="61" t="str">
        <f t="shared" si="197"/>
        <v/>
      </c>
      <c r="M1761" s="63" t="str">
        <f t="shared" si="198"/>
        <v/>
      </c>
      <c r="N1761" s="64"/>
    </row>
    <row r="1762" spans="1:14" x14ac:dyDescent="0.3">
      <c r="A1762" s="58" t="str">
        <f>IF([1]weekly_demand!A1763="","",[1]weekly_demand!A1763)</f>
        <v/>
      </c>
      <c r="B1762" s="59" t="str">
        <f>IF($A1762="","",[1]weekly_demand!F1763)</f>
        <v/>
      </c>
      <c r="C1762" s="60" t="str">
        <f>IF($A1762="","",[1]weekly_demand!H1763)</f>
        <v/>
      </c>
      <c r="D1762" s="61" t="str">
        <f>IF($A1762="","",IF(SUMIFS([1]Fixture_Capacity_Input!$C:$C,[1]Fixture_Capacity_Input!$A:$A,$B1762,[1]Fixture_Capacity_Input!$B:$B,$C1762)&gt;0,SUMIFS([1]Fixture_Capacity_Input!$C:$C,[1]Fixture_Capacity_Input!$A:$A,$B1762,[1]Fixture_Capacity_Input!$B:$B,$C1762),[1]weekly_demand!G1763))</f>
        <v/>
      </c>
      <c r="E1762" s="62" t="str">
        <f>IF($A1762="","",[1]weekly_demand!I1763)</f>
        <v/>
      </c>
      <c r="F1762" s="61" t="str">
        <f>IF($A1762="","",IF($A1762&lt;&gt;$A1761,IFERROR(INDEX([1]FG_Begin_Inventory!$B:$B,MATCH($A1762,[1]FG_Begin_Inventory!$A:$A,0)),0),J1761))</f>
        <v/>
      </c>
      <c r="G1762" s="61" t="str">
        <f t="shared" si="192"/>
        <v/>
      </c>
      <c r="H1762" s="61" t="str">
        <f t="shared" si="193"/>
        <v/>
      </c>
      <c r="I1762" s="62" t="str">
        <f t="shared" si="194"/>
        <v/>
      </c>
      <c r="J1762" s="61" t="str">
        <f t="shared" si="195"/>
        <v/>
      </c>
      <c r="K1762" s="61" t="str">
        <f t="shared" si="196"/>
        <v/>
      </c>
      <c r="L1762" s="61" t="str">
        <f t="shared" si="197"/>
        <v/>
      </c>
      <c r="M1762" s="63" t="str">
        <f t="shared" si="198"/>
        <v/>
      </c>
      <c r="N1762" s="64"/>
    </row>
    <row r="1763" spans="1:14" x14ac:dyDescent="0.3">
      <c r="A1763" s="58" t="str">
        <f>IF([1]weekly_demand!A1764="","",[1]weekly_demand!A1764)</f>
        <v/>
      </c>
      <c r="B1763" s="59" t="str">
        <f>IF($A1763="","",[1]weekly_demand!F1764)</f>
        <v/>
      </c>
      <c r="C1763" s="60" t="str">
        <f>IF($A1763="","",[1]weekly_demand!H1764)</f>
        <v/>
      </c>
      <c r="D1763" s="61" t="str">
        <f>IF($A1763="","",IF(SUMIFS([1]Fixture_Capacity_Input!$C:$C,[1]Fixture_Capacity_Input!$A:$A,$B1763,[1]Fixture_Capacity_Input!$B:$B,$C1763)&gt;0,SUMIFS([1]Fixture_Capacity_Input!$C:$C,[1]Fixture_Capacity_Input!$A:$A,$B1763,[1]Fixture_Capacity_Input!$B:$B,$C1763),[1]weekly_demand!G1764))</f>
        <v/>
      </c>
      <c r="E1763" s="62" t="str">
        <f>IF($A1763="","",[1]weekly_demand!I1764)</f>
        <v/>
      </c>
      <c r="F1763" s="61" t="str">
        <f>IF($A1763="","",IF($A1763&lt;&gt;$A1762,IFERROR(INDEX([1]FG_Begin_Inventory!$B:$B,MATCH($A1763,[1]FG_Begin_Inventory!$A:$A,0)),0),J1762))</f>
        <v/>
      </c>
      <c r="G1763" s="61" t="str">
        <f t="shared" si="192"/>
        <v/>
      </c>
      <c r="H1763" s="61" t="str">
        <f t="shared" si="193"/>
        <v/>
      </c>
      <c r="I1763" s="62" t="str">
        <f t="shared" si="194"/>
        <v/>
      </c>
      <c r="J1763" s="61" t="str">
        <f t="shared" si="195"/>
        <v/>
      </c>
      <c r="K1763" s="61" t="str">
        <f t="shared" si="196"/>
        <v/>
      </c>
      <c r="L1763" s="61" t="str">
        <f t="shared" si="197"/>
        <v/>
      </c>
      <c r="M1763" s="63" t="str">
        <f t="shared" si="198"/>
        <v/>
      </c>
      <c r="N1763" s="64"/>
    </row>
    <row r="1764" spans="1:14" x14ac:dyDescent="0.3">
      <c r="A1764" s="58" t="str">
        <f>IF([1]weekly_demand!A1765="","",[1]weekly_demand!A1765)</f>
        <v/>
      </c>
      <c r="B1764" s="59" t="str">
        <f>IF($A1764="","",[1]weekly_demand!F1765)</f>
        <v/>
      </c>
      <c r="C1764" s="60" t="str">
        <f>IF($A1764="","",[1]weekly_demand!H1765)</f>
        <v/>
      </c>
      <c r="D1764" s="61" t="str">
        <f>IF($A1764="","",IF(SUMIFS([1]Fixture_Capacity_Input!$C:$C,[1]Fixture_Capacity_Input!$A:$A,$B1764,[1]Fixture_Capacity_Input!$B:$B,$C1764)&gt;0,SUMIFS([1]Fixture_Capacity_Input!$C:$C,[1]Fixture_Capacity_Input!$A:$A,$B1764,[1]Fixture_Capacity_Input!$B:$B,$C1764),[1]weekly_demand!G1765))</f>
        <v/>
      </c>
      <c r="E1764" s="62" t="str">
        <f>IF($A1764="","",[1]weekly_demand!I1765)</f>
        <v/>
      </c>
      <c r="F1764" s="61" t="str">
        <f>IF($A1764="","",IF($A1764&lt;&gt;$A1763,IFERROR(INDEX([1]FG_Begin_Inventory!$B:$B,MATCH($A1764,[1]FG_Begin_Inventory!$A:$A,0)),0),J1763))</f>
        <v/>
      </c>
      <c r="G1764" s="61" t="str">
        <f t="shared" si="192"/>
        <v/>
      </c>
      <c r="H1764" s="61" t="str">
        <f t="shared" si="193"/>
        <v/>
      </c>
      <c r="I1764" s="62" t="str">
        <f t="shared" si="194"/>
        <v/>
      </c>
      <c r="J1764" s="61" t="str">
        <f t="shared" si="195"/>
        <v/>
      </c>
      <c r="K1764" s="61" t="str">
        <f t="shared" si="196"/>
        <v/>
      </c>
      <c r="L1764" s="61" t="str">
        <f t="shared" si="197"/>
        <v/>
      </c>
      <c r="M1764" s="63" t="str">
        <f t="shared" si="198"/>
        <v/>
      </c>
      <c r="N1764" s="64"/>
    </row>
    <row r="1765" spans="1:14" x14ac:dyDescent="0.3">
      <c r="A1765" s="58" t="str">
        <f>IF([1]weekly_demand!A1766="","",[1]weekly_demand!A1766)</f>
        <v/>
      </c>
      <c r="B1765" s="59" t="str">
        <f>IF($A1765="","",[1]weekly_demand!F1766)</f>
        <v/>
      </c>
      <c r="C1765" s="60" t="str">
        <f>IF($A1765="","",[1]weekly_demand!H1766)</f>
        <v/>
      </c>
      <c r="D1765" s="61" t="str">
        <f>IF($A1765="","",IF(SUMIFS([1]Fixture_Capacity_Input!$C:$C,[1]Fixture_Capacity_Input!$A:$A,$B1765,[1]Fixture_Capacity_Input!$B:$B,$C1765)&gt;0,SUMIFS([1]Fixture_Capacity_Input!$C:$C,[1]Fixture_Capacity_Input!$A:$A,$B1765,[1]Fixture_Capacity_Input!$B:$B,$C1765),[1]weekly_demand!G1766))</f>
        <v/>
      </c>
      <c r="E1765" s="62" t="str">
        <f>IF($A1765="","",[1]weekly_demand!I1766)</f>
        <v/>
      </c>
      <c r="F1765" s="61" t="str">
        <f>IF($A1765="","",IF($A1765&lt;&gt;$A1764,IFERROR(INDEX([1]FG_Begin_Inventory!$B:$B,MATCH($A1765,[1]FG_Begin_Inventory!$A:$A,0)),0),J1764))</f>
        <v/>
      </c>
      <c r="G1765" s="61" t="str">
        <f t="shared" si="192"/>
        <v/>
      </c>
      <c r="H1765" s="61" t="str">
        <f t="shared" si="193"/>
        <v/>
      </c>
      <c r="I1765" s="62" t="str">
        <f t="shared" si="194"/>
        <v/>
      </c>
      <c r="J1765" s="61" t="str">
        <f t="shared" si="195"/>
        <v/>
      </c>
      <c r="K1765" s="61" t="str">
        <f t="shared" si="196"/>
        <v/>
      </c>
      <c r="L1765" s="61" t="str">
        <f t="shared" si="197"/>
        <v/>
      </c>
      <c r="M1765" s="63" t="str">
        <f t="shared" si="198"/>
        <v/>
      </c>
      <c r="N1765" s="64"/>
    </row>
    <row r="1766" spans="1:14" x14ac:dyDescent="0.3">
      <c r="A1766" s="58" t="str">
        <f>IF([1]weekly_demand!A1767="","",[1]weekly_demand!A1767)</f>
        <v/>
      </c>
      <c r="B1766" s="59" t="str">
        <f>IF($A1766="","",[1]weekly_demand!F1767)</f>
        <v/>
      </c>
      <c r="C1766" s="60" t="str">
        <f>IF($A1766="","",[1]weekly_demand!H1767)</f>
        <v/>
      </c>
      <c r="D1766" s="61" t="str">
        <f>IF($A1766="","",IF(SUMIFS([1]Fixture_Capacity_Input!$C:$C,[1]Fixture_Capacity_Input!$A:$A,$B1766,[1]Fixture_Capacity_Input!$B:$B,$C1766)&gt;0,SUMIFS([1]Fixture_Capacity_Input!$C:$C,[1]Fixture_Capacity_Input!$A:$A,$B1766,[1]Fixture_Capacity_Input!$B:$B,$C1766),[1]weekly_demand!G1767))</f>
        <v/>
      </c>
      <c r="E1766" s="62" t="str">
        <f>IF($A1766="","",[1]weekly_demand!I1767)</f>
        <v/>
      </c>
      <c r="F1766" s="61" t="str">
        <f>IF($A1766="","",IF($A1766&lt;&gt;$A1765,IFERROR(INDEX([1]FG_Begin_Inventory!$B:$B,MATCH($A1766,[1]FG_Begin_Inventory!$A:$A,0)),0),J1765))</f>
        <v/>
      </c>
      <c r="G1766" s="61" t="str">
        <f t="shared" si="192"/>
        <v/>
      </c>
      <c r="H1766" s="61" t="str">
        <f t="shared" si="193"/>
        <v/>
      </c>
      <c r="I1766" s="62" t="str">
        <f t="shared" si="194"/>
        <v/>
      </c>
      <c r="J1766" s="61" t="str">
        <f t="shared" si="195"/>
        <v/>
      </c>
      <c r="K1766" s="61" t="str">
        <f t="shared" si="196"/>
        <v/>
      </c>
      <c r="L1766" s="61" t="str">
        <f t="shared" si="197"/>
        <v/>
      </c>
      <c r="M1766" s="63" t="str">
        <f t="shared" si="198"/>
        <v/>
      </c>
      <c r="N1766" s="64"/>
    </row>
    <row r="1767" spans="1:14" x14ac:dyDescent="0.3">
      <c r="A1767" s="58" t="str">
        <f>IF([1]weekly_demand!A1768="","",[1]weekly_demand!A1768)</f>
        <v/>
      </c>
      <c r="B1767" s="59" t="str">
        <f>IF($A1767="","",[1]weekly_demand!F1768)</f>
        <v/>
      </c>
      <c r="C1767" s="60" t="str">
        <f>IF($A1767="","",[1]weekly_demand!H1768)</f>
        <v/>
      </c>
      <c r="D1767" s="61" t="str">
        <f>IF($A1767="","",IF(SUMIFS([1]Fixture_Capacity_Input!$C:$C,[1]Fixture_Capacity_Input!$A:$A,$B1767,[1]Fixture_Capacity_Input!$B:$B,$C1767)&gt;0,SUMIFS([1]Fixture_Capacity_Input!$C:$C,[1]Fixture_Capacity_Input!$A:$A,$B1767,[1]Fixture_Capacity_Input!$B:$B,$C1767),[1]weekly_demand!G1768))</f>
        <v/>
      </c>
      <c r="E1767" s="62" t="str">
        <f>IF($A1767="","",[1]weekly_demand!I1768)</f>
        <v/>
      </c>
      <c r="F1767" s="61" t="str">
        <f>IF($A1767="","",IF($A1767&lt;&gt;$A1766,IFERROR(INDEX([1]FG_Begin_Inventory!$B:$B,MATCH($A1767,[1]FG_Begin_Inventory!$A:$A,0)),0),J1766))</f>
        <v/>
      </c>
      <c r="G1767" s="61" t="str">
        <f t="shared" si="192"/>
        <v/>
      </c>
      <c r="H1767" s="61" t="str">
        <f t="shared" si="193"/>
        <v/>
      </c>
      <c r="I1767" s="62" t="str">
        <f t="shared" si="194"/>
        <v/>
      </c>
      <c r="J1767" s="61" t="str">
        <f t="shared" si="195"/>
        <v/>
      </c>
      <c r="K1767" s="61" t="str">
        <f t="shared" si="196"/>
        <v/>
      </c>
      <c r="L1767" s="61" t="str">
        <f t="shared" si="197"/>
        <v/>
      </c>
      <c r="M1767" s="63" t="str">
        <f t="shared" si="198"/>
        <v/>
      </c>
      <c r="N1767" s="64"/>
    </row>
    <row r="1768" spans="1:14" x14ac:dyDescent="0.3">
      <c r="A1768" s="58" t="str">
        <f>IF([1]weekly_demand!A1769="","",[1]weekly_demand!A1769)</f>
        <v/>
      </c>
      <c r="B1768" s="59" t="str">
        <f>IF($A1768="","",[1]weekly_demand!F1769)</f>
        <v/>
      </c>
      <c r="C1768" s="60" t="str">
        <f>IF($A1768="","",[1]weekly_demand!H1769)</f>
        <v/>
      </c>
      <c r="D1768" s="61" t="str">
        <f>IF($A1768="","",IF(SUMIFS([1]Fixture_Capacity_Input!$C:$C,[1]Fixture_Capacity_Input!$A:$A,$B1768,[1]Fixture_Capacity_Input!$B:$B,$C1768)&gt;0,SUMIFS([1]Fixture_Capacity_Input!$C:$C,[1]Fixture_Capacity_Input!$A:$A,$B1768,[1]Fixture_Capacity_Input!$B:$B,$C1768),[1]weekly_demand!G1769))</f>
        <v/>
      </c>
      <c r="E1768" s="62" t="str">
        <f>IF($A1768="","",[1]weekly_demand!I1769)</f>
        <v/>
      </c>
      <c r="F1768" s="61" t="str">
        <f>IF($A1768="","",IF($A1768&lt;&gt;$A1767,IFERROR(INDEX([1]FG_Begin_Inventory!$B:$B,MATCH($A1768,[1]FG_Begin_Inventory!$A:$A,0)),0),J1767))</f>
        <v/>
      </c>
      <c r="G1768" s="61" t="str">
        <f t="shared" si="192"/>
        <v/>
      </c>
      <c r="H1768" s="61" t="str">
        <f t="shared" si="193"/>
        <v/>
      </c>
      <c r="I1768" s="62" t="str">
        <f t="shared" si="194"/>
        <v/>
      </c>
      <c r="J1768" s="61" t="str">
        <f t="shared" si="195"/>
        <v/>
      </c>
      <c r="K1768" s="61" t="str">
        <f t="shared" si="196"/>
        <v/>
      </c>
      <c r="L1768" s="61" t="str">
        <f t="shared" si="197"/>
        <v/>
      </c>
      <c r="M1768" s="63" t="str">
        <f t="shared" si="198"/>
        <v/>
      </c>
      <c r="N1768" s="64"/>
    </row>
    <row r="1769" spans="1:14" x14ac:dyDescent="0.3">
      <c r="A1769" s="58" t="str">
        <f>IF([1]weekly_demand!A1770="","",[1]weekly_demand!A1770)</f>
        <v/>
      </c>
      <c r="B1769" s="59" t="str">
        <f>IF($A1769="","",[1]weekly_demand!F1770)</f>
        <v/>
      </c>
      <c r="C1769" s="60" t="str">
        <f>IF($A1769="","",[1]weekly_demand!H1770)</f>
        <v/>
      </c>
      <c r="D1769" s="61" t="str">
        <f>IF($A1769="","",IF(SUMIFS([1]Fixture_Capacity_Input!$C:$C,[1]Fixture_Capacity_Input!$A:$A,$B1769,[1]Fixture_Capacity_Input!$B:$B,$C1769)&gt;0,SUMIFS([1]Fixture_Capacity_Input!$C:$C,[1]Fixture_Capacity_Input!$A:$A,$B1769,[1]Fixture_Capacity_Input!$B:$B,$C1769),[1]weekly_demand!G1770))</f>
        <v/>
      </c>
      <c r="E1769" s="62" t="str">
        <f>IF($A1769="","",[1]weekly_demand!I1770)</f>
        <v/>
      </c>
      <c r="F1769" s="61" t="str">
        <f>IF($A1769="","",IF($A1769&lt;&gt;$A1768,IFERROR(INDEX([1]FG_Begin_Inventory!$B:$B,MATCH($A1769,[1]FG_Begin_Inventory!$A:$A,0)),0),J1768))</f>
        <v/>
      </c>
      <c r="G1769" s="61" t="str">
        <f t="shared" si="192"/>
        <v/>
      </c>
      <c r="H1769" s="61" t="str">
        <f t="shared" si="193"/>
        <v/>
      </c>
      <c r="I1769" s="62" t="str">
        <f t="shared" si="194"/>
        <v/>
      </c>
      <c r="J1769" s="61" t="str">
        <f t="shared" si="195"/>
        <v/>
      </c>
      <c r="K1769" s="61" t="str">
        <f t="shared" si="196"/>
        <v/>
      </c>
      <c r="L1769" s="61" t="str">
        <f t="shared" si="197"/>
        <v/>
      </c>
      <c r="M1769" s="63" t="str">
        <f t="shared" si="198"/>
        <v/>
      </c>
      <c r="N1769" s="64"/>
    </row>
    <row r="1770" spans="1:14" x14ac:dyDescent="0.3">
      <c r="A1770" s="58" t="str">
        <f>IF([1]weekly_demand!A1771="","",[1]weekly_demand!A1771)</f>
        <v/>
      </c>
      <c r="B1770" s="59" t="str">
        <f>IF($A1770="","",[1]weekly_demand!F1771)</f>
        <v/>
      </c>
      <c r="C1770" s="60" t="str">
        <f>IF($A1770="","",[1]weekly_demand!H1771)</f>
        <v/>
      </c>
      <c r="D1770" s="61" t="str">
        <f>IF($A1770="","",IF(SUMIFS([1]Fixture_Capacity_Input!$C:$C,[1]Fixture_Capacity_Input!$A:$A,$B1770,[1]Fixture_Capacity_Input!$B:$B,$C1770)&gt;0,SUMIFS([1]Fixture_Capacity_Input!$C:$C,[1]Fixture_Capacity_Input!$A:$A,$B1770,[1]Fixture_Capacity_Input!$B:$B,$C1770),[1]weekly_demand!G1771))</f>
        <v/>
      </c>
      <c r="E1770" s="62" t="str">
        <f>IF($A1770="","",[1]weekly_demand!I1771)</f>
        <v/>
      </c>
      <c r="F1770" s="61" t="str">
        <f>IF($A1770="","",IF($A1770&lt;&gt;$A1769,IFERROR(INDEX([1]FG_Begin_Inventory!$B:$B,MATCH($A1770,[1]FG_Begin_Inventory!$A:$A,0)),0),J1769))</f>
        <v/>
      </c>
      <c r="G1770" s="61" t="str">
        <f t="shared" si="192"/>
        <v/>
      </c>
      <c r="H1770" s="61" t="str">
        <f t="shared" si="193"/>
        <v/>
      </c>
      <c r="I1770" s="62" t="str">
        <f t="shared" si="194"/>
        <v/>
      </c>
      <c r="J1770" s="61" t="str">
        <f t="shared" si="195"/>
        <v/>
      </c>
      <c r="K1770" s="61" t="str">
        <f t="shared" si="196"/>
        <v/>
      </c>
      <c r="L1770" s="61" t="str">
        <f t="shared" si="197"/>
        <v/>
      </c>
      <c r="M1770" s="63" t="str">
        <f t="shared" si="198"/>
        <v/>
      </c>
      <c r="N1770" s="64"/>
    </row>
    <row r="1771" spans="1:14" x14ac:dyDescent="0.3">
      <c r="A1771" s="58" t="str">
        <f>IF([1]weekly_demand!A1772="","",[1]weekly_demand!A1772)</f>
        <v/>
      </c>
      <c r="B1771" s="59" t="str">
        <f>IF($A1771="","",[1]weekly_demand!F1772)</f>
        <v/>
      </c>
      <c r="C1771" s="60" t="str">
        <f>IF($A1771="","",[1]weekly_demand!H1772)</f>
        <v/>
      </c>
      <c r="D1771" s="61" t="str">
        <f>IF($A1771="","",IF(SUMIFS([1]Fixture_Capacity_Input!$C:$C,[1]Fixture_Capacity_Input!$A:$A,$B1771,[1]Fixture_Capacity_Input!$B:$B,$C1771)&gt;0,SUMIFS([1]Fixture_Capacity_Input!$C:$C,[1]Fixture_Capacity_Input!$A:$A,$B1771,[1]Fixture_Capacity_Input!$B:$B,$C1771),[1]weekly_demand!G1772))</f>
        <v/>
      </c>
      <c r="E1771" s="62" t="str">
        <f>IF($A1771="","",[1]weekly_demand!I1772)</f>
        <v/>
      </c>
      <c r="F1771" s="61" t="str">
        <f>IF($A1771="","",IF($A1771&lt;&gt;$A1770,IFERROR(INDEX([1]FG_Begin_Inventory!$B:$B,MATCH($A1771,[1]FG_Begin_Inventory!$A:$A,0)),0),J1770))</f>
        <v/>
      </c>
      <c r="G1771" s="61" t="str">
        <f t="shared" si="192"/>
        <v/>
      </c>
      <c r="H1771" s="61" t="str">
        <f t="shared" si="193"/>
        <v/>
      </c>
      <c r="I1771" s="62" t="str">
        <f t="shared" si="194"/>
        <v/>
      </c>
      <c r="J1771" s="61" t="str">
        <f t="shared" si="195"/>
        <v/>
      </c>
      <c r="K1771" s="61" t="str">
        <f t="shared" si="196"/>
        <v/>
      </c>
      <c r="L1771" s="61" t="str">
        <f t="shared" si="197"/>
        <v/>
      </c>
      <c r="M1771" s="63" t="str">
        <f t="shared" si="198"/>
        <v/>
      </c>
      <c r="N1771" s="64"/>
    </row>
    <row r="1772" spans="1:14" x14ac:dyDescent="0.3">
      <c r="A1772" s="58" t="str">
        <f>IF([1]weekly_demand!A1773="","",[1]weekly_demand!A1773)</f>
        <v/>
      </c>
      <c r="B1772" s="59" t="str">
        <f>IF($A1772="","",[1]weekly_demand!F1773)</f>
        <v/>
      </c>
      <c r="C1772" s="60" t="str">
        <f>IF($A1772="","",[1]weekly_demand!H1773)</f>
        <v/>
      </c>
      <c r="D1772" s="61" t="str">
        <f>IF($A1772="","",IF(SUMIFS([1]Fixture_Capacity_Input!$C:$C,[1]Fixture_Capacity_Input!$A:$A,$B1772,[1]Fixture_Capacity_Input!$B:$B,$C1772)&gt;0,SUMIFS([1]Fixture_Capacity_Input!$C:$C,[1]Fixture_Capacity_Input!$A:$A,$B1772,[1]Fixture_Capacity_Input!$B:$B,$C1772),[1]weekly_demand!G1773))</f>
        <v/>
      </c>
      <c r="E1772" s="62" t="str">
        <f>IF($A1772="","",[1]weekly_demand!I1773)</f>
        <v/>
      </c>
      <c r="F1772" s="61" t="str">
        <f>IF($A1772="","",IF($A1772&lt;&gt;$A1771,IFERROR(INDEX([1]FG_Begin_Inventory!$B:$B,MATCH($A1772,[1]FG_Begin_Inventory!$A:$A,0)),0),J1771))</f>
        <v/>
      </c>
      <c r="G1772" s="61" t="str">
        <f t="shared" si="192"/>
        <v/>
      </c>
      <c r="H1772" s="61" t="str">
        <f t="shared" si="193"/>
        <v/>
      </c>
      <c r="I1772" s="62" t="str">
        <f t="shared" si="194"/>
        <v/>
      </c>
      <c r="J1772" s="61" t="str">
        <f t="shared" si="195"/>
        <v/>
      </c>
      <c r="K1772" s="61" t="str">
        <f t="shared" si="196"/>
        <v/>
      </c>
      <c r="L1772" s="61" t="str">
        <f t="shared" si="197"/>
        <v/>
      </c>
      <c r="M1772" s="63" t="str">
        <f t="shared" si="198"/>
        <v/>
      </c>
      <c r="N1772" s="64"/>
    </row>
    <row r="1773" spans="1:14" x14ac:dyDescent="0.3">
      <c r="A1773" s="58" t="str">
        <f>IF([1]weekly_demand!A1774="","",[1]weekly_demand!A1774)</f>
        <v/>
      </c>
      <c r="B1773" s="59" t="str">
        <f>IF($A1773="","",[1]weekly_demand!F1774)</f>
        <v/>
      </c>
      <c r="C1773" s="60" t="str">
        <f>IF($A1773="","",[1]weekly_demand!H1774)</f>
        <v/>
      </c>
      <c r="D1773" s="61" t="str">
        <f>IF($A1773="","",IF(SUMIFS([1]Fixture_Capacity_Input!$C:$C,[1]Fixture_Capacity_Input!$A:$A,$B1773,[1]Fixture_Capacity_Input!$B:$B,$C1773)&gt;0,SUMIFS([1]Fixture_Capacity_Input!$C:$C,[1]Fixture_Capacity_Input!$A:$A,$B1773,[1]Fixture_Capacity_Input!$B:$B,$C1773),[1]weekly_demand!G1774))</f>
        <v/>
      </c>
      <c r="E1773" s="62" t="str">
        <f>IF($A1773="","",[1]weekly_demand!I1774)</f>
        <v/>
      </c>
      <c r="F1773" s="61" t="str">
        <f>IF($A1773="","",IF($A1773&lt;&gt;$A1772,IFERROR(INDEX([1]FG_Begin_Inventory!$B:$B,MATCH($A1773,[1]FG_Begin_Inventory!$A:$A,0)),0),J1772))</f>
        <v/>
      </c>
      <c r="G1773" s="61" t="str">
        <f t="shared" si="192"/>
        <v/>
      </c>
      <c r="H1773" s="61" t="str">
        <f t="shared" si="193"/>
        <v/>
      </c>
      <c r="I1773" s="62" t="str">
        <f t="shared" si="194"/>
        <v/>
      </c>
      <c r="J1773" s="61" t="str">
        <f t="shared" si="195"/>
        <v/>
      </c>
      <c r="K1773" s="61" t="str">
        <f t="shared" si="196"/>
        <v/>
      </c>
      <c r="L1773" s="61" t="str">
        <f t="shared" si="197"/>
        <v/>
      </c>
      <c r="M1773" s="63" t="str">
        <f t="shared" si="198"/>
        <v/>
      </c>
      <c r="N1773" s="64"/>
    </row>
    <row r="1774" spans="1:14" x14ac:dyDescent="0.3">
      <c r="A1774" s="58" t="str">
        <f>IF([1]weekly_demand!A1775="","",[1]weekly_demand!A1775)</f>
        <v/>
      </c>
      <c r="B1774" s="59" t="str">
        <f>IF($A1774="","",[1]weekly_demand!F1775)</f>
        <v/>
      </c>
      <c r="C1774" s="60" t="str">
        <f>IF($A1774="","",[1]weekly_demand!H1775)</f>
        <v/>
      </c>
      <c r="D1774" s="61" t="str">
        <f>IF($A1774="","",IF(SUMIFS([1]Fixture_Capacity_Input!$C:$C,[1]Fixture_Capacity_Input!$A:$A,$B1774,[1]Fixture_Capacity_Input!$B:$B,$C1774)&gt;0,SUMIFS([1]Fixture_Capacity_Input!$C:$C,[1]Fixture_Capacity_Input!$A:$A,$B1774,[1]Fixture_Capacity_Input!$B:$B,$C1774),[1]weekly_demand!G1775))</f>
        <v/>
      </c>
      <c r="E1774" s="62" t="str">
        <f>IF($A1774="","",[1]weekly_demand!I1775)</f>
        <v/>
      </c>
      <c r="F1774" s="61" t="str">
        <f>IF($A1774="","",IF($A1774&lt;&gt;$A1773,IFERROR(INDEX([1]FG_Begin_Inventory!$B:$B,MATCH($A1774,[1]FG_Begin_Inventory!$A:$A,0)),0),J1773))</f>
        <v/>
      </c>
      <c r="G1774" s="61" t="str">
        <f t="shared" si="192"/>
        <v/>
      </c>
      <c r="H1774" s="61" t="str">
        <f t="shared" si="193"/>
        <v/>
      </c>
      <c r="I1774" s="62" t="str">
        <f t="shared" si="194"/>
        <v/>
      </c>
      <c r="J1774" s="61" t="str">
        <f t="shared" si="195"/>
        <v/>
      </c>
      <c r="K1774" s="61" t="str">
        <f t="shared" si="196"/>
        <v/>
      </c>
      <c r="L1774" s="61" t="str">
        <f t="shared" si="197"/>
        <v/>
      </c>
      <c r="M1774" s="63" t="str">
        <f t="shared" si="198"/>
        <v/>
      </c>
      <c r="N1774" s="64"/>
    </row>
    <row r="1775" spans="1:14" x14ac:dyDescent="0.3">
      <c r="A1775" s="58" t="str">
        <f>IF([1]weekly_demand!A1776="","",[1]weekly_demand!A1776)</f>
        <v/>
      </c>
      <c r="B1775" s="59" t="str">
        <f>IF($A1775="","",[1]weekly_demand!F1776)</f>
        <v/>
      </c>
      <c r="C1775" s="60" t="str">
        <f>IF($A1775="","",[1]weekly_demand!H1776)</f>
        <v/>
      </c>
      <c r="D1775" s="61" t="str">
        <f>IF($A1775="","",IF(SUMIFS([1]Fixture_Capacity_Input!$C:$C,[1]Fixture_Capacity_Input!$A:$A,$B1775,[1]Fixture_Capacity_Input!$B:$B,$C1775)&gt;0,SUMIFS([1]Fixture_Capacity_Input!$C:$C,[1]Fixture_Capacity_Input!$A:$A,$B1775,[1]Fixture_Capacity_Input!$B:$B,$C1775),[1]weekly_demand!G1776))</f>
        <v/>
      </c>
      <c r="E1775" s="62" t="str">
        <f>IF($A1775="","",[1]weekly_demand!I1776)</f>
        <v/>
      </c>
      <c r="F1775" s="61" t="str">
        <f>IF($A1775="","",IF($A1775&lt;&gt;$A1774,IFERROR(INDEX([1]FG_Begin_Inventory!$B:$B,MATCH($A1775,[1]FG_Begin_Inventory!$A:$A,0)),0),J1774))</f>
        <v/>
      </c>
      <c r="G1775" s="61" t="str">
        <f t="shared" si="192"/>
        <v/>
      </c>
      <c r="H1775" s="61" t="str">
        <f t="shared" si="193"/>
        <v/>
      </c>
      <c r="I1775" s="62" t="str">
        <f t="shared" si="194"/>
        <v/>
      </c>
      <c r="J1775" s="61" t="str">
        <f t="shared" si="195"/>
        <v/>
      </c>
      <c r="K1775" s="61" t="str">
        <f t="shared" si="196"/>
        <v/>
      </c>
      <c r="L1775" s="61" t="str">
        <f t="shared" si="197"/>
        <v/>
      </c>
      <c r="M1775" s="63" t="str">
        <f t="shared" si="198"/>
        <v/>
      </c>
      <c r="N1775" s="64"/>
    </row>
    <row r="1776" spans="1:14" x14ac:dyDescent="0.3">
      <c r="A1776" s="58" t="str">
        <f>IF([1]weekly_demand!A1777="","",[1]weekly_demand!A1777)</f>
        <v/>
      </c>
      <c r="B1776" s="59" t="str">
        <f>IF($A1776="","",[1]weekly_demand!F1777)</f>
        <v/>
      </c>
      <c r="C1776" s="60" t="str">
        <f>IF($A1776="","",[1]weekly_demand!H1777)</f>
        <v/>
      </c>
      <c r="D1776" s="61" t="str">
        <f>IF($A1776="","",IF(SUMIFS([1]Fixture_Capacity_Input!$C:$C,[1]Fixture_Capacity_Input!$A:$A,$B1776,[1]Fixture_Capacity_Input!$B:$B,$C1776)&gt;0,SUMIFS([1]Fixture_Capacity_Input!$C:$C,[1]Fixture_Capacity_Input!$A:$A,$B1776,[1]Fixture_Capacity_Input!$B:$B,$C1776),[1]weekly_demand!G1777))</f>
        <v/>
      </c>
      <c r="E1776" s="62" t="str">
        <f>IF($A1776="","",[1]weekly_demand!I1777)</f>
        <v/>
      </c>
      <c r="F1776" s="61" t="str">
        <f>IF($A1776="","",IF($A1776&lt;&gt;$A1775,IFERROR(INDEX([1]FG_Begin_Inventory!$B:$B,MATCH($A1776,[1]FG_Begin_Inventory!$A:$A,0)),0),J1775))</f>
        <v/>
      </c>
      <c r="G1776" s="61" t="str">
        <f t="shared" si="192"/>
        <v/>
      </c>
      <c r="H1776" s="61" t="str">
        <f t="shared" si="193"/>
        <v/>
      </c>
      <c r="I1776" s="62" t="str">
        <f t="shared" si="194"/>
        <v/>
      </c>
      <c r="J1776" s="61" t="str">
        <f t="shared" si="195"/>
        <v/>
      </c>
      <c r="K1776" s="61" t="str">
        <f t="shared" si="196"/>
        <v/>
      </c>
      <c r="L1776" s="61" t="str">
        <f t="shared" si="197"/>
        <v/>
      </c>
      <c r="M1776" s="63" t="str">
        <f t="shared" si="198"/>
        <v/>
      </c>
      <c r="N1776" s="64"/>
    </row>
    <row r="1777" spans="1:14" x14ac:dyDescent="0.3">
      <c r="A1777" s="58" t="str">
        <f>IF([1]weekly_demand!A1778="","",[1]weekly_demand!A1778)</f>
        <v/>
      </c>
      <c r="B1777" s="59" t="str">
        <f>IF($A1777="","",[1]weekly_demand!F1778)</f>
        <v/>
      </c>
      <c r="C1777" s="60" t="str">
        <f>IF($A1777="","",[1]weekly_demand!H1778)</f>
        <v/>
      </c>
      <c r="D1777" s="61" t="str">
        <f>IF($A1777="","",IF(SUMIFS([1]Fixture_Capacity_Input!$C:$C,[1]Fixture_Capacity_Input!$A:$A,$B1777,[1]Fixture_Capacity_Input!$B:$B,$C1777)&gt;0,SUMIFS([1]Fixture_Capacity_Input!$C:$C,[1]Fixture_Capacity_Input!$A:$A,$B1777,[1]Fixture_Capacity_Input!$B:$B,$C1777),[1]weekly_demand!G1778))</f>
        <v/>
      </c>
      <c r="E1777" s="62" t="str">
        <f>IF($A1777="","",[1]weekly_demand!I1778)</f>
        <v/>
      </c>
      <c r="F1777" s="61" t="str">
        <f>IF($A1777="","",IF($A1777&lt;&gt;$A1776,IFERROR(INDEX([1]FG_Begin_Inventory!$B:$B,MATCH($A1777,[1]FG_Begin_Inventory!$A:$A,0)),0),J1776))</f>
        <v/>
      </c>
      <c r="G1777" s="61" t="str">
        <f t="shared" si="192"/>
        <v/>
      </c>
      <c r="H1777" s="61" t="str">
        <f t="shared" si="193"/>
        <v/>
      </c>
      <c r="I1777" s="62" t="str">
        <f t="shared" si="194"/>
        <v/>
      </c>
      <c r="J1777" s="61" t="str">
        <f t="shared" si="195"/>
        <v/>
      </c>
      <c r="K1777" s="61" t="str">
        <f t="shared" si="196"/>
        <v/>
      </c>
      <c r="L1777" s="61" t="str">
        <f t="shared" si="197"/>
        <v/>
      </c>
      <c r="M1777" s="63" t="str">
        <f t="shared" si="198"/>
        <v/>
      </c>
      <c r="N1777" s="64"/>
    </row>
    <row r="1778" spans="1:14" x14ac:dyDescent="0.3">
      <c r="A1778" s="58" t="str">
        <f>IF([1]weekly_demand!A1779="","",[1]weekly_demand!A1779)</f>
        <v/>
      </c>
      <c r="B1778" s="59" t="str">
        <f>IF($A1778="","",[1]weekly_demand!F1779)</f>
        <v/>
      </c>
      <c r="C1778" s="60" t="str">
        <f>IF($A1778="","",[1]weekly_demand!H1779)</f>
        <v/>
      </c>
      <c r="D1778" s="61" t="str">
        <f>IF($A1778="","",IF(SUMIFS([1]Fixture_Capacity_Input!$C:$C,[1]Fixture_Capacity_Input!$A:$A,$B1778,[1]Fixture_Capacity_Input!$B:$B,$C1778)&gt;0,SUMIFS([1]Fixture_Capacity_Input!$C:$C,[1]Fixture_Capacity_Input!$A:$A,$B1778,[1]Fixture_Capacity_Input!$B:$B,$C1778),[1]weekly_demand!G1779))</f>
        <v/>
      </c>
      <c r="E1778" s="62" t="str">
        <f>IF($A1778="","",[1]weekly_demand!I1779)</f>
        <v/>
      </c>
      <c r="F1778" s="61" t="str">
        <f>IF($A1778="","",IF($A1778&lt;&gt;$A1777,IFERROR(INDEX([1]FG_Begin_Inventory!$B:$B,MATCH($A1778,[1]FG_Begin_Inventory!$A:$A,0)),0),J1777))</f>
        <v/>
      </c>
      <c r="G1778" s="61" t="str">
        <f t="shared" si="192"/>
        <v/>
      </c>
      <c r="H1778" s="61" t="str">
        <f t="shared" si="193"/>
        <v/>
      </c>
      <c r="I1778" s="62" t="str">
        <f t="shared" si="194"/>
        <v/>
      </c>
      <c r="J1778" s="61" t="str">
        <f t="shared" si="195"/>
        <v/>
      </c>
      <c r="K1778" s="61" t="str">
        <f t="shared" si="196"/>
        <v/>
      </c>
      <c r="L1778" s="61" t="str">
        <f t="shared" si="197"/>
        <v/>
      </c>
      <c r="M1778" s="63" t="str">
        <f t="shared" si="198"/>
        <v/>
      </c>
      <c r="N1778" s="64"/>
    </row>
    <row r="1779" spans="1:14" x14ac:dyDescent="0.3">
      <c r="A1779" s="58" t="str">
        <f>IF([1]weekly_demand!A1780="","",[1]weekly_demand!A1780)</f>
        <v/>
      </c>
      <c r="B1779" s="59" t="str">
        <f>IF($A1779="","",[1]weekly_demand!F1780)</f>
        <v/>
      </c>
      <c r="C1779" s="60" t="str">
        <f>IF($A1779="","",[1]weekly_demand!H1780)</f>
        <v/>
      </c>
      <c r="D1779" s="61" t="str">
        <f>IF($A1779="","",IF(SUMIFS([1]Fixture_Capacity_Input!$C:$C,[1]Fixture_Capacity_Input!$A:$A,$B1779,[1]Fixture_Capacity_Input!$B:$B,$C1779)&gt;0,SUMIFS([1]Fixture_Capacity_Input!$C:$C,[1]Fixture_Capacity_Input!$A:$A,$B1779,[1]Fixture_Capacity_Input!$B:$B,$C1779),[1]weekly_demand!G1780))</f>
        <v/>
      </c>
      <c r="E1779" s="62" t="str">
        <f>IF($A1779="","",[1]weekly_demand!I1780)</f>
        <v/>
      </c>
      <c r="F1779" s="61" t="str">
        <f>IF($A1779="","",IF($A1779&lt;&gt;$A1778,IFERROR(INDEX([1]FG_Begin_Inventory!$B:$B,MATCH($A1779,[1]FG_Begin_Inventory!$A:$A,0)),0),J1778))</f>
        <v/>
      </c>
      <c r="G1779" s="61" t="str">
        <f t="shared" ref="G1779:G1842" si="199">IF($A1779="","",IF($A1779&lt;&gt;$A1780,0,MAX(0,G1780+E1780-D1780)))</f>
        <v/>
      </c>
      <c r="H1779" s="61" t="str">
        <f t="shared" si="193"/>
        <v/>
      </c>
      <c r="I1779" s="62" t="str">
        <f t="shared" si="194"/>
        <v/>
      </c>
      <c r="J1779" s="61" t="str">
        <f t="shared" si="195"/>
        <v/>
      </c>
      <c r="K1779" s="61" t="str">
        <f t="shared" si="196"/>
        <v/>
      </c>
      <c r="L1779" s="61" t="str">
        <f t="shared" si="197"/>
        <v/>
      </c>
      <c r="M1779" s="63" t="str">
        <f t="shared" si="198"/>
        <v/>
      </c>
      <c r="N1779" s="64"/>
    </row>
    <row r="1780" spans="1:14" x14ac:dyDescent="0.3">
      <c r="A1780" s="58" t="str">
        <f>IF([1]weekly_demand!A1781="","",[1]weekly_demand!A1781)</f>
        <v/>
      </c>
      <c r="B1780" s="59" t="str">
        <f>IF($A1780="","",[1]weekly_demand!F1781)</f>
        <v/>
      </c>
      <c r="C1780" s="60" t="str">
        <f>IF($A1780="","",[1]weekly_demand!H1781)</f>
        <v/>
      </c>
      <c r="D1780" s="61" t="str">
        <f>IF($A1780="","",IF(SUMIFS([1]Fixture_Capacity_Input!$C:$C,[1]Fixture_Capacity_Input!$A:$A,$B1780,[1]Fixture_Capacity_Input!$B:$B,$C1780)&gt;0,SUMIFS([1]Fixture_Capacity_Input!$C:$C,[1]Fixture_Capacity_Input!$A:$A,$B1780,[1]Fixture_Capacity_Input!$B:$B,$C1780),[1]weekly_demand!G1781))</f>
        <v/>
      </c>
      <c r="E1780" s="62" t="str">
        <f>IF($A1780="","",[1]weekly_demand!I1781)</f>
        <v/>
      </c>
      <c r="F1780" s="61" t="str">
        <f>IF($A1780="","",IF($A1780&lt;&gt;$A1779,IFERROR(INDEX([1]FG_Begin_Inventory!$B:$B,MATCH($A1780,[1]FG_Begin_Inventory!$A:$A,0)),0),J1779))</f>
        <v/>
      </c>
      <c r="G1780" s="61" t="str">
        <f t="shared" si="199"/>
        <v/>
      </c>
      <c r="H1780" s="61" t="str">
        <f t="shared" si="193"/>
        <v/>
      </c>
      <c r="I1780" s="62" t="str">
        <f t="shared" si="194"/>
        <v/>
      </c>
      <c r="J1780" s="61" t="str">
        <f t="shared" si="195"/>
        <v/>
      </c>
      <c r="K1780" s="61" t="str">
        <f t="shared" si="196"/>
        <v/>
      </c>
      <c r="L1780" s="61" t="str">
        <f t="shared" si="197"/>
        <v/>
      </c>
      <c r="M1780" s="63" t="str">
        <f t="shared" si="198"/>
        <v/>
      </c>
      <c r="N1780" s="64"/>
    </row>
    <row r="1781" spans="1:14" x14ac:dyDescent="0.3">
      <c r="A1781" s="58" t="str">
        <f>IF([1]weekly_demand!A1782="","",[1]weekly_demand!A1782)</f>
        <v/>
      </c>
      <c r="B1781" s="59" t="str">
        <f>IF($A1781="","",[1]weekly_demand!F1782)</f>
        <v/>
      </c>
      <c r="C1781" s="60" t="str">
        <f>IF($A1781="","",[1]weekly_demand!H1782)</f>
        <v/>
      </c>
      <c r="D1781" s="61" t="str">
        <f>IF($A1781="","",IF(SUMIFS([1]Fixture_Capacity_Input!$C:$C,[1]Fixture_Capacity_Input!$A:$A,$B1781,[1]Fixture_Capacity_Input!$B:$B,$C1781)&gt;0,SUMIFS([1]Fixture_Capacity_Input!$C:$C,[1]Fixture_Capacity_Input!$A:$A,$B1781,[1]Fixture_Capacity_Input!$B:$B,$C1781),[1]weekly_demand!G1782))</f>
        <v/>
      </c>
      <c r="E1781" s="62" t="str">
        <f>IF($A1781="","",[1]weekly_demand!I1782)</f>
        <v/>
      </c>
      <c r="F1781" s="61" t="str">
        <f>IF($A1781="","",IF($A1781&lt;&gt;$A1780,IFERROR(INDEX([1]FG_Begin_Inventory!$B:$B,MATCH($A1781,[1]FG_Begin_Inventory!$A:$A,0)),0),J1780))</f>
        <v/>
      </c>
      <c r="G1781" s="61" t="str">
        <f t="shared" si="199"/>
        <v/>
      </c>
      <c r="H1781" s="61" t="str">
        <f t="shared" si="193"/>
        <v/>
      </c>
      <c r="I1781" s="62" t="str">
        <f t="shared" si="194"/>
        <v/>
      </c>
      <c r="J1781" s="61" t="str">
        <f t="shared" si="195"/>
        <v/>
      </c>
      <c r="K1781" s="61" t="str">
        <f t="shared" si="196"/>
        <v/>
      </c>
      <c r="L1781" s="61" t="str">
        <f t="shared" si="197"/>
        <v/>
      </c>
      <c r="M1781" s="63" t="str">
        <f t="shared" si="198"/>
        <v/>
      </c>
      <c r="N1781" s="64"/>
    </row>
    <row r="1782" spans="1:14" x14ac:dyDescent="0.3">
      <c r="A1782" s="58" t="str">
        <f>IF([1]weekly_demand!A1783="","",[1]weekly_demand!A1783)</f>
        <v/>
      </c>
      <c r="B1782" s="59" t="str">
        <f>IF($A1782="","",[1]weekly_demand!F1783)</f>
        <v/>
      </c>
      <c r="C1782" s="60" t="str">
        <f>IF($A1782="","",[1]weekly_demand!H1783)</f>
        <v/>
      </c>
      <c r="D1782" s="61" t="str">
        <f>IF($A1782="","",IF(SUMIFS([1]Fixture_Capacity_Input!$C:$C,[1]Fixture_Capacity_Input!$A:$A,$B1782,[1]Fixture_Capacity_Input!$B:$B,$C1782)&gt;0,SUMIFS([1]Fixture_Capacity_Input!$C:$C,[1]Fixture_Capacity_Input!$A:$A,$B1782,[1]Fixture_Capacity_Input!$B:$B,$C1782),[1]weekly_demand!G1783))</f>
        <v/>
      </c>
      <c r="E1782" s="62" t="str">
        <f>IF($A1782="","",[1]weekly_demand!I1783)</f>
        <v/>
      </c>
      <c r="F1782" s="61" t="str">
        <f>IF($A1782="","",IF($A1782&lt;&gt;$A1781,IFERROR(INDEX([1]FG_Begin_Inventory!$B:$B,MATCH($A1782,[1]FG_Begin_Inventory!$A:$A,0)),0),J1781))</f>
        <v/>
      </c>
      <c r="G1782" s="61" t="str">
        <f t="shared" si="199"/>
        <v/>
      </c>
      <c r="H1782" s="61" t="str">
        <f t="shared" si="193"/>
        <v/>
      </c>
      <c r="I1782" s="62" t="str">
        <f t="shared" si="194"/>
        <v/>
      </c>
      <c r="J1782" s="61" t="str">
        <f t="shared" si="195"/>
        <v/>
      </c>
      <c r="K1782" s="61" t="str">
        <f t="shared" si="196"/>
        <v/>
      </c>
      <c r="L1782" s="61" t="str">
        <f t="shared" si="197"/>
        <v/>
      </c>
      <c r="M1782" s="63" t="str">
        <f t="shared" si="198"/>
        <v/>
      </c>
      <c r="N1782" s="64"/>
    </row>
    <row r="1783" spans="1:14" x14ac:dyDescent="0.3">
      <c r="A1783" s="58" t="str">
        <f>IF([1]weekly_demand!A1784="","",[1]weekly_demand!A1784)</f>
        <v/>
      </c>
      <c r="B1783" s="59" t="str">
        <f>IF($A1783="","",[1]weekly_demand!F1784)</f>
        <v/>
      </c>
      <c r="C1783" s="60" t="str">
        <f>IF($A1783="","",[1]weekly_demand!H1784)</f>
        <v/>
      </c>
      <c r="D1783" s="61" t="str">
        <f>IF($A1783="","",IF(SUMIFS([1]Fixture_Capacity_Input!$C:$C,[1]Fixture_Capacity_Input!$A:$A,$B1783,[1]Fixture_Capacity_Input!$B:$B,$C1783)&gt;0,SUMIFS([1]Fixture_Capacity_Input!$C:$C,[1]Fixture_Capacity_Input!$A:$A,$B1783,[1]Fixture_Capacity_Input!$B:$B,$C1783),[1]weekly_demand!G1784))</f>
        <v/>
      </c>
      <c r="E1783" s="62" t="str">
        <f>IF($A1783="","",[1]weekly_demand!I1784)</f>
        <v/>
      </c>
      <c r="F1783" s="61" t="str">
        <f>IF($A1783="","",IF($A1783&lt;&gt;$A1782,IFERROR(INDEX([1]FG_Begin_Inventory!$B:$B,MATCH($A1783,[1]FG_Begin_Inventory!$A:$A,0)),0),J1782))</f>
        <v/>
      </c>
      <c r="G1783" s="61" t="str">
        <f t="shared" si="199"/>
        <v/>
      </c>
      <c r="H1783" s="61" t="str">
        <f t="shared" si="193"/>
        <v/>
      </c>
      <c r="I1783" s="62" t="str">
        <f t="shared" si="194"/>
        <v/>
      </c>
      <c r="J1783" s="61" t="str">
        <f t="shared" si="195"/>
        <v/>
      </c>
      <c r="K1783" s="61" t="str">
        <f t="shared" si="196"/>
        <v/>
      </c>
      <c r="L1783" s="61" t="str">
        <f t="shared" si="197"/>
        <v/>
      </c>
      <c r="M1783" s="63" t="str">
        <f t="shared" si="198"/>
        <v/>
      </c>
      <c r="N1783" s="64"/>
    </row>
    <row r="1784" spans="1:14" x14ac:dyDescent="0.3">
      <c r="A1784" s="58" t="str">
        <f>IF([1]weekly_demand!A1785="","",[1]weekly_demand!A1785)</f>
        <v/>
      </c>
      <c r="B1784" s="59" t="str">
        <f>IF($A1784="","",[1]weekly_demand!F1785)</f>
        <v/>
      </c>
      <c r="C1784" s="60" t="str">
        <f>IF($A1784="","",[1]weekly_demand!H1785)</f>
        <v/>
      </c>
      <c r="D1784" s="61" t="str">
        <f>IF($A1784="","",IF(SUMIFS([1]Fixture_Capacity_Input!$C:$C,[1]Fixture_Capacity_Input!$A:$A,$B1784,[1]Fixture_Capacity_Input!$B:$B,$C1784)&gt;0,SUMIFS([1]Fixture_Capacity_Input!$C:$C,[1]Fixture_Capacity_Input!$A:$A,$B1784,[1]Fixture_Capacity_Input!$B:$B,$C1784),[1]weekly_demand!G1785))</f>
        <v/>
      </c>
      <c r="E1784" s="62" t="str">
        <f>IF($A1784="","",[1]weekly_demand!I1785)</f>
        <v/>
      </c>
      <c r="F1784" s="61" t="str">
        <f>IF($A1784="","",IF($A1784&lt;&gt;$A1783,IFERROR(INDEX([1]FG_Begin_Inventory!$B:$B,MATCH($A1784,[1]FG_Begin_Inventory!$A:$A,0)),0),J1783))</f>
        <v/>
      </c>
      <c r="G1784" s="61" t="str">
        <f t="shared" si="199"/>
        <v/>
      </c>
      <c r="H1784" s="61" t="str">
        <f t="shared" si="193"/>
        <v/>
      </c>
      <c r="I1784" s="62" t="str">
        <f t="shared" si="194"/>
        <v/>
      </c>
      <c r="J1784" s="61" t="str">
        <f t="shared" si="195"/>
        <v/>
      </c>
      <c r="K1784" s="61" t="str">
        <f t="shared" si="196"/>
        <v/>
      </c>
      <c r="L1784" s="61" t="str">
        <f t="shared" si="197"/>
        <v/>
      </c>
      <c r="M1784" s="63" t="str">
        <f t="shared" si="198"/>
        <v/>
      </c>
      <c r="N1784" s="64"/>
    </row>
    <row r="1785" spans="1:14" x14ac:dyDescent="0.3">
      <c r="A1785" s="58" t="str">
        <f>IF([1]weekly_demand!A1786="","",[1]weekly_demand!A1786)</f>
        <v/>
      </c>
      <c r="B1785" s="59" t="str">
        <f>IF($A1785="","",[1]weekly_demand!F1786)</f>
        <v/>
      </c>
      <c r="C1785" s="60" t="str">
        <f>IF($A1785="","",[1]weekly_demand!H1786)</f>
        <v/>
      </c>
      <c r="D1785" s="61" t="str">
        <f>IF($A1785="","",IF(SUMIFS([1]Fixture_Capacity_Input!$C:$C,[1]Fixture_Capacity_Input!$A:$A,$B1785,[1]Fixture_Capacity_Input!$B:$B,$C1785)&gt;0,SUMIFS([1]Fixture_Capacity_Input!$C:$C,[1]Fixture_Capacity_Input!$A:$A,$B1785,[1]Fixture_Capacity_Input!$B:$B,$C1785),[1]weekly_demand!G1786))</f>
        <v/>
      </c>
      <c r="E1785" s="62" t="str">
        <f>IF($A1785="","",[1]weekly_demand!I1786)</f>
        <v/>
      </c>
      <c r="F1785" s="61" t="str">
        <f>IF($A1785="","",IF($A1785&lt;&gt;$A1784,IFERROR(INDEX([1]FG_Begin_Inventory!$B:$B,MATCH($A1785,[1]FG_Begin_Inventory!$A:$A,0)),0),J1784))</f>
        <v/>
      </c>
      <c r="G1785" s="61" t="str">
        <f t="shared" si="199"/>
        <v/>
      </c>
      <c r="H1785" s="61" t="str">
        <f t="shared" si="193"/>
        <v/>
      </c>
      <c r="I1785" s="62" t="str">
        <f t="shared" si="194"/>
        <v/>
      </c>
      <c r="J1785" s="61" t="str">
        <f t="shared" si="195"/>
        <v/>
      </c>
      <c r="K1785" s="61" t="str">
        <f t="shared" si="196"/>
        <v/>
      </c>
      <c r="L1785" s="61" t="str">
        <f t="shared" si="197"/>
        <v/>
      </c>
      <c r="M1785" s="63" t="str">
        <f t="shared" si="198"/>
        <v/>
      </c>
      <c r="N1785" s="64"/>
    </row>
    <row r="1786" spans="1:14" x14ac:dyDescent="0.3">
      <c r="A1786" s="58" t="str">
        <f>IF([1]weekly_demand!A1787="","",[1]weekly_demand!A1787)</f>
        <v/>
      </c>
      <c r="B1786" s="59" t="str">
        <f>IF($A1786="","",[1]weekly_demand!F1787)</f>
        <v/>
      </c>
      <c r="C1786" s="60" t="str">
        <f>IF($A1786="","",[1]weekly_demand!H1787)</f>
        <v/>
      </c>
      <c r="D1786" s="61" t="str">
        <f>IF($A1786="","",IF(SUMIFS([1]Fixture_Capacity_Input!$C:$C,[1]Fixture_Capacity_Input!$A:$A,$B1786,[1]Fixture_Capacity_Input!$B:$B,$C1786)&gt;0,SUMIFS([1]Fixture_Capacity_Input!$C:$C,[1]Fixture_Capacity_Input!$A:$A,$B1786,[1]Fixture_Capacity_Input!$B:$B,$C1786),[1]weekly_demand!G1787))</f>
        <v/>
      </c>
      <c r="E1786" s="62" t="str">
        <f>IF($A1786="","",[1]weekly_demand!I1787)</f>
        <v/>
      </c>
      <c r="F1786" s="61" t="str">
        <f>IF($A1786="","",IF($A1786&lt;&gt;$A1785,IFERROR(INDEX([1]FG_Begin_Inventory!$B:$B,MATCH($A1786,[1]FG_Begin_Inventory!$A:$A,0)),0),J1785))</f>
        <v/>
      </c>
      <c r="G1786" s="61" t="str">
        <f t="shared" si="199"/>
        <v/>
      </c>
      <c r="H1786" s="61" t="str">
        <f t="shared" si="193"/>
        <v/>
      </c>
      <c r="I1786" s="62" t="str">
        <f t="shared" si="194"/>
        <v/>
      </c>
      <c r="J1786" s="61" t="str">
        <f t="shared" si="195"/>
        <v/>
      </c>
      <c r="K1786" s="61" t="str">
        <f t="shared" si="196"/>
        <v/>
      </c>
      <c r="L1786" s="61" t="str">
        <f t="shared" si="197"/>
        <v/>
      </c>
      <c r="M1786" s="63" t="str">
        <f t="shared" si="198"/>
        <v/>
      </c>
      <c r="N1786" s="64"/>
    </row>
    <row r="1787" spans="1:14" x14ac:dyDescent="0.3">
      <c r="A1787" s="58" t="str">
        <f>IF([1]weekly_demand!A1788="","",[1]weekly_demand!A1788)</f>
        <v/>
      </c>
      <c r="B1787" s="59" t="str">
        <f>IF($A1787="","",[1]weekly_demand!F1788)</f>
        <v/>
      </c>
      <c r="C1787" s="60" t="str">
        <f>IF($A1787="","",[1]weekly_demand!H1788)</f>
        <v/>
      </c>
      <c r="D1787" s="61" t="str">
        <f>IF($A1787="","",IF(SUMIFS([1]Fixture_Capacity_Input!$C:$C,[1]Fixture_Capacity_Input!$A:$A,$B1787,[1]Fixture_Capacity_Input!$B:$B,$C1787)&gt;0,SUMIFS([1]Fixture_Capacity_Input!$C:$C,[1]Fixture_Capacity_Input!$A:$A,$B1787,[1]Fixture_Capacity_Input!$B:$B,$C1787),[1]weekly_demand!G1788))</f>
        <v/>
      </c>
      <c r="E1787" s="62" t="str">
        <f>IF($A1787="","",[1]weekly_demand!I1788)</f>
        <v/>
      </c>
      <c r="F1787" s="61" t="str">
        <f>IF($A1787="","",IF($A1787&lt;&gt;$A1786,IFERROR(INDEX([1]FG_Begin_Inventory!$B:$B,MATCH($A1787,[1]FG_Begin_Inventory!$A:$A,0)),0),J1786))</f>
        <v/>
      </c>
      <c r="G1787" s="61" t="str">
        <f t="shared" si="199"/>
        <v/>
      </c>
      <c r="H1787" s="61" t="str">
        <f t="shared" si="193"/>
        <v/>
      </c>
      <c r="I1787" s="62" t="str">
        <f t="shared" si="194"/>
        <v/>
      </c>
      <c r="J1787" s="61" t="str">
        <f t="shared" si="195"/>
        <v/>
      </c>
      <c r="K1787" s="61" t="str">
        <f t="shared" si="196"/>
        <v/>
      </c>
      <c r="L1787" s="61" t="str">
        <f t="shared" si="197"/>
        <v/>
      </c>
      <c r="M1787" s="63" t="str">
        <f t="shared" si="198"/>
        <v/>
      </c>
      <c r="N1787" s="64"/>
    </row>
    <row r="1788" spans="1:14" x14ac:dyDescent="0.3">
      <c r="A1788" s="58" t="str">
        <f>IF([1]weekly_demand!A1789="","",[1]weekly_demand!A1789)</f>
        <v/>
      </c>
      <c r="B1788" s="59" t="str">
        <f>IF($A1788="","",[1]weekly_demand!F1789)</f>
        <v/>
      </c>
      <c r="C1788" s="60" t="str">
        <f>IF($A1788="","",[1]weekly_demand!H1789)</f>
        <v/>
      </c>
      <c r="D1788" s="61" t="str">
        <f>IF($A1788="","",IF(SUMIFS([1]Fixture_Capacity_Input!$C:$C,[1]Fixture_Capacity_Input!$A:$A,$B1788,[1]Fixture_Capacity_Input!$B:$B,$C1788)&gt;0,SUMIFS([1]Fixture_Capacity_Input!$C:$C,[1]Fixture_Capacity_Input!$A:$A,$B1788,[1]Fixture_Capacity_Input!$B:$B,$C1788),[1]weekly_demand!G1789))</f>
        <v/>
      </c>
      <c r="E1788" s="62" t="str">
        <f>IF($A1788="","",[1]weekly_demand!I1789)</f>
        <v/>
      </c>
      <c r="F1788" s="61" t="str">
        <f>IF($A1788="","",IF($A1788&lt;&gt;$A1787,IFERROR(INDEX([1]FG_Begin_Inventory!$B:$B,MATCH($A1788,[1]FG_Begin_Inventory!$A:$A,0)),0),J1787))</f>
        <v/>
      </c>
      <c r="G1788" s="61" t="str">
        <f t="shared" si="199"/>
        <v/>
      </c>
      <c r="H1788" s="61" t="str">
        <f t="shared" si="193"/>
        <v/>
      </c>
      <c r="I1788" s="62" t="str">
        <f t="shared" si="194"/>
        <v/>
      </c>
      <c r="J1788" s="61" t="str">
        <f t="shared" si="195"/>
        <v/>
      </c>
      <c r="K1788" s="61" t="str">
        <f t="shared" si="196"/>
        <v/>
      </c>
      <c r="L1788" s="61" t="str">
        <f t="shared" si="197"/>
        <v/>
      </c>
      <c r="M1788" s="63" t="str">
        <f t="shared" si="198"/>
        <v/>
      </c>
      <c r="N1788" s="64"/>
    </row>
    <row r="1789" spans="1:14" x14ac:dyDescent="0.3">
      <c r="A1789" s="58" t="str">
        <f>IF([1]weekly_demand!A1790="","",[1]weekly_demand!A1790)</f>
        <v/>
      </c>
      <c r="B1789" s="59" t="str">
        <f>IF($A1789="","",[1]weekly_demand!F1790)</f>
        <v/>
      </c>
      <c r="C1789" s="60" t="str">
        <f>IF($A1789="","",[1]weekly_demand!H1790)</f>
        <v/>
      </c>
      <c r="D1789" s="61" t="str">
        <f>IF($A1789="","",IF(SUMIFS([1]Fixture_Capacity_Input!$C:$C,[1]Fixture_Capacity_Input!$A:$A,$B1789,[1]Fixture_Capacity_Input!$B:$B,$C1789)&gt;0,SUMIFS([1]Fixture_Capacity_Input!$C:$C,[1]Fixture_Capacity_Input!$A:$A,$B1789,[1]Fixture_Capacity_Input!$B:$B,$C1789),[1]weekly_demand!G1790))</f>
        <v/>
      </c>
      <c r="E1789" s="62" t="str">
        <f>IF($A1789="","",[1]weekly_demand!I1790)</f>
        <v/>
      </c>
      <c r="F1789" s="61" t="str">
        <f>IF($A1789="","",IF($A1789&lt;&gt;$A1788,IFERROR(INDEX([1]FG_Begin_Inventory!$B:$B,MATCH($A1789,[1]FG_Begin_Inventory!$A:$A,0)),0),J1788))</f>
        <v/>
      </c>
      <c r="G1789" s="61" t="str">
        <f t="shared" si="199"/>
        <v/>
      </c>
      <c r="H1789" s="61" t="str">
        <f t="shared" si="193"/>
        <v/>
      </c>
      <c r="I1789" s="62" t="str">
        <f t="shared" si="194"/>
        <v/>
      </c>
      <c r="J1789" s="61" t="str">
        <f t="shared" si="195"/>
        <v/>
      </c>
      <c r="K1789" s="61" t="str">
        <f t="shared" si="196"/>
        <v/>
      </c>
      <c r="L1789" s="61" t="str">
        <f t="shared" si="197"/>
        <v/>
      </c>
      <c r="M1789" s="63" t="str">
        <f t="shared" si="198"/>
        <v/>
      </c>
      <c r="N1789" s="64"/>
    </row>
    <row r="1790" spans="1:14" x14ac:dyDescent="0.3">
      <c r="A1790" s="58" t="str">
        <f>IF([1]weekly_demand!A1791="","",[1]weekly_demand!A1791)</f>
        <v/>
      </c>
      <c r="B1790" s="59" t="str">
        <f>IF($A1790="","",[1]weekly_demand!F1791)</f>
        <v/>
      </c>
      <c r="C1790" s="60" t="str">
        <f>IF($A1790="","",[1]weekly_demand!H1791)</f>
        <v/>
      </c>
      <c r="D1790" s="61" t="str">
        <f>IF($A1790="","",IF(SUMIFS([1]Fixture_Capacity_Input!$C:$C,[1]Fixture_Capacity_Input!$A:$A,$B1790,[1]Fixture_Capacity_Input!$B:$B,$C1790)&gt;0,SUMIFS([1]Fixture_Capacity_Input!$C:$C,[1]Fixture_Capacity_Input!$A:$A,$B1790,[1]Fixture_Capacity_Input!$B:$B,$C1790),[1]weekly_demand!G1791))</f>
        <v/>
      </c>
      <c r="E1790" s="62" t="str">
        <f>IF($A1790="","",[1]weekly_demand!I1791)</f>
        <v/>
      </c>
      <c r="F1790" s="61" t="str">
        <f>IF($A1790="","",IF($A1790&lt;&gt;$A1789,IFERROR(INDEX([1]FG_Begin_Inventory!$B:$B,MATCH($A1790,[1]FG_Begin_Inventory!$A:$A,0)),0),J1789))</f>
        <v/>
      </c>
      <c r="G1790" s="61" t="str">
        <f t="shared" si="199"/>
        <v/>
      </c>
      <c r="H1790" s="61" t="str">
        <f t="shared" si="193"/>
        <v/>
      </c>
      <c r="I1790" s="62" t="str">
        <f t="shared" si="194"/>
        <v/>
      </c>
      <c r="J1790" s="61" t="str">
        <f t="shared" si="195"/>
        <v/>
      </c>
      <c r="K1790" s="61" t="str">
        <f t="shared" si="196"/>
        <v/>
      </c>
      <c r="L1790" s="61" t="str">
        <f t="shared" si="197"/>
        <v/>
      </c>
      <c r="M1790" s="63" t="str">
        <f t="shared" si="198"/>
        <v/>
      </c>
      <c r="N1790" s="64"/>
    </row>
    <row r="1791" spans="1:14" x14ac:dyDescent="0.3">
      <c r="A1791" s="58" t="str">
        <f>IF([1]weekly_demand!A1792="","",[1]weekly_demand!A1792)</f>
        <v/>
      </c>
      <c r="B1791" s="59" t="str">
        <f>IF($A1791="","",[1]weekly_demand!F1792)</f>
        <v/>
      </c>
      <c r="C1791" s="60" t="str">
        <f>IF($A1791="","",[1]weekly_demand!H1792)</f>
        <v/>
      </c>
      <c r="D1791" s="61" t="str">
        <f>IF($A1791="","",IF(SUMIFS([1]Fixture_Capacity_Input!$C:$C,[1]Fixture_Capacity_Input!$A:$A,$B1791,[1]Fixture_Capacity_Input!$B:$B,$C1791)&gt;0,SUMIFS([1]Fixture_Capacity_Input!$C:$C,[1]Fixture_Capacity_Input!$A:$A,$B1791,[1]Fixture_Capacity_Input!$B:$B,$C1791),[1]weekly_demand!G1792))</f>
        <v/>
      </c>
      <c r="E1791" s="62" t="str">
        <f>IF($A1791="","",[1]weekly_demand!I1792)</f>
        <v/>
      </c>
      <c r="F1791" s="61" t="str">
        <f>IF($A1791="","",IF($A1791&lt;&gt;$A1790,IFERROR(INDEX([1]FG_Begin_Inventory!$B:$B,MATCH($A1791,[1]FG_Begin_Inventory!$A:$A,0)),0),J1790))</f>
        <v/>
      </c>
      <c r="G1791" s="61" t="str">
        <f t="shared" si="199"/>
        <v/>
      </c>
      <c r="H1791" s="61" t="str">
        <f t="shared" si="193"/>
        <v/>
      </c>
      <c r="I1791" s="62" t="str">
        <f t="shared" si="194"/>
        <v/>
      </c>
      <c r="J1791" s="61" t="str">
        <f t="shared" si="195"/>
        <v/>
      </c>
      <c r="K1791" s="61" t="str">
        <f t="shared" si="196"/>
        <v/>
      </c>
      <c r="L1791" s="61" t="str">
        <f t="shared" si="197"/>
        <v/>
      </c>
      <c r="M1791" s="63" t="str">
        <f t="shared" si="198"/>
        <v/>
      </c>
      <c r="N1791" s="64"/>
    </row>
    <row r="1792" spans="1:14" x14ac:dyDescent="0.3">
      <c r="A1792" s="58" t="str">
        <f>IF([1]weekly_demand!A1793="","",[1]weekly_demand!A1793)</f>
        <v/>
      </c>
      <c r="B1792" s="59" t="str">
        <f>IF($A1792="","",[1]weekly_demand!F1793)</f>
        <v/>
      </c>
      <c r="C1792" s="60" t="str">
        <f>IF($A1792="","",[1]weekly_demand!H1793)</f>
        <v/>
      </c>
      <c r="D1792" s="61" t="str">
        <f>IF($A1792="","",IF(SUMIFS([1]Fixture_Capacity_Input!$C:$C,[1]Fixture_Capacity_Input!$A:$A,$B1792,[1]Fixture_Capacity_Input!$B:$B,$C1792)&gt;0,SUMIFS([1]Fixture_Capacity_Input!$C:$C,[1]Fixture_Capacity_Input!$A:$A,$B1792,[1]Fixture_Capacity_Input!$B:$B,$C1792),[1]weekly_demand!G1793))</f>
        <v/>
      </c>
      <c r="E1792" s="62" t="str">
        <f>IF($A1792="","",[1]weekly_demand!I1793)</f>
        <v/>
      </c>
      <c r="F1792" s="61" t="str">
        <f>IF($A1792="","",IF($A1792&lt;&gt;$A1791,IFERROR(INDEX([1]FG_Begin_Inventory!$B:$B,MATCH($A1792,[1]FG_Begin_Inventory!$A:$A,0)),0),J1791))</f>
        <v/>
      </c>
      <c r="G1792" s="61" t="str">
        <f t="shared" si="199"/>
        <v/>
      </c>
      <c r="H1792" s="61" t="str">
        <f t="shared" si="193"/>
        <v/>
      </c>
      <c r="I1792" s="62" t="str">
        <f t="shared" si="194"/>
        <v/>
      </c>
      <c r="J1792" s="61" t="str">
        <f t="shared" si="195"/>
        <v/>
      </c>
      <c r="K1792" s="61" t="str">
        <f t="shared" si="196"/>
        <v/>
      </c>
      <c r="L1792" s="61" t="str">
        <f t="shared" si="197"/>
        <v/>
      </c>
      <c r="M1792" s="63" t="str">
        <f t="shared" si="198"/>
        <v/>
      </c>
      <c r="N1792" s="64"/>
    </row>
    <row r="1793" spans="1:14" x14ac:dyDescent="0.3">
      <c r="A1793" s="58" t="str">
        <f>IF([1]weekly_demand!A1794="","",[1]weekly_demand!A1794)</f>
        <v/>
      </c>
      <c r="B1793" s="59" t="str">
        <f>IF($A1793="","",[1]weekly_demand!F1794)</f>
        <v/>
      </c>
      <c r="C1793" s="60" t="str">
        <f>IF($A1793="","",[1]weekly_demand!H1794)</f>
        <v/>
      </c>
      <c r="D1793" s="61" t="str">
        <f>IF($A1793="","",IF(SUMIFS([1]Fixture_Capacity_Input!$C:$C,[1]Fixture_Capacity_Input!$A:$A,$B1793,[1]Fixture_Capacity_Input!$B:$B,$C1793)&gt;0,SUMIFS([1]Fixture_Capacity_Input!$C:$C,[1]Fixture_Capacity_Input!$A:$A,$B1793,[1]Fixture_Capacity_Input!$B:$B,$C1793),[1]weekly_demand!G1794))</f>
        <v/>
      </c>
      <c r="E1793" s="62" t="str">
        <f>IF($A1793="","",[1]weekly_demand!I1794)</f>
        <v/>
      </c>
      <c r="F1793" s="61" t="str">
        <f>IF($A1793="","",IF($A1793&lt;&gt;$A1792,IFERROR(INDEX([1]FG_Begin_Inventory!$B:$B,MATCH($A1793,[1]FG_Begin_Inventory!$A:$A,0)),0),J1792))</f>
        <v/>
      </c>
      <c r="G1793" s="61" t="str">
        <f t="shared" si="199"/>
        <v/>
      </c>
      <c r="H1793" s="61" t="str">
        <f t="shared" si="193"/>
        <v/>
      </c>
      <c r="I1793" s="62" t="str">
        <f t="shared" si="194"/>
        <v/>
      </c>
      <c r="J1793" s="61" t="str">
        <f t="shared" si="195"/>
        <v/>
      </c>
      <c r="K1793" s="61" t="str">
        <f t="shared" si="196"/>
        <v/>
      </c>
      <c r="L1793" s="61" t="str">
        <f t="shared" si="197"/>
        <v/>
      </c>
      <c r="M1793" s="63" t="str">
        <f t="shared" si="198"/>
        <v/>
      </c>
      <c r="N1793" s="64"/>
    </row>
    <row r="1794" spans="1:14" x14ac:dyDescent="0.3">
      <c r="A1794" s="58" t="str">
        <f>IF([1]weekly_demand!A1795="","",[1]weekly_demand!A1795)</f>
        <v/>
      </c>
      <c r="B1794" s="59" t="str">
        <f>IF($A1794="","",[1]weekly_demand!F1795)</f>
        <v/>
      </c>
      <c r="C1794" s="60" t="str">
        <f>IF($A1794="","",[1]weekly_demand!H1795)</f>
        <v/>
      </c>
      <c r="D1794" s="61" t="str">
        <f>IF($A1794="","",IF(SUMIFS([1]Fixture_Capacity_Input!$C:$C,[1]Fixture_Capacity_Input!$A:$A,$B1794,[1]Fixture_Capacity_Input!$B:$B,$C1794)&gt;0,SUMIFS([1]Fixture_Capacity_Input!$C:$C,[1]Fixture_Capacity_Input!$A:$A,$B1794,[1]Fixture_Capacity_Input!$B:$B,$C1794),[1]weekly_demand!G1795))</f>
        <v/>
      </c>
      <c r="E1794" s="62" t="str">
        <f>IF($A1794="","",[1]weekly_demand!I1795)</f>
        <v/>
      </c>
      <c r="F1794" s="61" t="str">
        <f>IF($A1794="","",IF($A1794&lt;&gt;$A1793,IFERROR(INDEX([1]FG_Begin_Inventory!$B:$B,MATCH($A1794,[1]FG_Begin_Inventory!$A:$A,0)),0),J1793))</f>
        <v/>
      </c>
      <c r="G1794" s="61" t="str">
        <f t="shared" si="199"/>
        <v/>
      </c>
      <c r="H1794" s="61" t="str">
        <f t="shared" ref="H1794:H1857" si="200">IF($A1794="","",MAX(0,E1794+G1794-F1794))</f>
        <v/>
      </c>
      <c r="I1794" s="62" t="str">
        <f t="shared" ref="I1794:I1857" si="201">IF($A1794="","",MIN(D1794,H1794))</f>
        <v/>
      </c>
      <c r="J1794" s="61" t="str">
        <f t="shared" ref="J1794:J1857" si="202">IF($A1794="","",MAX(0,F1794+I1794-E1794))</f>
        <v/>
      </c>
      <c r="K1794" s="61" t="str">
        <f t="shared" ref="K1794:K1857" si="203">IF($A1794="","",MAX(0,E1794-F1794-I1794))</f>
        <v/>
      </c>
      <c r="L1794" s="61" t="str">
        <f t="shared" ref="L1794:L1857" si="204">IF($A1794="","",MAX(0,F1794+I1794-E1794))</f>
        <v/>
      </c>
      <c r="M1794" s="63" t="str">
        <f t="shared" ref="M1794:M1857" si="205">IF($A1794="","",IFERROR(I1794/D1794,0))</f>
        <v/>
      </c>
      <c r="N1794" s="64"/>
    </row>
    <row r="1795" spans="1:14" x14ac:dyDescent="0.3">
      <c r="A1795" s="58" t="str">
        <f>IF([1]weekly_demand!A1796="","",[1]weekly_demand!A1796)</f>
        <v/>
      </c>
      <c r="B1795" s="59" t="str">
        <f>IF($A1795="","",[1]weekly_demand!F1796)</f>
        <v/>
      </c>
      <c r="C1795" s="60" t="str">
        <f>IF($A1795="","",[1]weekly_demand!H1796)</f>
        <v/>
      </c>
      <c r="D1795" s="61" t="str">
        <f>IF($A1795="","",IF(SUMIFS([1]Fixture_Capacity_Input!$C:$C,[1]Fixture_Capacity_Input!$A:$A,$B1795,[1]Fixture_Capacity_Input!$B:$B,$C1795)&gt;0,SUMIFS([1]Fixture_Capacity_Input!$C:$C,[1]Fixture_Capacity_Input!$A:$A,$B1795,[1]Fixture_Capacity_Input!$B:$B,$C1795),[1]weekly_demand!G1796))</f>
        <v/>
      </c>
      <c r="E1795" s="62" t="str">
        <f>IF($A1795="","",[1]weekly_demand!I1796)</f>
        <v/>
      </c>
      <c r="F1795" s="61" t="str">
        <f>IF($A1795="","",IF($A1795&lt;&gt;$A1794,IFERROR(INDEX([1]FG_Begin_Inventory!$B:$B,MATCH($A1795,[1]FG_Begin_Inventory!$A:$A,0)),0),J1794))</f>
        <v/>
      </c>
      <c r="G1795" s="61" t="str">
        <f t="shared" si="199"/>
        <v/>
      </c>
      <c r="H1795" s="61" t="str">
        <f t="shared" si="200"/>
        <v/>
      </c>
      <c r="I1795" s="62" t="str">
        <f t="shared" si="201"/>
        <v/>
      </c>
      <c r="J1795" s="61" t="str">
        <f t="shared" si="202"/>
        <v/>
      </c>
      <c r="K1795" s="61" t="str">
        <f t="shared" si="203"/>
        <v/>
      </c>
      <c r="L1795" s="61" t="str">
        <f t="shared" si="204"/>
        <v/>
      </c>
      <c r="M1795" s="63" t="str">
        <f t="shared" si="205"/>
        <v/>
      </c>
      <c r="N1795" s="64"/>
    </row>
    <row r="1796" spans="1:14" x14ac:dyDescent="0.3">
      <c r="A1796" s="58" t="str">
        <f>IF([1]weekly_demand!A1797="","",[1]weekly_demand!A1797)</f>
        <v/>
      </c>
      <c r="B1796" s="59" t="str">
        <f>IF($A1796="","",[1]weekly_demand!F1797)</f>
        <v/>
      </c>
      <c r="C1796" s="60" t="str">
        <f>IF($A1796="","",[1]weekly_demand!H1797)</f>
        <v/>
      </c>
      <c r="D1796" s="61" t="str">
        <f>IF($A1796="","",IF(SUMIFS([1]Fixture_Capacity_Input!$C:$C,[1]Fixture_Capacity_Input!$A:$A,$B1796,[1]Fixture_Capacity_Input!$B:$B,$C1796)&gt;0,SUMIFS([1]Fixture_Capacity_Input!$C:$C,[1]Fixture_Capacity_Input!$A:$A,$B1796,[1]Fixture_Capacity_Input!$B:$B,$C1796),[1]weekly_demand!G1797))</f>
        <v/>
      </c>
      <c r="E1796" s="62" t="str">
        <f>IF($A1796="","",[1]weekly_demand!I1797)</f>
        <v/>
      </c>
      <c r="F1796" s="61" t="str">
        <f>IF($A1796="","",IF($A1796&lt;&gt;$A1795,IFERROR(INDEX([1]FG_Begin_Inventory!$B:$B,MATCH($A1796,[1]FG_Begin_Inventory!$A:$A,0)),0),J1795))</f>
        <v/>
      </c>
      <c r="G1796" s="61" t="str">
        <f t="shared" si="199"/>
        <v/>
      </c>
      <c r="H1796" s="61" t="str">
        <f t="shared" si="200"/>
        <v/>
      </c>
      <c r="I1796" s="62" t="str">
        <f t="shared" si="201"/>
        <v/>
      </c>
      <c r="J1796" s="61" t="str">
        <f t="shared" si="202"/>
        <v/>
      </c>
      <c r="K1796" s="61" t="str">
        <f t="shared" si="203"/>
        <v/>
      </c>
      <c r="L1796" s="61" t="str">
        <f t="shared" si="204"/>
        <v/>
      </c>
      <c r="M1796" s="63" t="str">
        <f t="shared" si="205"/>
        <v/>
      </c>
      <c r="N1796" s="64"/>
    </row>
    <row r="1797" spans="1:14" x14ac:dyDescent="0.3">
      <c r="A1797" s="58" t="str">
        <f>IF([1]weekly_demand!A1798="","",[1]weekly_demand!A1798)</f>
        <v/>
      </c>
      <c r="B1797" s="59" t="str">
        <f>IF($A1797="","",[1]weekly_demand!F1798)</f>
        <v/>
      </c>
      <c r="C1797" s="60" t="str">
        <f>IF($A1797="","",[1]weekly_demand!H1798)</f>
        <v/>
      </c>
      <c r="D1797" s="61" t="str">
        <f>IF($A1797="","",IF(SUMIFS([1]Fixture_Capacity_Input!$C:$C,[1]Fixture_Capacity_Input!$A:$A,$B1797,[1]Fixture_Capacity_Input!$B:$B,$C1797)&gt;0,SUMIFS([1]Fixture_Capacity_Input!$C:$C,[1]Fixture_Capacity_Input!$A:$A,$B1797,[1]Fixture_Capacity_Input!$B:$B,$C1797),[1]weekly_demand!G1798))</f>
        <v/>
      </c>
      <c r="E1797" s="62" t="str">
        <f>IF($A1797="","",[1]weekly_demand!I1798)</f>
        <v/>
      </c>
      <c r="F1797" s="61" t="str">
        <f>IF($A1797="","",IF($A1797&lt;&gt;$A1796,IFERROR(INDEX([1]FG_Begin_Inventory!$B:$B,MATCH($A1797,[1]FG_Begin_Inventory!$A:$A,0)),0),J1796))</f>
        <v/>
      </c>
      <c r="G1797" s="61" t="str">
        <f t="shared" si="199"/>
        <v/>
      </c>
      <c r="H1797" s="61" t="str">
        <f t="shared" si="200"/>
        <v/>
      </c>
      <c r="I1797" s="62" t="str">
        <f t="shared" si="201"/>
        <v/>
      </c>
      <c r="J1797" s="61" t="str">
        <f t="shared" si="202"/>
        <v/>
      </c>
      <c r="K1797" s="61" t="str">
        <f t="shared" si="203"/>
        <v/>
      </c>
      <c r="L1797" s="61" t="str">
        <f t="shared" si="204"/>
        <v/>
      </c>
      <c r="M1797" s="63" t="str">
        <f t="shared" si="205"/>
        <v/>
      </c>
      <c r="N1797" s="64"/>
    </row>
    <row r="1798" spans="1:14" x14ac:dyDescent="0.3">
      <c r="A1798" s="58" t="str">
        <f>IF([1]weekly_demand!A1799="","",[1]weekly_demand!A1799)</f>
        <v/>
      </c>
      <c r="B1798" s="59" t="str">
        <f>IF($A1798="","",[1]weekly_demand!F1799)</f>
        <v/>
      </c>
      <c r="C1798" s="60" t="str">
        <f>IF($A1798="","",[1]weekly_demand!H1799)</f>
        <v/>
      </c>
      <c r="D1798" s="61" t="str">
        <f>IF($A1798="","",IF(SUMIFS([1]Fixture_Capacity_Input!$C:$C,[1]Fixture_Capacity_Input!$A:$A,$B1798,[1]Fixture_Capacity_Input!$B:$B,$C1798)&gt;0,SUMIFS([1]Fixture_Capacity_Input!$C:$C,[1]Fixture_Capacity_Input!$A:$A,$B1798,[1]Fixture_Capacity_Input!$B:$B,$C1798),[1]weekly_demand!G1799))</f>
        <v/>
      </c>
      <c r="E1798" s="62" t="str">
        <f>IF($A1798="","",[1]weekly_demand!I1799)</f>
        <v/>
      </c>
      <c r="F1798" s="61" t="str">
        <f>IF($A1798="","",IF($A1798&lt;&gt;$A1797,IFERROR(INDEX([1]FG_Begin_Inventory!$B:$B,MATCH($A1798,[1]FG_Begin_Inventory!$A:$A,0)),0),J1797))</f>
        <v/>
      </c>
      <c r="G1798" s="61" t="str">
        <f t="shared" si="199"/>
        <v/>
      </c>
      <c r="H1798" s="61" t="str">
        <f t="shared" si="200"/>
        <v/>
      </c>
      <c r="I1798" s="62" t="str">
        <f t="shared" si="201"/>
        <v/>
      </c>
      <c r="J1798" s="61" t="str">
        <f t="shared" si="202"/>
        <v/>
      </c>
      <c r="K1798" s="61" t="str">
        <f t="shared" si="203"/>
        <v/>
      </c>
      <c r="L1798" s="61" t="str">
        <f t="shared" si="204"/>
        <v/>
      </c>
      <c r="M1798" s="63" t="str">
        <f t="shared" si="205"/>
        <v/>
      </c>
      <c r="N1798" s="64"/>
    </row>
    <row r="1799" spans="1:14" x14ac:dyDescent="0.3">
      <c r="A1799" s="58" t="str">
        <f>IF([1]weekly_demand!A1800="","",[1]weekly_demand!A1800)</f>
        <v/>
      </c>
      <c r="B1799" s="59" t="str">
        <f>IF($A1799="","",[1]weekly_demand!F1800)</f>
        <v/>
      </c>
      <c r="C1799" s="60" t="str">
        <f>IF($A1799="","",[1]weekly_demand!H1800)</f>
        <v/>
      </c>
      <c r="D1799" s="61" t="str">
        <f>IF($A1799="","",IF(SUMIFS([1]Fixture_Capacity_Input!$C:$C,[1]Fixture_Capacity_Input!$A:$A,$B1799,[1]Fixture_Capacity_Input!$B:$B,$C1799)&gt;0,SUMIFS([1]Fixture_Capacity_Input!$C:$C,[1]Fixture_Capacity_Input!$A:$A,$B1799,[1]Fixture_Capacity_Input!$B:$B,$C1799),[1]weekly_demand!G1800))</f>
        <v/>
      </c>
      <c r="E1799" s="62" t="str">
        <f>IF($A1799="","",[1]weekly_demand!I1800)</f>
        <v/>
      </c>
      <c r="F1799" s="61" t="str">
        <f>IF($A1799="","",IF($A1799&lt;&gt;$A1798,IFERROR(INDEX([1]FG_Begin_Inventory!$B:$B,MATCH($A1799,[1]FG_Begin_Inventory!$A:$A,0)),0),J1798))</f>
        <v/>
      </c>
      <c r="G1799" s="61" t="str">
        <f t="shared" si="199"/>
        <v/>
      </c>
      <c r="H1799" s="61" t="str">
        <f t="shared" si="200"/>
        <v/>
      </c>
      <c r="I1799" s="62" t="str">
        <f t="shared" si="201"/>
        <v/>
      </c>
      <c r="J1799" s="61" t="str">
        <f t="shared" si="202"/>
        <v/>
      </c>
      <c r="K1799" s="61" t="str">
        <f t="shared" si="203"/>
        <v/>
      </c>
      <c r="L1799" s="61" t="str">
        <f t="shared" si="204"/>
        <v/>
      </c>
      <c r="M1799" s="63" t="str">
        <f t="shared" si="205"/>
        <v/>
      </c>
      <c r="N1799" s="64"/>
    </row>
    <row r="1800" spans="1:14" x14ac:dyDescent="0.3">
      <c r="A1800" s="58" t="str">
        <f>IF([1]weekly_demand!A1801="","",[1]weekly_demand!A1801)</f>
        <v/>
      </c>
      <c r="B1800" s="59" t="str">
        <f>IF($A1800="","",[1]weekly_demand!F1801)</f>
        <v/>
      </c>
      <c r="C1800" s="60" t="str">
        <f>IF($A1800="","",[1]weekly_demand!H1801)</f>
        <v/>
      </c>
      <c r="D1800" s="61" t="str">
        <f>IF($A1800="","",IF(SUMIFS([1]Fixture_Capacity_Input!$C:$C,[1]Fixture_Capacity_Input!$A:$A,$B1800,[1]Fixture_Capacity_Input!$B:$B,$C1800)&gt;0,SUMIFS([1]Fixture_Capacity_Input!$C:$C,[1]Fixture_Capacity_Input!$A:$A,$B1800,[1]Fixture_Capacity_Input!$B:$B,$C1800),[1]weekly_demand!G1801))</f>
        <v/>
      </c>
      <c r="E1800" s="62" t="str">
        <f>IF($A1800="","",[1]weekly_demand!I1801)</f>
        <v/>
      </c>
      <c r="F1800" s="61" t="str">
        <f>IF($A1800="","",IF($A1800&lt;&gt;$A1799,IFERROR(INDEX([1]FG_Begin_Inventory!$B:$B,MATCH($A1800,[1]FG_Begin_Inventory!$A:$A,0)),0),J1799))</f>
        <v/>
      </c>
      <c r="G1800" s="61" t="str">
        <f t="shared" si="199"/>
        <v/>
      </c>
      <c r="H1800" s="61" t="str">
        <f t="shared" si="200"/>
        <v/>
      </c>
      <c r="I1800" s="62" t="str">
        <f t="shared" si="201"/>
        <v/>
      </c>
      <c r="J1800" s="61" t="str">
        <f t="shared" si="202"/>
        <v/>
      </c>
      <c r="K1800" s="61" t="str">
        <f t="shared" si="203"/>
        <v/>
      </c>
      <c r="L1800" s="61" t="str">
        <f t="shared" si="204"/>
        <v/>
      </c>
      <c r="M1800" s="63" t="str">
        <f t="shared" si="205"/>
        <v/>
      </c>
      <c r="N1800" s="64"/>
    </row>
    <row r="1801" spans="1:14" x14ac:dyDescent="0.3">
      <c r="A1801" s="58" t="str">
        <f>IF([1]weekly_demand!A1802="","",[1]weekly_demand!A1802)</f>
        <v/>
      </c>
      <c r="B1801" s="59" t="str">
        <f>IF($A1801="","",[1]weekly_demand!F1802)</f>
        <v/>
      </c>
      <c r="C1801" s="60" t="str">
        <f>IF($A1801="","",[1]weekly_demand!H1802)</f>
        <v/>
      </c>
      <c r="D1801" s="61" t="str">
        <f>IF($A1801="","",IF(SUMIFS([1]Fixture_Capacity_Input!$C:$C,[1]Fixture_Capacity_Input!$A:$A,$B1801,[1]Fixture_Capacity_Input!$B:$B,$C1801)&gt;0,SUMIFS([1]Fixture_Capacity_Input!$C:$C,[1]Fixture_Capacity_Input!$A:$A,$B1801,[1]Fixture_Capacity_Input!$B:$B,$C1801),[1]weekly_demand!G1802))</f>
        <v/>
      </c>
      <c r="E1801" s="62" t="str">
        <f>IF($A1801="","",[1]weekly_demand!I1802)</f>
        <v/>
      </c>
      <c r="F1801" s="61" t="str">
        <f>IF($A1801="","",IF($A1801&lt;&gt;$A1800,IFERROR(INDEX([1]FG_Begin_Inventory!$B:$B,MATCH($A1801,[1]FG_Begin_Inventory!$A:$A,0)),0),J1800))</f>
        <v/>
      </c>
      <c r="G1801" s="61" t="str">
        <f t="shared" si="199"/>
        <v/>
      </c>
      <c r="H1801" s="61" t="str">
        <f t="shared" si="200"/>
        <v/>
      </c>
      <c r="I1801" s="62" t="str">
        <f t="shared" si="201"/>
        <v/>
      </c>
      <c r="J1801" s="61" t="str">
        <f t="shared" si="202"/>
        <v/>
      </c>
      <c r="K1801" s="61" t="str">
        <f t="shared" si="203"/>
        <v/>
      </c>
      <c r="L1801" s="61" t="str">
        <f t="shared" si="204"/>
        <v/>
      </c>
      <c r="M1801" s="63" t="str">
        <f t="shared" si="205"/>
        <v/>
      </c>
      <c r="N1801" s="64"/>
    </row>
    <row r="1802" spans="1:14" x14ac:dyDescent="0.3">
      <c r="A1802" s="58" t="str">
        <f>IF([1]weekly_demand!A1803="","",[1]weekly_demand!A1803)</f>
        <v/>
      </c>
      <c r="B1802" s="59" t="str">
        <f>IF($A1802="","",[1]weekly_demand!F1803)</f>
        <v/>
      </c>
      <c r="C1802" s="60" t="str">
        <f>IF($A1802="","",[1]weekly_demand!H1803)</f>
        <v/>
      </c>
      <c r="D1802" s="61" t="str">
        <f>IF($A1802="","",IF(SUMIFS([1]Fixture_Capacity_Input!$C:$C,[1]Fixture_Capacity_Input!$A:$A,$B1802,[1]Fixture_Capacity_Input!$B:$B,$C1802)&gt;0,SUMIFS([1]Fixture_Capacity_Input!$C:$C,[1]Fixture_Capacity_Input!$A:$A,$B1802,[1]Fixture_Capacity_Input!$B:$B,$C1802),[1]weekly_demand!G1803))</f>
        <v/>
      </c>
      <c r="E1802" s="62" t="str">
        <f>IF($A1802="","",[1]weekly_demand!I1803)</f>
        <v/>
      </c>
      <c r="F1802" s="61" t="str">
        <f>IF($A1802="","",IF($A1802&lt;&gt;$A1801,IFERROR(INDEX([1]FG_Begin_Inventory!$B:$B,MATCH($A1802,[1]FG_Begin_Inventory!$A:$A,0)),0),J1801))</f>
        <v/>
      </c>
      <c r="G1802" s="61" t="str">
        <f t="shared" si="199"/>
        <v/>
      </c>
      <c r="H1802" s="61" t="str">
        <f t="shared" si="200"/>
        <v/>
      </c>
      <c r="I1802" s="62" t="str">
        <f t="shared" si="201"/>
        <v/>
      </c>
      <c r="J1802" s="61" t="str">
        <f t="shared" si="202"/>
        <v/>
      </c>
      <c r="K1802" s="61" t="str">
        <f t="shared" si="203"/>
        <v/>
      </c>
      <c r="L1802" s="61" t="str">
        <f t="shared" si="204"/>
        <v/>
      </c>
      <c r="M1802" s="63" t="str">
        <f t="shared" si="205"/>
        <v/>
      </c>
      <c r="N1802" s="64"/>
    </row>
    <row r="1803" spans="1:14" x14ac:dyDescent="0.3">
      <c r="A1803" s="58" t="str">
        <f>IF([1]weekly_demand!A1804="","",[1]weekly_demand!A1804)</f>
        <v/>
      </c>
      <c r="B1803" s="59" t="str">
        <f>IF($A1803="","",[1]weekly_demand!F1804)</f>
        <v/>
      </c>
      <c r="C1803" s="60" t="str">
        <f>IF($A1803="","",[1]weekly_demand!H1804)</f>
        <v/>
      </c>
      <c r="D1803" s="61" t="str">
        <f>IF($A1803="","",IF(SUMIFS([1]Fixture_Capacity_Input!$C:$C,[1]Fixture_Capacity_Input!$A:$A,$B1803,[1]Fixture_Capacity_Input!$B:$B,$C1803)&gt;0,SUMIFS([1]Fixture_Capacity_Input!$C:$C,[1]Fixture_Capacity_Input!$A:$A,$B1803,[1]Fixture_Capacity_Input!$B:$B,$C1803),[1]weekly_demand!G1804))</f>
        <v/>
      </c>
      <c r="E1803" s="62" t="str">
        <f>IF($A1803="","",[1]weekly_demand!I1804)</f>
        <v/>
      </c>
      <c r="F1803" s="61" t="str">
        <f>IF($A1803="","",IF($A1803&lt;&gt;$A1802,IFERROR(INDEX([1]FG_Begin_Inventory!$B:$B,MATCH($A1803,[1]FG_Begin_Inventory!$A:$A,0)),0),J1802))</f>
        <v/>
      </c>
      <c r="G1803" s="61" t="str">
        <f t="shared" si="199"/>
        <v/>
      </c>
      <c r="H1803" s="61" t="str">
        <f t="shared" si="200"/>
        <v/>
      </c>
      <c r="I1803" s="62" t="str">
        <f t="shared" si="201"/>
        <v/>
      </c>
      <c r="J1803" s="61" t="str">
        <f t="shared" si="202"/>
        <v/>
      </c>
      <c r="K1803" s="61" t="str">
        <f t="shared" si="203"/>
        <v/>
      </c>
      <c r="L1803" s="61" t="str">
        <f t="shared" si="204"/>
        <v/>
      </c>
      <c r="M1803" s="63" t="str">
        <f t="shared" si="205"/>
        <v/>
      </c>
      <c r="N1803" s="64"/>
    </row>
    <row r="1804" spans="1:14" x14ac:dyDescent="0.3">
      <c r="A1804" s="58" t="str">
        <f>IF([1]weekly_demand!A1805="","",[1]weekly_demand!A1805)</f>
        <v/>
      </c>
      <c r="B1804" s="59" t="str">
        <f>IF($A1804="","",[1]weekly_demand!F1805)</f>
        <v/>
      </c>
      <c r="C1804" s="60" t="str">
        <f>IF($A1804="","",[1]weekly_demand!H1805)</f>
        <v/>
      </c>
      <c r="D1804" s="61" t="str">
        <f>IF($A1804="","",IF(SUMIFS([1]Fixture_Capacity_Input!$C:$C,[1]Fixture_Capacity_Input!$A:$A,$B1804,[1]Fixture_Capacity_Input!$B:$B,$C1804)&gt;0,SUMIFS([1]Fixture_Capacity_Input!$C:$C,[1]Fixture_Capacity_Input!$A:$A,$B1804,[1]Fixture_Capacity_Input!$B:$B,$C1804),[1]weekly_demand!G1805))</f>
        <v/>
      </c>
      <c r="E1804" s="62" t="str">
        <f>IF($A1804="","",[1]weekly_demand!I1805)</f>
        <v/>
      </c>
      <c r="F1804" s="61" t="str">
        <f>IF($A1804="","",IF($A1804&lt;&gt;$A1803,IFERROR(INDEX([1]FG_Begin_Inventory!$B:$B,MATCH($A1804,[1]FG_Begin_Inventory!$A:$A,0)),0),J1803))</f>
        <v/>
      </c>
      <c r="G1804" s="61" t="str">
        <f t="shared" si="199"/>
        <v/>
      </c>
      <c r="H1804" s="61" t="str">
        <f t="shared" si="200"/>
        <v/>
      </c>
      <c r="I1804" s="62" t="str">
        <f t="shared" si="201"/>
        <v/>
      </c>
      <c r="J1804" s="61" t="str">
        <f t="shared" si="202"/>
        <v/>
      </c>
      <c r="K1804" s="61" t="str">
        <f t="shared" si="203"/>
        <v/>
      </c>
      <c r="L1804" s="61" t="str">
        <f t="shared" si="204"/>
        <v/>
      </c>
      <c r="M1804" s="63" t="str">
        <f t="shared" si="205"/>
        <v/>
      </c>
      <c r="N1804" s="64"/>
    </row>
    <row r="1805" spans="1:14" x14ac:dyDescent="0.3">
      <c r="A1805" s="58" t="str">
        <f>IF([1]weekly_demand!A1806="","",[1]weekly_demand!A1806)</f>
        <v/>
      </c>
      <c r="B1805" s="59" t="str">
        <f>IF($A1805="","",[1]weekly_demand!F1806)</f>
        <v/>
      </c>
      <c r="C1805" s="60" t="str">
        <f>IF($A1805="","",[1]weekly_demand!H1806)</f>
        <v/>
      </c>
      <c r="D1805" s="61" t="str">
        <f>IF($A1805="","",IF(SUMIFS([1]Fixture_Capacity_Input!$C:$C,[1]Fixture_Capacity_Input!$A:$A,$B1805,[1]Fixture_Capacity_Input!$B:$B,$C1805)&gt;0,SUMIFS([1]Fixture_Capacity_Input!$C:$C,[1]Fixture_Capacity_Input!$A:$A,$B1805,[1]Fixture_Capacity_Input!$B:$B,$C1805),[1]weekly_demand!G1806))</f>
        <v/>
      </c>
      <c r="E1805" s="62" t="str">
        <f>IF($A1805="","",[1]weekly_demand!I1806)</f>
        <v/>
      </c>
      <c r="F1805" s="61" t="str">
        <f>IF($A1805="","",IF($A1805&lt;&gt;$A1804,IFERROR(INDEX([1]FG_Begin_Inventory!$B:$B,MATCH($A1805,[1]FG_Begin_Inventory!$A:$A,0)),0),J1804))</f>
        <v/>
      </c>
      <c r="G1805" s="61" t="str">
        <f t="shared" si="199"/>
        <v/>
      </c>
      <c r="H1805" s="61" t="str">
        <f t="shared" si="200"/>
        <v/>
      </c>
      <c r="I1805" s="62" t="str">
        <f t="shared" si="201"/>
        <v/>
      </c>
      <c r="J1805" s="61" t="str">
        <f t="shared" si="202"/>
        <v/>
      </c>
      <c r="K1805" s="61" t="str">
        <f t="shared" si="203"/>
        <v/>
      </c>
      <c r="L1805" s="61" t="str">
        <f t="shared" si="204"/>
        <v/>
      </c>
      <c r="M1805" s="63" t="str">
        <f t="shared" si="205"/>
        <v/>
      </c>
      <c r="N1805" s="64"/>
    </row>
    <row r="1806" spans="1:14" x14ac:dyDescent="0.3">
      <c r="A1806" s="58" t="str">
        <f>IF([1]weekly_demand!A1807="","",[1]weekly_demand!A1807)</f>
        <v/>
      </c>
      <c r="B1806" s="59" t="str">
        <f>IF($A1806="","",[1]weekly_demand!F1807)</f>
        <v/>
      </c>
      <c r="C1806" s="60" t="str">
        <f>IF($A1806="","",[1]weekly_demand!H1807)</f>
        <v/>
      </c>
      <c r="D1806" s="61" t="str">
        <f>IF($A1806="","",IF(SUMIFS([1]Fixture_Capacity_Input!$C:$C,[1]Fixture_Capacity_Input!$A:$A,$B1806,[1]Fixture_Capacity_Input!$B:$B,$C1806)&gt;0,SUMIFS([1]Fixture_Capacity_Input!$C:$C,[1]Fixture_Capacity_Input!$A:$A,$B1806,[1]Fixture_Capacity_Input!$B:$B,$C1806),[1]weekly_demand!G1807))</f>
        <v/>
      </c>
      <c r="E1806" s="62" t="str">
        <f>IF($A1806="","",[1]weekly_demand!I1807)</f>
        <v/>
      </c>
      <c r="F1806" s="61" t="str">
        <f>IF($A1806="","",IF($A1806&lt;&gt;$A1805,IFERROR(INDEX([1]FG_Begin_Inventory!$B:$B,MATCH($A1806,[1]FG_Begin_Inventory!$A:$A,0)),0),J1805))</f>
        <v/>
      </c>
      <c r="G1806" s="61" t="str">
        <f t="shared" si="199"/>
        <v/>
      </c>
      <c r="H1806" s="61" t="str">
        <f t="shared" si="200"/>
        <v/>
      </c>
      <c r="I1806" s="62" t="str">
        <f t="shared" si="201"/>
        <v/>
      </c>
      <c r="J1806" s="61" t="str">
        <f t="shared" si="202"/>
        <v/>
      </c>
      <c r="K1806" s="61" t="str">
        <f t="shared" si="203"/>
        <v/>
      </c>
      <c r="L1806" s="61" t="str">
        <f t="shared" si="204"/>
        <v/>
      </c>
      <c r="M1806" s="63" t="str">
        <f t="shared" si="205"/>
        <v/>
      </c>
      <c r="N1806" s="64"/>
    </row>
    <row r="1807" spans="1:14" x14ac:dyDescent="0.3">
      <c r="A1807" s="58" t="str">
        <f>IF([1]weekly_demand!A1808="","",[1]weekly_demand!A1808)</f>
        <v/>
      </c>
      <c r="B1807" s="59" t="str">
        <f>IF($A1807="","",[1]weekly_demand!F1808)</f>
        <v/>
      </c>
      <c r="C1807" s="60" t="str">
        <f>IF($A1807="","",[1]weekly_demand!H1808)</f>
        <v/>
      </c>
      <c r="D1807" s="61" t="str">
        <f>IF($A1807="","",IF(SUMIFS([1]Fixture_Capacity_Input!$C:$C,[1]Fixture_Capacity_Input!$A:$A,$B1807,[1]Fixture_Capacity_Input!$B:$B,$C1807)&gt;0,SUMIFS([1]Fixture_Capacity_Input!$C:$C,[1]Fixture_Capacity_Input!$A:$A,$B1807,[1]Fixture_Capacity_Input!$B:$B,$C1807),[1]weekly_demand!G1808))</f>
        <v/>
      </c>
      <c r="E1807" s="62" t="str">
        <f>IF($A1807="","",[1]weekly_demand!I1808)</f>
        <v/>
      </c>
      <c r="F1807" s="61" t="str">
        <f>IF($A1807="","",IF($A1807&lt;&gt;$A1806,IFERROR(INDEX([1]FG_Begin_Inventory!$B:$B,MATCH($A1807,[1]FG_Begin_Inventory!$A:$A,0)),0),J1806))</f>
        <v/>
      </c>
      <c r="G1807" s="61" t="str">
        <f t="shared" si="199"/>
        <v/>
      </c>
      <c r="H1807" s="61" t="str">
        <f t="shared" si="200"/>
        <v/>
      </c>
      <c r="I1807" s="62" t="str">
        <f t="shared" si="201"/>
        <v/>
      </c>
      <c r="J1807" s="61" t="str">
        <f t="shared" si="202"/>
        <v/>
      </c>
      <c r="K1807" s="61" t="str">
        <f t="shared" si="203"/>
        <v/>
      </c>
      <c r="L1807" s="61" t="str">
        <f t="shared" si="204"/>
        <v/>
      </c>
      <c r="M1807" s="63" t="str">
        <f t="shared" si="205"/>
        <v/>
      </c>
      <c r="N1807" s="64"/>
    </row>
    <row r="1808" spans="1:14" x14ac:dyDescent="0.3">
      <c r="A1808" s="58" t="str">
        <f>IF([1]weekly_demand!A1809="","",[1]weekly_demand!A1809)</f>
        <v/>
      </c>
      <c r="B1808" s="59" t="str">
        <f>IF($A1808="","",[1]weekly_demand!F1809)</f>
        <v/>
      </c>
      <c r="C1808" s="60" t="str">
        <f>IF($A1808="","",[1]weekly_demand!H1809)</f>
        <v/>
      </c>
      <c r="D1808" s="61" t="str">
        <f>IF($A1808="","",IF(SUMIFS([1]Fixture_Capacity_Input!$C:$C,[1]Fixture_Capacity_Input!$A:$A,$B1808,[1]Fixture_Capacity_Input!$B:$B,$C1808)&gt;0,SUMIFS([1]Fixture_Capacity_Input!$C:$C,[1]Fixture_Capacity_Input!$A:$A,$B1808,[1]Fixture_Capacity_Input!$B:$B,$C1808),[1]weekly_demand!G1809))</f>
        <v/>
      </c>
      <c r="E1808" s="62" t="str">
        <f>IF($A1808="","",[1]weekly_demand!I1809)</f>
        <v/>
      </c>
      <c r="F1808" s="61" t="str">
        <f>IF($A1808="","",IF($A1808&lt;&gt;$A1807,IFERROR(INDEX([1]FG_Begin_Inventory!$B:$B,MATCH($A1808,[1]FG_Begin_Inventory!$A:$A,0)),0),J1807))</f>
        <v/>
      </c>
      <c r="G1808" s="61" t="str">
        <f t="shared" si="199"/>
        <v/>
      </c>
      <c r="H1808" s="61" t="str">
        <f t="shared" si="200"/>
        <v/>
      </c>
      <c r="I1808" s="62" t="str">
        <f t="shared" si="201"/>
        <v/>
      </c>
      <c r="J1808" s="61" t="str">
        <f t="shared" si="202"/>
        <v/>
      </c>
      <c r="K1808" s="61" t="str">
        <f t="shared" si="203"/>
        <v/>
      </c>
      <c r="L1808" s="61" t="str">
        <f t="shared" si="204"/>
        <v/>
      </c>
      <c r="M1808" s="63" t="str">
        <f t="shared" si="205"/>
        <v/>
      </c>
      <c r="N1808" s="64"/>
    </row>
    <row r="1809" spans="1:14" x14ac:dyDescent="0.3">
      <c r="A1809" s="58" t="str">
        <f>IF([1]weekly_demand!A1810="","",[1]weekly_demand!A1810)</f>
        <v/>
      </c>
      <c r="B1809" s="59" t="str">
        <f>IF($A1809="","",[1]weekly_demand!F1810)</f>
        <v/>
      </c>
      <c r="C1809" s="60" t="str">
        <f>IF($A1809="","",[1]weekly_demand!H1810)</f>
        <v/>
      </c>
      <c r="D1809" s="61" t="str">
        <f>IF($A1809="","",IF(SUMIFS([1]Fixture_Capacity_Input!$C:$C,[1]Fixture_Capacity_Input!$A:$A,$B1809,[1]Fixture_Capacity_Input!$B:$B,$C1809)&gt;0,SUMIFS([1]Fixture_Capacity_Input!$C:$C,[1]Fixture_Capacity_Input!$A:$A,$B1809,[1]Fixture_Capacity_Input!$B:$B,$C1809),[1]weekly_demand!G1810))</f>
        <v/>
      </c>
      <c r="E1809" s="62" t="str">
        <f>IF($A1809="","",[1]weekly_demand!I1810)</f>
        <v/>
      </c>
      <c r="F1809" s="61" t="str">
        <f>IF($A1809="","",IF($A1809&lt;&gt;$A1808,IFERROR(INDEX([1]FG_Begin_Inventory!$B:$B,MATCH($A1809,[1]FG_Begin_Inventory!$A:$A,0)),0),J1808))</f>
        <v/>
      </c>
      <c r="G1809" s="61" t="str">
        <f t="shared" si="199"/>
        <v/>
      </c>
      <c r="H1809" s="61" t="str">
        <f t="shared" si="200"/>
        <v/>
      </c>
      <c r="I1809" s="62" t="str">
        <f t="shared" si="201"/>
        <v/>
      </c>
      <c r="J1809" s="61" t="str">
        <f t="shared" si="202"/>
        <v/>
      </c>
      <c r="K1809" s="61" t="str">
        <f t="shared" si="203"/>
        <v/>
      </c>
      <c r="L1809" s="61" t="str">
        <f t="shared" si="204"/>
        <v/>
      </c>
      <c r="M1809" s="63" t="str">
        <f t="shared" si="205"/>
        <v/>
      </c>
      <c r="N1809" s="64"/>
    </row>
    <row r="1810" spans="1:14" x14ac:dyDescent="0.3">
      <c r="A1810" s="58" t="str">
        <f>IF([1]weekly_demand!A1811="","",[1]weekly_demand!A1811)</f>
        <v/>
      </c>
      <c r="B1810" s="59" t="str">
        <f>IF($A1810="","",[1]weekly_demand!F1811)</f>
        <v/>
      </c>
      <c r="C1810" s="60" t="str">
        <f>IF($A1810="","",[1]weekly_demand!H1811)</f>
        <v/>
      </c>
      <c r="D1810" s="61" t="str">
        <f>IF($A1810="","",IF(SUMIFS([1]Fixture_Capacity_Input!$C:$C,[1]Fixture_Capacity_Input!$A:$A,$B1810,[1]Fixture_Capacity_Input!$B:$B,$C1810)&gt;0,SUMIFS([1]Fixture_Capacity_Input!$C:$C,[1]Fixture_Capacity_Input!$A:$A,$B1810,[1]Fixture_Capacity_Input!$B:$B,$C1810),[1]weekly_demand!G1811))</f>
        <v/>
      </c>
      <c r="E1810" s="62" t="str">
        <f>IF($A1810="","",[1]weekly_demand!I1811)</f>
        <v/>
      </c>
      <c r="F1810" s="61" t="str">
        <f>IF($A1810="","",IF($A1810&lt;&gt;$A1809,IFERROR(INDEX([1]FG_Begin_Inventory!$B:$B,MATCH($A1810,[1]FG_Begin_Inventory!$A:$A,0)),0),J1809))</f>
        <v/>
      </c>
      <c r="G1810" s="61" t="str">
        <f t="shared" si="199"/>
        <v/>
      </c>
      <c r="H1810" s="61" t="str">
        <f t="shared" si="200"/>
        <v/>
      </c>
      <c r="I1810" s="62" t="str">
        <f t="shared" si="201"/>
        <v/>
      </c>
      <c r="J1810" s="61" t="str">
        <f t="shared" si="202"/>
        <v/>
      </c>
      <c r="K1810" s="61" t="str">
        <f t="shared" si="203"/>
        <v/>
      </c>
      <c r="L1810" s="61" t="str">
        <f t="shared" si="204"/>
        <v/>
      </c>
      <c r="M1810" s="63" t="str">
        <f t="shared" si="205"/>
        <v/>
      </c>
      <c r="N1810" s="64"/>
    </row>
    <row r="1811" spans="1:14" x14ac:dyDescent="0.3">
      <c r="A1811" s="58" t="str">
        <f>IF([1]weekly_demand!A1812="","",[1]weekly_demand!A1812)</f>
        <v/>
      </c>
      <c r="B1811" s="59" t="str">
        <f>IF($A1811="","",[1]weekly_demand!F1812)</f>
        <v/>
      </c>
      <c r="C1811" s="60" t="str">
        <f>IF($A1811="","",[1]weekly_demand!H1812)</f>
        <v/>
      </c>
      <c r="D1811" s="61" t="str">
        <f>IF($A1811="","",IF(SUMIFS([1]Fixture_Capacity_Input!$C:$C,[1]Fixture_Capacity_Input!$A:$A,$B1811,[1]Fixture_Capacity_Input!$B:$B,$C1811)&gt;0,SUMIFS([1]Fixture_Capacity_Input!$C:$C,[1]Fixture_Capacity_Input!$A:$A,$B1811,[1]Fixture_Capacity_Input!$B:$B,$C1811),[1]weekly_demand!G1812))</f>
        <v/>
      </c>
      <c r="E1811" s="62" t="str">
        <f>IF($A1811="","",[1]weekly_demand!I1812)</f>
        <v/>
      </c>
      <c r="F1811" s="61" t="str">
        <f>IF($A1811="","",IF($A1811&lt;&gt;$A1810,IFERROR(INDEX([1]FG_Begin_Inventory!$B:$B,MATCH($A1811,[1]FG_Begin_Inventory!$A:$A,0)),0),J1810))</f>
        <v/>
      </c>
      <c r="G1811" s="61" t="str">
        <f t="shared" si="199"/>
        <v/>
      </c>
      <c r="H1811" s="61" t="str">
        <f t="shared" si="200"/>
        <v/>
      </c>
      <c r="I1811" s="62" t="str">
        <f t="shared" si="201"/>
        <v/>
      </c>
      <c r="J1811" s="61" t="str">
        <f t="shared" si="202"/>
        <v/>
      </c>
      <c r="K1811" s="61" t="str">
        <f t="shared" si="203"/>
        <v/>
      </c>
      <c r="L1811" s="61" t="str">
        <f t="shared" si="204"/>
        <v/>
      </c>
      <c r="M1811" s="63" t="str">
        <f t="shared" si="205"/>
        <v/>
      </c>
      <c r="N1811" s="64"/>
    </row>
    <row r="1812" spans="1:14" x14ac:dyDescent="0.3">
      <c r="A1812" s="58" t="str">
        <f>IF([1]weekly_demand!A1813="","",[1]weekly_demand!A1813)</f>
        <v/>
      </c>
      <c r="B1812" s="59" t="str">
        <f>IF($A1812="","",[1]weekly_demand!F1813)</f>
        <v/>
      </c>
      <c r="C1812" s="60" t="str">
        <f>IF($A1812="","",[1]weekly_demand!H1813)</f>
        <v/>
      </c>
      <c r="D1812" s="61" t="str">
        <f>IF($A1812="","",IF(SUMIFS([1]Fixture_Capacity_Input!$C:$C,[1]Fixture_Capacity_Input!$A:$A,$B1812,[1]Fixture_Capacity_Input!$B:$B,$C1812)&gt;0,SUMIFS([1]Fixture_Capacity_Input!$C:$C,[1]Fixture_Capacity_Input!$A:$A,$B1812,[1]Fixture_Capacity_Input!$B:$B,$C1812),[1]weekly_demand!G1813))</f>
        <v/>
      </c>
      <c r="E1812" s="62" t="str">
        <f>IF($A1812="","",[1]weekly_demand!I1813)</f>
        <v/>
      </c>
      <c r="F1812" s="61" t="str">
        <f>IF($A1812="","",IF($A1812&lt;&gt;$A1811,IFERROR(INDEX([1]FG_Begin_Inventory!$B:$B,MATCH($A1812,[1]FG_Begin_Inventory!$A:$A,0)),0),J1811))</f>
        <v/>
      </c>
      <c r="G1812" s="61" t="str">
        <f t="shared" si="199"/>
        <v/>
      </c>
      <c r="H1812" s="61" t="str">
        <f t="shared" si="200"/>
        <v/>
      </c>
      <c r="I1812" s="62" t="str">
        <f t="shared" si="201"/>
        <v/>
      </c>
      <c r="J1812" s="61" t="str">
        <f t="shared" si="202"/>
        <v/>
      </c>
      <c r="K1812" s="61" t="str">
        <f t="shared" si="203"/>
        <v/>
      </c>
      <c r="L1812" s="61" t="str">
        <f t="shared" si="204"/>
        <v/>
      </c>
      <c r="M1812" s="63" t="str">
        <f t="shared" si="205"/>
        <v/>
      </c>
      <c r="N1812" s="64"/>
    </row>
    <row r="1813" spans="1:14" x14ac:dyDescent="0.3">
      <c r="A1813" s="58" t="str">
        <f>IF([1]weekly_demand!A1814="","",[1]weekly_demand!A1814)</f>
        <v/>
      </c>
      <c r="B1813" s="59" t="str">
        <f>IF($A1813="","",[1]weekly_demand!F1814)</f>
        <v/>
      </c>
      <c r="C1813" s="60" t="str">
        <f>IF($A1813="","",[1]weekly_demand!H1814)</f>
        <v/>
      </c>
      <c r="D1813" s="61" t="str">
        <f>IF($A1813="","",IF(SUMIFS([1]Fixture_Capacity_Input!$C:$C,[1]Fixture_Capacity_Input!$A:$A,$B1813,[1]Fixture_Capacity_Input!$B:$B,$C1813)&gt;0,SUMIFS([1]Fixture_Capacity_Input!$C:$C,[1]Fixture_Capacity_Input!$A:$A,$B1813,[1]Fixture_Capacity_Input!$B:$B,$C1813),[1]weekly_demand!G1814))</f>
        <v/>
      </c>
      <c r="E1813" s="62" t="str">
        <f>IF($A1813="","",[1]weekly_demand!I1814)</f>
        <v/>
      </c>
      <c r="F1813" s="61" t="str">
        <f>IF($A1813="","",IF($A1813&lt;&gt;$A1812,IFERROR(INDEX([1]FG_Begin_Inventory!$B:$B,MATCH($A1813,[1]FG_Begin_Inventory!$A:$A,0)),0),J1812))</f>
        <v/>
      </c>
      <c r="G1813" s="61" t="str">
        <f t="shared" si="199"/>
        <v/>
      </c>
      <c r="H1813" s="61" t="str">
        <f t="shared" si="200"/>
        <v/>
      </c>
      <c r="I1813" s="62" t="str">
        <f t="shared" si="201"/>
        <v/>
      </c>
      <c r="J1813" s="61" t="str">
        <f t="shared" si="202"/>
        <v/>
      </c>
      <c r="K1813" s="61" t="str">
        <f t="shared" si="203"/>
        <v/>
      </c>
      <c r="L1813" s="61" t="str">
        <f t="shared" si="204"/>
        <v/>
      </c>
      <c r="M1813" s="63" t="str">
        <f t="shared" si="205"/>
        <v/>
      </c>
      <c r="N1813" s="64"/>
    </row>
    <row r="1814" spans="1:14" x14ac:dyDescent="0.3">
      <c r="A1814" s="58" t="str">
        <f>IF([1]weekly_demand!A1815="","",[1]weekly_demand!A1815)</f>
        <v/>
      </c>
      <c r="B1814" s="59" t="str">
        <f>IF($A1814="","",[1]weekly_demand!F1815)</f>
        <v/>
      </c>
      <c r="C1814" s="60" t="str">
        <f>IF($A1814="","",[1]weekly_demand!H1815)</f>
        <v/>
      </c>
      <c r="D1814" s="61" t="str">
        <f>IF($A1814="","",IF(SUMIFS([1]Fixture_Capacity_Input!$C:$C,[1]Fixture_Capacity_Input!$A:$A,$B1814,[1]Fixture_Capacity_Input!$B:$B,$C1814)&gt;0,SUMIFS([1]Fixture_Capacity_Input!$C:$C,[1]Fixture_Capacity_Input!$A:$A,$B1814,[1]Fixture_Capacity_Input!$B:$B,$C1814),[1]weekly_demand!G1815))</f>
        <v/>
      </c>
      <c r="E1814" s="62" t="str">
        <f>IF($A1814="","",[1]weekly_demand!I1815)</f>
        <v/>
      </c>
      <c r="F1814" s="61" t="str">
        <f>IF($A1814="","",IF($A1814&lt;&gt;$A1813,IFERROR(INDEX([1]FG_Begin_Inventory!$B:$B,MATCH($A1814,[1]FG_Begin_Inventory!$A:$A,0)),0),J1813))</f>
        <v/>
      </c>
      <c r="G1814" s="61" t="str">
        <f t="shared" si="199"/>
        <v/>
      </c>
      <c r="H1814" s="61" t="str">
        <f t="shared" si="200"/>
        <v/>
      </c>
      <c r="I1814" s="62" t="str">
        <f t="shared" si="201"/>
        <v/>
      </c>
      <c r="J1814" s="61" t="str">
        <f t="shared" si="202"/>
        <v/>
      </c>
      <c r="K1814" s="61" t="str">
        <f t="shared" si="203"/>
        <v/>
      </c>
      <c r="L1814" s="61" t="str">
        <f t="shared" si="204"/>
        <v/>
      </c>
      <c r="M1814" s="63" t="str">
        <f t="shared" si="205"/>
        <v/>
      </c>
      <c r="N1814" s="64"/>
    </row>
    <row r="1815" spans="1:14" x14ac:dyDescent="0.3">
      <c r="A1815" s="58" t="str">
        <f>IF([1]weekly_demand!A1816="","",[1]weekly_demand!A1816)</f>
        <v/>
      </c>
      <c r="B1815" s="59" t="str">
        <f>IF($A1815="","",[1]weekly_demand!F1816)</f>
        <v/>
      </c>
      <c r="C1815" s="60" t="str">
        <f>IF($A1815="","",[1]weekly_demand!H1816)</f>
        <v/>
      </c>
      <c r="D1815" s="61" t="str">
        <f>IF($A1815="","",IF(SUMIFS([1]Fixture_Capacity_Input!$C:$C,[1]Fixture_Capacity_Input!$A:$A,$B1815,[1]Fixture_Capacity_Input!$B:$B,$C1815)&gt;0,SUMIFS([1]Fixture_Capacity_Input!$C:$C,[1]Fixture_Capacity_Input!$A:$A,$B1815,[1]Fixture_Capacity_Input!$B:$B,$C1815),[1]weekly_demand!G1816))</f>
        <v/>
      </c>
      <c r="E1815" s="62" t="str">
        <f>IF($A1815="","",[1]weekly_demand!I1816)</f>
        <v/>
      </c>
      <c r="F1815" s="61" t="str">
        <f>IF($A1815="","",IF($A1815&lt;&gt;$A1814,IFERROR(INDEX([1]FG_Begin_Inventory!$B:$B,MATCH($A1815,[1]FG_Begin_Inventory!$A:$A,0)),0),J1814))</f>
        <v/>
      </c>
      <c r="G1815" s="61" t="str">
        <f t="shared" si="199"/>
        <v/>
      </c>
      <c r="H1815" s="61" t="str">
        <f t="shared" si="200"/>
        <v/>
      </c>
      <c r="I1815" s="62" t="str">
        <f t="shared" si="201"/>
        <v/>
      </c>
      <c r="J1815" s="61" t="str">
        <f t="shared" si="202"/>
        <v/>
      </c>
      <c r="K1815" s="61" t="str">
        <f t="shared" si="203"/>
        <v/>
      </c>
      <c r="L1815" s="61" t="str">
        <f t="shared" si="204"/>
        <v/>
      </c>
      <c r="M1815" s="63" t="str">
        <f t="shared" si="205"/>
        <v/>
      </c>
      <c r="N1815" s="64"/>
    </row>
    <row r="1816" spans="1:14" x14ac:dyDescent="0.3">
      <c r="A1816" s="58" t="str">
        <f>IF([1]weekly_demand!A1817="","",[1]weekly_demand!A1817)</f>
        <v/>
      </c>
      <c r="B1816" s="59" t="str">
        <f>IF($A1816="","",[1]weekly_demand!F1817)</f>
        <v/>
      </c>
      <c r="C1816" s="60" t="str">
        <f>IF($A1816="","",[1]weekly_demand!H1817)</f>
        <v/>
      </c>
      <c r="D1816" s="61" t="str">
        <f>IF($A1816="","",IF(SUMIFS([1]Fixture_Capacity_Input!$C:$C,[1]Fixture_Capacity_Input!$A:$A,$B1816,[1]Fixture_Capacity_Input!$B:$B,$C1816)&gt;0,SUMIFS([1]Fixture_Capacity_Input!$C:$C,[1]Fixture_Capacity_Input!$A:$A,$B1816,[1]Fixture_Capacity_Input!$B:$B,$C1816),[1]weekly_demand!G1817))</f>
        <v/>
      </c>
      <c r="E1816" s="62" t="str">
        <f>IF($A1816="","",[1]weekly_demand!I1817)</f>
        <v/>
      </c>
      <c r="F1816" s="61" t="str">
        <f>IF($A1816="","",IF($A1816&lt;&gt;$A1815,IFERROR(INDEX([1]FG_Begin_Inventory!$B:$B,MATCH($A1816,[1]FG_Begin_Inventory!$A:$A,0)),0),J1815))</f>
        <v/>
      </c>
      <c r="G1816" s="61" t="str">
        <f t="shared" si="199"/>
        <v/>
      </c>
      <c r="H1816" s="61" t="str">
        <f t="shared" si="200"/>
        <v/>
      </c>
      <c r="I1816" s="62" t="str">
        <f t="shared" si="201"/>
        <v/>
      </c>
      <c r="J1816" s="61" t="str">
        <f t="shared" si="202"/>
        <v/>
      </c>
      <c r="K1816" s="61" t="str">
        <f t="shared" si="203"/>
        <v/>
      </c>
      <c r="L1816" s="61" t="str">
        <f t="shared" si="204"/>
        <v/>
      </c>
      <c r="M1816" s="63" t="str">
        <f t="shared" si="205"/>
        <v/>
      </c>
      <c r="N1816" s="64"/>
    </row>
    <row r="1817" spans="1:14" x14ac:dyDescent="0.3">
      <c r="A1817" s="58" t="str">
        <f>IF([1]weekly_demand!A1818="","",[1]weekly_demand!A1818)</f>
        <v/>
      </c>
      <c r="B1817" s="59" t="str">
        <f>IF($A1817="","",[1]weekly_demand!F1818)</f>
        <v/>
      </c>
      <c r="C1817" s="60" t="str">
        <f>IF($A1817="","",[1]weekly_demand!H1818)</f>
        <v/>
      </c>
      <c r="D1817" s="61" t="str">
        <f>IF($A1817="","",IF(SUMIFS([1]Fixture_Capacity_Input!$C:$C,[1]Fixture_Capacity_Input!$A:$A,$B1817,[1]Fixture_Capacity_Input!$B:$B,$C1817)&gt;0,SUMIFS([1]Fixture_Capacity_Input!$C:$C,[1]Fixture_Capacity_Input!$A:$A,$B1817,[1]Fixture_Capacity_Input!$B:$B,$C1817),[1]weekly_demand!G1818))</f>
        <v/>
      </c>
      <c r="E1817" s="62" t="str">
        <f>IF($A1817="","",[1]weekly_demand!I1818)</f>
        <v/>
      </c>
      <c r="F1817" s="61" t="str">
        <f>IF($A1817="","",IF($A1817&lt;&gt;$A1816,IFERROR(INDEX([1]FG_Begin_Inventory!$B:$B,MATCH($A1817,[1]FG_Begin_Inventory!$A:$A,0)),0),J1816))</f>
        <v/>
      </c>
      <c r="G1817" s="61" t="str">
        <f t="shared" si="199"/>
        <v/>
      </c>
      <c r="H1817" s="61" t="str">
        <f t="shared" si="200"/>
        <v/>
      </c>
      <c r="I1817" s="62" t="str">
        <f t="shared" si="201"/>
        <v/>
      </c>
      <c r="J1817" s="61" t="str">
        <f t="shared" si="202"/>
        <v/>
      </c>
      <c r="K1817" s="61" t="str">
        <f t="shared" si="203"/>
        <v/>
      </c>
      <c r="L1817" s="61" t="str">
        <f t="shared" si="204"/>
        <v/>
      </c>
      <c r="M1817" s="63" t="str">
        <f t="shared" si="205"/>
        <v/>
      </c>
      <c r="N1817" s="64"/>
    </row>
    <row r="1818" spans="1:14" x14ac:dyDescent="0.3">
      <c r="A1818" s="58" t="str">
        <f>IF([1]weekly_demand!A1819="","",[1]weekly_demand!A1819)</f>
        <v/>
      </c>
      <c r="B1818" s="59" t="str">
        <f>IF($A1818="","",[1]weekly_demand!F1819)</f>
        <v/>
      </c>
      <c r="C1818" s="60" t="str">
        <f>IF($A1818="","",[1]weekly_demand!H1819)</f>
        <v/>
      </c>
      <c r="D1818" s="61" t="str">
        <f>IF($A1818="","",IF(SUMIFS([1]Fixture_Capacity_Input!$C:$C,[1]Fixture_Capacity_Input!$A:$A,$B1818,[1]Fixture_Capacity_Input!$B:$B,$C1818)&gt;0,SUMIFS([1]Fixture_Capacity_Input!$C:$C,[1]Fixture_Capacity_Input!$A:$A,$B1818,[1]Fixture_Capacity_Input!$B:$B,$C1818),[1]weekly_demand!G1819))</f>
        <v/>
      </c>
      <c r="E1818" s="62" t="str">
        <f>IF($A1818="","",[1]weekly_demand!I1819)</f>
        <v/>
      </c>
      <c r="F1818" s="61" t="str">
        <f>IF($A1818="","",IF($A1818&lt;&gt;$A1817,IFERROR(INDEX([1]FG_Begin_Inventory!$B:$B,MATCH($A1818,[1]FG_Begin_Inventory!$A:$A,0)),0),J1817))</f>
        <v/>
      </c>
      <c r="G1818" s="61" t="str">
        <f t="shared" si="199"/>
        <v/>
      </c>
      <c r="H1818" s="61" t="str">
        <f t="shared" si="200"/>
        <v/>
      </c>
      <c r="I1818" s="62" t="str">
        <f t="shared" si="201"/>
        <v/>
      </c>
      <c r="J1818" s="61" t="str">
        <f t="shared" si="202"/>
        <v/>
      </c>
      <c r="K1818" s="61" t="str">
        <f t="shared" si="203"/>
        <v/>
      </c>
      <c r="L1818" s="61" t="str">
        <f t="shared" si="204"/>
        <v/>
      </c>
      <c r="M1818" s="63" t="str">
        <f t="shared" si="205"/>
        <v/>
      </c>
      <c r="N1818" s="64"/>
    </row>
    <row r="1819" spans="1:14" x14ac:dyDescent="0.3">
      <c r="A1819" s="58" t="str">
        <f>IF([1]weekly_demand!A1820="","",[1]weekly_demand!A1820)</f>
        <v/>
      </c>
      <c r="B1819" s="59" t="str">
        <f>IF($A1819="","",[1]weekly_demand!F1820)</f>
        <v/>
      </c>
      <c r="C1819" s="60" t="str">
        <f>IF($A1819="","",[1]weekly_demand!H1820)</f>
        <v/>
      </c>
      <c r="D1819" s="61" t="str">
        <f>IF($A1819="","",IF(SUMIFS([1]Fixture_Capacity_Input!$C:$C,[1]Fixture_Capacity_Input!$A:$A,$B1819,[1]Fixture_Capacity_Input!$B:$B,$C1819)&gt;0,SUMIFS([1]Fixture_Capacity_Input!$C:$C,[1]Fixture_Capacity_Input!$A:$A,$B1819,[1]Fixture_Capacity_Input!$B:$B,$C1819),[1]weekly_demand!G1820))</f>
        <v/>
      </c>
      <c r="E1819" s="62" t="str">
        <f>IF($A1819="","",[1]weekly_demand!I1820)</f>
        <v/>
      </c>
      <c r="F1819" s="61" t="str">
        <f>IF($A1819="","",IF($A1819&lt;&gt;$A1818,IFERROR(INDEX([1]FG_Begin_Inventory!$B:$B,MATCH($A1819,[1]FG_Begin_Inventory!$A:$A,0)),0),J1818))</f>
        <v/>
      </c>
      <c r="G1819" s="61" t="str">
        <f t="shared" si="199"/>
        <v/>
      </c>
      <c r="H1819" s="61" t="str">
        <f t="shared" si="200"/>
        <v/>
      </c>
      <c r="I1819" s="62" t="str">
        <f t="shared" si="201"/>
        <v/>
      </c>
      <c r="J1819" s="61" t="str">
        <f t="shared" si="202"/>
        <v/>
      </c>
      <c r="K1819" s="61" t="str">
        <f t="shared" si="203"/>
        <v/>
      </c>
      <c r="L1819" s="61" t="str">
        <f t="shared" si="204"/>
        <v/>
      </c>
      <c r="M1819" s="63" t="str">
        <f t="shared" si="205"/>
        <v/>
      </c>
      <c r="N1819" s="64"/>
    </row>
    <row r="1820" spans="1:14" x14ac:dyDescent="0.3">
      <c r="A1820" s="58" t="str">
        <f>IF([1]weekly_demand!A1821="","",[1]weekly_demand!A1821)</f>
        <v/>
      </c>
      <c r="B1820" s="59" t="str">
        <f>IF($A1820="","",[1]weekly_demand!F1821)</f>
        <v/>
      </c>
      <c r="C1820" s="60" t="str">
        <f>IF($A1820="","",[1]weekly_demand!H1821)</f>
        <v/>
      </c>
      <c r="D1820" s="61" t="str">
        <f>IF($A1820="","",IF(SUMIFS([1]Fixture_Capacity_Input!$C:$C,[1]Fixture_Capacity_Input!$A:$A,$B1820,[1]Fixture_Capacity_Input!$B:$B,$C1820)&gt;0,SUMIFS([1]Fixture_Capacity_Input!$C:$C,[1]Fixture_Capacity_Input!$A:$A,$B1820,[1]Fixture_Capacity_Input!$B:$B,$C1820),[1]weekly_demand!G1821))</f>
        <v/>
      </c>
      <c r="E1820" s="62" t="str">
        <f>IF($A1820="","",[1]weekly_demand!I1821)</f>
        <v/>
      </c>
      <c r="F1820" s="61" t="str">
        <f>IF($A1820="","",IF($A1820&lt;&gt;$A1819,IFERROR(INDEX([1]FG_Begin_Inventory!$B:$B,MATCH($A1820,[1]FG_Begin_Inventory!$A:$A,0)),0),J1819))</f>
        <v/>
      </c>
      <c r="G1820" s="61" t="str">
        <f t="shared" si="199"/>
        <v/>
      </c>
      <c r="H1820" s="61" t="str">
        <f t="shared" si="200"/>
        <v/>
      </c>
      <c r="I1820" s="62" t="str">
        <f t="shared" si="201"/>
        <v/>
      </c>
      <c r="J1820" s="61" t="str">
        <f t="shared" si="202"/>
        <v/>
      </c>
      <c r="K1820" s="61" t="str">
        <f t="shared" si="203"/>
        <v/>
      </c>
      <c r="L1820" s="61" t="str">
        <f t="shared" si="204"/>
        <v/>
      </c>
      <c r="M1820" s="63" t="str">
        <f t="shared" si="205"/>
        <v/>
      </c>
      <c r="N1820" s="64"/>
    </row>
    <row r="1821" spans="1:14" x14ac:dyDescent="0.3">
      <c r="A1821" s="58" t="str">
        <f>IF([1]weekly_demand!A1822="","",[1]weekly_demand!A1822)</f>
        <v/>
      </c>
      <c r="B1821" s="59" t="str">
        <f>IF($A1821="","",[1]weekly_demand!F1822)</f>
        <v/>
      </c>
      <c r="C1821" s="60" t="str">
        <f>IF($A1821="","",[1]weekly_demand!H1822)</f>
        <v/>
      </c>
      <c r="D1821" s="61" t="str">
        <f>IF($A1821="","",IF(SUMIFS([1]Fixture_Capacity_Input!$C:$C,[1]Fixture_Capacity_Input!$A:$A,$B1821,[1]Fixture_Capacity_Input!$B:$B,$C1821)&gt;0,SUMIFS([1]Fixture_Capacity_Input!$C:$C,[1]Fixture_Capacity_Input!$A:$A,$B1821,[1]Fixture_Capacity_Input!$B:$B,$C1821),[1]weekly_demand!G1822))</f>
        <v/>
      </c>
      <c r="E1821" s="62" t="str">
        <f>IF($A1821="","",[1]weekly_demand!I1822)</f>
        <v/>
      </c>
      <c r="F1821" s="61" t="str">
        <f>IF($A1821="","",IF($A1821&lt;&gt;$A1820,IFERROR(INDEX([1]FG_Begin_Inventory!$B:$B,MATCH($A1821,[1]FG_Begin_Inventory!$A:$A,0)),0),J1820))</f>
        <v/>
      </c>
      <c r="G1821" s="61" t="str">
        <f t="shared" si="199"/>
        <v/>
      </c>
      <c r="H1821" s="61" t="str">
        <f t="shared" si="200"/>
        <v/>
      </c>
      <c r="I1821" s="62" t="str">
        <f t="shared" si="201"/>
        <v/>
      </c>
      <c r="J1821" s="61" t="str">
        <f t="shared" si="202"/>
        <v/>
      </c>
      <c r="K1821" s="61" t="str">
        <f t="shared" si="203"/>
        <v/>
      </c>
      <c r="L1821" s="61" t="str">
        <f t="shared" si="204"/>
        <v/>
      </c>
      <c r="M1821" s="63" t="str">
        <f t="shared" si="205"/>
        <v/>
      </c>
      <c r="N1821" s="64"/>
    </row>
    <row r="1822" spans="1:14" x14ac:dyDescent="0.3">
      <c r="A1822" s="58" t="str">
        <f>IF([1]weekly_demand!A1823="","",[1]weekly_demand!A1823)</f>
        <v/>
      </c>
      <c r="B1822" s="59" t="str">
        <f>IF($A1822="","",[1]weekly_demand!F1823)</f>
        <v/>
      </c>
      <c r="C1822" s="60" t="str">
        <f>IF($A1822="","",[1]weekly_demand!H1823)</f>
        <v/>
      </c>
      <c r="D1822" s="61" t="str">
        <f>IF($A1822="","",IF(SUMIFS([1]Fixture_Capacity_Input!$C:$C,[1]Fixture_Capacity_Input!$A:$A,$B1822,[1]Fixture_Capacity_Input!$B:$B,$C1822)&gt;0,SUMIFS([1]Fixture_Capacity_Input!$C:$C,[1]Fixture_Capacity_Input!$A:$A,$B1822,[1]Fixture_Capacity_Input!$B:$B,$C1822),[1]weekly_demand!G1823))</f>
        <v/>
      </c>
      <c r="E1822" s="62" t="str">
        <f>IF($A1822="","",[1]weekly_demand!I1823)</f>
        <v/>
      </c>
      <c r="F1822" s="61" t="str">
        <f>IF($A1822="","",IF($A1822&lt;&gt;$A1821,IFERROR(INDEX([1]FG_Begin_Inventory!$B:$B,MATCH($A1822,[1]FG_Begin_Inventory!$A:$A,0)),0),J1821))</f>
        <v/>
      </c>
      <c r="G1822" s="61" t="str">
        <f t="shared" si="199"/>
        <v/>
      </c>
      <c r="H1822" s="61" t="str">
        <f t="shared" si="200"/>
        <v/>
      </c>
      <c r="I1822" s="62" t="str">
        <f t="shared" si="201"/>
        <v/>
      </c>
      <c r="J1822" s="61" t="str">
        <f t="shared" si="202"/>
        <v/>
      </c>
      <c r="K1822" s="61" t="str">
        <f t="shared" si="203"/>
        <v/>
      </c>
      <c r="L1822" s="61" t="str">
        <f t="shared" si="204"/>
        <v/>
      </c>
      <c r="M1822" s="63" t="str">
        <f t="shared" si="205"/>
        <v/>
      </c>
      <c r="N1822" s="64"/>
    </row>
    <row r="1823" spans="1:14" x14ac:dyDescent="0.3">
      <c r="A1823" s="58" t="str">
        <f>IF([1]weekly_demand!A1824="","",[1]weekly_demand!A1824)</f>
        <v/>
      </c>
      <c r="B1823" s="59" t="str">
        <f>IF($A1823="","",[1]weekly_demand!F1824)</f>
        <v/>
      </c>
      <c r="C1823" s="60" t="str">
        <f>IF($A1823="","",[1]weekly_demand!H1824)</f>
        <v/>
      </c>
      <c r="D1823" s="61" t="str">
        <f>IF($A1823="","",IF(SUMIFS([1]Fixture_Capacity_Input!$C:$C,[1]Fixture_Capacity_Input!$A:$A,$B1823,[1]Fixture_Capacity_Input!$B:$B,$C1823)&gt;0,SUMIFS([1]Fixture_Capacity_Input!$C:$C,[1]Fixture_Capacity_Input!$A:$A,$B1823,[1]Fixture_Capacity_Input!$B:$B,$C1823),[1]weekly_demand!G1824))</f>
        <v/>
      </c>
      <c r="E1823" s="62" t="str">
        <f>IF($A1823="","",[1]weekly_demand!I1824)</f>
        <v/>
      </c>
      <c r="F1823" s="61" t="str">
        <f>IF($A1823="","",IF($A1823&lt;&gt;$A1822,IFERROR(INDEX([1]FG_Begin_Inventory!$B:$B,MATCH($A1823,[1]FG_Begin_Inventory!$A:$A,0)),0),J1822))</f>
        <v/>
      </c>
      <c r="G1823" s="61" t="str">
        <f t="shared" si="199"/>
        <v/>
      </c>
      <c r="H1823" s="61" t="str">
        <f t="shared" si="200"/>
        <v/>
      </c>
      <c r="I1823" s="62" t="str">
        <f t="shared" si="201"/>
        <v/>
      </c>
      <c r="J1823" s="61" t="str">
        <f t="shared" si="202"/>
        <v/>
      </c>
      <c r="K1823" s="61" t="str">
        <f t="shared" si="203"/>
        <v/>
      </c>
      <c r="L1823" s="61" t="str">
        <f t="shared" si="204"/>
        <v/>
      </c>
      <c r="M1823" s="63" t="str">
        <f t="shared" si="205"/>
        <v/>
      </c>
      <c r="N1823" s="64"/>
    </row>
    <row r="1824" spans="1:14" x14ac:dyDescent="0.3">
      <c r="A1824" s="58" t="str">
        <f>IF([1]weekly_demand!A1825="","",[1]weekly_demand!A1825)</f>
        <v/>
      </c>
      <c r="B1824" s="59" t="str">
        <f>IF($A1824="","",[1]weekly_demand!F1825)</f>
        <v/>
      </c>
      <c r="C1824" s="60" t="str">
        <f>IF($A1824="","",[1]weekly_demand!H1825)</f>
        <v/>
      </c>
      <c r="D1824" s="61" t="str">
        <f>IF($A1824="","",IF(SUMIFS([1]Fixture_Capacity_Input!$C:$C,[1]Fixture_Capacity_Input!$A:$A,$B1824,[1]Fixture_Capacity_Input!$B:$B,$C1824)&gt;0,SUMIFS([1]Fixture_Capacity_Input!$C:$C,[1]Fixture_Capacity_Input!$A:$A,$B1824,[1]Fixture_Capacity_Input!$B:$B,$C1824),[1]weekly_demand!G1825))</f>
        <v/>
      </c>
      <c r="E1824" s="62" t="str">
        <f>IF($A1824="","",[1]weekly_demand!I1825)</f>
        <v/>
      </c>
      <c r="F1824" s="61" t="str">
        <f>IF($A1824="","",IF($A1824&lt;&gt;$A1823,IFERROR(INDEX([1]FG_Begin_Inventory!$B:$B,MATCH($A1824,[1]FG_Begin_Inventory!$A:$A,0)),0),J1823))</f>
        <v/>
      </c>
      <c r="G1824" s="61" t="str">
        <f t="shared" si="199"/>
        <v/>
      </c>
      <c r="H1824" s="61" t="str">
        <f t="shared" si="200"/>
        <v/>
      </c>
      <c r="I1824" s="62" t="str">
        <f t="shared" si="201"/>
        <v/>
      </c>
      <c r="J1824" s="61" t="str">
        <f t="shared" si="202"/>
        <v/>
      </c>
      <c r="K1824" s="61" t="str">
        <f t="shared" si="203"/>
        <v/>
      </c>
      <c r="L1824" s="61" t="str">
        <f t="shared" si="204"/>
        <v/>
      </c>
      <c r="M1824" s="63" t="str">
        <f t="shared" si="205"/>
        <v/>
      </c>
      <c r="N1824" s="64"/>
    </row>
    <row r="1825" spans="1:14" x14ac:dyDescent="0.3">
      <c r="A1825" s="58" t="str">
        <f>IF([1]weekly_demand!A1826="","",[1]weekly_demand!A1826)</f>
        <v/>
      </c>
      <c r="B1825" s="59" t="str">
        <f>IF($A1825="","",[1]weekly_demand!F1826)</f>
        <v/>
      </c>
      <c r="C1825" s="60" t="str">
        <f>IF($A1825="","",[1]weekly_demand!H1826)</f>
        <v/>
      </c>
      <c r="D1825" s="61" t="str">
        <f>IF($A1825="","",IF(SUMIFS([1]Fixture_Capacity_Input!$C:$C,[1]Fixture_Capacity_Input!$A:$A,$B1825,[1]Fixture_Capacity_Input!$B:$B,$C1825)&gt;0,SUMIFS([1]Fixture_Capacity_Input!$C:$C,[1]Fixture_Capacity_Input!$A:$A,$B1825,[1]Fixture_Capacity_Input!$B:$B,$C1825),[1]weekly_demand!G1826))</f>
        <v/>
      </c>
      <c r="E1825" s="62" t="str">
        <f>IF($A1825="","",[1]weekly_demand!I1826)</f>
        <v/>
      </c>
      <c r="F1825" s="61" t="str">
        <f>IF($A1825="","",IF($A1825&lt;&gt;$A1824,IFERROR(INDEX([1]FG_Begin_Inventory!$B:$B,MATCH($A1825,[1]FG_Begin_Inventory!$A:$A,0)),0),J1824))</f>
        <v/>
      </c>
      <c r="G1825" s="61" t="str">
        <f t="shared" si="199"/>
        <v/>
      </c>
      <c r="H1825" s="61" t="str">
        <f t="shared" si="200"/>
        <v/>
      </c>
      <c r="I1825" s="62" t="str">
        <f t="shared" si="201"/>
        <v/>
      </c>
      <c r="J1825" s="61" t="str">
        <f t="shared" si="202"/>
        <v/>
      </c>
      <c r="K1825" s="61" t="str">
        <f t="shared" si="203"/>
        <v/>
      </c>
      <c r="L1825" s="61" t="str">
        <f t="shared" si="204"/>
        <v/>
      </c>
      <c r="M1825" s="63" t="str">
        <f t="shared" si="205"/>
        <v/>
      </c>
      <c r="N1825" s="64"/>
    </row>
    <row r="1826" spans="1:14" x14ac:dyDescent="0.3">
      <c r="A1826" s="58" t="str">
        <f>IF([1]weekly_demand!A1827="","",[1]weekly_demand!A1827)</f>
        <v/>
      </c>
      <c r="B1826" s="59" t="str">
        <f>IF($A1826="","",[1]weekly_demand!F1827)</f>
        <v/>
      </c>
      <c r="C1826" s="60" t="str">
        <f>IF($A1826="","",[1]weekly_demand!H1827)</f>
        <v/>
      </c>
      <c r="D1826" s="61" t="str">
        <f>IF($A1826="","",IF(SUMIFS([1]Fixture_Capacity_Input!$C:$C,[1]Fixture_Capacity_Input!$A:$A,$B1826,[1]Fixture_Capacity_Input!$B:$B,$C1826)&gt;0,SUMIFS([1]Fixture_Capacity_Input!$C:$C,[1]Fixture_Capacity_Input!$A:$A,$B1826,[1]Fixture_Capacity_Input!$B:$B,$C1826),[1]weekly_demand!G1827))</f>
        <v/>
      </c>
      <c r="E1826" s="62" t="str">
        <f>IF($A1826="","",[1]weekly_demand!I1827)</f>
        <v/>
      </c>
      <c r="F1826" s="61" t="str">
        <f>IF($A1826="","",IF($A1826&lt;&gt;$A1825,IFERROR(INDEX([1]FG_Begin_Inventory!$B:$B,MATCH($A1826,[1]FG_Begin_Inventory!$A:$A,0)),0),J1825))</f>
        <v/>
      </c>
      <c r="G1826" s="61" t="str">
        <f t="shared" si="199"/>
        <v/>
      </c>
      <c r="H1826" s="61" t="str">
        <f t="shared" si="200"/>
        <v/>
      </c>
      <c r="I1826" s="62" t="str">
        <f t="shared" si="201"/>
        <v/>
      </c>
      <c r="J1826" s="61" t="str">
        <f t="shared" si="202"/>
        <v/>
      </c>
      <c r="K1826" s="61" t="str">
        <f t="shared" si="203"/>
        <v/>
      </c>
      <c r="L1826" s="61" t="str">
        <f t="shared" si="204"/>
        <v/>
      </c>
      <c r="M1826" s="63" t="str">
        <f t="shared" si="205"/>
        <v/>
      </c>
      <c r="N1826" s="64"/>
    </row>
    <row r="1827" spans="1:14" x14ac:dyDescent="0.3">
      <c r="A1827" s="58" t="str">
        <f>IF([1]weekly_demand!A1828="","",[1]weekly_demand!A1828)</f>
        <v/>
      </c>
      <c r="B1827" s="59" t="str">
        <f>IF($A1827="","",[1]weekly_demand!F1828)</f>
        <v/>
      </c>
      <c r="C1827" s="60" t="str">
        <f>IF($A1827="","",[1]weekly_demand!H1828)</f>
        <v/>
      </c>
      <c r="D1827" s="61" t="str">
        <f>IF($A1827="","",IF(SUMIFS([1]Fixture_Capacity_Input!$C:$C,[1]Fixture_Capacity_Input!$A:$A,$B1827,[1]Fixture_Capacity_Input!$B:$B,$C1827)&gt;0,SUMIFS([1]Fixture_Capacity_Input!$C:$C,[1]Fixture_Capacity_Input!$A:$A,$B1827,[1]Fixture_Capacity_Input!$B:$B,$C1827),[1]weekly_demand!G1828))</f>
        <v/>
      </c>
      <c r="E1827" s="62" t="str">
        <f>IF($A1827="","",[1]weekly_demand!I1828)</f>
        <v/>
      </c>
      <c r="F1827" s="61" t="str">
        <f>IF($A1827="","",IF($A1827&lt;&gt;$A1826,IFERROR(INDEX([1]FG_Begin_Inventory!$B:$B,MATCH($A1827,[1]FG_Begin_Inventory!$A:$A,0)),0),J1826))</f>
        <v/>
      </c>
      <c r="G1827" s="61" t="str">
        <f t="shared" si="199"/>
        <v/>
      </c>
      <c r="H1827" s="61" t="str">
        <f t="shared" si="200"/>
        <v/>
      </c>
      <c r="I1827" s="62" t="str">
        <f t="shared" si="201"/>
        <v/>
      </c>
      <c r="J1827" s="61" t="str">
        <f t="shared" si="202"/>
        <v/>
      </c>
      <c r="K1827" s="61" t="str">
        <f t="shared" si="203"/>
        <v/>
      </c>
      <c r="L1827" s="61" t="str">
        <f t="shared" si="204"/>
        <v/>
      </c>
      <c r="M1827" s="63" t="str">
        <f t="shared" si="205"/>
        <v/>
      </c>
      <c r="N1827" s="64"/>
    </row>
    <row r="1828" spans="1:14" x14ac:dyDescent="0.3">
      <c r="A1828" s="58" t="str">
        <f>IF([1]weekly_demand!A1829="","",[1]weekly_demand!A1829)</f>
        <v/>
      </c>
      <c r="B1828" s="59" t="str">
        <f>IF($A1828="","",[1]weekly_demand!F1829)</f>
        <v/>
      </c>
      <c r="C1828" s="60" t="str">
        <f>IF($A1828="","",[1]weekly_demand!H1829)</f>
        <v/>
      </c>
      <c r="D1828" s="61" t="str">
        <f>IF($A1828="","",IF(SUMIFS([1]Fixture_Capacity_Input!$C:$C,[1]Fixture_Capacity_Input!$A:$A,$B1828,[1]Fixture_Capacity_Input!$B:$B,$C1828)&gt;0,SUMIFS([1]Fixture_Capacity_Input!$C:$C,[1]Fixture_Capacity_Input!$A:$A,$B1828,[1]Fixture_Capacity_Input!$B:$B,$C1828),[1]weekly_demand!G1829))</f>
        <v/>
      </c>
      <c r="E1828" s="62" t="str">
        <f>IF($A1828="","",[1]weekly_demand!I1829)</f>
        <v/>
      </c>
      <c r="F1828" s="61" t="str">
        <f>IF($A1828="","",IF($A1828&lt;&gt;$A1827,IFERROR(INDEX([1]FG_Begin_Inventory!$B:$B,MATCH($A1828,[1]FG_Begin_Inventory!$A:$A,0)),0),J1827))</f>
        <v/>
      </c>
      <c r="G1828" s="61" t="str">
        <f t="shared" si="199"/>
        <v/>
      </c>
      <c r="H1828" s="61" t="str">
        <f t="shared" si="200"/>
        <v/>
      </c>
      <c r="I1828" s="62" t="str">
        <f t="shared" si="201"/>
        <v/>
      </c>
      <c r="J1828" s="61" t="str">
        <f t="shared" si="202"/>
        <v/>
      </c>
      <c r="K1828" s="61" t="str">
        <f t="shared" si="203"/>
        <v/>
      </c>
      <c r="L1828" s="61" t="str">
        <f t="shared" si="204"/>
        <v/>
      </c>
      <c r="M1828" s="63" t="str">
        <f t="shared" si="205"/>
        <v/>
      </c>
      <c r="N1828" s="64"/>
    </row>
    <row r="1829" spans="1:14" x14ac:dyDescent="0.3">
      <c r="A1829" s="58" t="str">
        <f>IF([1]weekly_demand!A1830="","",[1]weekly_demand!A1830)</f>
        <v/>
      </c>
      <c r="B1829" s="59" t="str">
        <f>IF($A1829="","",[1]weekly_demand!F1830)</f>
        <v/>
      </c>
      <c r="C1829" s="60" t="str">
        <f>IF($A1829="","",[1]weekly_demand!H1830)</f>
        <v/>
      </c>
      <c r="D1829" s="61" t="str">
        <f>IF($A1829="","",IF(SUMIFS([1]Fixture_Capacity_Input!$C:$C,[1]Fixture_Capacity_Input!$A:$A,$B1829,[1]Fixture_Capacity_Input!$B:$B,$C1829)&gt;0,SUMIFS([1]Fixture_Capacity_Input!$C:$C,[1]Fixture_Capacity_Input!$A:$A,$B1829,[1]Fixture_Capacity_Input!$B:$B,$C1829),[1]weekly_demand!G1830))</f>
        <v/>
      </c>
      <c r="E1829" s="62" t="str">
        <f>IF($A1829="","",[1]weekly_demand!I1830)</f>
        <v/>
      </c>
      <c r="F1829" s="61" t="str">
        <f>IF($A1829="","",IF($A1829&lt;&gt;$A1828,IFERROR(INDEX([1]FG_Begin_Inventory!$B:$B,MATCH($A1829,[1]FG_Begin_Inventory!$A:$A,0)),0),J1828))</f>
        <v/>
      </c>
      <c r="G1829" s="61" t="str">
        <f t="shared" si="199"/>
        <v/>
      </c>
      <c r="H1829" s="61" t="str">
        <f t="shared" si="200"/>
        <v/>
      </c>
      <c r="I1829" s="62" t="str">
        <f t="shared" si="201"/>
        <v/>
      </c>
      <c r="J1829" s="61" t="str">
        <f t="shared" si="202"/>
        <v/>
      </c>
      <c r="K1829" s="61" t="str">
        <f t="shared" si="203"/>
        <v/>
      </c>
      <c r="L1829" s="61" t="str">
        <f t="shared" si="204"/>
        <v/>
      </c>
      <c r="M1829" s="63" t="str">
        <f t="shared" si="205"/>
        <v/>
      </c>
      <c r="N1829" s="64"/>
    </row>
    <row r="1830" spans="1:14" x14ac:dyDescent="0.3">
      <c r="A1830" s="58" t="str">
        <f>IF([1]weekly_demand!A1831="","",[1]weekly_demand!A1831)</f>
        <v/>
      </c>
      <c r="B1830" s="59" t="str">
        <f>IF($A1830="","",[1]weekly_demand!F1831)</f>
        <v/>
      </c>
      <c r="C1830" s="60" t="str">
        <f>IF($A1830="","",[1]weekly_demand!H1831)</f>
        <v/>
      </c>
      <c r="D1830" s="61" t="str">
        <f>IF($A1830="","",IF(SUMIFS([1]Fixture_Capacity_Input!$C:$C,[1]Fixture_Capacity_Input!$A:$A,$B1830,[1]Fixture_Capacity_Input!$B:$B,$C1830)&gt;0,SUMIFS([1]Fixture_Capacity_Input!$C:$C,[1]Fixture_Capacity_Input!$A:$A,$B1830,[1]Fixture_Capacity_Input!$B:$B,$C1830),[1]weekly_demand!G1831))</f>
        <v/>
      </c>
      <c r="E1830" s="62" t="str">
        <f>IF($A1830="","",[1]weekly_demand!I1831)</f>
        <v/>
      </c>
      <c r="F1830" s="61" t="str">
        <f>IF($A1830="","",IF($A1830&lt;&gt;$A1829,IFERROR(INDEX([1]FG_Begin_Inventory!$B:$B,MATCH($A1830,[1]FG_Begin_Inventory!$A:$A,0)),0),J1829))</f>
        <v/>
      </c>
      <c r="G1830" s="61" t="str">
        <f t="shared" si="199"/>
        <v/>
      </c>
      <c r="H1830" s="61" t="str">
        <f t="shared" si="200"/>
        <v/>
      </c>
      <c r="I1830" s="62" t="str">
        <f t="shared" si="201"/>
        <v/>
      </c>
      <c r="J1830" s="61" t="str">
        <f t="shared" si="202"/>
        <v/>
      </c>
      <c r="K1830" s="61" t="str">
        <f t="shared" si="203"/>
        <v/>
      </c>
      <c r="L1830" s="61" t="str">
        <f t="shared" si="204"/>
        <v/>
      </c>
      <c r="M1830" s="63" t="str">
        <f t="shared" si="205"/>
        <v/>
      </c>
      <c r="N1830" s="64"/>
    </row>
    <row r="1831" spans="1:14" x14ac:dyDescent="0.3">
      <c r="A1831" s="58" t="str">
        <f>IF([1]weekly_demand!A1832="","",[1]weekly_demand!A1832)</f>
        <v/>
      </c>
      <c r="B1831" s="59" t="str">
        <f>IF($A1831="","",[1]weekly_demand!F1832)</f>
        <v/>
      </c>
      <c r="C1831" s="60" t="str">
        <f>IF($A1831="","",[1]weekly_demand!H1832)</f>
        <v/>
      </c>
      <c r="D1831" s="61" t="str">
        <f>IF($A1831="","",IF(SUMIFS([1]Fixture_Capacity_Input!$C:$C,[1]Fixture_Capacity_Input!$A:$A,$B1831,[1]Fixture_Capacity_Input!$B:$B,$C1831)&gt;0,SUMIFS([1]Fixture_Capacity_Input!$C:$C,[1]Fixture_Capacity_Input!$A:$A,$B1831,[1]Fixture_Capacity_Input!$B:$B,$C1831),[1]weekly_demand!G1832))</f>
        <v/>
      </c>
      <c r="E1831" s="62" t="str">
        <f>IF($A1831="","",[1]weekly_demand!I1832)</f>
        <v/>
      </c>
      <c r="F1831" s="61" t="str">
        <f>IF($A1831="","",IF($A1831&lt;&gt;$A1830,IFERROR(INDEX([1]FG_Begin_Inventory!$B:$B,MATCH($A1831,[1]FG_Begin_Inventory!$A:$A,0)),0),J1830))</f>
        <v/>
      </c>
      <c r="G1831" s="61" t="str">
        <f t="shared" si="199"/>
        <v/>
      </c>
      <c r="H1831" s="61" t="str">
        <f t="shared" si="200"/>
        <v/>
      </c>
      <c r="I1831" s="62" t="str">
        <f t="shared" si="201"/>
        <v/>
      </c>
      <c r="J1831" s="61" t="str">
        <f t="shared" si="202"/>
        <v/>
      </c>
      <c r="K1831" s="61" t="str">
        <f t="shared" si="203"/>
        <v/>
      </c>
      <c r="L1831" s="61" t="str">
        <f t="shared" si="204"/>
        <v/>
      </c>
      <c r="M1831" s="63" t="str">
        <f t="shared" si="205"/>
        <v/>
      </c>
      <c r="N1831" s="64"/>
    </row>
    <row r="1832" spans="1:14" x14ac:dyDescent="0.3">
      <c r="A1832" s="58" t="str">
        <f>IF([1]weekly_demand!A1833="","",[1]weekly_demand!A1833)</f>
        <v/>
      </c>
      <c r="B1832" s="59" t="str">
        <f>IF($A1832="","",[1]weekly_demand!F1833)</f>
        <v/>
      </c>
      <c r="C1832" s="60" t="str">
        <f>IF($A1832="","",[1]weekly_demand!H1833)</f>
        <v/>
      </c>
      <c r="D1832" s="61" t="str">
        <f>IF($A1832="","",IF(SUMIFS([1]Fixture_Capacity_Input!$C:$C,[1]Fixture_Capacity_Input!$A:$A,$B1832,[1]Fixture_Capacity_Input!$B:$B,$C1832)&gt;0,SUMIFS([1]Fixture_Capacity_Input!$C:$C,[1]Fixture_Capacity_Input!$A:$A,$B1832,[1]Fixture_Capacity_Input!$B:$B,$C1832),[1]weekly_demand!G1833))</f>
        <v/>
      </c>
      <c r="E1832" s="62" t="str">
        <f>IF($A1832="","",[1]weekly_demand!I1833)</f>
        <v/>
      </c>
      <c r="F1832" s="61" t="str">
        <f>IF($A1832="","",IF($A1832&lt;&gt;$A1831,IFERROR(INDEX([1]FG_Begin_Inventory!$B:$B,MATCH($A1832,[1]FG_Begin_Inventory!$A:$A,0)),0),J1831))</f>
        <v/>
      </c>
      <c r="G1832" s="61" t="str">
        <f t="shared" si="199"/>
        <v/>
      </c>
      <c r="H1832" s="61" t="str">
        <f t="shared" si="200"/>
        <v/>
      </c>
      <c r="I1832" s="62" t="str">
        <f t="shared" si="201"/>
        <v/>
      </c>
      <c r="J1832" s="61" t="str">
        <f t="shared" si="202"/>
        <v/>
      </c>
      <c r="K1832" s="61" t="str">
        <f t="shared" si="203"/>
        <v/>
      </c>
      <c r="L1832" s="61" t="str">
        <f t="shared" si="204"/>
        <v/>
      </c>
      <c r="M1832" s="63" t="str">
        <f t="shared" si="205"/>
        <v/>
      </c>
      <c r="N1832" s="64"/>
    </row>
    <row r="1833" spans="1:14" x14ac:dyDescent="0.3">
      <c r="A1833" s="58" t="str">
        <f>IF([1]weekly_demand!A1834="","",[1]weekly_demand!A1834)</f>
        <v/>
      </c>
      <c r="B1833" s="59" t="str">
        <f>IF($A1833="","",[1]weekly_demand!F1834)</f>
        <v/>
      </c>
      <c r="C1833" s="60" t="str">
        <f>IF($A1833="","",[1]weekly_demand!H1834)</f>
        <v/>
      </c>
      <c r="D1833" s="61" t="str">
        <f>IF($A1833="","",IF(SUMIFS([1]Fixture_Capacity_Input!$C:$C,[1]Fixture_Capacity_Input!$A:$A,$B1833,[1]Fixture_Capacity_Input!$B:$B,$C1833)&gt;0,SUMIFS([1]Fixture_Capacity_Input!$C:$C,[1]Fixture_Capacity_Input!$A:$A,$B1833,[1]Fixture_Capacity_Input!$B:$B,$C1833),[1]weekly_demand!G1834))</f>
        <v/>
      </c>
      <c r="E1833" s="62" t="str">
        <f>IF($A1833="","",[1]weekly_demand!I1834)</f>
        <v/>
      </c>
      <c r="F1833" s="61" t="str">
        <f>IF($A1833="","",IF($A1833&lt;&gt;$A1832,IFERROR(INDEX([1]FG_Begin_Inventory!$B:$B,MATCH($A1833,[1]FG_Begin_Inventory!$A:$A,0)),0),J1832))</f>
        <v/>
      </c>
      <c r="G1833" s="61" t="str">
        <f t="shared" si="199"/>
        <v/>
      </c>
      <c r="H1833" s="61" t="str">
        <f t="shared" si="200"/>
        <v/>
      </c>
      <c r="I1833" s="62" t="str">
        <f t="shared" si="201"/>
        <v/>
      </c>
      <c r="J1833" s="61" t="str">
        <f t="shared" si="202"/>
        <v/>
      </c>
      <c r="K1833" s="61" t="str">
        <f t="shared" si="203"/>
        <v/>
      </c>
      <c r="L1833" s="61" t="str">
        <f t="shared" si="204"/>
        <v/>
      </c>
      <c r="M1833" s="63" t="str">
        <f t="shared" si="205"/>
        <v/>
      </c>
      <c r="N1833" s="64"/>
    </row>
    <row r="1834" spans="1:14" x14ac:dyDescent="0.3">
      <c r="A1834" s="58" t="str">
        <f>IF([1]weekly_demand!A1835="","",[1]weekly_demand!A1835)</f>
        <v/>
      </c>
      <c r="B1834" s="59" t="str">
        <f>IF($A1834="","",[1]weekly_demand!F1835)</f>
        <v/>
      </c>
      <c r="C1834" s="60" t="str">
        <f>IF($A1834="","",[1]weekly_demand!H1835)</f>
        <v/>
      </c>
      <c r="D1834" s="61" t="str">
        <f>IF($A1834="","",IF(SUMIFS([1]Fixture_Capacity_Input!$C:$C,[1]Fixture_Capacity_Input!$A:$A,$B1834,[1]Fixture_Capacity_Input!$B:$B,$C1834)&gt;0,SUMIFS([1]Fixture_Capacity_Input!$C:$C,[1]Fixture_Capacity_Input!$A:$A,$B1834,[1]Fixture_Capacity_Input!$B:$B,$C1834),[1]weekly_demand!G1835))</f>
        <v/>
      </c>
      <c r="E1834" s="62" t="str">
        <f>IF($A1834="","",[1]weekly_demand!I1835)</f>
        <v/>
      </c>
      <c r="F1834" s="61" t="str">
        <f>IF($A1834="","",IF($A1834&lt;&gt;$A1833,IFERROR(INDEX([1]FG_Begin_Inventory!$B:$B,MATCH($A1834,[1]FG_Begin_Inventory!$A:$A,0)),0),J1833))</f>
        <v/>
      </c>
      <c r="G1834" s="61" t="str">
        <f t="shared" si="199"/>
        <v/>
      </c>
      <c r="H1834" s="61" t="str">
        <f t="shared" si="200"/>
        <v/>
      </c>
      <c r="I1834" s="62" t="str">
        <f t="shared" si="201"/>
        <v/>
      </c>
      <c r="J1834" s="61" t="str">
        <f t="shared" si="202"/>
        <v/>
      </c>
      <c r="K1834" s="61" t="str">
        <f t="shared" si="203"/>
        <v/>
      </c>
      <c r="L1834" s="61" t="str">
        <f t="shared" si="204"/>
        <v/>
      </c>
      <c r="M1834" s="63" t="str">
        <f t="shared" si="205"/>
        <v/>
      </c>
      <c r="N1834" s="64"/>
    </row>
    <row r="1835" spans="1:14" x14ac:dyDescent="0.3">
      <c r="A1835" s="58" t="str">
        <f>IF([1]weekly_demand!A1836="","",[1]weekly_demand!A1836)</f>
        <v/>
      </c>
      <c r="B1835" s="59" t="str">
        <f>IF($A1835="","",[1]weekly_demand!F1836)</f>
        <v/>
      </c>
      <c r="C1835" s="60" t="str">
        <f>IF($A1835="","",[1]weekly_demand!H1836)</f>
        <v/>
      </c>
      <c r="D1835" s="61" t="str">
        <f>IF($A1835="","",IF(SUMIFS([1]Fixture_Capacity_Input!$C:$C,[1]Fixture_Capacity_Input!$A:$A,$B1835,[1]Fixture_Capacity_Input!$B:$B,$C1835)&gt;0,SUMIFS([1]Fixture_Capacity_Input!$C:$C,[1]Fixture_Capacity_Input!$A:$A,$B1835,[1]Fixture_Capacity_Input!$B:$B,$C1835),[1]weekly_demand!G1836))</f>
        <v/>
      </c>
      <c r="E1835" s="62" t="str">
        <f>IF($A1835="","",[1]weekly_demand!I1836)</f>
        <v/>
      </c>
      <c r="F1835" s="61" t="str">
        <f>IF($A1835="","",IF($A1835&lt;&gt;$A1834,IFERROR(INDEX([1]FG_Begin_Inventory!$B:$B,MATCH($A1835,[1]FG_Begin_Inventory!$A:$A,0)),0),J1834))</f>
        <v/>
      </c>
      <c r="G1835" s="61" t="str">
        <f t="shared" si="199"/>
        <v/>
      </c>
      <c r="H1835" s="61" t="str">
        <f t="shared" si="200"/>
        <v/>
      </c>
      <c r="I1835" s="62" t="str">
        <f t="shared" si="201"/>
        <v/>
      </c>
      <c r="J1835" s="61" t="str">
        <f t="shared" si="202"/>
        <v/>
      </c>
      <c r="K1835" s="61" t="str">
        <f t="shared" si="203"/>
        <v/>
      </c>
      <c r="L1835" s="61" t="str">
        <f t="shared" si="204"/>
        <v/>
      </c>
      <c r="M1835" s="63" t="str">
        <f t="shared" si="205"/>
        <v/>
      </c>
      <c r="N1835" s="64"/>
    </row>
    <row r="1836" spans="1:14" x14ac:dyDescent="0.3">
      <c r="A1836" s="58" t="str">
        <f>IF([1]weekly_demand!A1837="","",[1]weekly_demand!A1837)</f>
        <v/>
      </c>
      <c r="B1836" s="59" t="str">
        <f>IF($A1836="","",[1]weekly_demand!F1837)</f>
        <v/>
      </c>
      <c r="C1836" s="60" t="str">
        <f>IF($A1836="","",[1]weekly_demand!H1837)</f>
        <v/>
      </c>
      <c r="D1836" s="61" t="str">
        <f>IF($A1836="","",IF(SUMIFS([1]Fixture_Capacity_Input!$C:$C,[1]Fixture_Capacity_Input!$A:$A,$B1836,[1]Fixture_Capacity_Input!$B:$B,$C1836)&gt;0,SUMIFS([1]Fixture_Capacity_Input!$C:$C,[1]Fixture_Capacity_Input!$A:$A,$B1836,[1]Fixture_Capacity_Input!$B:$B,$C1836),[1]weekly_demand!G1837))</f>
        <v/>
      </c>
      <c r="E1836" s="62" t="str">
        <f>IF($A1836="","",[1]weekly_demand!I1837)</f>
        <v/>
      </c>
      <c r="F1836" s="61" t="str">
        <f>IF($A1836="","",IF($A1836&lt;&gt;$A1835,IFERROR(INDEX([1]FG_Begin_Inventory!$B:$B,MATCH($A1836,[1]FG_Begin_Inventory!$A:$A,0)),0),J1835))</f>
        <v/>
      </c>
      <c r="G1836" s="61" t="str">
        <f t="shared" si="199"/>
        <v/>
      </c>
      <c r="H1836" s="61" t="str">
        <f t="shared" si="200"/>
        <v/>
      </c>
      <c r="I1836" s="62" t="str">
        <f t="shared" si="201"/>
        <v/>
      </c>
      <c r="J1836" s="61" t="str">
        <f t="shared" si="202"/>
        <v/>
      </c>
      <c r="K1836" s="61" t="str">
        <f t="shared" si="203"/>
        <v/>
      </c>
      <c r="L1836" s="61" t="str">
        <f t="shared" si="204"/>
        <v/>
      </c>
      <c r="M1836" s="63" t="str">
        <f t="shared" si="205"/>
        <v/>
      </c>
      <c r="N1836" s="64"/>
    </row>
    <row r="1837" spans="1:14" x14ac:dyDescent="0.3">
      <c r="A1837" s="58" t="str">
        <f>IF([1]weekly_demand!A1838="","",[1]weekly_demand!A1838)</f>
        <v/>
      </c>
      <c r="B1837" s="59" t="str">
        <f>IF($A1837="","",[1]weekly_demand!F1838)</f>
        <v/>
      </c>
      <c r="C1837" s="60" t="str">
        <f>IF($A1837="","",[1]weekly_demand!H1838)</f>
        <v/>
      </c>
      <c r="D1837" s="61" t="str">
        <f>IF($A1837="","",IF(SUMIFS([1]Fixture_Capacity_Input!$C:$C,[1]Fixture_Capacity_Input!$A:$A,$B1837,[1]Fixture_Capacity_Input!$B:$B,$C1837)&gt;0,SUMIFS([1]Fixture_Capacity_Input!$C:$C,[1]Fixture_Capacity_Input!$A:$A,$B1837,[1]Fixture_Capacity_Input!$B:$B,$C1837),[1]weekly_demand!G1838))</f>
        <v/>
      </c>
      <c r="E1837" s="62" t="str">
        <f>IF($A1837="","",[1]weekly_demand!I1838)</f>
        <v/>
      </c>
      <c r="F1837" s="61" t="str">
        <f>IF($A1837="","",IF($A1837&lt;&gt;$A1836,IFERROR(INDEX([1]FG_Begin_Inventory!$B:$B,MATCH($A1837,[1]FG_Begin_Inventory!$A:$A,0)),0),J1836))</f>
        <v/>
      </c>
      <c r="G1837" s="61" t="str">
        <f t="shared" si="199"/>
        <v/>
      </c>
      <c r="H1837" s="61" t="str">
        <f t="shared" si="200"/>
        <v/>
      </c>
      <c r="I1837" s="62" t="str">
        <f t="shared" si="201"/>
        <v/>
      </c>
      <c r="J1837" s="61" t="str">
        <f t="shared" si="202"/>
        <v/>
      </c>
      <c r="K1837" s="61" t="str">
        <f t="shared" si="203"/>
        <v/>
      </c>
      <c r="L1837" s="61" t="str">
        <f t="shared" si="204"/>
        <v/>
      </c>
      <c r="M1837" s="63" t="str">
        <f t="shared" si="205"/>
        <v/>
      </c>
      <c r="N1837" s="64"/>
    </row>
    <row r="1838" spans="1:14" x14ac:dyDescent="0.3">
      <c r="A1838" s="58" t="str">
        <f>IF([1]weekly_demand!A1839="","",[1]weekly_demand!A1839)</f>
        <v/>
      </c>
      <c r="B1838" s="59" t="str">
        <f>IF($A1838="","",[1]weekly_demand!F1839)</f>
        <v/>
      </c>
      <c r="C1838" s="60" t="str">
        <f>IF($A1838="","",[1]weekly_demand!H1839)</f>
        <v/>
      </c>
      <c r="D1838" s="61" t="str">
        <f>IF($A1838="","",IF(SUMIFS([1]Fixture_Capacity_Input!$C:$C,[1]Fixture_Capacity_Input!$A:$A,$B1838,[1]Fixture_Capacity_Input!$B:$B,$C1838)&gt;0,SUMIFS([1]Fixture_Capacity_Input!$C:$C,[1]Fixture_Capacity_Input!$A:$A,$B1838,[1]Fixture_Capacity_Input!$B:$B,$C1838),[1]weekly_demand!G1839))</f>
        <v/>
      </c>
      <c r="E1838" s="62" t="str">
        <f>IF($A1838="","",[1]weekly_demand!I1839)</f>
        <v/>
      </c>
      <c r="F1838" s="61" t="str">
        <f>IF($A1838="","",IF($A1838&lt;&gt;$A1837,IFERROR(INDEX([1]FG_Begin_Inventory!$B:$B,MATCH($A1838,[1]FG_Begin_Inventory!$A:$A,0)),0),J1837))</f>
        <v/>
      </c>
      <c r="G1838" s="61" t="str">
        <f t="shared" si="199"/>
        <v/>
      </c>
      <c r="H1838" s="61" t="str">
        <f t="shared" si="200"/>
        <v/>
      </c>
      <c r="I1838" s="62" t="str">
        <f t="shared" si="201"/>
        <v/>
      </c>
      <c r="J1838" s="61" t="str">
        <f t="shared" si="202"/>
        <v/>
      </c>
      <c r="K1838" s="61" t="str">
        <f t="shared" si="203"/>
        <v/>
      </c>
      <c r="L1838" s="61" t="str">
        <f t="shared" si="204"/>
        <v/>
      </c>
      <c r="M1838" s="63" t="str">
        <f t="shared" si="205"/>
        <v/>
      </c>
      <c r="N1838" s="64"/>
    </row>
    <row r="1839" spans="1:14" x14ac:dyDescent="0.3">
      <c r="A1839" s="58" t="str">
        <f>IF([1]weekly_demand!A1840="","",[1]weekly_demand!A1840)</f>
        <v/>
      </c>
      <c r="B1839" s="59" t="str">
        <f>IF($A1839="","",[1]weekly_demand!F1840)</f>
        <v/>
      </c>
      <c r="C1839" s="60" t="str">
        <f>IF($A1839="","",[1]weekly_demand!H1840)</f>
        <v/>
      </c>
      <c r="D1839" s="61" t="str">
        <f>IF($A1839="","",IF(SUMIFS([1]Fixture_Capacity_Input!$C:$C,[1]Fixture_Capacity_Input!$A:$A,$B1839,[1]Fixture_Capacity_Input!$B:$B,$C1839)&gt;0,SUMIFS([1]Fixture_Capacity_Input!$C:$C,[1]Fixture_Capacity_Input!$A:$A,$B1839,[1]Fixture_Capacity_Input!$B:$B,$C1839),[1]weekly_demand!G1840))</f>
        <v/>
      </c>
      <c r="E1839" s="62" t="str">
        <f>IF($A1839="","",[1]weekly_demand!I1840)</f>
        <v/>
      </c>
      <c r="F1839" s="61" t="str">
        <f>IF($A1839="","",IF($A1839&lt;&gt;$A1838,IFERROR(INDEX([1]FG_Begin_Inventory!$B:$B,MATCH($A1839,[1]FG_Begin_Inventory!$A:$A,0)),0),J1838))</f>
        <v/>
      </c>
      <c r="G1839" s="61" t="str">
        <f t="shared" si="199"/>
        <v/>
      </c>
      <c r="H1839" s="61" t="str">
        <f t="shared" si="200"/>
        <v/>
      </c>
      <c r="I1839" s="62" t="str">
        <f t="shared" si="201"/>
        <v/>
      </c>
      <c r="J1839" s="61" t="str">
        <f t="shared" si="202"/>
        <v/>
      </c>
      <c r="K1839" s="61" t="str">
        <f t="shared" si="203"/>
        <v/>
      </c>
      <c r="L1839" s="61" t="str">
        <f t="shared" si="204"/>
        <v/>
      </c>
      <c r="M1839" s="63" t="str">
        <f t="shared" si="205"/>
        <v/>
      </c>
      <c r="N1839" s="64"/>
    </row>
    <row r="1840" spans="1:14" x14ac:dyDescent="0.3">
      <c r="A1840" s="58" t="str">
        <f>IF([1]weekly_demand!A1841="","",[1]weekly_demand!A1841)</f>
        <v/>
      </c>
      <c r="B1840" s="59" t="str">
        <f>IF($A1840="","",[1]weekly_demand!F1841)</f>
        <v/>
      </c>
      <c r="C1840" s="60" t="str">
        <f>IF($A1840="","",[1]weekly_demand!H1841)</f>
        <v/>
      </c>
      <c r="D1840" s="61" t="str">
        <f>IF($A1840="","",IF(SUMIFS([1]Fixture_Capacity_Input!$C:$C,[1]Fixture_Capacity_Input!$A:$A,$B1840,[1]Fixture_Capacity_Input!$B:$B,$C1840)&gt;0,SUMIFS([1]Fixture_Capacity_Input!$C:$C,[1]Fixture_Capacity_Input!$A:$A,$B1840,[1]Fixture_Capacity_Input!$B:$B,$C1840),[1]weekly_demand!G1841))</f>
        <v/>
      </c>
      <c r="E1840" s="62" t="str">
        <f>IF($A1840="","",[1]weekly_demand!I1841)</f>
        <v/>
      </c>
      <c r="F1840" s="61" t="str">
        <f>IF($A1840="","",IF($A1840&lt;&gt;$A1839,IFERROR(INDEX([1]FG_Begin_Inventory!$B:$B,MATCH($A1840,[1]FG_Begin_Inventory!$A:$A,0)),0),J1839))</f>
        <v/>
      </c>
      <c r="G1840" s="61" t="str">
        <f t="shared" si="199"/>
        <v/>
      </c>
      <c r="H1840" s="61" t="str">
        <f t="shared" si="200"/>
        <v/>
      </c>
      <c r="I1840" s="62" t="str">
        <f t="shared" si="201"/>
        <v/>
      </c>
      <c r="J1840" s="61" t="str">
        <f t="shared" si="202"/>
        <v/>
      </c>
      <c r="K1840" s="61" t="str">
        <f t="shared" si="203"/>
        <v/>
      </c>
      <c r="L1840" s="61" t="str">
        <f t="shared" si="204"/>
        <v/>
      </c>
      <c r="M1840" s="63" t="str">
        <f t="shared" si="205"/>
        <v/>
      </c>
      <c r="N1840" s="64"/>
    </row>
    <row r="1841" spans="1:14" x14ac:dyDescent="0.3">
      <c r="A1841" s="58" t="str">
        <f>IF([1]weekly_demand!A1842="","",[1]weekly_demand!A1842)</f>
        <v/>
      </c>
      <c r="B1841" s="59" t="str">
        <f>IF($A1841="","",[1]weekly_demand!F1842)</f>
        <v/>
      </c>
      <c r="C1841" s="60" t="str">
        <f>IF($A1841="","",[1]weekly_demand!H1842)</f>
        <v/>
      </c>
      <c r="D1841" s="61" t="str">
        <f>IF($A1841="","",IF(SUMIFS([1]Fixture_Capacity_Input!$C:$C,[1]Fixture_Capacity_Input!$A:$A,$B1841,[1]Fixture_Capacity_Input!$B:$B,$C1841)&gt;0,SUMIFS([1]Fixture_Capacity_Input!$C:$C,[1]Fixture_Capacity_Input!$A:$A,$B1841,[1]Fixture_Capacity_Input!$B:$B,$C1841),[1]weekly_demand!G1842))</f>
        <v/>
      </c>
      <c r="E1841" s="62" t="str">
        <f>IF($A1841="","",[1]weekly_demand!I1842)</f>
        <v/>
      </c>
      <c r="F1841" s="61" t="str">
        <f>IF($A1841="","",IF($A1841&lt;&gt;$A1840,IFERROR(INDEX([1]FG_Begin_Inventory!$B:$B,MATCH($A1841,[1]FG_Begin_Inventory!$A:$A,0)),0),J1840))</f>
        <v/>
      </c>
      <c r="G1841" s="61" t="str">
        <f t="shared" si="199"/>
        <v/>
      </c>
      <c r="H1841" s="61" t="str">
        <f t="shared" si="200"/>
        <v/>
      </c>
      <c r="I1841" s="62" t="str">
        <f t="shared" si="201"/>
        <v/>
      </c>
      <c r="J1841" s="61" t="str">
        <f t="shared" si="202"/>
        <v/>
      </c>
      <c r="K1841" s="61" t="str">
        <f t="shared" si="203"/>
        <v/>
      </c>
      <c r="L1841" s="61" t="str">
        <f t="shared" si="204"/>
        <v/>
      </c>
      <c r="M1841" s="63" t="str">
        <f t="shared" si="205"/>
        <v/>
      </c>
      <c r="N1841" s="64"/>
    </row>
    <row r="1842" spans="1:14" x14ac:dyDescent="0.3">
      <c r="A1842" s="58" t="str">
        <f>IF([1]weekly_demand!A1843="","",[1]weekly_demand!A1843)</f>
        <v/>
      </c>
      <c r="B1842" s="59" t="str">
        <f>IF($A1842="","",[1]weekly_demand!F1843)</f>
        <v/>
      </c>
      <c r="C1842" s="60" t="str">
        <f>IF($A1842="","",[1]weekly_demand!H1843)</f>
        <v/>
      </c>
      <c r="D1842" s="61" t="str">
        <f>IF($A1842="","",IF(SUMIFS([1]Fixture_Capacity_Input!$C:$C,[1]Fixture_Capacity_Input!$A:$A,$B1842,[1]Fixture_Capacity_Input!$B:$B,$C1842)&gt;0,SUMIFS([1]Fixture_Capacity_Input!$C:$C,[1]Fixture_Capacity_Input!$A:$A,$B1842,[1]Fixture_Capacity_Input!$B:$B,$C1842),[1]weekly_demand!G1843))</f>
        <v/>
      </c>
      <c r="E1842" s="62" t="str">
        <f>IF($A1842="","",[1]weekly_demand!I1843)</f>
        <v/>
      </c>
      <c r="F1842" s="61" t="str">
        <f>IF($A1842="","",IF($A1842&lt;&gt;$A1841,IFERROR(INDEX([1]FG_Begin_Inventory!$B:$B,MATCH($A1842,[1]FG_Begin_Inventory!$A:$A,0)),0),J1841))</f>
        <v/>
      </c>
      <c r="G1842" s="61" t="str">
        <f t="shared" si="199"/>
        <v/>
      </c>
      <c r="H1842" s="61" t="str">
        <f t="shared" si="200"/>
        <v/>
      </c>
      <c r="I1842" s="62" t="str">
        <f t="shared" si="201"/>
        <v/>
      </c>
      <c r="J1842" s="61" t="str">
        <f t="shared" si="202"/>
        <v/>
      </c>
      <c r="K1842" s="61" t="str">
        <f t="shared" si="203"/>
        <v/>
      </c>
      <c r="L1842" s="61" t="str">
        <f t="shared" si="204"/>
        <v/>
      </c>
      <c r="M1842" s="63" t="str">
        <f t="shared" si="205"/>
        <v/>
      </c>
      <c r="N1842" s="64"/>
    </row>
    <row r="1843" spans="1:14" x14ac:dyDescent="0.3">
      <c r="A1843" s="58" t="str">
        <f>IF([1]weekly_demand!A1844="","",[1]weekly_demand!A1844)</f>
        <v/>
      </c>
      <c r="B1843" s="59" t="str">
        <f>IF($A1843="","",[1]weekly_demand!F1844)</f>
        <v/>
      </c>
      <c r="C1843" s="60" t="str">
        <f>IF($A1843="","",[1]weekly_demand!H1844)</f>
        <v/>
      </c>
      <c r="D1843" s="61" t="str">
        <f>IF($A1843="","",IF(SUMIFS([1]Fixture_Capacity_Input!$C:$C,[1]Fixture_Capacity_Input!$A:$A,$B1843,[1]Fixture_Capacity_Input!$B:$B,$C1843)&gt;0,SUMIFS([1]Fixture_Capacity_Input!$C:$C,[1]Fixture_Capacity_Input!$A:$A,$B1843,[1]Fixture_Capacity_Input!$B:$B,$C1843),[1]weekly_demand!G1844))</f>
        <v/>
      </c>
      <c r="E1843" s="62" t="str">
        <f>IF($A1843="","",[1]weekly_demand!I1844)</f>
        <v/>
      </c>
      <c r="F1843" s="61" t="str">
        <f>IF($A1843="","",IF($A1843&lt;&gt;$A1842,IFERROR(INDEX([1]FG_Begin_Inventory!$B:$B,MATCH($A1843,[1]FG_Begin_Inventory!$A:$A,0)),0),J1842))</f>
        <v/>
      </c>
      <c r="G1843" s="61" t="str">
        <f t="shared" ref="G1843:G1906" si="206">IF($A1843="","",IF($A1843&lt;&gt;$A1844,0,MAX(0,G1844+E1844-D1844)))</f>
        <v/>
      </c>
      <c r="H1843" s="61" t="str">
        <f t="shared" si="200"/>
        <v/>
      </c>
      <c r="I1843" s="62" t="str">
        <f t="shared" si="201"/>
        <v/>
      </c>
      <c r="J1843" s="61" t="str">
        <f t="shared" si="202"/>
        <v/>
      </c>
      <c r="K1843" s="61" t="str">
        <f t="shared" si="203"/>
        <v/>
      </c>
      <c r="L1843" s="61" t="str">
        <f t="shared" si="204"/>
        <v/>
      </c>
      <c r="M1843" s="63" t="str">
        <f t="shared" si="205"/>
        <v/>
      </c>
      <c r="N1843" s="64"/>
    </row>
    <row r="1844" spans="1:14" x14ac:dyDescent="0.3">
      <c r="A1844" s="58" t="str">
        <f>IF([1]weekly_demand!A1845="","",[1]weekly_demand!A1845)</f>
        <v/>
      </c>
      <c r="B1844" s="59" t="str">
        <f>IF($A1844="","",[1]weekly_demand!F1845)</f>
        <v/>
      </c>
      <c r="C1844" s="60" t="str">
        <f>IF($A1844="","",[1]weekly_demand!H1845)</f>
        <v/>
      </c>
      <c r="D1844" s="61" t="str">
        <f>IF($A1844="","",IF(SUMIFS([1]Fixture_Capacity_Input!$C:$C,[1]Fixture_Capacity_Input!$A:$A,$B1844,[1]Fixture_Capacity_Input!$B:$B,$C1844)&gt;0,SUMIFS([1]Fixture_Capacity_Input!$C:$C,[1]Fixture_Capacity_Input!$A:$A,$B1844,[1]Fixture_Capacity_Input!$B:$B,$C1844),[1]weekly_demand!G1845))</f>
        <v/>
      </c>
      <c r="E1844" s="62" t="str">
        <f>IF($A1844="","",[1]weekly_demand!I1845)</f>
        <v/>
      </c>
      <c r="F1844" s="61" t="str">
        <f>IF($A1844="","",IF($A1844&lt;&gt;$A1843,IFERROR(INDEX([1]FG_Begin_Inventory!$B:$B,MATCH($A1844,[1]FG_Begin_Inventory!$A:$A,0)),0),J1843))</f>
        <v/>
      </c>
      <c r="G1844" s="61" t="str">
        <f t="shared" si="206"/>
        <v/>
      </c>
      <c r="H1844" s="61" t="str">
        <f t="shared" si="200"/>
        <v/>
      </c>
      <c r="I1844" s="62" t="str">
        <f t="shared" si="201"/>
        <v/>
      </c>
      <c r="J1844" s="61" t="str">
        <f t="shared" si="202"/>
        <v/>
      </c>
      <c r="K1844" s="61" t="str">
        <f t="shared" si="203"/>
        <v/>
      </c>
      <c r="L1844" s="61" t="str">
        <f t="shared" si="204"/>
        <v/>
      </c>
      <c r="M1844" s="63" t="str">
        <f t="shared" si="205"/>
        <v/>
      </c>
      <c r="N1844" s="64"/>
    </row>
    <row r="1845" spans="1:14" x14ac:dyDescent="0.3">
      <c r="A1845" s="58" t="str">
        <f>IF([1]weekly_demand!A1846="","",[1]weekly_demand!A1846)</f>
        <v/>
      </c>
      <c r="B1845" s="59" t="str">
        <f>IF($A1845="","",[1]weekly_demand!F1846)</f>
        <v/>
      </c>
      <c r="C1845" s="60" t="str">
        <f>IF($A1845="","",[1]weekly_demand!H1846)</f>
        <v/>
      </c>
      <c r="D1845" s="61" t="str">
        <f>IF($A1845="","",IF(SUMIFS([1]Fixture_Capacity_Input!$C:$C,[1]Fixture_Capacity_Input!$A:$A,$B1845,[1]Fixture_Capacity_Input!$B:$B,$C1845)&gt;0,SUMIFS([1]Fixture_Capacity_Input!$C:$C,[1]Fixture_Capacity_Input!$A:$A,$B1845,[1]Fixture_Capacity_Input!$B:$B,$C1845),[1]weekly_demand!G1846))</f>
        <v/>
      </c>
      <c r="E1845" s="62" t="str">
        <f>IF($A1845="","",[1]weekly_demand!I1846)</f>
        <v/>
      </c>
      <c r="F1845" s="61" t="str">
        <f>IF($A1845="","",IF($A1845&lt;&gt;$A1844,IFERROR(INDEX([1]FG_Begin_Inventory!$B:$B,MATCH($A1845,[1]FG_Begin_Inventory!$A:$A,0)),0),J1844))</f>
        <v/>
      </c>
      <c r="G1845" s="61" t="str">
        <f t="shared" si="206"/>
        <v/>
      </c>
      <c r="H1845" s="61" t="str">
        <f t="shared" si="200"/>
        <v/>
      </c>
      <c r="I1845" s="62" t="str">
        <f t="shared" si="201"/>
        <v/>
      </c>
      <c r="J1845" s="61" t="str">
        <f t="shared" si="202"/>
        <v/>
      </c>
      <c r="K1845" s="61" t="str">
        <f t="shared" si="203"/>
        <v/>
      </c>
      <c r="L1845" s="61" t="str">
        <f t="shared" si="204"/>
        <v/>
      </c>
      <c r="M1845" s="63" t="str">
        <f t="shared" si="205"/>
        <v/>
      </c>
      <c r="N1845" s="64"/>
    </row>
    <row r="1846" spans="1:14" x14ac:dyDescent="0.3">
      <c r="A1846" s="58" t="str">
        <f>IF([1]weekly_demand!A1847="","",[1]weekly_demand!A1847)</f>
        <v/>
      </c>
      <c r="B1846" s="59" t="str">
        <f>IF($A1846="","",[1]weekly_demand!F1847)</f>
        <v/>
      </c>
      <c r="C1846" s="60" t="str">
        <f>IF($A1846="","",[1]weekly_demand!H1847)</f>
        <v/>
      </c>
      <c r="D1846" s="61" t="str">
        <f>IF($A1846="","",IF(SUMIFS([1]Fixture_Capacity_Input!$C:$C,[1]Fixture_Capacity_Input!$A:$A,$B1846,[1]Fixture_Capacity_Input!$B:$B,$C1846)&gt;0,SUMIFS([1]Fixture_Capacity_Input!$C:$C,[1]Fixture_Capacity_Input!$A:$A,$B1846,[1]Fixture_Capacity_Input!$B:$B,$C1846),[1]weekly_demand!G1847))</f>
        <v/>
      </c>
      <c r="E1846" s="62" t="str">
        <f>IF($A1846="","",[1]weekly_demand!I1847)</f>
        <v/>
      </c>
      <c r="F1846" s="61" t="str">
        <f>IF($A1846="","",IF($A1846&lt;&gt;$A1845,IFERROR(INDEX([1]FG_Begin_Inventory!$B:$B,MATCH($A1846,[1]FG_Begin_Inventory!$A:$A,0)),0),J1845))</f>
        <v/>
      </c>
      <c r="G1846" s="61" t="str">
        <f t="shared" si="206"/>
        <v/>
      </c>
      <c r="H1846" s="61" t="str">
        <f t="shared" si="200"/>
        <v/>
      </c>
      <c r="I1846" s="62" t="str">
        <f t="shared" si="201"/>
        <v/>
      </c>
      <c r="J1846" s="61" t="str">
        <f t="shared" si="202"/>
        <v/>
      </c>
      <c r="K1846" s="61" t="str">
        <f t="shared" si="203"/>
        <v/>
      </c>
      <c r="L1846" s="61" t="str">
        <f t="shared" si="204"/>
        <v/>
      </c>
      <c r="M1846" s="63" t="str">
        <f t="shared" si="205"/>
        <v/>
      </c>
      <c r="N1846" s="64"/>
    </row>
    <row r="1847" spans="1:14" x14ac:dyDescent="0.3">
      <c r="A1847" s="58" t="str">
        <f>IF([1]weekly_demand!A1848="","",[1]weekly_demand!A1848)</f>
        <v/>
      </c>
      <c r="B1847" s="59" t="str">
        <f>IF($A1847="","",[1]weekly_demand!F1848)</f>
        <v/>
      </c>
      <c r="C1847" s="60" t="str">
        <f>IF($A1847="","",[1]weekly_demand!H1848)</f>
        <v/>
      </c>
      <c r="D1847" s="61" t="str">
        <f>IF($A1847="","",IF(SUMIFS([1]Fixture_Capacity_Input!$C:$C,[1]Fixture_Capacity_Input!$A:$A,$B1847,[1]Fixture_Capacity_Input!$B:$B,$C1847)&gt;0,SUMIFS([1]Fixture_Capacity_Input!$C:$C,[1]Fixture_Capacity_Input!$A:$A,$B1847,[1]Fixture_Capacity_Input!$B:$B,$C1847),[1]weekly_demand!G1848))</f>
        <v/>
      </c>
      <c r="E1847" s="62" t="str">
        <f>IF($A1847="","",[1]weekly_demand!I1848)</f>
        <v/>
      </c>
      <c r="F1847" s="61" t="str">
        <f>IF($A1847="","",IF($A1847&lt;&gt;$A1846,IFERROR(INDEX([1]FG_Begin_Inventory!$B:$B,MATCH($A1847,[1]FG_Begin_Inventory!$A:$A,0)),0),J1846))</f>
        <v/>
      </c>
      <c r="G1847" s="61" t="str">
        <f t="shared" si="206"/>
        <v/>
      </c>
      <c r="H1847" s="61" t="str">
        <f t="shared" si="200"/>
        <v/>
      </c>
      <c r="I1847" s="62" t="str">
        <f t="shared" si="201"/>
        <v/>
      </c>
      <c r="J1847" s="61" t="str">
        <f t="shared" si="202"/>
        <v/>
      </c>
      <c r="K1847" s="61" t="str">
        <f t="shared" si="203"/>
        <v/>
      </c>
      <c r="L1847" s="61" t="str">
        <f t="shared" si="204"/>
        <v/>
      </c>
      <c r="M1847" s="63" t="str">
        <f t="shared" si="205"/>
        <v/>
      </c>
      <c r="N1847" s="64"/>
    </row>
    <row r="1848" spans="1:14" x14ac:dyDescent="0.3">
      <c r="A1848" s="58" t="str">
        <f>IF([1]weekly_demand!A1849="","",[1]weekly_demand!A1849)</f>
        <v/>
      </c>
      <c r="B1848" s="59" t="str">
        <f>IF($A1848="","",[1]weekly_demand!F1849)</f>
        <v/>
      </c>
      <c r="C1848" s="60" t="str">
        <f>IF($A1848="","",[1]weekly_demand!H1849)</f>
        <v/>
      </c>
      <c r="D1848" s="61" t="str">
        <f>IF($A1848="","",IF(SUMIFS([1]Fixture_Capacity_Input!$C:$C,[1]Fixture_Capacity_Input!$A:$A,$B1848,[1]Fixture_Capacity_Input!$B:$B,$C1848)&gt;0,SUMIFS([1]Fixture_Capacity_Input!$C:$C,[1]Fixture_Capacity_Input!$A:$A,$B1848,[1]Fixture_Capacity_Input!$B:$B,$C1848),[1]weekly_demand!G1849))</f>
        <v/>
      </c>
      <c r="E1848" s="62" t="str">
        <f>IF($A1848="","",[1]weekly_demand!I1849)</f>
        <v/>
      </c>
      <c r="F1848" s="61" t="str">
        <f>IF($A1848="","",IF($A1848&lt;&gt;$A1847,IFERROR(INDEX([1]FG_Begin_Inventory!$B:$B,MATCH($A1848,[1]FG_Begin_Inventory!$A:$A,0)),0),J1847))</f>
        <v/>
      </c>
      <c r="G1848" s="61" t="str">
        <f t="shared" si="206"/>
        <v/>
      </c>
      <c r="H1848" s="61" t="str">
        <f t="shared" si="200"/>
        <v/>
      </c>
      <c r="I1848" s="62" t="str">
        <f t="shared" si="201"/>
        <v/>
      </c>
      <c r="J1848" s="61" t="str">
        <f t="shared" si="202"/>
        <v/>
      </c>
      <c r="K1848" s="61" t="str">
        <f t="shared" si="203"/>
        <v/>
      </c>
      <c r="L1848" s="61" t="str">
        <f t="shared" si="204"/>
        <v/>
      </c>
      <c r="M1848" s="63" t="str">
        <f t="shared" si="205"/>
        <v/>
      </c>
      <c r="N1848" s="64"/>
    </row>
    <row r="1849" spans="1:14" x14ac:dyDescent="0.3">
      <c r="A1849" s="58" t="str">
        <f>IF([1]weekly_demand!A1850="","",[1]weekly_demand!A1850)</f>
        <v/>
      </c>
      <c r="B1849" s="59" t="str">
        <f>IF($A1849="","",[1]weekly_demand!F1850)</f>
        <v/>
      </c>
      <c r="C1849" s="60" t="str">
        <f>IF($A1849="","",[1]weekly_demand!H1850)</f>
        <v/>
      </c>
      <c r="D1849" s="61" t="str">
        <f>IF($A1849="","",IF(SUMIFS([1]Fixture_Capacity_Input!$C:$C,[1]Fixture_Capacity_Input!$A:$A,$B1849,[1]Fixture_Capacity_Input!$B:$B,$C1849)&gt;0,SUMIFS([1]Fixture_Capacity_Input!$C:$C,[1]Fixture_Capacity_Input!$A:$A,$B1849,[1]Fixture_Capacity_Input!$B:$B,$C1849),[1]weekly_demand!G1850))</f>
        <v/>
      </c>
      <c r="E1849" s="62" t="str">
        <f>IF($A1849="","",[1]weekly_demand!I1850)</f>
        <v/>
      </c>
      <c r="F1849" s="61" t="str">
        <f>IF($A1849="","",IF($A1849&lt;&gt;$A1848,IFERROR(INDEX([1]FG_Begin_Inventory!$B:$B,MATCH($A1849,[1]FG_Begin_Inventory!$A:$A,0)),0),J1848))</f>
        <v/>
      </c>
      <c r="G1849" s="61" t="str">
        <f t="shared" si="206"/>
        <v/>
      </c>
      <c r="H1849" s="61" t="str">
        <f t="shared" si="200"/>
        <v/>
      </c>
      <c r="I1849" s="62" t="str">
        <f t="shared" si="201"/>
        <v/>
      </c>
      <c r="J1849" s="61" t="str">
        <f t="shared" si="202"/>
        <v/>
      </c>
      <c r="K1849" s="61" t="str">
        <f t="shared" si="203"/>
        <v/>
      </c>
      <c r="L1849" s="61" t="str">
        <f t="shared" si="204"/>
        <v/>
      </c>
      <c r="M1849" s="63" t="str">
        <f t="shared" si="205"/>
        <v/>
      </c>
      <c r="N1849" s="64"/>
    </row>
    <row r="1850" spans="1:14" x14ac:dyDescent="0.3">
      <c r="A1850" s="58" t="str">
        <f>IF([1]weekly_demand!A1851="","",[1]weekly_demand!A1851)</f>
        <v/>
      </c>
      <c r="B1850" s="59" t="str">
        <f>IF($A1850="","",[1]weekly_demand!F1851)</f>
        <v/>
      </c>
      <c r="C1850" s="60" t="str">
        <f>IF($A1850="","",[1]weekly_demand!H1851)</f>
        <v/>
      </c>
      <c r="D1850" s="61" t="str">
        <f>IF($A1850="","",IF(SUMIFS([1]Fixture_Capacity_Input!$C:$C,[1]Fixture_Capacity_Input!$A:$A,$B1850,[1]Fixture_Capacity_Input!$B:$B,$C1850)&gt;0,SUMIFS([1]Fixture_Capacity_Input!$C:$C,[1]Fixture_Capacity_Input!$A:$A,$B1850,[1]Fixture_Capacity_Input!$B:$B,$C1850),[1]weekly_demand!G1851))</f>
        <v/>
      </c>
      <c r="E1850" s="62" t="str">
        <f>IF($A1850="","",[1]weekly_demand!I1851)</f>
        <v/>
      </c>
      <c r="F1850" s="61" t="str">
        <f>IF($A1850="","",IF($A1850&lt;&gt;$A1849,IFERROR(INDEX([1]FG_Begin_Inventory!$B:$B,MATCH($A1850,[1]FG_Begin_Inventory!$A:$A,0)),0),J1849))</f>
        <v/>
      </c>
      <c r="G1850" s="61" t="str">
        <f t="shared" si="206"/>
        <v/>
      </c>
      <c r="H1850" s="61" t="str">
        <f t="shared" si="200"/>
        <v/>
      </c>
      <c r="I1850" s="62" t="str">
        <f t="shared" si="201"/>
        <v/>
      </c>
      <c r="J1850" s="61" t="str">
        <f t="shared" si="202"/>
        <v/>
      </c>
      <c r="K1850" s="61" t="str">
        <f t="shared" si="203"/>
        <v/>
      </c>
      <c r="L1850" s="61" t="str">
        <f t="shared" si="204"/>
        <v/>
      </c>
      <c r="M1850" s="63" t="str">
        <f t="shared" si="205"/>
        <v/>
      </c>
      <c r="N1850" s="64"/>
    </row>
    <row r="1851" spans="1:14" x14ac:dyDescent="0.3">
      <c r="A1851" s="58" t="str">
        <f>IF([1]weekly_demand!A1852="","",[1]weekly_demand!A1852)</f>
        <v/>
      </c>
      <c r="B1851" s="59" t="str">
        <f>IF($A1851="","",[1]weekly_demand!F1852)</f>
        <v/>
      </c>
      <c r="C1851" s="60" t="str">
        <f>IF($A1851="","",[1]weekly_demand!H1852)</f>
        <v/>
      </c>
      <c r="D1851" s="61" t="str">
        <f>IF($A1851="","",IF(SUMIFS([1]Fixture_Capacity_Input!$C:$C,[1]Fixture_Capacity_Input!$A:$A,$B1851,[1]Fixture_Capacity_Input!$B:$B,$C1851)&gt;0,SUMIFS([1]Fixture_Capacity_Input!$C:$C,[1]Fixture_Capacity_Input!$A:$A,$B1851,[1]Fixture_Capacity_Input!$B:$B,$C1851),[1]weekly_demand!G1852))</f>
        <v/>
      </c>
      <c r="E1851" s="62" t="str">
        <f>IF($A1851="","",[1]weekly_demand!I1852)</f>
        <v/>
      </c>
      <c r="F1851" s="61" t="str">
        <f>IF($A1851="","",IF($A1851&lt;&gt;$A1850,IFERROR(INDEX([1]FG_Begin_Inventory!$B:$B,MATCH($A1851,[1]FG_Begin_Inventory!$A:$A,0)),0),J1850))</f>
        <v/>
      </c>
      <c r="G1851" s="61" t="str">
        <f t="shared" si="206"/>
        <v/>
      </c>
      <c r="H1851" s="61" t="str">
        <f t="shared" si="200"/>
        <v/>
      </c>
      <c r="I1851" s="62" t="str">
        <f t="shared" si="201"/>
        <v/>
      </c>
      <c r="J1851" s="61" t="str">
        <f t="shared" si="202"/>
        <v/>
      </c>
      <c r="K1851" s="61" t="str">
        <f t="shared" si="203"/>
        <v/>
      </c>
      <c r="L1851" s="61" t="str">
        <f t="shared" si="204"/>
        <v/>
      </c>
      <c r="M1851" s="63" t="str">
        <f t="shared" si="205"/>
        <v/>
      </c>
      <c r="N1851" s="64"/>
    </row>
    <row r="1852" spans="1:14" x14ac:dyDescent="0.3">
      <c r="A1852" s="58" t="str">
        <f>IF([1]weekly_demand!A1853="","",[1]weekly_demand!A1853)</f>
        <v/>
      </c>
      <c r="B1852" s="59" t="str">
        <f>IF($A1852="","",[1]weekly_demand!F1853)</f>
        <v/>
      </c>
      <c r="C1852" s="60" t="str">
        <f>IF($A1852="","",[1]weekly_demand!H1853)</f>
        <v/>
      </c>
      <c r="D1852" s="61" t="str">
        <f>IF($A1852="","",IF(SUMIFS([1]Fixture_Capacity_Input!$C:$C,[1]Fixture_Capacity_Input!$A:$A,$B1852,[1]Fixture_Capacity_Input!$B:$B,$C1852)&gt;0,SUMIFS([1]Fixture_Capacity_Input!$C:$C,[1]Fixture_Capacity_Input!$A:$A,$B1852,[1]Fixture_Capacity_Input!$B:$B,$C1852),[1]weekly_demand!G1853))</f>
        <v/>
      </c>
      <c r="E1852" s="62" t="str">
        <f>IF($A1852="","",[1]weekly_demand!I1853)</f>
        <v/>
      </c>
      <c r="F1852" s="61" t="str">
        <f>IF($A1852="","",IF($A1852&lt;&gt;$A1851,IFERROR(INDEX([1]FG_Begin_Inventory!$B:$B,MATCH($A1852,[1]FG_Begin_Inventory!$A:$A,0)),0),J1851))</f>
        <v/>
      </c>
      <c r="G1852" s="61" t="str">
        <f t="shared" si="206"/>
        <v/>
      </c>
      <c r="H1852" s="61" t="str">
        <f t="shared" si="200"/>
        <v/>
      </c>
      <c r="I1852" s="62" t="str">
        <f t="shared" si="201"/>
        <v/>
      </c>
      <c r="J1852" s="61" t="str">
        <f t="shared" si="202"/>
        <v/>
      </c>
      <c r="K1852" s="61" t="str">
        <f t="shared" si="203"/>
        <v/>
      </c>
      <c r="L1852" s="61" t="str">
        <f t="shared" si="204"/>
        <v/>
      </c>
      <c r="M1852" s="63" t="str">
        <f t="shared" si="205"/>
        <v/>
      </c>
      <c r="N1852" s="64"/>
    </row>
    <row r="1853" spans="1:14" x14ac:dyDescent="0.3">
      <c r="A1853" s="58" t="str">
        <f>IF([1]weekly_demand!A1854="","",[1]weekly_demand!A1854)</f>
        <v/>
      </c>
      <c r="B1853" s="59" t="str">
        <f>IF($A1853="","",[1]weekly_demand!F1854)</f>
        <v/>
      </c>
      <c r="C1853" s="60" t="str">
        <f>IF($A1853="","",[1]weekly_demand!H1854)</f>
        <v/>
      </c>
      <c r="D1853" s="61" t="str">
        <f>IF($A1853="","",IF(SUMIFS([1]Fixture_Capacity_Input!$C:$C,[1]Fixture_Capacity_Input!$A:$A,$B1853,[1]Fixture_Capacity_Input!$B:$B,$C1853)&gt;0,SUMIFS([1]Fixture_Capacity_Input!$C:$C,[1]Fixture_Capacity_Input!$A:$A,$B1853,[1]Fixture_Capacity_Input!$B:$B,$C1853),[1]weekly_demand!G1854))</f>
        <v/>
      </c>
      <c r="E1853" s="62" t="str">
        <f>IF($A1853="","",[1]weekly_demand!I1854)</f>
        <v/>
      </c>
      <c r="F1853" s="61" t="str">
        <f>IF($A1853="","",IF($A1853&lt;&gt;$A1852,IFERROR(INDEX([1]FG_Begin_Inventory!$B:$B,MATCH($A1853,[1]FG_Begin_Inventory!$A:$A,0)),0),J1852))</f>
        <v/>
      </c>
      <c r="G1853" s="61" t="str">
        <f t="shared" si="206"/>
        <v/>
      </c>
      <c r="H1853" s="61" t="str">
        <f t="shared" si="200"/>
        <v/>
      </c>
      <c r="I1853" s="62" t="str">
        <f t="shared" si="201"/>
        <v/>
      </c>
      <c r="J1853" s="61" t="str">
        <f t="shared" si="202"/>
        <v/>
      </c>
      <c r="K1853" s="61" t="str">
        <f t="shared" si="203"/>
        <v/>
      </c>
      <c r="L1853" s="61" t="str">
        <f t="shared" si="204"/>
        <v/>
      </c>
      <c r="M1853" s="63" t="str">
        <f t="shared" si="205"/>
        <v/>
      </c>
      <c r="N1853" s="64"/>
    </row>
    <row r="1854" spans="1:14" x14ac:dyDescent="0.3">
      <c r="A1854" s="58" t="str">
        <f>IF([1]weekly_demand!A1855="","",[1]weekly_demand!A1855)</f>
        <v/>
      </c>
      <c r="B1854" s="59" t="str">
        <f>IF($A1854="","",[1]weekly_demand!F1855)</f>
        <v/>
      </c>
      <c r="C1854" s="60" t="str">
        <f>IF($A1854="","",[1]weekly_demand!H1855)</f>
        <v/>
      </c>
      <c r="D1854" s="61" t="str">
        <f>IF($A1854="","",IF(SUMIFS([1]Fixture_Capacity_Input!$C:$C,[1]Fixture_Capacity_Input!$A:$A,$B1854,[1]Fixture_Capacity_Input!$B:$B,$C1854)&gt;0,SUMIFS([1]Fixture_Capacity_Input!$C:$C,[1]Fixture_Capacity_Input!$A:$A,$B1854,[1]Fixture_Capacity_Input!$B:$B,$C1854),[1]weekly_demand!G1855))</f>
        <v/>
      </c>
      <c r="E1854" s="62" t="str">
        <f>IF($A1854="","",[1]weekly_demand!I1855)</f>
        <v/>
      </c>
      <c r="F1854" s="61" t="str">
        <f>IF($A1854="","",IF($A1854&lt;&gt;$A1853,IFERROR(INDEX([1]FG_Begin_Inventory!$B:$B,MATCH($A1854,[1]FG_Begin_Inventory!$A:$A,0)),0),J1853))</f>
        <v/>
      </c>
      <c r="G1854" s="61" t="str">
        <f t="shared" si="206"/>
        <v/>
      </c>
      <c r="H1854" s="61" t="str">
        <f t="shared" si="200"/>
        <v/>
      </c>
      <c r="I1854" s="62" t="str">
        <f t="shared" si="201"/>
        <v/>
      </c>
      <c r="J1854" s="61" t="str">
        <f t="shared" si="202"/>
        <v/>
      </c>
      <c r="K1854" s="61" t="str">
        <f t="shared" si="203"/>
        <v/>
      </c>
      <c r="L1854" s="61" t="str">
        <f t="shared" si="204"/>
        <v/>
      </c>
      <c r="M1854" s="63" t="str">
        <f t="shared" si="205"/>
        <v/>
      </c>
      <c r="N1854" s="64"/>
    </row>
    <row r="1855" spans="1:14" x14ac:dyDescent="0.3">
      <c r="A1855" s="58" t="str">
        <f>IF([1]weekly_demand!A1856="","",[1]weekly_demand!A1856)</f>
        <v/>
      </c>
      <c r="B1855" s="59" t="str">
        <f>IF($A1855="","",[1]weekly_demand!F1856)</f>
        <v/>
      </c>
      <c r="C1855" s="60" t="str">
        <f>IF($A1855="","",[1]weekly_demand!H1856)</f>
        <v/>
      </c>
      <c r="D1855" s="61" t="str">
        <f>IF($A1855="","",IF(SUMIFS([1]Fixture_Capacity_Input!$C:$C,[1]Fixture_Capacity_Input!$A:$A,$B1855,[1]Fixture_Capacity_Input!$B:$B,$C1855)&gt;0,SUMIFS([1]Fixture_Capacity_Input!$C:$C,[1]Fixture_Capacity_Input!$A:$A,$B1855,[1]Fixture_Capacity_Input!$B:$B,$C1855),[1]weekly_demand!G1856))</f>
        <v/>
      </c>
      <c r="E1855" s="62" t="str">
        <f>IF($A1855="","",[1]weekly_demand!I1856)</f>
        <v/>
      </c>
      <c r="F1855" s="61" t="str">
        <f>IF($A1855="","",IF($A1855&lt;&gt;$A1854,IFERROR(INDEX([1]FG_Begin_Inventory!$B:$B,MATCH($A1855,[1]FG_Begin_Inventory!$A:$A,0)),0),J1854))</f>
        <v/>
      </c>
      <c r="G1855" s="61" t="str">
        <f t="shared" si="206"/>
        <v/>
      </c>
      <c r="H1855" s="61" t="str">
        <f t="shared" si="200"/>
        <v/>
      </c>
      <c r="I1855" s="62" t="str">
        <f t="shared" si="201"/>
        <v/>
      </c>
      <c r="J1855" s="61" t="str">
        <f t="shared" si="202"/>
        <v/>
      </c>
      <c r="K1855" s="61" t="str">
        <f t="shared" si="203"/>
        <v/>
      </c>
      <c r="L1855" s="61" t="str">
        <f t="shared" si="204"/>
        <v/>
      </c>
      <c r="M1855" s="63" t="str">
        <f t="shared" si="205"/>
        <v/>
      </c>
      <c r="N1855" s="64"/>
    </row>
    <row r="1856" spans="1:14" x14ac:dyDescent="0.3">
      <c r="A1856" s="58" t="str">
        <f>IF([1]weekly_demand!A1857="","",[1]weekly_demand!A1857)</f>
        <v/>
      </c>
      <c r="B1856" s="59" t="str">
        <f>IF($A1856="","",[1]weekly_demand!F1857)</f>
        <v/>
      </c>
      <c r="C1856" s="60" t="str">
        <f>IF($A1856="","",[1]weekly_demand!H1857)</f>
        <v/>
      </c>
      <c r="D1856" s="61" t="str">
        <f>IF($A1856="","",IF(SUMIFS([1]Fixture_Capacity_Input!$C:$C,[1]Fixture_Capacity_Input!$A:$A,$B1856,[1]Fixture_Capacity_Input!$B:$B,$C1856)&gt;0,SUMIFS([1]Fixture_Capacity_Input!$C:$C,[1]Fixture_Capacity_Input!$A:$A,$B1856,[1]Fixture_Capacity_Input!$B:$B,$C1856),[1]weekly_demand!G1857))</f>
        <v/>
      </c>
      <c r="E1856" s="62" t="str">
        <f>IF($A1856="","",[1]weekly_demand!I1857)</f>
        <v/>
      </c>
      <c r="F1856" s="61" t="str">
        <f>IF($A1856="","",IF($A1856&lt;&gt;$A1855,IFERROR(INDEX([1]FG_Begin_Inventory!$B:$B,MATCH($A1856,[1]FG_Begin_Inventory!$A:$A,0)),0),J1855))</f>
        <v/>
      </c>
      <c r="G1856" s="61" t="str">
        <f t="shared" si="206"/>
        <v/>
      </c>
      <c r="H1856" s="61" t="str">
        <f t="shared" si="200"/>
        <v/>
      </c>
      <c r="I1856" s="62" t="str">
        <f t="shared" si="201"/>
        <v/>
      </c>
      <c r="J1856" s="61" t="str">
        <f t="shared" si="202"/>
        <v/>
      </c>
      <c r="K1856" s="61" t="str">
        <f t="shared" si="203"/>
        <v/>
      </c>
      <c r="L1856" s="61" t="str">
        <f t="shared" si="204"/>
        <v/>
      </c>
      <c r="M1856" s="63" t="str">
        <f t="shared" si="205"/>
        <v/>
      </c>
      <c r="N1856" s="64"/>
    </row>
    <row r="1857" spans="1:14" x14ac:dyDescent="0.3">
      <c r="A1857" s="58" t="str">
        <f>IF([1]weekly_demand!A1858="","",[1]weekly_demand!A1858)</f>
        <v/>
      </c>
      <c r="B1857" s="59" t="str">
        <f>IF($A1857="","",[1]weekly_demand!F1858)</f>
        <v/>
      </c>
      <c r="C1857" s="60" t="str">
        <f>IF($A1857="","",[1]weekly_demand!H1858)</f>
        <v/>
      </c>
      <c r="D1857" s="61" t="str">
        <f>IF($A1857="","",IF(SUMIFS([1]Fixture_Capacity_Input!$C:$C,[1]Fixture_Capacity_Input!$A:$A,$B1857,[1]Fixture_Capacity_Input!$B:$B,$C1857)&gt;0,SUMIFS([1]Fixture_Capacity_Input!$C:$C,[1]Fixture_Capacity_Input!$A:$A,$B1857,[1]Fixture_Capacity_Input!$B:$B,$C1857),[1]weekly_demand!G1858))</f>
        <v/>
      </c>
      <c r="E1857" s="62" t="str">
        <f>IF($A1857="","",[1]weekly_demand!I1858)</f>
        <v/>
      </c>
      <c r="F1857" s="61" t="str">
        <f>IF($A1857="","",IF($A1857&lt;&gt;$A1856,IFERROR(INDEX([1]FG_Begin_Inventory!$B:$B,MATCH($A1857,[1]FG_Begin_Inventory!$A:$A,0)),0),J1856))</f>
        <v/>
      </c>
      <c r="G1857" s="61" t="str">
        <f t="shared" si="206"/>
        <v/>
      </c>
      <c r="H1857" s="61" t="str">
        <f t="shared" si="200"/>
        <v/>
      </c>
      <c r="I1857" s="62" t="str">
        <f t="shared" si="201"/>
        <v/>
      </c>
      <c r="J1857" s="61" t="str">
        <f t="shared" si="202"/>
        <v/>
      </c>
      <c r="K1857" s="61" t="str">
        <f t="shared" si="203"/>
        <v/>
      </c>
      <c r="L1857" s="61" t="str">
        <f t="shared" si="204"/>
        <v/>
      </c>
      <c r="M1857" s="63" t="str">
        <f t="shared" si="205"/>
        <v/>
      </c>
      <c r="N1857" s="64"/>
    </row>
    <row r="1858" spans="1:14" x14ac:dyDescent="0.3">
      <c r="A1858" s="58" t="str">
        <f>IF([1]weekly_demand!A1859="","",[1]weekly_demand!A1859)</f>
        <v/>
      </c>
      <c r="B1858" s="59" t="str">
        <f>IF($A1858="","",[1]weekly_demand!F1859)</f>
        <v/>
      </c>
      <c r="C1858" s="60" t="str">
        <f>IF($A1858="","",[1]weekly_demand!H1859)</f>
        <v/>
      </c>
      <c r="D1858" s="61" t="str">
        <f>IF($A1858="","",IF(SUMIFS([1]Fixture_Capacity_Input!$C:$C,[1]Fixture_Capacity_Input!$A:$A,$B1858,[1]Fixture_Capacity_Input!$B:$B,$C1858)&gt;0,SUMIFS([1]Fixture_Capacity_Input!$C:$C,[1]Fixture_Capacity_Input!$A:$A,$B1858,[1]Fixture_Capacity_Input!$B:$B,$C1858),[1]weekly_demand!G1859))</f>
        <v/>
      </c>
      <c r="E1858" s="62" t="str">
        <f>IF($A1858="","",[1]weekly_demand!I1859)</f>
        <v/>
      </c>
      <c r="F1858" s="61" t="str">
        <f>IF($A1858="","",IF($A1858&lt;&gt;$A1857,IFERROR(INDEX([1]FG_Begin_Inventory!$B:$B,MATCH($A1858,[1]FG_Begin_Inventory!$A:$A,0)),0),J1857))</f>
        <v/>
      </c>
      <c r="G1858" s="61" t="str">
        <f t="shared" si="206"/>
        <v/>
      </c>
      <c r="H1858" s="61" t="str">
        <f t="shared" ref="H1858:H1921" si="207">IF($A1858="","",MAX(0,E1858+G1858-F1858))</f>
        <v/>
      </c>
      <c r="I1858" s="62" t="str">
        <f t="shared" ref="I1858:I1921" si="208">IF($A1858="","",MIN(D1858,H1858))</f>
        <v/>
      </c>
      <c r="J1858" s="61" t="str">
        <f t="shared" ref="J1858:J1921" si="209">IF($A1858="","",MAX(0,F1858+I1858-E1858))</f>
        <v/>
      </c>
      <c r="K1858" s="61" t="str">
        <f t="shared" ref="K1858:K1921" si="210">IF($A1858="","",MAX(0,E1858-F1858-I1858))</f>
        <v/>
      </c>
      <c r="L1858" s="61" t="str">
        <f t="shared" ref="L1858:L1921" si="211">IF($A1858="","",MAX(0,F1858+I1858-E1858))</f>
        <v/>
      </c>
      <c r="M1858" s="63" t="str">
        <f t="shared" ref="M1858:M1921" si="212">IF($A1858="","",IFERROR(I1858/D1858,0))</f>
        <v/>
      </c>
      <c r="N1858" s="64"/>
    </row>
    <row r="1859" spans="1:14" x14ac:dyDescent="0.3">
      <c r="A1859" s="58" t="str">
        <f>IF([1]weekly_demand!A1860="","",[1]weekly_demand!A1860)</f>
        <v/>
      </c>
      <c r="B1859" s="59" t="str">
        <f>IF($A1859="","",[1]weekly_demand!F1860)</f>
        <v/>
      </c>
      <c r="C1859" s="60" t="str">
        <f>IF($A1859="","",[1]weekly_demand!H1860)</f>
        <v/>
      </c>
      <c r="D1859" s="61" t="str">
        <f>IF($A1859="","",IF(SUMIFS([1]Fixture_Capacity_Input!$C:$C,[1]Fixture_Capacity_Input!$A:$A,$B1859,[1]Fixture_Capacity_Input!$B:$B,$C1859)&gt;0,SUMIFS([1]Fixture_Capacity_Input!$C:$C,[1]Fixture_Capacity_Input!$A:$A,$B1859,[1]Fixture_Capacity_Input!$B:$B,$C1859),[1]weekly_demand!G1860))</f>
        <v/>
      </c>
      <c r="E1859" s="62" t="str">
        <f>IF($A1859="","",[1]weekly_demand!I1860)</f>
        <v/>
      </c>
      <c r="F1859" s="61" t="str">
        <f>IF($A1859="","",IF($A1859&lt;&gt;$A1858,IFERROR(INDEX([1]FG_Begin_Inventory!$B:$B,MATCH($A1859,[1]FG_Begin_Inventory!$A:$A,0)),0),J1858))</f>
        <v/>
      </c>
      <c r="G1859" s="61" t="str">
        <f t="shared" si="206"/>
        <v/>
      </c>
      <c r="H1859" s="61" t="str">
        <f t="shared" si="207"/>
        <v/>
      </c>
      <c r="I1859" s="62" t="str">
        <f t="shared" si="208"/>
        <v/>
      </c>
      <c r="J1859" s="61" t="str">
        <f t="shared" si="209"/>
        <v/>
      </c>
      <c r="K1859" s="61" t="str">
        <f t="shared" si="210"/>
        <v/>
      </c>
      <c r="L1859" s="61" t="str">
        <f t="shared" si="211"/>
        <v/>
      </c>
      <c r="M1859" s="63" t="str">
        <f t="shared" si="212"/>
        <v/>
      </c>
      <c r="N1859" s="64"/>
    </row>
    <row r="1860" spans="1:14" x14ac:dyDescent="0.3">
      <c r="A1860" s="58" t="str">
        <f>IF([1]weekly_demand!A1861="","",[1]weekly_demand!A1861)</f>
        <v/>
      </c>
      <c r="B1860" s="59" t="str">
        <f>IF($A1860="","",[1]weekly_demand!F1861)</f>
        <v/>
      </c>
      <c r="C1860" s="60" t="str">
        <f>IF($A1860="","",[1]weekly_demand!H1861)</f>
        <v/>
      </c>
      <c r="D1860" s="61" t="str">
        <f>IF($A1860="","",IF(SUMIFS([1]Fixture_Capacity_Input!$C:$C,[1]Fixture_Capacity_Input!$A:$A,$B1860,[1]Fixture_Capacity_Input!$B:$B,$C1860)&gt;0,SUMIFS([1]Fixture_Capacity_Input!$C:$C,[1]Fixture_Capacity_Input!$A:$A,$B1860,[1]Fixture_Capacity_Input!$B:$B,$C1860),[1]weekly_demand!G1861))</f>
        <v/>
      </c>
      <c r="E1860" s="62" t="str">
        <f>IF($A1860="","",[1]weekly_demand!I1861)</f>
        <v/>
      </c>
      <c r="F1860" s="61" t="str">
        <f>IF($A1860="","",IF($A1860&lt;&gt;$A1859,IFERROR(INDEX([1]FG_Begin_Inventory!$B:$B,MATCH($A1860,[1]FG_Begin_Inventory!$A:$A,0)),0),J1859))</f>
        <v/>
      </c>
      <c r="G1860" s="61" t="str">
        <f t="shared" si="206"/>
        <v/>
      </c>
      <c r="H1860" s="61" t="str">
        <f t="shared" si="207"/>
        <v/>
      </c>
      <c r="I1860" s="62" t="str">
        <f t="shared" si="208"/>
        <v/>
      </c>
      <c r="J1860" s="61" t="str">
        <f t="shared" si="209"/>
        <v/>
      </c>
      <c r="K1860" s="61" t="str">
        <f t="shared" si="210"/>
        <v/>
      </c>
      <c r="L1860" s="61" t="str">
        <f t="shared" si="211"/>
        <v/>
      </c>
      <c r="M1860" s="63" t="str">
        <f t="shared" si="212"/>
        <v/>
      </c>
      <c r="N1860" s="64"/>
    </row>
    <row r="1861" spans="1:14" x14ac:dyDescent="0.3">
      <c r="A1861" s="58" t="str">
        <f>IF([1]weekly_demand!A1862="","",[1]weekly_demand!A1862)</f>
        <v/>
      </c>
      <c r="B1861" s="59" t="str">
        <f>IF($A1861="","",[1]weekly_demand!F1862)</f>
        <v/>
      </c>
      <c r="C1861" s="60" t="str">
        <f>IF($A1861="","",[1]weekly_demand!H1862)</f>
        <v/>
      </c>
      <c r="D1861" s="61" t="str">
        <f>IF($A1861="","",IF(SUMIFS([1]Fixture_Capacity_Input!$C:$C,[1]Fixture_Capacity_Input!$A:$A,$B1861,[1]Fixture_Capacity_Input!$B:$B,$C1861)&gt;0,SUMIFS([1]Fixture_Capacity_Input!$C:$C,[1]Fixture_Capacity_Input!$A:$A,$B1861,[1]Fixture_Capacity_Input!$B:$B,$C1861),[1]weekly_demand!G1862))</f>
        <v/>
      </c>
      <c r="E1861" s="62" t="str">
        <f>IF($A1861="","",[1]weekly_demand!I1862)</f>
        <v/>
      </c>
      <c r="F1861" s="61" t="str">
        <f>IF($A1861="","",IF($A1861&lt;&gt;$A1860,IFERROR(INDEX([1]FG_Begin_Inventory!$B:$B,MATCH($A1861,[1]FG_Begin_Inventory!$A:$A,0)),0),J1860))</f>
        <v/>
      </c>
      <c r="G1861" s="61" t="str">
        <f t="shared" si="206"/>
        <v/>
      </c>
      <c r="H1861" s="61" t="str">
        <f t="shared" si="207"/>
        <v/>
      </c>
      <c r="I1861" s="62" t="str">
        <f t="shared" si="208"/>
        <v/>
      </c>
      <c r="J1861" s="61" t="str">
        <f t="shared" si="209"/>
        <v/>
      </c>
      <c r="K1861" s="61" t="str">
        <f t="shared" si="210"/>
        <v/>
      </c>
      <c r="L1861" s="61" t="str">
        <f t="shared" si="211"/>
        <v/>
      </c>
      <c r="M1861" s="63" t="str">
        <f t="shared" si="212"/>
        <v/>
      </c>
      <c r="N1861" s="64"/>
    </row>
    <row r="1862" spans="1:14" x14ac:dyDescent="0.3">
      <c r="A1862" s="58" t="str">
        <f>IF([1]weekly_demand!A1863="","",[1]weekly_demand!A1863)</f>
        <v/>
      </c>
      <c r="B1862" s="59" t="str">
        <f>IF($A1862="","",[1]weekly_demand!F1863)</f>
        <v/>
      </c>
      <c r="C1862" s="60" t="str">
        <f>IF($A1862="","",[1]weekly_demand!H1863)</f>
        <v/>
      </c>
      <c r="D1862" s="61" t="str">
        <f>IF($A1862="","",IF(SUMIFS([1]Fixture_Capacity_Input!$C:$C,[1]Fixture_Capacity_Input!$A:$A,$B1862,[1]Fixture_Capacity_Input!$B:$B,$C1862)&gt;0,SUMIFS([1]Fixture_Capacity_Input!$C:$C,[1]Fixture_Capacity_Input!$A:$A,$B1862,[1]Fixture_Capacity_Input!$B:$B,$C1862),[1]weekly_demand!G1863))</f>
        <v/>
      </c>
      <c r="E1862" s="62" t="str">
        <f>IF($A1862="","",[1]weekly_demand!I1863)</f>
        <v/>
      </c>
      <c r="F1862" s="61" t="str">
        <f>IF($A1862="","",IF($A1862&lt;&gt;$A1861,IFERROR(INDEX([1]FG_Begin_Inventory!$B:$B,MATCH($A1862,[1]FG_Begin_Inventory!$A:$A,0)),0),J1861))</f>
        <v/>
      </c>
      <c r="G1862" s="61" t="str">
        <f t="shared" si="206"/>
        <v/>
      </c>
      <c r="H1862" s="61" t="str">
        <f t="shared" si="207"/>
        <v/>
      </c>
      <c r="I1862" s="62" t="str">
        <f t="shared" si="208"/>
        <v/>
      </c>
      <c r="J1862" s="61" t="str">
        <f t="shared" si="209"/>
        <v/>
      </c>
      <c r="K1862" s="61" t="str">
        <f t="shared" si="210"/>
        <v/>
      </c>
      <c r="L1862" s="61" t="str">
        <f t="shared" si="211"/>
        <v/>
      </c>
      <c r="M1862" s="63" t="str">
        <f t="shared" si="212"/>
        <v/>
      </c>
      <c r="N1862" s="64"/>
    </row>
    <row r="1863" spans="1:14" x14ac:dyDescent="0.3">
      <c r="A1863" s="58" t="str">
        <f>IF([1]weekly_demand!A1864="","",[1]weekly_demand!A1864)</f>
        <v/>
      </c>
      <c r="B1863" s="59" t="str">
        <f>IF($A1863="","",[1]weekly_demand!F1864)</f>
        <v/>
      </c>
      <c r="C1863" s="60" t="str">
        <f>IF($A1863="","",[1]weekly_demand!H1864)</f>
        <v/>
      </c>
      <c r="D1863" s="61" t="str">
        <f>IF($A1863="","",IF(SUMIFS([1]Fixture_Capacity_Input!$C:$C,[1]Fixture_Capacity_Input!$A:$A,$B1863,[1]Fixture_Capacity_Input!$B:$B,$C1863)&gt;0,SUMIFS([1]Fixture_Capacity_Input!$C:$C,[1]Fixture_Capacity_Input!$A:$A,$B1863,[1]Fixture_Capacity_Input!$B:$B,$C1863),[1]weekly_demand!G1864))</f>
        <v/>
      </c>
      <c r="E1863" s="62" t="str">
        <f>IF($A1863="","",[1]weekly_demand!I1864)</f>
        <v/>
      </c>
      <c r="F1863" s="61" t="str">
        <f>IF($A1863="","",IF($A1863&lt;&gt;$A1862,IFERROR(INDEX([1]FG_Begin_Inventory!$B:$B,MATCH($A1863,[1]FG_Begin_Inventory!$A:$A,0)),0),J1862))</f>
        <v/>
      </c>
      <c r="G1863" s="61" t="str">
        <f t="shared" si="206"/>
        <v/>
      </c>
      <c r="H1863" s="61" t="str">
        <f t="shared" si="207"/>
        <v/>
      </c>
      <c r="I1863" s="62" t="str">
        <f t="shared" si="208"/>
        <v/>
      </c>
      <c r="J1863" s="61" t="str">
        <f t="shared" si="209"/>
        <v/>
      </c>
      <c r="K1863" s="61" t="str">
        <f t="shared" si="210"/>
        <v/>
      </c>
      <c r="L1863" s="61" t="str">
        <f t="shared" si="211"/>
        <v/>
      </c>
      <c r="M1863" s="63" t="str">
        <f t="shared" si="212"/>
        <v/>
      </c>
      <c r="N1863" s="64"/>
    </row>
    <row r="1864" spans="1:14" x14ac:dyDescent="0.3">
      <c r="A1864" s="58" t="str">
        <f>IF([1]weekly_demand!A1865="","",[1]weekly_demand!A1865)</f>
        <v/>
      </c>
      <c r="B1864" s="59" t="str">
        <f>IF($A1864="","",[1]weekly_demand!F1865)</f>
        <v/>
      </c>
      <c r="C1864" s="60" t="str">
        <f>IF($A1864="","",[1]weekly_demand!H1865)</f>
        <v/>
      </c>
      <c r="D1864" s="61" t="str">
        <f>IF($A1864="","",IF(SUMIFS([1]Fixture_Capacity_Input!$C:$C,[1]Fixture_Capacity_Input!$A:$A,$B1864,[1]Fixture_Capacity_Input!$B:$B,$C1864)&gt;0,SUMIFS([1]Fixture_Capacity_Input!$C:$C,[1]Fixture_Capacity_Input!$A:$A,$B1864,[1]Fixture_Capacity_Input!$B:$B,$C1864),[1]weekly_demand!G1865))</f>
        <v/>
      </c>
      <c r="E1864" s="62" t="str">
        <f>IF($A1864="","",[1]weekly_demand!I1865)</f>
        <v/>
      </c>
      <c r="F1864" s="61" t="str">
        <f>IF($A1864="","",IF($A1864&lt;&gt;$A1863,IFERROR(INDEX([1]FG_Begin_Inventory!$B:$B,MATCH($A1864,[1]FG_Begin_Inventory!$A:$A,0)),0),J1863))</f>
        <v/>
      </c>
      <c r="G1864" s="61" t="str">
        <f t="shared" si="206"/>
        <v/>
      </c>
      <c r="H1864" s="61" t="str">
        <f t="shared" si="207"/>
        <v/>
      </c>
      <c r="I1864" s="62" t="str">
        <f t="shared" si="208"/>
        <v/>
      </c>
      <c r="J1864" s="61" t="str">
        <f t="shared" si="209"/>
        <v/>
      </c>
      <c r="K1864" s="61" t="str">
        <f t="shared" si="210"/>
        <v/>
      </c>
      <c r="L1864" s="61" t="str">
        <f t="shared" si="211"/>
        <v/>
      </c>
      <c r="M1864" s="63" t="str">
        <f t="shared" si="212"/>
        <v/>
      </c>
      <c r="N1864" s="64"/>
    </row>
    <row r="1865" spans="1:14" x14ac:dyDescent="0.3">
      <c r="A1865" s="58" t="str">
        <f>IF([1]weekly_demand!A1866="","",[1]weekly_demand!A1866)</f>
        <v/>
      </c>
      <c r="B1865" s="59" t="str">
        <f>IF($A1865="","",[1]weekly_demand!F1866)</f>
        <v/>
      </c>
      <c r="C1865" s="60" t="str">
        <f>IF($A1865="","",[1]weekly_demand!H1866)</f>
        <v/>
      </c>
      <c r="D1865" s="61" t="str">
        <f>IF($A1865="","",IF(SUMIFS([1]Fixture_Capacity_Input!$C:$C,[1]Fixture_Capacity_Input!$A:$A,$B1865,[1]Fixture_Capacity_Input!$B:$B,$C1865)&gt;0,SUMIFS([1]Fixture_Capacity_Input!$C:$C,[1]Fixture_Capacity_Input!$A:$A,$B1865,[1]Fixture_Capacity_Input!$B:$B,$C1865),[1]weekly_demand!G1866))</f>
        <v/>
      </c>
      <c r="E1865" s="62" t="str">
        <f>IF($A1865="","",[1]weekly_demand!I1866)</f>
        <v/>
      </c>
      <c r="F1865" s="61" t="str">
        <f>IF($A1865="","",IF($A1865&lt;&gt;$A1864,IFERROR(INDEX([1]FG_Begin_Inventory!$B:$B,MATCH($A1865,[1]FG_Begin_Inventory!$A:$A,0)),0),J1864))</f>
        <v/>
      </c>
      <c r="G1865" s="61" t="str">
        <f t="shared" si="206"/>
        <v/>
      </c>
      <c r="H1865" s="61" t="str">
        <f t="shared" si="207"/>
        <v/>
      </c>
      <c r="I1865" s="62" t="str">
        <f t="shared" si="208"/>
        <v/>
      </c>
      <c r="J1865" s="61" t="str">
        <f t="shared" si="209"/>
        <v/>
      </c>
      <c r="K1865" s="61" t="str">
        <f t="shared" si="210"/>
        <v/>
      </c>
      <c r="L1865" s="61" t="str">
        <f t="shared" si="211"/>
        <v/>
      </c>
      <c r="M1865" s="63" t="str">
        <f t="shared" si="212"/>
        <v/>
      </c>
      <c r="N1865" s="64"/>
    </row>
    <row r="1866" spans="1:14" x14ac:dyDescent="0.3">
      <c r="A1866" s="58" t="str">
        <f>IF([1]weekly_demand!A1867="","",[1]weekly_demand!A1867)</f>
        <v/>
      </c>
      <c r="B1866" s="59" t="str">
        <f>IF($A1866="","",[1]weekly_demand!F1867)</f>
        <v/>
      </c>
      <c r="C1866" s="60" t="str">
        <f>IF($A1866="","",[1]weekly_demand!H1867)</f>
        <v/>
      </c>
      <c r="D1866" s="61" t="str">
        <f>IF($A1866="","",IF(SUMIFS([1]Fixture_Capacity_Input!$C:$C,[1]Fixture_Capacity_Input!$A:$A,$B1866,[1]Fixture_Capacity_Input!$B:$B,$C1866)&gt;0,SUMIFS([1]Fixture_Capacity_Input!$C:$C,[1]Fixture_Capacity_Input!$A:$A,$B1866,[1]Fixture_Capacity_Input!$B:$B,$C1866),[1]weekly_demand!G1867))</f>
        <v/>
      </c>
      <c r="E1866" s="62" t="str">
        <f>IF($A1866="","",[1]weekly_demand!I1867)</f>
        <v/>
      </c>
      <c r="F1866" s="61" t="str">
        <f>IF($A1866="","",IF($A1866&lt;&gt;$A1865,IFERROR(INDEX([1]FG_Begin_Inventory!$B:$B,MATCH($A1866,[1]FG_Begin_Inventory!$A:$A,0)),0),J1865))</f>
        <v/>
      </c>
      <c r="G1866" s="61" t="str">
        <f t="shared" si="206"/>
        <v/>
      </c>
      <c r="H1866" s="61" t="str">
        <f t="shared" si="207"/>
        <v/>
      </c>
      <c r="I1866" s="62" t="str">
        <f t="shared" si="208"/>
        <v/>
      </c>
      <c r="J1866" s="61" t="str">
        <f t="shared" si="209"/>
        <v/>
      </c>
      <c r="K1866" s="61" t="str">
        <f t="shared" si="210"/>
        <v/>
      </c>
      <c r="L1866" s="61" t="str">
        <f t="shared" si="211"/>
        <v/>
      </c>
      <c r="M1866" s="63" t="str">
        <f t="shared" si="212"/>
        <v/>
      </c>
      <c r="N1866" s="64"/>
    </row>
    <row r="1867" spans="1:14" x14ac:dyDescent="0.3">
      <c r="A1867" s="58" t="str">
        <f>IF([1]weekly_demand!A1868="","",[1]weekly_demand!A1868)</f>
        <v/>
      </c>
      <c r="B1867" s="59" t="str">
        <f>IF($A1867="","",[1]weekly_demand!F1868)</f>
        <v/>
      </c>
      <c r="C1867" s="60" t="str">
        <f>IF($A1867="","",[1]weekly_demand!H1868)</f>
        <v/>
      </c>
      <c r="D1867" s="61" t="str">
        <f>IF($A1867="","",IF(SUMIFS([1]Fixture_Capacity_Input!$C:$C,[1]Fixture_Capacity_Input!$A:$A,$B1867,[1]Fixture_Capacity_Input!$B:$B,$C1867)&gt;0,SUMIFS([1]Fixture_Capacity_Input!$C:$C,[1]Fixture_Capacity_Input!$A:$A,$B1867,[1]Fixture_Capacity_Input!$B:$B,$C1867),[1]weekly_demand!G1868))</f>
        <v/>
      </c>
      <c r="E1867" s="62" t="str">
        <f>IF($A1867="","",[1]weekly_demand!I1868)</f>
        <v/>
      </c>
      <c r="F1867" s="61" t="str">
        <f>IF($A1867="","",IF($A1867&lt;&gt;$A1866,IFERROR(INDEX([1]FG_Begin_Inventory!$B:$B,MATCH($A1867,[1]FG_Begin_Inventory!$A:$A,0)),0),J1866))</f>
        <v/>
      </c>
      <c r="G1867" s="61" t="str">
        <f t="shared" si="206"/>
        <v/>
      </c>
      <c r="H1867" s="61" t="str">
        <f t="shared" si="207"/>
        <v/>
      </c>
      <c r="I1867" s="62" t="str">
        <f t="shared" si="208"/>
        <v/>
      </c>
      <c r="J1867" s="61" t="str">
        <f t="shared" si="209"/>
        <v/>
      </c>
      <c r="K1867" s="61" t="str">
        <f t="shared" si="210"/>
        <v/>
      </c>
      <c r="L1867" s="61" t="str">
        <f t="shared" si="211"/>
        <v/>
      </c>
      <c r="M1867" s="63" t="str">
        <f t="shared" si="212"/>
        <v/>
      </c>
      <c r="N1867" s="64"/>
    </row>
    <row r="1868" spans="1:14" x14ac:dyDescent="0.3">
      <c r="A1868" s="58" t="str">
        <f>IF([1]weekly_demand!A1869="","",[1]weekly_demand!A1869)</f>
        <v/>
      </c>
      <c r="B1868" s="59" t="str">
        <f>IF($A1868="","",[1]weekly_demand!F1869)</f>
        <v/>
      </c>
      <c r="C1868" s="60" t="str">
        <f>IF($A1868="","",[1]weekly_demand!H1869)</f>
        <v/>
      </c>
      <c r="D1868" s="61" t="str">
        <f>IF($A1868="","",IF(SUMIFS([1]Fixture_Capacity_Input!$C:$C,[1]Fixture_Capacity_Input!$A:$A,$B1868,[1]Fixture_Capacity_Input!$B:$B,$C1868)&gt;0,SUMIFS([1]Fixture_Capacity_Input!$C:$C,[1]Fixture_Capacity_Input!$A:$A,$B1868,[1]Fixture_Capacity_Input!$B:$B,$C1868),[1]weekly_demand!G1869))</f>
        <v/>
      </c>
      <c r="E1868" s="62" t="str">
        <f>IF($A1868="","",[1]weekly_demand!I1869)</f>
        <v/>
      </c>
      <c r="F1868" s="61" t="str">
        <f>IF($A1868="","",IF($A1868&lt;&gt;$A1867,IFERROR(INDEX([1]FG_Begin_Inventory!$B:$B,MATCH($A1868,[1]FG_Begin_Inventory!$A:$A,0)),0),J1867))</f>
        <v/>
      </c>
      <c r="G1868" s="61" t="str">
        <f t="shared" si="206"/>
        <v/>
      </c>
      <c r="H1868" s="61" t="str">
        <f t="shared" si="207"/>
        <v/>
      </c>
      <c r="I1868" s="62" t="str">
        <f t="shared" si="208"/>
        <v/>
      </c>
      <c r="J1868" s="61" t="str">
        <f t="shared" si="209"/>
        <v/>
      </c>
      <c r="K1868" s="61" t="str">
        <f t="shared" si="210"/>
        <v/>
      </c>
      <c r="L1868" s="61" t="str">
        <f t="shared" si="211"/>
        <v/>
      </c>
      <c r="M1868" s="63" t="str">
        <f t="shared" si="212"/>
        <v/>
      </c>
      <c r="N1868" s="64"/>
    </row>
    <row r="1869" spans="1:14" x14ac:dyDescent="0.3">
      <c r="A1869" s="58" t="str">
        <f>IF([1]weekly_demand!A1870="","",[1]weekly_demand!A1870)</f>
        <v/>
      </c>
      <c r="B1869" s="59" t="str">
        <f>IF($A1869="","",[1]weekly_demand!F1870)</f>
        <v/>
      </c>
      <c r="C1869" s="60" t="str">
        <f>IF($A1869="","",[1]weekly_demand!H1870)</f>
        <v/>
      </c>
      <c r="D1869" s="61" t="str">
        <f>IF($A1869="","",IF(SUMIFS([1]Fixture_Capacity_Input!$C:$C,[1]Fixture_Capacity_Input!$A:$A,$B1869,[1]Fixture_Capacity_Input!$B:$B,$C1869)&gt;0,SUMIFS([1]Fixture_Capacity_Input!$C:$C,[1]Fixture_Capacity_Input!$A:$A,$B1869,[1]Fixture_Capacity_Input!$B:$B,$C1869),[1]weekly_demand!G1870))</f>
        <v/>
      </c>
      <c r="E1869" s="62" t="str">
        <f>IF($A1869="","",[1]weekly_demand!I1870)</f>
        <v/>
      </c>
      <c r="F1869" s="61" t="str">
        <f>IF($A1869="","",IF($A1869&lt;&gt;$A1868,IFERROR(INDEX([1]FG_Begin_Inventory!$B:$B,MATCH($A1869,[1]FG_Begin_Inventory!$A:$A,0)),0),J1868))</f>
        <v/>
      </c>
      <c r="G1869" s="61" t="str">
        <f t="shared" si="206"/>
        <v/>
      </c>
      <c r="H1869" s="61" t="str">
        <f t="shared" si="207"/>
        <v/>
      </c>
      <c r="I1869" s="62" t="str">
        <f t="shared" si="208"/>
        <v/>
      </c>
      <c r="J1869" s="61" t="str">
        <f t="shared" si="209"/>
        <v/>
      </c>
      <c r="K1869" s="61" t="str">
        <f t="shared" si="210"/>
        <v/>
      </c>
      <c r="L1869" s="61" t="str">
        <f t="shared" si="211"/>
        <v/>
      </c>
      <c r="M1869" s="63" t="str">
        <f t="shared" si="212"/>
        <v/>
      </c>
      <c r="N1869" s="64"/>
    </row>
    <row r="1870" spans="1:14" x14ac:dyDescent="0.3">
      <c r="A1870" s="58" t="str">
        <f>IF([1]weekly_demand!A1871="","",[1]weekly_demand!A1871)</f>
        <v/>
      </c>
      <c r="B1870" s="59" t="str">
        <f>IF($A1870="","",[1]weekly_demand!F1871)</f>
        <v/>
      </c>
      <c r="C1870" s="60" t="str">
        <f>IF($A1870="","",[1]weekly_demand!H1871)</f>
        <v/>
      </c>
      <c r="D1870" s="61" t="str">
        <f>IF($A1870="","",IF(SUMIFS([1]Fixture_Capacity_Input!$C:$C,[1]Fixture_Capacity_Input!$A:$A,$B1870,[1]Fixture_Capacity_Input!$B:$B,$C1870)&gt;0,SUMIFS([1]Fixture_Capacity_Input!$C:$C,[1]Fixture_Capacity_Input!$A:$A,$B1870,[1]Fixture_Capacity_Input!$B:$B,$C1870),[1]weekly_demand!G1871))</f>
        <v/>
      </c>
      <c r="E1870" s="62" t="str">
        <f>IF($A1870="","",[1]weekly_demand!I1871)</f>
        <v/>
      </c>
      <c r="F1870" s="61" t="str">
        <f>IF($A1870="","",IF($A1870&lt;&gt;$A1869,IFERROR(INDEX([1]FG_Begin_Inventory!$B:$B,MATCH($A1870,[1]FG_Begin_Inventory!$A:$A,0)),0),J1869))</f>
        <v/>
      </c>
      <c r="G1870" s="61" t="str">
        <f t="shared" si="206"/>
        <v/>
      </c>
      <c r="H1870" s="61" t="str">
        <f t="shared" si="207"/>
        <v/>
      </c>
      <c r="I1870" s="62" t="str">
        <f t="shared" si="208"/>
        <v/>
      </c>
      <c r="J1870" s="61" t="str">
        <f t="shared" si="209"/>
        <v/>
      </c>
      <c r="K1870" s="61" t="str">
        <f t="shared" si="210"/>
        <v/>
      </c>
      <c r="L1870" s="61" t="str">
        <f t="shared" si="211"/>
        <v/>
      </c>
      <c r="M1870" s="63" t="str">
        <f t="shared" si="212"/>
        <v/>
      </c>
      <c r="N1870" s="64"/>
    </row>
    <row r="1871" spans="1:14" x14ac:dyDescent="0.3">
      <c r="A1871" s="58" t="str">
        <f>IF([1]weekly_demand!A1872="","",[1]weekly_demand!A1872)</f>
        <v/>
      </c>
      <c r="B1871" s="59" t="str">
        <f>IF($A1871="","",[1]weekly_demand!F1872)</f>
        <v/>
      </c>
      <c r="C1871" s="60" t="str">
        <f>IF($A1871="","",[1]weekly_demand!H1872)</f>
        <v/>
      </c>
      <c r="D1871" s="61" t="str">
        <f>IF($A1871="","",IF(SUMIFS([1]Fixture_Capacity_Input!$C:$C,[1]Fixture_Capacity_Input!$A:$A,$B1871,[1]Fixture_Capacity_Input!$B:$B,$C1871)&gt;0,SUMIFS([1]Fixture_Capacity_Input!$C:$C,[1]Fixture_Capacity_Input!$A:$A,$B1871,[1]Fixture_Capacity_Input!$B:$B,$C1871),[1]weekly_demand!G1872))</f>
        <v/>
      </c>
      <c r="E1871" s="62" t="str">
        <f>IF($A1871="","",[1]weekly_demand!I1872)</f>
        <v/>
      </c>
      <c r="F1871" s="61" t="str">
        <f>IF($A1871="","",IF($A1871&lt;&gt;$A1870,IFERROR(INDEX([1]FG_Begin_Inventory!$B:$B,MATCH($A1871,[1]FG_Begin_Inventory!$A:$A,0)),0),J1870))</f>
        <v/>
      </c>
      <c r="G1871" s="61" t="str">
        <f t="shared" si="206"/>
        <v/>
      </c>
      <c r="H1871" s="61" t="str">
        <f t="shared" si="207"/>
        <v/>
      </c>
      <c r="I1871" s="62" t="str">
        <f t="shared" si="208"/>
        <v/>
      </c>
      <c r="J1871" s="61" t="str">
        <f t="shared" si="209"/>
        <v/>
      </c>
      <c r="K1871" s="61" t="str">
        <f t="shared" si="210"/>
        <v/>
      </c>
      <c r="L1871" s="61" t="str">
        <f t="shared" si="211"/>
        <v/>
      </c>
      <c r="M1871" s="63" t="str">
        <f t="shared" si="212"/>
        <v/>
      </c>
      <c r="N1871" s="64"/>
    </row>
    <row r="1872" spans="1:14" x14ac:dyDescent="0.3">
      <c r="A1872" s="58" t="str">
        <f>IF([1]weekly_demand!A1873="","",[1]weekly_demand!A1873)</f>
        <v/>
      </c>
      <c r="B1872" s="59" t="str">
        <f>IF($A1872="","",[1]weekly_demand!F1873)</f>
        <v/>
      </c>
      <c r="C1872" s="60" t="str">
        <f>IF($A1872="","",[1]weekly_demand!H1873)</f>
        <v/>
      </c>
      <c r="D1872" s="61" t="str">
        <f>IF($A1872="","",IF(SUMIFS([1]Fixture_Capacity_Input!$C:$C,[1]Fixture_Capacity_Input!$A:$A,$B1872,[1]Fixture_Capacity_Input!$B:$B,$C1872)&gt;0,SUMIFS([1]Fixture_Capacity_Input!$C:$C,[1]Fixture_Capacity_Input!$A:$A,$B1872,[1]Fixture_Capacity_Input!$B:$B,$C1872),[1]weekly_demand!G1873))</f>
        <v/>
      </c>
      <c r="E1872" s="62" t="str">
        <f>IF($A1872="","",[1]weekly_demand!I1873)</f>
        <v/>
      </c>
      <c r="F1872" s="61" t="str">
        <f>IF($A1872="","",IF($A1872&lt;&gt;$A1871,IFERROR(INDEX([1]FG_Begin_Inventory!$B:$B,MATCH($A1872,[1]FG_Begin_Inventory!$A:$A,0)),0),J1871))</f>
        <v/>
      </c>
      <c r="G1872" s="61" t="str">
        <f t="shared" si="206"/>
        <v/>
      </c>
      <c r="H1872" s="61" t="str">
        <f t="shared" si="207"/>
        <v/>
      </c>
      <c r="I1872" s="62" t="str">
        <f t="shared" si="208"/>
        <v/>
      </c>
      <c r="J1872" s="61" t="str">
        <f t="shared" si="209"/>
        <v/>
      </c>
      <c r="K1872" s="61" t="str">
        <f t="shared" si="210"/>
        <v/>
      </c>
      <c r="L1872" s="61" t="str">
        <f t="shared" si="211"/>
        <v/>
      </c>
      <c r="M1872" s="63" t="str">
        <f t="shared" si="212"/>
        <v/>
      </c>
      <c r="N1872" s="64"/>
    </row>
    <row r="1873" spans="1:14" x14ac:dyDescent="0.3">
      <c r="A1873" s="58" t="str">
        <f>IF([1]weekly_demand!A1874="","",[1]weekly_demand!A1874)</f>
        <v/>
      </c>
      <c r="B1873" s="59" t="str">
        <f>IF($A1873="","",[1]weekly_demand!F1874)</f>
        <v/>
      </c>
      <c r="C1873" s="60" t="str">
        <f>IF($A1873="","",[1]weekly_demand!H1874)</f>
        <v/>
      </c>
      <c r="D1873" s="61" t="str">
        <f>IF($A1873="","",IF(SUMIFS([1]Fixture_Capacity_Input!$C:$C,[1]Fixture_Capacity_Input!$A:$A,$B1873,[1]Fixture_Capacity_Input!$B:$B,$C1873)&gt;0,SUMIFS([1]Fixture_Capacity_Input!$C:$C,[1]Fixture_Capacity_Input!$A:$A,$B1873,[1]Fixture_Capacity_Input!$B:$B,$C1873),[1]weekly_demand!G1874))</f>
        <v/>
      </c>
      <c r="E1873" s="62" t="str">
        <f>IF($A1873="","",[1]weekly_demand!I1874)</f>
        <v/>
      </c>
      <c r="F1873" s="61" t="str">
        <f>IF($A1873="","",IF($A1873&lt;&gt;$A1872,IFERROR(INDEX([1]FG_Begin_Inventory!$B:$B,MATCH($A1873,[1]FG_Begin_Inventory!$A:$A,0)),0),J1872))</f>
        <v/>
      </c>
      <c r="G1873" s="61" t="str">
        <f t="shared" si="206"/>
        <v/>
      </c>
      <c r="H1873" s="61" t="str">
        <f t="shared" si="207"/>
        <v/>
      </c>
      <c r="I1873" s="62" t="str">
        <f t="shared" si="208"/>
        <v/>
      </c>
      <c r="J1873" s="61" t="str">
        <f t="shared" si="209"/>
        <v/>
      </c>
      <c r="K1873" s="61" t="str">
        <f t="shared" si="210"/>
        <v/>
      </c>
      <c r="L1873" s="61" t="str">
        <f t="shared" si="211"/>
        <v/>
      </c>
      <c r="M1873" s="63" t="str">
        <f t="shared" si="212"/>
        <v/>
      </c>
      <c r="N1873" s="64"/>
    </row>
    <row r="1874" spans="1:14" x14ac:dyDescent="0.3">
      <c r="A1874" s="58" t="str">
        <f>IF([1]weekly_demand!A1875="","",[1]weekly_demand!A1875)</f>
        <v/>
      </c>
      <c r="B1874" s="59" t="str">
        <f>IF($A1874="","",[1]weekly_demand!F1875)</f>
        <v/>
      </c>
      <c r="C1874" s="60" t="str">
        <f>IF($A1874="","",[1]weekly_demand!H1875)</f>
        <v/>
      </c>
      <c r="D1874" s="61" t="str">
        <f>IF($A1874="","",IF(SUMIFS([1]Fixture_Capacity_Input!$C:$C,[1]Fixture_Capacity_Input!$A:$A,$B1874,[1]Fixture_Capacity_Input!$B:$B,$C1874)&gt;0,SUMIFS([1]Fixture_Capacity_Input!$C:$C,[1]Fixture_Capacity_Input!$A:$A,$B1874,[1]Fixture_Capacity_Input!$B:$B,$C1874),[1]weekly_demand!G1875))</f>
        <v/>
      </c>
      <c r="E1874" s="62" t="str">
        <f>IF($A1874="","",[1]weekly_demand!I1875)</f>
        <v/>
      </c>
      <c r="F1874" s="61" t="str">
        <f>IF($A1874="","",IF($A1874&lt;&gt;$A1873,IFERROR(INDEX([1]FG_Begin_Inventory!$B:$B,MATCH($A1874,[1]FG_Begin_Inventory!$A:$A,0)),0),J1873))</f>
        <v/>
      </c>
      <c r="G1874" s="61" t="str">
        <f t="shared" si="206"/>
        <v/>
      </c>
      <c r="H1874" s="61" t="str">
        <f t="shared" si="207"/>
        <v/>
      </c>
      <c r="I1874" s="62" t="str">
        <f t="shared" si="208"/>
        <v/>
      </c>
      <c r="J1874" s="61" t="str">
        <f t="shared" si="209"/>
        <v/>
      </c>
      <c r="K1874" s="61" t="str">
        <f t="shared" si="210"/>
        <v/>
      </c>
      <c r="L1874" s="61" t="str">
        <f t="shared" si="211"/>
        <v/>
      </c>
      <c r="M1874" s="63" t="str">
        <f t="shared" si="212"/>
        <v/>
      </c>
      <c r="N1874" s="64"/>
    </row>
    <row r="1875" spans="1:14" x14ac:dyDescent="0.3">
      <c r="A1875" s="58" t="str">
        <f>IF([1]weekly_demand!A1876="","",[1]weekly_demand!A1876)</f>
        <v/>
      </c>
      <c r="B1875" s="59" t="str">
        <f>IF($A1875="","",[1]weekly_demand!F1876)</f>
        <v/>
      </c>
      <c r="C1875" s="60" t="str">
        <f>IF($A1875="","",[1]weekly_demand!H1876)</f>
        <v/>
      </c>
      <c r="D1875" s="61" t="str">
        <f>IF($A1875="","",IF(SUMIFS([1]Fixture_Capacity_Input!$C:$C,[1]Fixture_Capacity_Input!$A:$A,$B1875,[1]Fixture_Capacity_Input!$B:$B,$C1875)&gt;0,SUMIFS([1]Fixture_Capacity_Input!$C:$C,[1]Fixture_Capacity_Input!$A:$A,$B1875,[1]Fixture_Capacity_Input!$B:$B,$C1875),[1]weekly_demand!G1876))</f>
        <v/>
      </c>
      <c r="E1875" s="62" t="str">
        <f>IF($A1875="","",[1]weekly_demand!I1876)</f>
        <v/>
      </c>
      <c r="F1875" s="61" t="str">
        <f>IF($A1875="","",IF($A1875&lt;&gt;$A1874,IFERROR(INDEX([1]FG_Begin_Inventory!$B:$B,MATCH($A1875,[1]FG_Begin_Inventory!$A:$A,0)),0),J1874))</f>
        <v/>
      </c>
      <c r="G1875" s="61" t="str">
        <f t="shared" si="206"/>
        <v/>
      </c>
      <c r="H1875" s="61" t="str">
        <f t="shared" si="207"/>
        <v/>
      </c>
      <c r="I1875" s="62" t="str">
        <f t="shared" si="208"/>
        <v/>
      </c>
      <c r="J1875" s="61" t="str">
        <f t="shared" si="209"/>
        <v/>
      </c>
      <c r="K1875" s="61" t="str">
        <f t="shared" si="210"/>
        <v/>
      </c>
      <c r="L1875" s="61" t="str">
        <f t="shared" si="211"/>
        <v/>
      </c>
      <c r="M1875" s="63" t="str">
        <f t="shared" si="212"/>
        <v/>
      </c>
      <c r="N1875" s="64"/>
    </row>
    <row r="1876" spans="1:14" x14ac:dyDescent="0.3">
      <c r="A1876" s="58" t="str">
        <f>IF([1]weekly_demand!A1877="","",[1]weekly_demand!A1877)</f>
        <v/>
      </c>
      <c r="B1876" s="59" t="str">
        <f>IF($A1876="","",[1]weekly_demand!F1877)</f>
        <v/>
      </c>
      <c r="C1876" s="60" t="str">
        <f>IF($A1876="","",[1]weekly_demand!H1877)</f>
        <v/>
      </c>
      <c r="D1876" s="61" t="str">
        <f>IF($A1876="","",IF(SUMIFS([1]Fixture_Capacity_Input!$C:$C,[1]Fixture_Capacity_Input!$A:$A,$B1876,[1]Fixture_Capacity_Input!$B:$B,$C1876)&gt;0,SUMIFS([1]Fixture_Capacity_Input!$C:$C,[1]Fixture_Capacity_Input!$A:$A,$B1876,[1]Fixture_Capacity_Input!$B:$B,$C1876),[1]weekly_demand!G1877))</f>
        <v/>
      </c>
      <c r="E1876" s="62" t="str">
        <f>IF($A1876="","",[1]weekly_demand!I1877)</f>
        <v/>
      </c>
      <c r="F1876" s="61" t="str">
        <f>IF($A1876="","",IF($A1876&lt;&gt;$A1875,IFERROR(INDEX([1]FG_Begin_Inventory!$B:$B,MATCH($A1876,[1]FG_Begin_Inventory!$A:$A,0)),0),J1875))</f>
        <v/>
      </c>
      <c r="G1876" s="61" t="str">
        <f t="shared" si="206"/>
        <v/>
      </c>
      <c r="H1876" s="61" t="str">
        <f t="shared" si="207"/>
        <v/>
      </c>
      <c r="I1876" s="62" t="str">
        <f t="shared" si="208"/>
        <v/>
      </c>
      <c r="J1876" s="61" t="str">
        <f t="shared" si="209"/>
        <v/>
      </c>
      <c r="K1876" s="61" t="str">
        <f t="shared" si="210"/>
        <v/>
      </c>
      <c r="L1876" s="61" t="str">
        <f t="shared" si="211"/>
        <v/>
      </c>
      <c r="M1876" s="63" t="str">
        <f t="shared" si="212"/>
        <v/>
      </c>
      <c r="N1876" s="64"/>
    </row>
    <row r="1877" spans="1:14" x14ac:dyDescent="0.3">
      <c r="A1877" s="58" t="str">
        <f>IF([1]weekly_demand!A1878="","",[1]weekly_demand!A1878)</f>
        <v/>
      </c>
      <c r="B1877" s="59" t="str">
        <f>IF($A1877="","",[1]weekly_demand!F1878)</f>
        <v/>
      </c>
      <c r="C1877" s="60" t="str">
        <f>IF($A1877="","",[1]weekly_demand!H1878)</f>
        <v/>
      </c>
      <c r="D1877" s="61" t="str">
        <f>IF($A1877="","",IF(SUMIFS([1]Fixture_Capacity_Input!$C:$C,[1]Fixture_Capacity_Input!$A:$A,$B1877,[1]Fixture_Capacity_Input!$B:$B,$C1877)&gt;0,SUMIFS([1]Fixture_Capacity_Input!$C:$C,[1]Fixture_Capacity_Input!$A:$A,$B1877,[1]Fixture_Capacity_Input!$B:$B,$C1877),[1]weekly_demand!G1878))</f>
        <v/>
      </c>
      <c r="E1877" s="62" t="str">
        <f>IF($A1877="","",[1]weekly_demand!I1878)</f>
        <v/>
      </c>
      <c r="F1877" s="61" t="str">
        <f>IF($A1877="","",IF($A1877&lt;&gt;$A1876,IFERROR(INDEX([1]FG_Begin_Inventory!$B:$B,MATCH($A1877,[1]FG_Begin_Inventory!$A:$A,0)),0),J1876))</f>
        <v/>
      </c>
      <c r="G1877" s="61" t="str">
        <f t="shared" si="206"/>
        <v/>
      </c>
      <c r="H1877" s="61" t="str">
        <f t="shared" si="207"/>
        <v/>
      </c>
      <c r="I1877" s="62" t="str">
        <f t="shared" si="208"/>
        <v/>
      </c>
      <c r="J1877" s="61" t="str">
        <f t="shared" si="209"/>
        <v/>
      </c>
      <c r="K1877" s="61" t="str">
        <f t="shared" si="210"/>
        <v/>
      </c>
      <c r="L1877" s="61" t="str">
        <f t="shared" si="211"/>
        <v/>
      </c>
      <c r="M1877" s="63" t="str">
        <f t="shared" si="212"/>
        <v/>
      </c>
      <c r="N1877" s="64"/>
    </row>
    <row r="1878" spans="1:14" x14ac:dyDescent="0.3">
      <c r="A1878" s="58" t="str">
        <f>IF([1]weekly_demand!A1879="","",[1]weekly_demand!A1879)</f>
        <v/>
      </c>
      <c r="B1878" s="59" t="str">
        <f>IF($A1878="","",[1]weekly_demand!F1879)</f>
        <v/>
      </c>
      <c r="C1878" s="60" t="str">
        <f>IF($A1878="","",[1]weekly_demand!H1879)</f>
        <v/>
      </c>
      <c r="D1878" s="61" t="str">
        <f>IF($A1878="","",IF(SUMIFS([1]Fixture_Capacity_Input!$C:$C,[1]Fixture_Capacity_Input!$A:$A,$B1878,[1]Fixture_Capacity_Input!$B:$B,$C1878)&gt;0,SUMIFS([1]Fixture_Capacity_Input!$C:$C,[1]Fixture_Capacity_Input!$A:$A,$B1878,[1]Fixture_Capacity_Input!$B:$B,$C1878),[1]weekly_demand!G1879))</f>
        <v/>
      </c>
      <c r="E1878" s="62" t="str">
        <f>IF($A1878="","",[1]weekly_demand!I1879)</f>
        <v/>
      </c>
      <c r="F1878" s="61" t="str">
        <f>IF($A1878="","",IF($A1878&lt;&gt;$A1877,IFERROR(INDEX([1]FG_Begin_Inventory!$B:$B,MATCH($A1878,[1]FG_Begin_Inventory!$A:$A,0)),0),J1877))</f>
        <v/>
      </c>
      <c r="G1878" s="61" t="str">
        <f t="shared" si="206"/>
        <v/>
      </c>
      <c r="H1878" s="61" t="str">
        <f t="shared" si="207"/>
        <v/>
      </c>
      <c r="I1878" s="62" t="str">
        <f t="shared" si="208"/>
        <v/>
      </c>
      <c r="J1878" s="61" t="str">
        <f t="shared" si="209"/>
        <v/>
      </c>
      <c r="K1878" s="61" t="str">
        <f t="shared" si="210"/>
        <v/>
      </c>
      <c r="L1878" s="61" t="str">
        <f t="shared" si="211"/>
        <v/>
      </c>
      <c r="M1878" s="63" t="str">
        <f t="shared" si="212"/>
        <v/>
      </c>
      <c r="N1878" s="64"/>
    </row>
    <row r="1879" spans="1:14" x14ac:dyDescent="0.3">
      <c r="A1879" s="58" t="str">
        <f>IF([1]weekly_demand!A1880="","",[1]weekly_demand!A1880)</f>
        <v/>
      </c>
      <c r="B1879" s="59" t="str">
        <f>IF($A1879="","",[1]weekly_demand!F1880)</f>
        <v/>
      </c>
      <c r="C1879" s="60" t="str">
        <f>IF($A1879="","",[1]weekly_demand!H1880)</f>
        <v/>
      </c>
      <c r="D1879" s="61" t="str">
        <f>IF($A1879="","",IF(SUMIFS([1]Fixture_Capacity_Input!$C:$C,[1]Fixture_Capacity_Input!$A:$A,$B1879,[1]Fixture_Capacity_Input!$B:$B,$C1879)&gt;0,SUMIFS([1]Fixture_Capacity_Input!$C:$C,[1]Fixture_Capacity_Input!$A:$A,$B1879,[1]Fixture_Capacity_Input!$B:$B,$C1879),[1]weekly_demand!G1880))</f>
        <v/>
      </c>
      <c r="E1879" s="62" t="str">
        <f>IF($A1879="","",[1]weekly_demand!I1880)</f>
        <v/>
      </c>
      <c r="F1879" s="61" t="str">
        <f>IF($A1879="","",IF($A1879&lt;&gt;$A1878,IFERROR(INDEX([1]FG_Begin_Inventory!$B:$B,MATCH($A1879,[1]FG_Begin_Inventory!$A:$A,0)),0),J1878))</f>
        <v/>
      </c>
      <c r="G1879" s="61" t="str">
        <f t="shared" si="206"/>
        <v/>
      </c>
      <c r="H1879" s="61" t="str">
        <f t="shared" si="207"/>
        <v/>
      </c>
      <c r="I1879" s="62" t="str">
        <f t="shared" si="208"/>
        <v/>
      </c>
      <c r="J1879" s="61" t="str">
        <f t="shared" si="209"/>
        <v/>
      </c>
      <c r="K1879" s="61" t="str">
        <f t="shared" si="210"/>
        <v/>
      </c>
      <c r="L1879" s="61" t="str">
        <f t="shared" si="211"/>
        <v/>
      </c>
      <c r="M1879" s="63" t="str">
        <f t="shared" si="212"/>
        <v/>
      </c>
      <c r="N1879" s="64"/>
    </row>
    <row r="1880" spans="1:14" x14ac:dyDescent="0.3">
      <c r="A1880" s="58" t="str">
        <f>IF([1]weekly_demand!A1881="","",[1]weekly_demand!A1881)</f>
        <v/>
      </c>
      <c r="B1880" s="59" t="str">
        <f>IF($A1880="","",[1]weekly_demand!F1881)</f>
        <v/>
      </c>
      <c r="C1880" s="60" t="str">
        <f>IF($A1880="","",[1]weekly_demand!H1881)</f>
        <v/>
      </c>
      <c r="D1880" s="61" t="str">
        <f>IF($A1880="","",IF(SUMIFS([1]Fixture_Capacity_Input!$C:$C,[1]Fixture_Capacity_Input!$A:$A,$B1880,[1]Fixture_Capacity_Input!$B:$B,$C1880)&gt;0,SUMIFS([1]Fixture_Capacity_Input!$C:$C,[1]Fixture_Capacity_Input!$A:$A,$B1880,[1]Fixture_Capacity_Input!$B:$B,$C1880),[1]weekly_demand!G1881))</f>
        <v/>
      </c>
      <c r="E1880" s="62" t="str">
        <f>IF($A1880="","",[1]weekly_demand!I1881)</f>
        <v/>
      </c>
      <c r="F1880" s="61" t="str">
        <f>IF($A1880="","",IF($A1880&lt;&gt;$A1879,IFERROR(INDEX([1]FG_Begin_Inventory!$B:$B,MATCH($A1880,[1]FG_Begin_Inventory!$A:$A,0)),0),J1879))</f>
        <v/>
      </c>
      <c r="G1880" s="61" t="str">
        <f t="shared" si="206"/>
        <v/>
      </c>
      <c r="H1880" s="61" t="str">
        <f t="shared" si="207"/>
        <v/>
      </c>
      <c r="I1880" s="62" t="str">
        <f t="shared" si="208"/>
        <v/>
      </c>
      <c r="J1880" s="61" t="str">
        <f t="shared" si="209"/>
        <v/>
      </c>
      <c r="K1880" s="61" t="str">
        <f t="shared" si="210"/>
        <v/>
      </c>
      <c r="L1880" s="61" t="str">
        <f t="shared" si="211"/>
        <v/>
      </c>
      <c r="M1880" s="63" t="str">
        <f t="shared" si="212"/>
        <v/>
      </c>
      <c r="N1880" s="64"/>
    </row>
    <row r="1881" spans="1:14" x14ac:dyDescent="0.3">
      <c r="A1881" s="58" t="str">
        <f>IF([1]weekly_demand!A1882="","",[1]weekly_demand!A1882)</f>
        <v/>
      </c>
      <c r="B1881" s="59" t="str">
        <f>IF($A1881="","",[1]weekly_demand!F1882)</f>
        <v/>
      </c>
      <c r="C1881" s="60" t="str">
        <f>IF($A1881="","",[1]weekly_demand!H1882)</f>
        <v/>
      </c>
      <c r="D1881" s="61" t="str">
        <f>IF($A1881="","",IF(SUMIFS([1]Fixture_Capacity_Input!$C:$C,[1]Fixture_Capacity_Input!$A:$A,$B1881,[1]Fixture_Capacity_Input!$B:$B,$C1881)&gt;0,SUMIFS([1]Fixture_Capacity_Input!$C:$C,[1]Fixture_Capacity_Input!$A:$A,$B1881,[1]Fixture_Capacity_Input!$B:$B,$C1881),[1]weekly_demand!G1882))</f>
        <v/>
      </c>
      <c r="E1881" s="62" t="str">
        <f>IF($A1881="","",[1]weekly_demand!I1882)</f>
        <v/>
      </c>
      <c r="F1881" s="61" t="str">
        <f>IF($A1881="","",IF($A1881&lt;&gt;$A1880,IFERROR(INDEX([1]FG_Begin_Inventory!$B:$B,MATCH($A1881,[1]FG_Begin_Inventory!$A:$A,0)),0),J1880))</f>
        <v/>
      </c>
      <c r="G1881" s="61" t="str">
        <f t="shared" si="206"/>
        <v/>
      </c>
      <c r="H1881" s="61" t="str">
        <f t="shared" si="207"/>
        <v/>
      </c>
      <c r="I1881" s="62" t="str">
        <f t="shared" si="208"/>
        <v/>
      </c>
      <c r="J1881" s="61" t="str">
        <f t="shared" si="209"/>
        <v/>
      </c>
      <c r="K1881" s="61" t="str">
        <f t="shared" si="210"/>
        <v/>
      </c>
      <c r="L1881" s="61" t="str">
        <f t="shared" si="211"/>
        <v/>
      </c>
      <c r="M1881" s="63" t="str">
        <f t="shared" si="212"/>
        <v/>
      </c>
      <c r="N1881" s="64"/>
    </row>
    <row r="1882" spans="1:14" x14ac:dyDescent="0.3">
      <c r="A1882" s="58" t="str">
        <f>IF([1]weekly_demand!A1883="","",[1]weekly_demand!A1883)</f>
        <v/>
      </c>
      <c r="B1882" s="59" t="str">
        <f>IF($A1882="","",[1]weekly_demand!F1883)</f>
        <v/>
      </c>
      <c r="C1882" s="60" t="str">
        <f>IF($A1882="","",[1]weekly_demand!H1883)</f>
        <v/>
      </c>
      <c r="D1882" s="61" t="str">
        <f>IF($A1882="","",IF(SUMIFS([1]Fixture_Capacity_Input!$C:$C,[1]Fixture_Capacity_Input!$A:$A,$B1882,[1]Fixture_Capacity_Input!$B:$B,$C1882)&gt;0,SUMIFS([1]Fixture_Capacity_Input!$C:$C,[1]Fixture_Capacity_Input!$A:$A,$B1882,[1]Fixture_Capacity_Input!$B:$B,$C1882),[1]weekly_demand!G1883))</f>
        <v/>
      </c>
      <c r="E1882" s="62" t="str">
        <f>IF($A1882="","",[1]weekly_demand!I1883)</f>
        <v/>
      </c>
      <c r="F1882" s="61" t="str">
        <f>IF($A1882="","",IF($A1882&lt;&gt;$A1881,IFERROR(INDEX([1]FG_Begin_Inventory!$B:$B,MATCH($A1882,[1]FG_Begin_Inventory!$A:$A,0)),0),J1881))</f>
        <v/>
      </c>
      <c r="G1882" s="61" t="str">
        <f t="shared" si="206"/>
        <v/>
      </c>
      <c r="H1882" s="61" t="str">
        <f t="shared" si="207"/>
        <v/>
      </c>
      <c r="I1882" s="62" t="str">
        <f t="shared" si="208"/>
        <v/>
      </c>
      <c r="J1882" s="61" t="str">
        <f t="shared" si="209"/>
        <v/>
      </c>
      <c r="K1882" s="61" t="str">
        <f t="shared" si="210"/>
        <v/>
      </c>
      <c r="L1882" s="61" t="str">
        <f t="shared" si="211"/>
        <v/>
      </c>
      <c r="M1882" s="63" t="str">
        <f t="shared" si="212"/>
        <v/>
      </c>
      <c r="N1882" s="64"/>
    </row>
    <row r="1883" spans="1:14" x14ac:dyDescent="0.3">
      <c r="A1883" s="58" t="str">
        <f>IF([1]weekly_demand!A1884="","",[1]weekly_demand!A1884)</f>
        <v/>
      </c>
      <c r="B1883" s="59" t="str">
        <f>IF($A1883="","",[1]weekly_demand!F1884)</f>
        <v/>
      </c>
      <c r="C1883" s="60" t="str">
        <f>IF($A1883="","",[1]weekly_demand!H1884)</f>
        <v/>
      </c>
      <c r="D1883" s="61" t="str">
        <f>IF($A1883="","",IF(SUMIFS([1]Fixture_Capacity_Input!$C:$C,[1]Fixture_Capacity_Input!$A:$A,$B1883,[1]Fixture_Capacity_Input!$B:$B,$C1883)&gt;0,SUMIFS([1]Fixture_Capacity_Input!$C:$C,[1]Fixture_Capacity_Input!$A:$A,$B1883,[1]Fixture_Capacity_Input!$B:$B,$C1883),[1]weekly_demand!G1884))</f>
        <v/>
      </c>
      <c r="E1883" s="62" t="str">
        <f>IF($A1883="","",[1]weekly_demand!I1884)</f>
        <v/>
      </c>
      <c r="F1883" s="61" t="str">
        <f>IF($A1883="","",IF($A1883&lt;&gt;$A1882,IFERROR(INDEX([1]FG_Begin_Inventory!$B:$B,MATCH($A1883,[1]FG_Begin_Inventory!$A:$A,0)),0),J1882))</f>
        <v/>
      </c>
      <c r="G1883" s="61" t="str">
        <f t="shared" si="206"/>
        <v/>
      </c>
      <c r="H1883" s="61" t="str">
        <f t="shared" si="207"/>
        <v/>
      </c>
      <c r="I1883" s="62" t="str">
        <f t="shared" si="208"/>
        <v/>
      </c>
      <c r="J1883" s="61" t="str">
        <f t="shared" si="209"/>
        <v/>
      </c>
      <c r="K1883" s="61" t="str">
        <f t="shared" si="210"/>
        <v/>
      </c>
      <c r="L1883" s="61" t="str">
        <f t="shared" si="211"/>
        <v/>
      </c>
      <c r="M1883" s="63" t="str">
        <f t="shared" si="212"/>
        <v/>
      </c>
      <c r="N1883" s="64"/>
    </row>
    <row r="1884" spans="1:14" x14ac:dyDescent="0.3">
      <c r="A1884" s="58" t="str">
        <f>IF([1]weekly_demand!A1885="","",[1]weekly_demand!A1885)</f>
        <v/>
      </c>
      <c r="B1884" s="59" t="str">
        <f>IF($A1884="","",[1]weekly_demand!F1885)</f>
        <v/>
      </c>
      <c r="C1884" s="60" t="str">
        <f>IF($A1884="","",[1]weekly_demand!H1885)</f>
        <v/>
      </c>
      <c r="D1884" s="61" t="str">
        <f>IF($A1884="","",IF(SUMIFS([1]Fixture_Capacity_Input!$C:$C,[1]Fixture_Capacity_Input!$A:$A,$B1884,[1]Fixture_Capacity_Input!$B:$B,$C1884)&gt;0,SUMIFS([1]Fixture_Capacity_Input!$C:$C,[1]Fixture_Capacity_Input!$A:$A,$B1884,[1]Fixture_Capacity_Input!$B:$B,$C1884),[1]weekly_demand!G1885))</f>
        <v/>
      </c>
      <c r="E1884" s="62" t="str">
        <f>IF($A1884="","",[1]weekly_demand!I1885)</f>
        <v/>
      </c>
      <c r="F1884" s="61" t="str">
        <f>IF($A1884="","",IF($A1884&lt;&gt;$A1883,IFERROR(INDEX([1]FG_Begin_Inventory!$B:$B,MATCH($A1884,[1]FG_Begin_Inventory!$A:$A,0)),0),J1883))</f>
        <v/>
      </c>
      <c r="G1884" s="61" t="str">
        <f t="shared" si="206"/>
        <v/>
      </c>
      <c r="H1884" s="61" t="str">
        <f t="shared" si="207"/>
        <v/>
      </c>
      <c r="I1884" s="62" t="str">
        <f t="shared" si="208"/>
        <v/>
      </c>
      <c r="J1884" s="61" t="str">
        <f t="shared" si="209"/>
        <v/>
      </c>
      <c r="K1884" s="61" t="str">
        <f t="shared" si="210"/>
        <v/>
      </c>
      <c r="L1884" s="61" t="str">
        <f t="shared" si="211"/>
        <v/>
      </c>
      <c r="M1884" s="63" t="str">
        <f t="shared" si="212"/>
        <v/>
      </c>
      <c r="N1884" s="64"/>
    </row>
    <row r="1885" spans="1:14" x14ac:dyDescent="0.3">
      <c r="A1885" s="58" t="str">
        <f>IF([1]weekly_demand!A1886="","",[1]weekly_demand!A1886)</f>
        <v/>
      </c>
      <c r="B1885" s="59" t="str">
        <f>IF($A1885="","",[1]weekly_demand!F1886)</f>
        <v/>
      </c>
      <c r="C1885" s="60" t="str">
        <f>IF($A1885="","",[1]weekly_demand!H1886)</f>
        <v/>
      </c>
      <c r="D1885" s="61" t="str">
        <f>IF($A1885="","",IF(SUMIFS([1]Fixture_Capacity_Input!$C:$C,[1]Fixture_Capacity_Input!$A:$A,$B1885,[1]Fixture_Capacity_Input!$B:$B,$C1885)&gt;0,SUMIFS([1]Fixture_Capacity_Input!$C:$C,[1]Fixture_Capacity_Input!$A:$A,$B1885,[1]Fixture_Capacity_Input!$B:$B,$C1885),[1]weekly_demand!G1886))</f>
        <v/>
      </c>
      <c r="E1885" s="62" t="str">
        <f>IF($A1885="","",[1]weekly_demand!I1886)</f>
        <v/>
      </c>
      <c r="F1885" s="61" t="str">
        <f>IF($A1885="","",IF($A1885&lt;&gt;$A1884,IFERROR(INDEX([1]FG_Begin_Inventory!$B:$B,MATCH($A1885,[1]FG_Begin_Inventory!$A:$A,0)),0),J1884))</f>
        <v/>
      </c>
      <c r="G1885" s="61" t="str">
        <f t="shared" si="206"/>
        <v/>
      </c>
      <c r="H1885" s="61" t="str">
        <f t="shared" si="207"/>
        <v/>
      </c>
      <c r="I1885" s="62" t="str">
        <f t="shared" si="208"/>
        <v/>
      </c>
      <c r="J1885" s="61" t="str">
        <f t="shared" si="209"/>
        <v/>
      </c>
      <c r="K1885" s="61" t="str">
        <f t="shared" si="210"/>
        <v/>
      </c>
      <c r="L1885" s="61" t="str">
        <f t="shared" si="211"/>
        <v/>
      </c>
      <c r="M1885" s="63" t="str">
        <f t="shared" si="212"/>
        <v/>
      </c>
      <c r="N1885" s="64"/>
    </row>
    <row r="1886" spans="1:14" x14ac:dyDescent="0.3">
      <c r="A1886" s="58" t="str">
        <f>IF([1]weekly_demand!A1887="","",[1]weekly_demand!A1887)</f>
        <v/>
      </c>
      <c r="B1886" s="59" t="str">
        <f>IF($A1886="","",[1]weekly_demand!F1887)</f>
        <v/>
      </c>
      <c r="C1886" s="60" t="str">
        <f>IF($A1886="","",[1]weekly_demand!H1887)</f>
        <v/>
      </c>
      <c r="D1886" s="61" t="str">
        <f>IF($A1886="","",IF(SUMIFS([1]Fixture_Capacity_Input!$C:$C,[1]Fixture_Capacity_Input!$A:$A,$B1886,[1]Fixture_Capacity_Input!$B:$B,$C1886)&gt;0,SUMIFS([1]Fixture_Capacity_Input!$C:$C,[1]Fixture_Capacity_Input!$A:$A,$B1886,[1]Fixture_Capacity_Input!$B:$B,$C1886),[1]weekly_demand!G1887))</f>
        <v/>
      </c>
      <c r="E1886" s="62" t="str">
        <f>IF($A1886="","",[1]weekly_demand!I1887)</f>
        <v/>
      </c>
      <c r="F1886" s="61" t="str">
        <f>IF($A1886="","",IF($A1886&lt;&gt;$A1885,IFERROR(INDEX([1]FG_Begin_Inventory!$B:$B,MATCH($A1886,[1]FG_Begin_Inventory!$A:$A,0)),0),J1885))</f>
        <v/>
      </c>
      <c r="G1886" s="61" t="str">
        <f t="shared" si="206"/>
        <v/>
      </c>
      <c r="H1886" s="61" t="str">
        <f t="shared" si="207"/>
        <v/>
      </c>
      <c r="I1886" s="62" t="str">
        <f t="shared" si="208"/>
        <v/>
      </c>
      <c r="J1886" s="61" t="str">
        <f t="shared" si="209"/>
        <v/>
      </c>
      <c r="K1886" s="61" t="str">
        <f t="shared" si="210"/>
        <v/>
      </c>
      <c r="L1886" s="61" t="str">
        <f t="shared" si="211"/>
        <v/>
      </c>
      <c r="M1886" s="63" t="str">
        <f t="shared" si="212"/>
        <v/>
      </c>
      <c r="N1886" s="64"/>
    </row>
    <row r="1887" spans="1:14" x14ac:dyDescent="0.3">
      <c r="A1887" s="58" t="str">
        <f>IF([1]weekly_demand!A1888="","",[1]weekly_demand!A1888)</f>
        <v/>
      </c>
      <c r="B1887" s="59" t="str">
        <f>IF($A1887="","",[1]weekly_demand!F1888)</f>
        <v/>
      </c>
      <c r="C1887" s="60" t="str">
        <f>IF($A1887="","",[1]weekly_demand!H1888)</f>
        <v/>
      </c>
      <c r="D1887" s="61" t="str">
        <f>IF($A1887="","",IF(SUMIFS([1]Fixture_Capacity_Input!$C:$C,[1]Fixture_Capacity_Input!$A:$A,$B1887,[1]Fixture_Capacity_Input!$B:$B,$C1887)&gt;0,SUMIFS([1]Fixture_Capacity_Input!$C:$C,[1]Fixture_Capacity_Input!$A:$A,$B1887,[1]Fixture_Capacity_Input!$B:$B,$C1887),[1]weekly_demand!G1888))</f>
        <v/>
      </c>
      <c r="E1887" s="62" t="str">
        <f>IF($A1887="","",[1]weekly_demand!I1888)</f>
        <v/>
      </c>
      <c r="F1887" s="61" t="str">
        <f>IF($A1887="","",IF($A1887&lt;&gt;$A1886,IFERROR(INDEX([1]FG_Begin_Inventory!$B:$B,MATCH($A1887,[1]FG_Begin_Inventory!$A:$A,0)),0),J1886))</f>
        <v/>
      </c>
      <c r="G1887" s="61" t="str">
        <f t="shared" si="206"/>
        <v/>
      </c>
      <c r="H1887" s="61" t="str">
        <f t="shared" si="207"/>
        <v/>
      </c>
      <c r="I1887" s="62" t="str">
        <f t="shared" si="208"/>
        <v/>
      </c>
      <c r="J1887" s="61" t="str">
        <f t="shared" si="209"/>
        <v/>
      </c>
      <c r="K1887" s="61" t="str">
        <f t="shared" si="210"/>
        <v/>
      </c>
      <c r="L1887" s="61" t="str">
        <f t="shared" si="211"/>
        <v/>
      </c>
      <c r="M1887" s="63" t="str">
        <f t="shared" si="212"/>
        <v/>
      </c>
      <c r="N1887" s="64"/>
    </row>
    <row r="1888" spans="1:14" x14ac:dyDescent="0.3">
      <c r="A1888" s="58" t="str">
        <f>IF([1]weekly_demand!A1889="","",[1]weekly_demand!A1889)</f>
        <v/>
      </c>
      <c r="B1888" s="59" t="str">
        <f>IF($A1888="","",[1]weekly_demand!F1889)</f>
        <v/>
      </c>
      <c r="C1888" s="60" t="str">
        <f>IF($A1888="","",[1]weekly_demand!H1889)</f>
        <v/>
      </c>
      <c r="D1888" s="61" t="str">
        <f>IF($A1888="","",IF(SUMIFS([1]Fixture_Capacity_Input!$C:$C,[1]Fixture_Capacity_Input!$A:$A,$B1888,[1]Fixture_Capacity_Input!$B:$B,$C1888)&gt;0,SUMIFS([1]Fixture_Capacity_Input!$C:$C,[1]Fixture_Capacity_Input!$A:$A,$B1888,[1]Fixture_Capacity_Input!$B:$B,$C1888),[1]weekly_demand!G1889))</f>
        <v/>
      </c>
      <c r="E1888" s="62" t="str">
        <f>IF($A1888="","",[1]weekly_demand!I1889)</f>
        <v/>
      </c>
      <c r="F1888" s="61" t="str">
        <f>IF($A1888="","",IF($A1888&lt;&gt;$A1887,IFERROR(INDEX([1]FG_Begin_Inventory!$B:$B,MATCH($A1888,[1]FG_Begin_Inventory!$A:$A,0)),0),J1887))</f>
        <v/>
      </c>
      <c r="G1888" s="61" t="str">
        <f t="shared" si="206"/>
        <v/>
      </c>
      <c r="H1888" s="61" t="str">
        <f t="shared" si="207"/>
        <v/>
      </c>
      <c r="I1888" s="62" t="str">
        <f t="shared" si="208"/>
        <v/>
      </c>
      <c r="J1888" s="61" t="str">
        <f t="shared" si="209"/>
        <v/>
      </c>
      <c r="K1888" s="61" t="str">
        <f t="shared" si="210"/>
        <v/>
      </c>
      <c r="L1888" s="61" t="str">
        <f t="shared" si="211"/>
        <v/>
      </c>
      <c r="M1888" s="63" t="str">
        <f t="shared" si="212"/>
        <v/>
      </c>
      <c r="N1888" s="64"/>
    </row>
    <row r="1889" spans="1:14" x14ac:dyDescent="0.3">
      <c r="A1889" s="58" t="str">
        <f>IF([1]weekly_demand!A1890="","",[1]weekly_demand!A1890)</f>
        <v/>
      </c>
      <c r="B1889" s="59" t="str">
        <f>IF($A1889="","",[1]weekly_demand!F1890)</f>
        <v/>
      </c>
      <c r="C1889" s="60" t="str">
        <f>IF($A1889="","",[1]weekly_demand!H1890)</f>
        <v/>
      </c>
      <c r="D1889" s="61" t="str">
        <f>IF($A1889="","",IF(SUMIFS([1]Fixture_Capacity_Input!$C:$C,[1]Fixture_Capacity_Input!$A:$A,$B1889,[1]Fixture_Capacity_Input!$B:$B,$C1889)&gt;0,SUMIFS([1]Fixture_Capacity_Input!$C:$C,[1]Fixture_Capacity_Input!$A:$A,$B1889,[1]Fixture_Capacity_Input!$B:$B,$C1889),[1]weekly_demand!G1890))</f>
        <v/>
      </c>
      <c r="E1889" s="62" t="str">
        <f>IF($A1889="","",[1]weekly_demand!I1890)</f>
        <v/>
      </c>
      <c r="F1889" s="61" t="str">
        <f>IF($A1889="","",IF($A1889&lt;&gt;$A1888,IFERROR(INDEX([1]FG_Begin_Inventory!$B:$B,MATCH($A1889,[1]FG_Begin_Inventory!$A:$A,0)),0),J1888))</f>
        <v/>
      </c>
      <c r="G1889" s="61" t="str">
        <f t="shared" si="206"/>
        <v/>
      </c>
      <c r="H1889" s="61" t="str">
        <f t="shared" si="207"/>
        <v/>
      </c>
      <c r="I1889" s="62" t="str">
        <f t="shared" si="208"/>
        <v/>
      </c>
      <c r="J1889" s="61" t="str">
        <f t="shared" si="209"/>
        <v/>
      </c>
      <c r="K1889" s="61" t="str">
        <f t="shared" si="210"/>
        <v/>
      </c>
      <c r="L1889" s="61" t="str">
        <f t="shared" si="211"/>
        <v/>
      </c>
      <c r="M1889" s="63" t="str">
        <f t="shared" si="212"/>
        <v/>
      </c>
      <c r="N1889" s="64"/>
    </row>
    <row r="1890" spans="1:14" x14ac:dyDescent="0.3">
      <c r="A1890" s="58" t="str">
        <f>IF([1]weekly_demand!A1891="","",[1]weekly_demand!A1891)</f>
        <v/>
      </c>
      <c r="B1890" s="59" t="str">
        <f>IF($A1890="","",[1]weekly_demand!F1891)</f>
        <v/>
      </c>
      <c r="C1890" s="60" t="str">
        <f>IF($A1890="","",[1]weekly_demand!H1891)</f>
        <v/>
      </c>
      <c r="D1890" s="61" t="str">
        <f>IF($A1890="","",IF(SUMIFS([1]Fixture_Capacity_Input!$C:$C,[1]Fixture_Capacity_Input!$A:$A,$B1890,[1]Fixture_Capacity_Input!$B:$B,$C1890)&gt;0,SUMIFS([1]Fixture_Capacity_Input!$C:$C,[1]Fixture_Capacity_Input!$A:$A,$B1890,[1]Fixture_Capacity_Input!$B:$B,$C1890),[1]weekly_demand!G1891))</f>
        <v/>
      </c>
      <c r="E1890" s="62" t="str">
        <f>IF($A1890="","",[1]weekly_demand!I1891)</f>
        <v/>
      </c>
      <c r="F1890" s="61" t="str">
        <f>IF($A1890="","",IF($A1890&lt;&gt;$A1889,IFERROR(INDEX([1]FG_Begin_Inventory!$B:$B,MATCH($A1890,[1]FG_Begin_Inventory!$A:$A,0)),0),J1889))</f>
        <v/>
      </c>
      <c r="G1890" s="61" t="str">
        <f t="shared" si="206"/>
        <v/>
      </c>
      <c r="H1890" s="61" t="str">
        <f t="shared" si="207"/>
        <v/>
      </c>
      <c r="I1890" s="62" t="str">
        <f t="shared" si="208"/>
        <v/>
      </c>
      <c r="J1890" s="61" t="str">
        <f t="shared" si="209"/>
        <v/>
      </c>
      <c r="K1890" s="61" t="str">
        <f t="shared" si="210"/>
        <v/>
      </c>
      <c r="L1890" s="61" t="str">
        <f t="shared" si="211"/>
        <v/>
      </c>
      <c r="M1890" s="63" t="str">
        <f t="shared" si="212"/>
        <v/>
      </c>
      <c r="N1890" s="64"/>
    </row>
    <row r="1891" spans="1:14" x14ac:dyDescent="0.3">
      <c r="A1891" s="58" t="str">
        <f>IF([1]weekly_demand!A1892="","",[1]weekly_demand!A1892)</f>
        <v/>
      </c>
      <c r="B1891" s="59" t="str">
        <f>IF($A1891="","",[1]weekly_demand!F1892)</f>
        <v/>
      </c>
      <c r="C1891" s="60" t="str">
        <f>IF($A1891="","",[1]weekly_demand!H1892)</f>
        <v/>
      </c>
      <c r="D1891" s="61" t="str">
        <f>IF($A1891="","",IF(SUMIFS([1]Fixture_Capacity_Input!$C:$C,[1]Fixture_Capacity_Input!$A:$A,$B1891,[1]Fixture_Capacity_Input!$B:$B,$C1891)&gt;0,SUMIFS([1]Fixture_Capacity_Input!$C:$C,[1]Fixture_Capacity_Input!$A:$A,$B1891,[1]Fixture_Capacity_Input!$B:$B,$C1891),[1]weekly_demand!G1892))</f>
        <v/>
      </c>
      <c r="E1891" s="62" t="str">
        <f>IF($A1891="","",[1]weekly_demand!I1892)</f>
        <v/>
      </c>
      <c r="F1891" s="61" t="str">
        <f>IF($A1891="","",IF($A1891&lt;&gt;$A1890,IFERROR(INDEX([1]FG_Begin_Inventory!$B:$B,MATCH($A1891,[1]FG_Begin_Inventory!$A:$A,0)),0),J1890))</f>
        <v/>
      </c>
      <c r="G1891" s="61" t="str">
        <f t="shared" si="206"/>
        <v/>
      </c>
      <c r="H1891" s="61" t="str">
        <f t="shared" si="207"/>
        <v/>
      </c>
      <c r="I1891" s="62" t="str">
        <f t="shared" si="208"/>
        <v/>
      </c>
      <c r="J1891" s="61" t="str">
        <f t="shared" si="209"/>
        <v/>
      </c>
      <c r="K1891" s="61" t="str">
        <f t="shared" si="210"/>
        <v/>
      </c>
      <c r="L1891" s="61" t="str">
        <f t="shared" si="211"/>
        <v/>
      </c>
      <c r="M1891" s="63" t="str">
        <f t="shared" si="212"/>
        <v/>
      </c>
      <c r="N1891" s="64"/>
    </row>
    <row r="1892" spans="1:14" x14ac:dyDescent="0.3">
      <c r="A1892" s="58" t="str">
        <f>IF([1]weekly_demand!A1893="","",[1]weekly_demand!A1893)</f>
        <v/>
      </c>
      <c r="B1892" s="59" t="str">
        <f>IF($A1892="","",[1]weekly_demand!F1893)</f>
        <v/>
      </c>
      <c r="C1892" s="60" t="str">
        <f>IF($A1892="","",[1]weekly_demand!H1893)</f>
        <v/>
      </c>
      <c r="D1892" s="61" t="str">
        <f>IF($A1892="","",IF(SUMIFS([1]Fixture_Capacity_Input!$C:$C,[1]Fixture_Capacity_Input!$A:$A,$B1892,[1]Fixture_Capacity_Input!$B:$B,$C1892)&gt;0,SUMIFS([1]Fixture_Capacity_Input!$C:$C,[1]Fixture_Capacity_Input!$A:$A,$B1892,[1]Fixture_Capacity_Input!$B:$B,$C1892),[1]weekly_demand!G1893))</f>
        <v/>
      </c>
      <c r="E1892" s="62" t="str">
        <f>IF($A1892="","",[1]weekly_demand!I1893)</f>
        <v/>
      </c>
      <c r="F1892" s="61" t="str">
        <f>IF($A1892="","",IF($A1892&lt;&gt;$A1891,IFERROR(INDEX([1]FG_Begin_Inventory!$B:$B,MATCH($A1892,[1]FG_Begin_Inventory!$A:$A,0)),0),J1891))</f>
        <v/>
      </c>
      <c r="G1892" s="61" t="str">
        <f t="shared" si="206"/>
        <v/>
      </c>
      <c r="H1892" s="61" t="str">
        <f t="shared" si="207"/>
        <v/>
      </c>
      <c r="I1892" s="62" t="str">
        <f t="shared" si="208"/>
        <v/>
      </c>
      <c r="J1892" s="61" t="str">
        <f t="shared" si="209"/>
        <v/>
      </c>
      <c r="K1892" s="61" t="str">
        <f t="shared" si="210"/>
        <v/>
      </c>
      <c r="L1892" s="61" t="str">
        <f t="shared" si="211"/>
        <v/>
      </c>
      <c r="M1892" s="63" t="str">
        <f t="shared" si="212"/>
        <v/>
      </c>
      <c r="N1892" s="64"/>
    </row>
    <row r="1893" spans="1:14" x14ac:dyDescent="0.3">
      <c r="A1893" s="58" t="str">
        <f>IF([1]weekly_demand!A1894="","",[1]weekly_demand!A1894)</f>
        <v/>
      </c>
      <c r="B1893" s="59" t="str">
        <f>IF($A1893="","",[1]weekly_demand!F1894)</f>
        <v/>
      </c>
      <c r="C1893" s="60" t="str">
        <f>IF($A1893="","",[1]weekly_demand!H1894)</f>
        <v/>
      </c>
      <c r="D1893" s="61" t="str">
        <f>IF($A1893="","",IF(SUMIFS([1]Fixture_Capacity_Input!$C:$C,[1]Fixture_Capacity_Input!$A:$A,$B1893,[1]Fixture_Capacity_Input!$B:$B,$C1893)&gt;0,SUMIFS([1]Fixture_Capacity_Input!$C:$C,[1]Fixture_Capacity_Input!$A:$A,$B1893,[1]Fixture_Capacity_Input!$B:$B,$C1893),[1]weekly_demand!G1894))</f>
        <v/>
      </c>
      <c r="E1893" s="62" t="str">
        <f>IF($A1893="","",[1]weekly_demand!I1894)</f>
        <v/>
      </c>
      <c r="F1893" s="61" t="str">
        <f>IF($A1893="","",IF($A1893&lt;&gt;$A1892,IFERROR(INDEX([1]FG_Begin_Inventory!$B:$B,MATCH($A1893,[1]FG_Begin_Inventory!$A:$A,0)),0),J1892))</f>
        <v/>
      </c>
      <c r="G1893" s="61" t="str">
        <f t="shared" si="206"/>
        <v/>
      </c>
      <c r="H1893" s="61" t="str">
        <f t="shared" si="207"/>
        <v/>
      </c>
      <c r="I1893" s="62" t="str">
        <f t="shared" si="208"/>
        <v/>
      </c>
      <c r="J1893" s="61" t="str">
        <f t="shared" si="209"/>
        <v/>
      </c>
      <c r="K1893" s="61" t="str">
        <f t="shared" si="210"/>
        <v/>
      </c>
      <c r="L1893" s="61" t="str">
        <f t="shared" si="211"/>
        <v/>
      </c>
      <c r="M1893" s="63" t="str">
        <f t="shared" si="212"/>
        <v/>
      </c>
      <c r="N1893" s="64"/>
    </row>
    <row r="1894" spans="1:14" x14ac:dyDescent="0.3">
      <c r="A1894" s="58" t="str">
        <f>IF([1]weekly_demand!A1895="","",[1]weekly_demand!A1895)</f>
        <v/>
      </c>
      <c r="B1894" s="59" t="str">
        <f>IF($A1894="","",[1]weekly_demand!F1895)</f>
        <v/>
      </c>
      <c r="C1894" s="60" t="str">
        <f>IF($A1894="","",[1]weekly_demand!H1895)</f>
        <v/>
      </c>
      <c r="D1894" s="61" t="str">
        <f>IF($A1894="","",IF(SUMIFS([1]Fixture_Capacity_Input!$C:$C,[1]Fixture_Capacity_Input!$A:$A,$B1894,[1]Fixture_Capacity_Input!$B:$B,$C1894)&gt;0,SUMIFS([1]Fixture_Capacity_Input!$C:$C,[1]Fixture_Capacity_Input!$A:$A,$B1894,[1]Fixture_Capacity_Input!$B:$B,$C1894),[1]weekly_demand!G1895))</f>
        <v/>
      </c>
      <c r="E1894" s="62" t="str">
        <f>IF($A1894="","",[1]weekly_demand!I1895)</f>
        <v/>
      </c>
      <c r="F1894" s="61" t="str">
        <f>IF($A1894="","",IF($A1894&lt;&gt;$A1893,IFERROR(INDEX([1]FG_Begin_Inventory!$B:$B,MATCH($A1894,[1]FG_Begin_Inventory!$A:$A,0)),0),J1893))</f>
        <v/>
      </c>
      <c r="G1894" s="61" t="str">
        <f t="shared" si="206"/>
        <v/>
      </c>
      <c r="H1894" s="61" t="str">
        <f t="shared" si="207"/>
        <v/>
      </c>
      <c r="I1894" s="62" t="str">
        <f t="shared" si="208"/>
        <v/>
      </c>
      <c r="J1894" s="61" t="str">
        <f t="shared" si="209"/>
        <v/>
      </c>
      <c r="K1894" s="61" t="str">
        <f t="shared" si="210"/>
        <v/>
      </c>
      <c r="L1894" s="61" t="str">
        <f t="shared" si="211"/>
        <v/>
      </c>
      <c r="M1894" s="63" t="str">
        <f t="shared" si="212"/>
        <v/>
      </c>
      <c r="N1894" s="64"/>
    </row>
    <row r="1895" spans="1:14" x14ac:dyDescent="0.3">
      <c r="A1895" s="58" t="str">
        <f>IF([1]weekly_demand!A1896="","",[1]weekly_demand!A1896)</f>
        <v/>
      </c>
      <c r="B1895" s="59" t="str">
        <f>IF($A1895="","",[1]weekly_demand!F1896)</f>
        <v/>
      </c>
      <c r="C1895" s="60" t="str">
        <f>IF($A1895="","",[1]weekly_demand!H1896)</f>
        <v/>
      </c>
      <c r="D1895" s="61" t="str">
        <f>IF($A1895="","",IF(SUMIFS([1]Fixture_Capacity_Input!$C:$C,[1]Fixture_Capacity_Input!$A:$A,$B1895,[1]Fixture_Capacity_Input!$B:$B,$C1895)&gt;0,SUMIFS([1]Fixture_Capacity_Input!$C:$C,[1]Fixture_Capacity_Input!$A:$A,$B1895,[1]Fixture_Capacity_Input!$B:$B,$C1895),[1]weekly_demand!G1896))</f>
        <v/>
      </c>
      <c r="E1895" s="62" t="str">
        <f>IF($A1895="","",[1]weekly_demand!I1896)</f>
        <v/>
      </c>
      <c r="F1895" s="61" t="str">
        <f>IF($A1895="","",IF($A1895&lt;&gt;$A1894,IFERROR(INDEX([1]FG_Begin_Inventory!$B:$B,MATCH($A1895,[1]FG_Begin_Inventory!$A:$A,0)),0),J1894))</f>
        <v/>
      </c>
      <c r="G1895" s="61" t="str">
        <f t="shared" si="206"/>
        <v/>
      </c>
      <c r="H1895" s="61" t="str">
        <f t="shared" si="207"/>
        <v/>
      </c>
      <c r="I1895" s="62" t="str">
        <f t="shared" si="208"/>
        <v/>
      </c>
      <c r="J1895" s="61" t="str">
        <f t="shared" si="209"/>
        <v/>
      </c>
      <c r="K1895" s="61" t="str">
        <f t="shared" si="210"/>
        <v/>
      </c>
      <c r="L1895" s="61" t="str">
        <f t="shared" si="211"/>
        <v/>
      </c>
      <c r="M1895" s="63" t="str">
        <f t="shared" si="212"/>
        <v/>
      </c>
      <c r="N1895" s="64"/>
    </row>
    <row r="1896" spans="1:14" x14ac:dyDescent="0.3">
      <c r="A1896" s="58" t="str">
        <f>IF([1]weekly_demand!A1897="","",[1]weekly_demand!A1897)</f>
        <v/>
      </c>
      <c r="B1896" s="59" t="str">
        <f>IF($A1896="","",[1]weekly_demand!F1897)</f>
        <v/>
      </c>
      <c r="C1896" s="60" t="str">
        <f>IF($A1896="","",[1]weekly_demand!H1897)</f>
        <v/>
      </c>
      <c r="D1896" s="61" t="str">
        <f>IF($A1896="","",IF(SUMIFS([1]Fixture_Capacity_Input!$C:$C,[1]Fixture_Capacity_Input!$A:$A,$B1896,[1]Fixture_Capacity_Input!$B:$B,$C1896)&gt;0,SUMIFS([1]Fixture_Capacity_Input!$C:$C,[1]Fixture_Capacity_Input!$A:$A,$B1896,[1]Fixture_Capacity_Input!$B:$B,$C1896),[1]weekly_demand!G1897))</f>
        <v/>
      </c>
      <c r="E1896" s="62" t="str">
        <f>IF($A1896="","",[1]weekly_demand!I1897)</f>
        <v/>
      </c>
      <c r="F1896" s="61" t="str">
        <f>IF($A1896="","",IF($A1896&lt;&gt;$A1895,IFERROR(INDEX([1]FG_Begin_Inventory!$B:$B,MATCH($A1896,[1]FG_Begin_Inventory!$A:$A,0)),0),J1895))</f>
        <v/>
      </c>
      <c r="G1896" s="61" t="str">
        <f t="shared" si="206"/>
        <v/>
      </c>
      <c r="H1896" s="61" t="str">
        <f t="shared" si="207"/>
        <v/>
      </c>
      <c r="I1896" s="62" t="str">
        <f t="shared" si="208"/>
        <v/>
      </c>
      <c r="J1896" s="61" t="str">
        <f t="shared" si="209"/>
        <v/>
      </c>
      <c r="K1896" s="61" t="str">
        <f t="shared" si="210"/>
        <v/>
      </c>
      <c r="L1896" s="61" t="str">
        <f t="shared" si="211"/>
        <v/>
      </c>
      <c r="M1896" s="63" t="str">
        <f t="shared" si="212"/>
        <v/>
      </c>
      <c r="N1896" s="64"/>
    </row>
    <row r="1897" spans="1:14" x14ac:dyDescent="0.3">
      <c r="A1897" s="58" t="str">
        <f>IF([1]weekly_demand!A1898="","",[1]weekly_demand!A1898)</f>
        <v/>
      </c>
      <c r="B1897" s="59" t="str">
        <f>IF($A1897="","",[1]weekly_demand!F1898)</f>
        <v/>
      </c>
      <c r="C1897" s="60" t="str">
        <f>IF($A1897="","",[1]weekly_demand!H1898)</f>
        <v/>
      </c>
      <c r="D1897" s="61" t="str">
        <f>IF($A1897="","",IF(SUMIFS([1]Fixture_Capacity_Input!$C:$C,[1]Fixture_Capacity_Input!$A:$A,$B1897,[1]Fixture_Capacity_Input!$B:$B,$C1897)&gt;0,SUMIFS([1]Fixture_Capacity_Input!$C:$C,[1]Fixture_Capacity_Input!$A:$A,$B1897,[1]Fixture_Capacity_Input!$B:$B,$C1897),[1]weekly_demand!G1898))</f>
        <v/>
      </c>
      <c r="E1897" s="62" t="str">
        <f>IF($A1897="","",[1]weekly_demand!I1898)</f>
        <v/>
      </c>
      <c r="F1897" s="61" t="str">
        <f>IF($A1897="","",IF($A1897&lt;&gt;$A1896,IFERROR(INDEX([1]FG_Begin_Inventory!$B:$B,MATCH($A1897,[1]FG_Begin_Inventory!$A:$A,0)),0),J1896))</f>
        <v/>
      </c>
      <c r="G1897" s="61" t="str">
        <f t="shared" si="206"/>
        <v/>
      </c>
      <c r="H1897" s="61" t="str">
        <f t="shared" si="207"/>
        <v/>
      </c>
      <c r="I1897" s="62" t="str">
        <f t="shared" si="208"/>
        <v/>
      </c>
      <c r="J1897" s="61" t="str">
        <f t="shared" si="209"/>
        <v/>
      </c>
      <c r="K1897" s="61" t="str">
        <f t="shared" si="210"/>
        <v/>
      </c>
      <c r="L1897" s="61" t="str">
        <f t="shared" si="211"/>
        <v/>
      </c>
      <c r="M1897" s="63" t="str">
        <f t="shared" si="212"/>
        <v/>
      </c>
      <c r="N1897" s="64"/>
    </row>
    <row r="1898" spans="1:14" x14ac:dyDescent="0.3">
      <c r="A1898" s="58" t="str">
        <f>IF([1]weekly_demand!A1899="","",[1]weekly_demand!A1899)</f>
        <v/>
      </c>
      <c r="B1898" s="59" t="str">
        <f>IF($A1898="","",[1]weekly_demand!F1899)</f>
        <v/>
      </c>
      <c r="C1898" s="60" t="str">
        <f>IF($A1898="","",[1]weekly_demand!H1899)</f>
        <v/>
      </c>
      <c r="D1898" s="61" t="str">
        <f>IF($A1898="","",IF(SUMIFS([1]Fixture_Capacity_Input!$C:$C,[1]Fixture_Capacity_Input!$A:$A,$B1898,[1]Fixture_Capacity_Input!$B:$B,$C1898)&gt;0,SUMIFS([1]Fixture_Capacity_Input!$C:$C,[1]Fixture_Capacity_Input!$A:$A,$B1898,[1]Fixture_Capacity_Input!$B:$B,$C1898),[1]weekly_demand!G1899))</f>
        <v/>
      </c>
      <c r="E1898" s="62" t="str">
        <f>IF($A1898="","",[1]weekly_demand!I1899)</f>
        <v/>
      </c>
      <c r="F1898" s="61" t="str">
        <f>IF($A1898="","",IF($A1898&lt;&gt;$A1897,IFERROR(INDEX([1]FG_Begin_Inventory!$B:$B,MATCH($A1898,[1]FG_Begin_Inventory!$A:$A,0)),0),J1897))</f>
        <v/>
      </c>
      <c r="G1898" s="61" t="str">
        <f t="shared" si="206"/>
        <v/>
      </c>
      <c r="H1898" s="61" t="str">
        <f t="shared" si="207"/>
        <v/>
      </c>
      <c r="I1898" s="62" t="str">
        <f t="shared" si="208"/>
        <v/>
      </c>
      <c r="J1898" s="61" t="str">
        <f t="shared" si="209"/>
        <v/>
      </c>
      <c r="K1898" s="61" t="str">
        <f t="shared" si="210"/>
        <v/>
      </c>
      <c r="L1898" s="61" t="str">
        <f t="shared" si="211"/>
        <v/>
      </c>
      <c r="M1898" s="63" t="str">
        <f t="shared" si="212"/>
        <v/>
      </c>
      <c r="N1898" s="64"/>
    </row>
    <row r="1899" spans="1:14" x14ac:dyDescent="0.3">
      <c r="A1899" s="58" t="str">
        <f>IF([1]weekly_demand!A1900="","",[1]weekly_demand!A1900)</f>
        <v/>
      </c>
      <c r="B1899" s="59" t="str">
        <f>IF($A1899="","",[1]weekly_demand!F1900)</f>
        <v/>
      </c>
      <c r="C1899" s="60" t="str">
        <f>IF($A1899="","",[1]weekly_demand!H1900)</f>
        <v/>
      </c>
      <c r="D1899" s="61" t="str">
        <f>IF($A1899="","",IF(SUMIFS([1]Fixture_Capacity_Input!$C:$C,[1]Fixture_Capacity_Input!$A:$A,$B1899,[1]Fixture_Capacity_Input!$B:$B,$C1899)&gt;0,SUMIFS([1]Fixture_Capacity_Input!$C:$C,[1]Fixture_Capacity_Input!$A:$A,$B1899,[1]Fixture_Capacity_Input!$B:$B,$C1899),[1]weekly_demand!G1900))</f>
        <v/>
      </c>
      <c r="E1899" s="62" t="str">
        <f>IF($A1899="","",[1]weekly_demand!I1900)</f>
        <v/>
      </c>
      <c r="F1899" s="61" t="str">
        <f>IF($A1899="","",IF($A1899&lt;&gt;$A1898,IFERROR(INDEX([1]FG_Begin_Inventory!$B:$B,MATCH($A1899,[1]FG_Begin_Inventory!$A:$A,0)),0),J1898))</f>
        <v/>
      </c>
      <c r="G1899" s="61" t="str">
        <f t="shared" si="206"/>
        <v/>
      </c>
      <c r="H1899" s="61" t="str">
        <f t="shared" si="207"/>
        <v/>
      </c>
      <c r="I1899" s="62" t="str">
        <f t="shared" si="208"/>
        <v/>
      </c>
      <c r="J1899" s="61" t="str">
        <f t="shared" si="209"/>
        <v/>
      </c>
      <c r="K1899" s="61" t="str">
        <f t="shared" si="210"/>
        <v/>
      </c>
      <c r="L1899" s="61" t="str">
        <f t="shared" si="211"/>
        <v/>
      </c>
      <c r="M1899" s="63" t="str">
        <f t="shared" si="212"/>
        <v/>
      </c>
      <c r="N1899" s="64"/>
    </row>
    <row r="1900" spans="1:14" x14ac:dyDescent="0.3">
      <c r="A1900" s="58" t="str">
        <f>IF([1]weekly_demand!A1901="","",[1]weekly_demand!A1901)</f>
        <v/>
      </c>
      <c r="B1900" s="59" t="str">
        <f>IF($A1900="","",[1]weekly_demand!F1901)</f>
        <v/>
      </c>
      <c r="C1900" s="60" t="str">
        <f>IF($A1900="","",[1]weekly_demand!H1901)</f>
        <v/>
      </c>
      <c r="D1900" s="61" t="str">
        <f>IF($A1900="","",IF(SUMIFS([1]Fixture_Capacity_Input!$C:$C,[1]Fixture_Capacity_Input!$A:$A,$B1900,[1]Fixture_Capacity_Input!$B:$B,$C1900)&gt;0,SUMIFS([1]Fixture_Capacity_Input!$C:$C,[1]Fixture_Capacity_Input!$A:$A,$B1900,[1]Fixture_Capacity_Input!$B:$B,$C1900),[1]weekly_demand!G1901))</f>
        <v/>
      </c>
      <c r="E1900" s="62" t="str">
        <f>IF($A1900="","",[1]weekly_demand!I1901)</f>
        <v/>
      </c>
      <c r="F1900" s="61" t="str">
        <f>IF($A1900="","",IF($A1900&lt;&gt;$A1899,IFERROR(INDEX([1]FG_Begin_Inventory!$B:$B,MATCH($A1900,[1]FG_Begin_Inventory!$A:$A,0)),0),J1899))</f>
        <v/>
      </c>
      <c r="G1900" s="61" t="str">
        <f t="shared" si="206"/>
        <v/>
      </c>
      <c r="H1900" s="61" t="str">
        <f t="shared" si="207"/>
        <v/>
      </c>
      <c r="I1900" s="62" t="str">
        <f t="shared" si="208"/>
        <v/>
      </c>
      <c r="J1900" s="61" t="str">
        <f t="shared" si="209"/>
        <v/>
      </c>
      <c r="K1900" s="61" t="str">
        <f t="shared" si="210"/>
        <v/>
      </c>
      <c r="L1900" s="61" t="str">
        <f t="shared" si="211"/>
        <v/>
      </c>
      <c r="M1900" s="63" t="str">
        <f t="shared" si="212"/>
        <v/>
      </c>
      <c r="N1900" s="64"/>
    </row>
    <row r="1901" spans="1:14" x14ac:dyDescent="0.3">
      <c r="A1901" s="58" t="str">
        <f>IF([1]weekly_demand!A1902="","",[1]weekly_demand!A1902)</f>
        <v/>
      </c>
      <c r="B1901" s="59" t="str">
        <f>IF($A1901="","",[1]weekly_demand!F1902)</f>
        <v/>
      </c>
      <c r="C1901" s="60" t="str">
        <f>IF($A1901="","",[1]weekly_demand!H1902)</f>
        <v/>
      </c>
      <c r="D1901" s="61" t="str">
        <f>IF($A1901="","",IF(SUMIFS([1]Fixture_Capacity_Input!$C:$C,[1]Fixture_Capacity_Input!$A:$A,$B1901,[1]Fixture_Capacity_Input!$B:$B,$C1901)&gt;0,SUMIFS([1]Fixture_Capacity_Input!$C:$C,[1]Fixture_Capacity_Input!$A:$A,$B1901,[1]Fixture_Capacity_Input!$B:$B,$C1901),[1]weekly_demand!G1902))</f>
        <v/>
      </c>
      <c r="E1901" s="62" t="str">
        <f>IF($A1901="","",[1]weekly_demand!I1902)</f>
        <v/>
      </c>
      <c r="F1901" s="61" t="str">
        <f>IF($A1901="","",IF($A1901&lt;&gt;$A1900,IFERROR(INDEX([1]FG_Begin_Inventory!$B:$B,MATCH($A1901,[1]FG_Begin_Inventory!$A:$A,0)),0),J1900))</f>
        <v/>
      </c>
      <c r="G1901" s="61" t="str">
        <f t="shared" si="206"/>
        <v/>
      </c>
      <c r="H1901" s="61" t="str">
        <f t="shared" si="207"/>
        <v/>
      </c>
      <c r="I1901" s="62" t="str">
        <f t="shared" si="208"/>
        <v/>
      </c>
      <c r="J1901" s="61" t="str">
        <f t="shared" si="209"/>
        <v/>
      </c>
      <c r="K1901" s="61" t="str">
        <f t="shared" si="210"/>
        <v/>
      </c>
      <c r="L1901" s="61" t="str">
        <f t="shared" si="211"/>
        <v/>
      </c>
      <c r="M1901" s="63" t="str">
        <f t="shared" si="212"/>
        <v/>
      </c>
      <c r="N1901" s="64"/>
    </row>
    <row r="1902" spans="1:14" x14ac:dyDescent="0.3">
      <c r="A1902" s="58" t="str">
        <f>IF([1]weekly_demand!A1903="","",[1]weekly_demand!A1903)</f>
        <v/>
      </c>
      <c r="B1902" s="59" t="str">
        <f>IF($A1902="","",[1]weekly_demand!F1903)</f>
        <v/>
      </c>
      <c r="C1902" s="60" t="str">
        <f>IF($A1902="","",[1]weekly_demand!H1903)</f>
        <v/>
      </c>
      <c r="D1902" s="61" t="str">
        <f>IF($A1902="","",IF(SUMIFS([1]Fixture_Capacity_Input!$C:$C,[1]Fixture_Capacity_Input!$A:$A,$B1902,[1]Fixture_Capacity_Input!$B:$B,$C1902)&gt;0,SUMIFS([1]Fixture_Capacity_Input!$C:$C,[1]Fixture_Capacity_Input!$A:$A,$B1902,[1]Fixture_Capacity_Input!$B:$B,$C1902),[1]weekly_demand!G1903))</f>
        <v/>
      </c>
      <c r="E1902" s="62" t="str">
        <f>IF($A1902="","",[1]weekly_demand!I1903)</f>
        <v/>
      </c>
      <c r="F1902" s="61" t="str">
        <f>IF($A1902="","",IF($A1902&lt;&gt;$A1901,IFERROR(INDEX([1]FG_Begin_Inventory!$B:$B,MATCH($A1902,[1]FG_Begin_Inventory!$A:$A,0)),0),J1901))</f>
        <v/>
      </c>
      <c r="G1902" s="61" t="str">
        <f t="shared" si="206"/>
        <v/>
      </c>
      <c r="H1902" s="61" t="str">
        <f t="shared" si="207"/>
        <v/>
      </c>
      <c r="I1902" s="62" t="str">
        <f t="shared" si="208"/>
        <v/>
      </c>
      <c r="J1902" s="61" t="str">
        <f t="shared" si="209"/>
        <v/>
      </c>
      <c r="K1902" s="61" t="str">
        <f t="shared" si="210"/>
        <v/>
      </c>
      <c r="L1902" s="61" t="str">
        <f t="shared" si="211"/>
        <v/>
      </c>
      <c r="M1902" s="63" t="str">
        <f t="shared" si="212"/>
        <v/>
      </c>
      <c r="N1902" s="64"/>
    </row>
    <row r="1903" spans="1:14" x14ac:dyDescent="0.3">
      <c r="A1903" s="58" t="str">
        <f>IF([1]weekly_demand!A1904="","",[1]weekly_demand!A1904)</f>
        <v/>
      </c>
      <c r="B1903" s="59" t="str">
        <f>IF($A1903="","",[1]weekly_demand!F1904)</f>
        <v/>
      </c>
      <c r="C1903" s="60" t="str">
        <f>IF($A1903="","",[1]weekly_demand!H1904)</f>
        <v/>
      </c>
      <c r="D1903" s="61" t="str">
        <f>IF($A1903="","",IF(SUMIFS([1]Fixture_Capacity_Input!$C:$C,[1]Fixture_Capacity_Input!$A:$A,$B1903,[1]Fixture_Capacity_Input!$B:$B,$C1903)&gt;0,SUMIFS([1]Fixture_Capacity_Input!$C:$C,[1]Fixture_Capacity_Input!$A:$A,$B1903,[1]Fixture_Capacity_Input!$B:$B,$C1903),[1]weekly_demand!G1904))</f>
        <v/>
      </c>
      <c r="E1903" s="62" t="str">
        <f>IF($A1903="","",[1]weekly_demand!I1904)</f>
        <v/>
      </c>
      <c r="F1903" s="61" t="str">
        <f>IF($A1903="","",IF($A1903&lt;&gt;$A1902,IFERROR(INDEX([1]FG_Begin_Inventory!$B:$B,MATCH($A1903,[1]FG_Begin_Inventory!$A:$A,0)),0),J1902))</f>
        <v/>
      </c>
      <c r="G1903" s="61" t="str">
        <f t="shared" si="206"/>
        <v/>
      </c>
      <c r="H1903" s="61" t="str">
        <f t="shared" si="207"/>
        <v/>
      </c>
      <c r="I1903" s="62" t="str">
        <f t="shared" si="208"/>
        <v/>
      </c>
      <c r="J1903" s="61" t="str">
        <f t="shared" si="209"/>
        <v/>
      </c>
      <c r="K1903" s="61" t="str">
        <f t="shared" si="210"/>
        <v/>
      </c>
      <c r="L1903" s="61" t="str">
        <f t="shared" si="211"/>
        <v/>
      </c>
      <c r="M1903" s="63" t="str">
        <f t="shared" si="212"/>
        <v/>
      </c>
      <c r="N1903" s="64"/>
    </row>
    <row r="1904" spans="1:14" x14ac:dyDescent="0.3">
      <c r="A1904" s="58" t="str">
        <f>IF([1]weekly_demand!A1905="","",[1]weekly_demand!A1905)</f>
        <v/>
      </c>
      <c r="B1904" s="59" t="str">
        <f>IF($A1904="","",[1]weekly_demand!F1905)</f>
        <v/>
      </c>
      <c r="C1904" s="60" t="str">
        <f>IF($A1904="","",[1]weekly_demand!H1905)</f>
        <v/>
      </c>
      <c r="D1904" s="61" t="str">
        <f>IF($A1904="","",IF(SUMIFS([1]Fixture_Capacity_Input!$C:$C,[1]Fixture_Capacity_Input!$A:$A,$B1904,[1]Fixture_Capacity_Input!$B:$B,$C1904)&gt;0,SUMIFS([1]Fixture_Capacity_Input!$C:$C,[1]Fixture_Capacity_Input!$A:$A,$B1904,[1]Fixture_Capacity_Input!$B:$B,$C1904),[1]weekly_demand!G1905))</f>
        <v/>
      </c>
      <c r="E1904" s="62" t="str">
        <f>IF($A1904="","",[1]weekly_demand!I1905)</f>
        <v/>
      </c>
      <c r="F1904" s="61" t="str">
        <f>IF($A1904="","",IF($A1904&lt;&gt;$A1903,IFERROR(INDEX([1]FG_Begin_Inventory!$B:$B,MATCH($A1904,[1]FG_Begin_Inventory!$A:$A,0)),0),J1903))</f>
        <v/>
      </c>
      <c r="G1904" s="61" t="str">
        <f t="shared" si="206"/>
        <v/>
      </c>
      <c r="H1904" s="61" t="str">
        <f t="shared" si="207"/>
        <v/>
      </c>
      <c r="I1904" s="62" t="str">
        <f t="shared" si="208"/>
        <v/>
      </c>
      <c r="J1904" s="61" t="str">
        <f t="shared" si="209"/>
        <v/>
      </c>
      <c r="K1904" s="61" t="str">
        <f t="shared" si="210"/>
        <v/>
      </c>
      <c r="L1904" s="61" t="str">
        <f t="shared" si="211"/>
        <v/>
      </c>
      <c r="M1904" s="63" t="str">
        <f t="shared" si="212"/>
        <v/>
      </c>
      <c r="N1904" s="64"/>
    </row>
    <row r="1905" spans="1:14" x14ac:dyDescent="0.3">
      <c r="A1905" s="58" t="str">
        <f>IF([1]weekly_demand!A1906="","",[1]weekly_demand!A1906)</f>
        <v/>
      </c>
      <c r="B1905" s="59" t="str">
        <f>IF($A1905="","",[1]weekly_demand!F1906)</f>
        <v/>
      </c>
      <c r="C1905" s="60" t="str">
        <f>IF($A1905="","",[1]weekly_demand!H1906)</f>
        <v/>
      </c>
      <c r="D1905" s="61" t="str">
        <f>IF($A1905="","",IF(SUMIFS([1]Fixture_Capacity_Input!$C:$C,[1]Fixture_Capacity_Input!$A:$A,$B1905,[1]Fixture_Capacity_Input!$B:$B,$C1905)&gt;0,SUMIFS([1]Fixture_Capacity_Input!$C:$C,[1]Fixture_Capacity_Input!$A:$A,$B1905,[1]Fixture_Capacity_Input!$B:$B,$C1905),[1]weekly_demand!G1906))</f>
        <v/>
      </c>
      <c r="E1905" s="62" t="str">
        <f>IF($A1905="","",[1]weekly_demand!I1906)</f>
        <v/>
      </c>
      <c r="F1905" s="61" t="str">
        <f>IF($A1905="","",IF($A1905&lt;&gt;$A1904,IFERROR(INDEX([1]FG_Begin_Inventory!$B:$B,MATCH($A1905,[1]FG_Begin_Inventory!$A:$A,0)),0),J1904))</f>
        <v/>
      </c>
      <c r="G1905" s="61" t="str">
        <f t="shared" si="206"/>
        <v/>
      </c>
      <c r="H1905" s="61" t="str">
        <f t="shared" si="207"/>
        <v/>
      </c>
      <c r="I1905" s="62" t="str">
        <f t="shared" si="208"/>
        <v/>
      </c>
      <c r="J1905" s="61" t="str">
        <f t="shared" si="209"/>
        <v/>
      </c>
      <c r="K1905" s="61" t="str">
        <f t="shared" si="210"/>
        <v/>
      </c>
      <c r="L1905" s="61" t="str">
        <f t="shared" si="211"/>
        <v/>
      </c>
      <c r="M1905" s="63" t="str">
        <f t="shared" si="212"/>
        <v/>
      </c>
      <c r="N1905" s="64"/>
    </row>
    <row r="1906" spans="1:14" x14ac:dyDescent="0.3">
      <c r="A1906" s="58" t="str">
        <f>IF([1]weekly_demand!A1907="","",[1]weekly_demand!A1907)</f>
        <v/>
      </c>
      <c r="B1906" s="59" t="str">
        <f>IF($A1906="","",[1]weekly_demand!F1907)</f>
        <v/>
      </c>
      <c r="C1906" s="60" t="str">
        <f>IF($A1906="","",[1]weekly_demand!H1907)</f>
        <v/>
      </c>
      <c r="D1906" s="61" t="str">
        <f>IF($A1906="","",IF(SUMIFS([1]Fixture_Capacity_Input!$C:$C,[1]Fixture_Capacity_Input!$A:$A,$B1906,[1]Fixture_Capacity_Input!$B:$B,$C1906)&gt;0,SUMIFS([1]Fixture_Capacity_Input!$C:$C,[1]Fixture_Capacity_Input!$A:$A,$B1906,[1]Fixture_Capacity_Input!$B:$B,$C1906),[1]weekly_demand!G1907))</f>
        <v/>
      </c>
      <c r="E1906" s="62" t="str">
        <f>IF($A1906="","",[1]weekly_demand!I1907)</f>
        <v/>
      </c>
      <c r="F1906" s="61" t="str">
        <f>IF($A1906="","",IF($A1906&lt;&gt;$A1905,IFERROR(INDEX([1]FG_Begin_Inventory!$B:$B,MATCH($A1906,[1]FG_Begin_Inventory!$A:$A,0)),0),J1905))</f>
        <v/>
      </c>
      <c r="G1906" s="61" t="str">
        <f t="shared" si="206"/>
        <v/>
      </c>
      <c r="H1906" s="61" t="str">
        <f t="shared" si="207"/>
        <v/>
      </c>
      <c r="I1906" s="62" t="str">
        <f t="shared" si="208"/>
        <v/>
      </c>
      <c r="J1906" s="61" t="str">
        <f t="shared" si="209"/>
        <v/>
      </c>
      <c r="K1906" s="61" t="str">
        <f t="shared" si="210"/>
        <v/>
      </c>
      <c r="L1906" s="61" t="str">
        <f t="shared" si="211"/>
        <v/>
      </c>
      <c r="M1906" s="63" t="str">
        <f t="shared" si="212"/>
        <v/>
      </c>
      <c r="N1906" s="64"/>
    </row>
    <row r="1907" spans="1:14" x14ac:dyDescent="0.3">
      <c r="A1907" s="58" t="str">
        <f>IF([1]weekly_demand!A1908="","",[1]weekly_demand!A1908)</f>
        <v/>
      </c>
      <c r="B1907" s="59" t="str">
        <f>IF($A1907="","",[1]weekly_demand!F1908)</f>
        <v/>
      </c>
      <c r="C1907" s="60" t="str">
        <f>IF($A1907="","",[1]weekly_demand!H1908)</f>
        <v/>
      </c>
      <c r="D1907" s="61" t="str">
        <f>IF($A1907="","",IF(SUMIFS([1]Fixture_Capacity_Input!$C:$C,[1]Fixture_Capacity_Input!$A:$A,$B1907,[1]Fixture_Capacity_Input!$B:$B,$C1907)&gt;0,SUMIFS([1]Fixture_Capacity_Input!$C:$C,[1]Fixture_Capacity_Input!$A:$A,$B1907,[1]Fixture_Capacity_Input!$B:$B,$C1907),[1]weekly_demand!G1908))</f>
        <v/>
      </c>
      <c r="E1907" s="62" t="str">
        <f>IF($A1907="","",[1]weekly_demand!I1908)</f>
        <v/>
      </c>
      <c r="F1907" s="61" t="str">
        <f>IF($A1907="","",IF($A1907&lt;&gt;$A1906,IFERROR(INDEX([1]FG_Begin_Inventory!$B:$B,MATCH($A1907,[1]FG_Begin_Inventory!$A:$A,0)),0),J1906))</f>
        <v/>
      </c>
      <c r="G1907" s="61" t="str">
        <f t="shared" ref="G1907:G1970" si="213">IF($A1907="","",IF($A1907&lt;&gt;$A1908,0,MAX(0,G1908+E1908-D1908)))</f>
        <v/>
      </c>
      <c r="H1907" s="61" t="str">
        <f t="shared" si="207"/>
        <v/>
      </c>
      <c r="I1907" s="62" t="str">
        <f t="shared" si="208"/>
        <v/>
      </c>
      <c r="J1907" s="61" t="str">
        <f t="shared" si="209"/>
        <v/>
      </c>
      <c r="K1907" s="61" t="str">
        <f t="shared" si="210"/>
        <v/>
      </c>
      <c r="L1907" s="61" t="str">
        <f t="shared" si="211"/>
        <v/>
      </c>
      <c r="M1907" s="63" t="str">
        <f t="shared" si="212"/>
        <v/>
      </c>
      <c r="N1907" s="64"/>
    </row>
    <row r="1908" spans="1:14" x14ac:dyDescent="0.3">
      <c r="A1908" s="58" t="str">
        <f>IF([1]weekly_demand!A1909="","",[1]weekly_demand!A1909)</f>
        <v/>
      </c>
      <c r="B1908" s="59" t="str">
        <f>IF($A1908="","",[1]weekly_demand!F1909)</f>
        <v/>
      </c>
      <c r="C1908" s="60" t="str">
        <f>IF($A1908="","",[1]weekly_demand!H1909)</f>
        <v/>
      </c>
      <c r="D1908" s="61" t="str">
        <f>IF($A1908="","",IF(SUMIFS([1]Fixture_Capacity_Input!$C:$C,[1]Fixture_Capacity_Input!$A:$A,$B1908,[1]Fixture_Capacity_Input!$B:$B,$C1908)&gt;0,SUMIFS([1]Fixture_Capacity_Input!$C:$C,[1]Fixture_Capacity_Input!$A:$A,$B1908,[1]Fixture_Capacity_Input!$B:$B,$C1908),[1]weekly_demand!G1909))</f>
        <v/>
      </c>
      <c r="E1908" s="62" t="str">
        <f>IF($A1908="","",[1]weekly_demand!I1909)</f>
        <v/>
      </c>
      <c r="F1908" s="61" t="str">
        <f>IF($A1908="","",IF($A1908&lt;&gt;$A1907,IFERROR(INDEX([1]FG_Begin_Inventory!$B:$B,MATCH($A1908,[1]FG_Begin_Inventory!$A:$A,0)),0),J1907))</f>
        <v/>
      </c>
      <c r="G1908" s="61" t="str">
        <f t="shared" si="213"/>
        <v/>
      </c>
      <c r="H1908" s="61" t="str">
        <f t="shared" si="207"/>
        <v/>
      </c>
      <c r="I1908" s="62" t="str">
        <f t="shared" si="208"/>
        <v/>
      </c>
      <c r="J1908" s="61" t="str">
        <f t="shared" si="209"/>
        <v/>
      </c>
      <c r="K1908" s="61" t="str">
        <f t="shared" si="210"/>
        <v/>
      </c>
      <c r="L1908" s="61" t="str">
        <f t="shared" si="211"/>
        <v/>
      </c>
      <c r="M1908" s="63" t="str">
        <f t="shared" si="212"/>
        <v/>
      </c>
      <c r="N1908" s="64"/>
    </row>
    <row r="1909" spans="1:14" x14ac:dyDescent="0.3">
      <c r="A1909" s="58" t="str">
        <f>IF([1]weekly_demand!A1910="","",[1]weekly_demand!A1910)</f>
        <v/>
      </c>
      <c r="B1909" s="59" t="str">
        <f>IF($A1909="","",[1]weekly_demand!F1910)</f>
        <v/>
      </c>
      <c r="C1909" s="60" t="str">
        <f>IF($A1909="","",[1]weekly_demand!H1910)</f>
        <v/>
      </c>
      <c r="D1909" s="61" t="str">
        <f>IF($A1909="","",IF(SUMIFS([1]Fixture_Capacity_Input!$C:$C,[1]Fixture_Capacity_Input!$A:$A,$B1909,[1]Fixture_Capacity_Input!$B:$B,$C1909)&gt;0,SUMIFS([1]Fixture_Capacity_Input!$C:$C,[1]Fixture_Capacity_Input!$A:$A,$B1909,[1]Fixture_Capacity_Input!$B:$B,$C1909),[1]weekly_demand!G1910))</f>
        <v/>
      </c>
      <c r="E1909" s="62" t="str">
        <f>IF($A1909="","",[1]weekly_demand!I1910)</f>
        <v/>
      </c>
      <c r="F1909" s="61" t="str">
        <f>IF($A1909="","",IF($A1909&lt;&gt;$A1908,IFERROR(INDEX([1]FG_Begin_Inventory!$B:$B,MATCH($A1909,[1]FG_Begin_Inventory!$A:$A,0)),0),J1908))</f>
        <v/>
      </c>
      <c r="G1909" s="61" t="str">
        <f t="shared" si="213"/>
        <v/>
      </c>
      <c r="H1909" s="61" t="str">
        <f t="shared" si="207"/>
        <v/>
      </c>
      <c r="I1909" s="62" t="str">
        <f t="shared" si="208"/>
        <v/>
      </c>
      <c r="J1909" s="61" t="str">
        <f t="shared" si="209"/>
        <v/>
      </c>
      <c r="K1909" s="61" t="str">
        <f t="shared" si="210"/>
        <v/>
      </c>
      <c r="L1909" s="61" t="str">
        <f t="shared" si="211"/>
        <v/>
      </c>
      <c r="M1909" s="63" t="str">
        <f t="shared" si="212"/>
        <v/>
      </c>
      <c r="N1909" s="64"/>
    </row>
    <row r="1910" spans="1:14" x14ac:dyDescent="0.3">
      <c r="A1910" s="58" t="str">
        <f>IF([1]weekly_demand!A1911="","",[1]weekly_demand!A1911)</f>
        <v/>
      </c>
      <c r="B1910" s="59" t="str">
        <f>IF($A1910="","",[1]weekly_demand!F1911)</f>
        <v/>
      </c>
      <c r="C1910" s="60" t="str">
        <f>IF($A1910="","",[1]weekly_demand!H1911)</f>
        <v/>
      </c>
      <c r="D1910" s="61" t="str">
        <f>IF($A1910="","",IF(SUMIFS([1]Fixture_Capacity_Input!$C:$C,[1]Fixture_Capacity_Input!$A:$A,$B1910,[1]Fixture_Capacity_Input!$B:$B,$C1910)&gt;0,SUMIFS([1]Fixture_Capacity_Input!$C:$C,[1]Fixture_Capacity_Input!$A:$A,$B1910,[1]Fixture_Capacity_Input!$B:$B,$C1910),[1]weekly_demand!G1911))</f>
        <v/>
      </c>
      <c r="E1910" s="62" t="str">
        <f>IF($A1910="","",[1]weekly_demand!I1911)</f>
        <v/>
      </c>
      <c r="F1910" s="61" t="str">
        <f>IF($A1910="","",IF($A1910&lt;&gt;$A1909,IFERROR(INDEX([1]FG_Begin_Inventory!$B:$B,MATCH($A1910,[1]FG_Begin_Inventory!$A:$A,0)),0),J1909))</f>
        <v/>
      </c>
      <c r="G1910" s="61" t="str">
        <f t="shared" si="213"/>
        <v/>
      </c>
      <c r="H1910" s="61" t="str">
        <f t="shared" si="207"/>
        <v/>
      </c>
      <c r="I1910" s="62" t="str">
        <f t="shared" si="208"/>
        <v/>
      </c>
      <c r="J1910" s="61" t="str">
        <f t="shared" si="209"/>
        <v/>
      </c>
      <c r="K1910" s="61" t="str">
        <f t="shared" si="210"/>
        <v/>
      </c>
      <c r="L1910" s="61" t="str">
        <f t="shared" si="211"/>
        <v/>
      </c>
      <c r="M1910" s="63" t="str">
        <f t="shared" si="212"/>
        <v/>
      </c>
      <c r="N1910" s="64"/>
    </row>
    <row r="1911" spans="1:14" x14ac:dyDescent="0.3">
      <c r="A1911" s="58" t="str">
        <f>IF([1]weekly_demand!A1912="","",[1]weekly_demand!A1912)</f>
        <v/>
      </c>
      <c r="B1911" s="59" t="str">
        <f>IF($A1911="","",[1]weekly_demand!F1912)</f>
        <v/>
      </c>
      <c r="C1911" s="60" t="str">
        <f>IF($A1911="","",[1]weekly_demand!H1912)</f>
        <v/>
      </c>
      <c r="D1911" s="61" t="str">
        <f>IF($A1911="","",IF(SUMIFS([1]Fixture_Capacity_Input!$C:$C,[1]Fixture_Capacity_Input!$A:$A,$B1911,[1]Fixture_Capacity_Input!$B:$B,$C1911)&gt;0,SUMIFS([1]Fixture_Capacity_Input!$C:$C,[1]Fixture_Capacity_Input!$A:$A,$B1911,[1]Fixture_Capacity_Input!$B:$B,$C1911),[1]weekly_demand!G1912))</f>
        <v/>
      </c>
      <c r="E1911" s="62" t="str">
        <f>IF($A1911="","",[1]weekly_demand!I1912)</f>
        <v/>
      </c>
      <c r="F1911" s="61" t="str">
        <f>IF($A1911="","",IF($A1911&lt;&gt;$A1910,IFERROR(INDEX([1]FG_Begin_Inventory!$B:$B,MATCH($A1911,[1]FG_Begin_Inventory!$A:$A,0)),0),J1910))</f>
        <v/>
      </c>
      <c r="G1911" s="61" t="str">
        <f t="shared" si="213"/>
        <v/>
      </c>
      <c r="H1911" s="61" t="str">
        <f t="shared" si="207"/>
        <v/>
      </c>
      <c r="I1911" s="62" t="str">
        <f t="shared" si="208"/>
        <v/>
      </c>
      <c r="J1911" s="61" t="str">
        <f t="shared" si="209"/>
        <v/>
      </c>
      <c r="K1911" s="61" t="str">
        <f t="shared" si="210"/>
        <v/>
      </c>
      <c r="L1911" s="61" t="str">
        <f t="shared" si="211"/>
        <v/>
      </c>
      <c r="M1911" s="63" t="str">
        <f t="shared" si="212"/>
        <v/>
      </c>
      <c r="N1911" s="64"/>
    </row>
    <row r="1912" spans="1:14" x14ac:dyDescent="0.3">
      <c r="A1912" s="58" t="str">
        <f>IF([1]weekly_demand!A1913="","",[1]weekly_demand!A1913)</f>
        <v/>
      </c>
      <c r="B1912" s="59" t="str">
        <f>IF($A1912="","",[1]weekly_demand!F1913)</f>
        <v/>
      </c>
      <c r="C1912" s="60" t="str">
        <f>IF($A1912="","",[1]weekly_demand!H1913)</f>
        <v/>
      </c>
      <c r="D1912" s="61" t="str">
        <f>IF($A1912="","",IF(SUMIFS([1]Fixture_Capacity_Input!$C:$C,[1]Fixture_Capacity_Input!$A:$A,$B1912,[1]Fixture_Capacity_Input!$B:$B,$C1912)&gt;0,SUMIFS([1]Fixture_Capacity_Input!$C:$C,[1]Fixture_Capacity_Input!$A:$A,$B1912,[1]Fixture_Capacity_Input!$B:$B,$C1912),[1]weekly_demand!G1913))</f>
        <v/>
      </c>
      <c r="E1912" s="62" t="str">
        <f>IF($A1912="","",[1]weekly_demand!I1913)</f>
        <v/>
      </c>
      <c r="F1912" s="61" t="str">
        <f>IF($A1912="","",IF($A1912&lt;&gt;$A1911,IFERROR(INDEX([1]FG_Begin_Inventory!$B:$B,MATCH($A1912,[1]FG_Begin_Inventory!$A:$A,0)),0),J1911))</f>
        <v/>
      </c>
      <c r="G1912" s="61" t="str">
        <f t="shared" si="213"/>
        <v/>
      </c>
      <c r="H1912" s="61" t="str">
        <f t="shared" si="207"/>
        <v/>
      </c>
      <c r="I1912" s="62" t="str">
        <f t="shared" si="208"/>
        <v/>
      </c>
      <c r="J1912" s="61" t="str">
        <f t="shared" si="209"/>
        <v/>
      </c>
      <c r="K1912" s="61" t="str">
        <f t="shared" si="210"/>
        <v/>
      </c>
      <c r="L1912" s="61" t="str">
        <f t="shared" si="211"/>
        <v/>
      </c>
      <c r="M1912" s="63" t="str">
        <f t="shared" si="212"/>
        <v/>
      </c>
      <c r="N1912" s="64"/>
    </row>
    <row r="1913" spans="1:14" x14ac:dyDescent="0.3">
      <c r="A1913" s="58" t="str">
        <f>IF([1]weekly_demand!A1914="","",[1]weekly_demand!A1914)</f>
        <v/>
      </c>
      <c r="B1913" s="59" t="str">
        <f>IF($A1913="","",[1]weekly_demand!F1914)</f>
        <v/>
      </c>
      <c r="C1913" s="60" t="str">
        <f>IF($A1913="","",[1]weekly_demand!H1914)</f>
        <v/>
      </c>
      <c r="D1913" s="61" t="str">
        <f>IF($A1913="","",IF(SUMIFS([1]Fixture_Capacity_Input!$C:$C,[1]Fixture_Capacity_Input!$A:$A,$B1913,[1]Fixture_Capacity_Input!$B:$B,$C1913)&gt;0,SUMIFS([1]Fixture_Capacity_Input!$C:$C,[1]Fixture_Capacity_Input!$A:$A,$B1913,[1]Fixture_Capacity_Input!$B:$B,$C1913),[1]weekly_demand!G1914))</f>
        <v/>
      </c>
      <c r="E1913" s="62" t="str">
        <f>IF($A1913="","",[1]weekly_demand!I1914)</f>
        <v/>
      </c>
      <c r="F1913" s="61" t="str">
        <f>IF($A1913="","",IF($A1913&lt;&gt;$A1912,IFERROR(INDEX([1]FG_Begin_Inventory!$B:$B,MATCH($A1913,[1]FG_Begin_Inventory!$A:$A,0)),0),J1912))</f>
        <v/>
      </c>
      <c r="G1913" s="61" t="str">
        <f t="shared" si="213"/>
        <v/>
      </c>
      <c r="H1913" s="61" t="str">
        <f t="shared" si="207"/>
        <v/>
      </c>
      <c r="I1913" s="62" t="str">
        <f t="shared" si="208"/>
        <v/>
      </c>
      <c r="J1913" s="61" t="str">
        <f t="shared" si="209"/>
        <v/>
      </c>
      <c r="K1913" s="61" t="str">
        <f t="shared" si="210"/>
        <v/>
      </c>
      <c r="L1913" s="61" t="str">
        <f t="shared" si="211"/>
        <v/>
      </c>
      <c r="M1913" s="63" t="str">
        <f t="shared" si="212"/>
        <v/>
      </c>
      <c r="N1913" s="64"/>
    </row>
    <row r="1914" spans="1:14" x14ac:dyDescent="0.3">
      <c r="A1914" s="58" t="str">
        <f>IF([1]weekly_demand!A1915="","",[1]weekly_demand!A1915)</f>
        <v/>
      </c>
      <c r="B1914" s="59" t="str">
        <f>IF($A1914="","",[1]weekly_demand!F1915)</f>
        <v/>
      </c>
      <c r="C1914" s="60" t="str">
        <f>IF($A1914="","",[1]weekly_demand!H1915)</f>
        <v/>
      </c>
      <c r="D1914" s="61" t="str">
        <f>IF($A1914="","",IF(SUMIFS([1]Fixture_Capacity_Input!$C:$C,[1]Fixture_Capacity_Input!$A:$A,$B1914,[1]Fixture_Capacity_Input!$B:$B,$C1914)&gt;0,SUMIFS([1]Fixture_Capacity_Input!$C:$C,[1]Fixture_Capacity_Input!$A:$A,$B1914,[1]Fixture_Capacity_Input!$B:$B,$C1914),[1]weekly_demand!G1915))</f>
        <v/>
      </c>
      <c r="E1914" s="62" t="str">
        <f>IF($A1914="","",[1]weekly_demand!I1915)</f>
        <v/>
      </c>
      <c r="F1914" s="61" t="str">
        <f>IF($A1914="","",IF($A1914&lt;&gt;$A1913,IFERROR(INDEX([1]FG_Begin_Inventory!$B:$B,MATCH($A1914,[1]FG_Begin_Inventory!$A:$A,0)),0),J1913))</f>
        <v/>
      </c>
      <c r="G1914" s="61" t="str">
        <f t="shared" si="213"/>
        <v/>
      </c>
      <c r="H1914" s="61" t="str">
        <f t="shared" si="207"/>
        <v/>
      </c>
      <c r="I1914" s="62" t="str">
        <f t="shared" si="208"/>
        <v/>
      </c>
      <c r="J1914" s="61" t="str">
        <f t="shared" si="209"/>
        <v/>
      </c>
      <c r="K1914" s="61" t="str">
        <f t="shared" si="210"/>
        <v/>
      </c>
      <c r="L1914" s="61" t="str">
        <f t="shared" si="211"/>
        <v/>
      </c>
      <c r="M1914" s="63" t="str">
        <f t="shared" si="212"/>
        <v/>
      </c>
      <c r="N1914" s="64"/>
    </row>
    <row r="1915" spans="1:14" x14ac:dyDescent="0.3">
      <c r="A1915" s="58" t="str">
        <f>IF([1]weekly_demand!A1916="","",[1]weekly_demand!A1916)</f>
        <v/>
      </c>
      <c r="B1915" s="59" t="str">
        <f>IF($A1915="","",[1]weekly_demand!F1916)</f>
        <v/>
      </c>
      <c r="C1915" s="60" t="str">
        <f>IF($A1915="","",[1]weekly_demand!H1916)</f>
        <v/>
      </c>
      <c r="D1915" s="61" t="str">
        <f>IF($A1915="","",IF(SUMIFS([1]Fixture_Capacity_Input!$C:$C,[1]Fixture_Capacity_Input!$A:$A,$B1915,[1]Fixture_Capacity_Input!$B:$B,$C1915)&gt;0,SUMIFS([1]Fixture_Capacity_Input!$C:$C,[1]Fixture_Capacity_Input!$A:$A,$B1915,[1]Fixture_Capacity_Input!$B:$B,$C1915),[1]weekly_demand!G1916))</f>
        <v/>
      </c>
      <c r="E1915" s="62" t="str">
        <f>IF($A1915="","",[1]weekly_demand!I1916)</f>
        <v/>
      </c>
      <c r="F1915" s="61" t="str">
        <f>IF($A1915="","",IF($A1915&lt;&gt;$A1914,IFERROR(INDEX([1]FG_Begin_Inventory!$B:$B,MATCH($A1915,[1]FG_Begin_Inventory!$A:$A,0)),0),J1914))</f>
        <v/>
      </c>
      <c r="G1915" s="61" t="str">
        <f t="shared" si="213"/>
        <v/>
      </c>
      <c r="H1915" s="61" t="str">
        <f t="shared" si="207"/>
        <v/>
      </c>
      <c r="I1915" s="62" t="str">
        <f t="shared" si="208"/>
        <v/>
      </c>
      <c r="J1915" s="61" t="str">
        <f t="shared" si="209"/>
        <v/>
      </c>
      <c r="K1915" s="61" t="str">
        <f t="shared" si="210"/>
        <v/>
      </c>
      <c r="L1915" s="61" t="str">
        <f t="shared" si="211"/>
        <v/>
      </c>
      <c r="M1915" s="63" t="str">
        <f t="shared" si="212"/>
        <v/>
      </c>
      <c r="N1915" s="64"/>
    </row>
    <row r="1916" spans="1:14" x14ac:dyDescent="0.3">
      <c r="A1916" s="58" t="str">
        <f>IF([1]weekly_demand!A1917="","",[1]weekly_demand!A1917)</f>
        <v/>
      </c>
      <c r="B1916" s="59" t="str">
        <f>IF($A1916="","",[1]weekly_demand!F1917)</f>
        <v/>
      </c>
      <c r="C1916" s="60" t="str">
        <f>IF($A1916="","",[1]weekly_demand!H1917)</f>
        <v/>
      </c>
      <c r="D1916" s="61" t="str">
        <f>IF($A1916="","",IF(SUMIFS([1]Fixture_Capacity_Input!$C:$C,[1]Fixture_Capacity_Input!$A:$A,$B1916,[1]Fixture_Capacity_Input!$B:$B,$C1916)&gt;0,SUMIFS([1]Fixture_Capacity_Input!$C:$C,[1]Fixture_Capacity_Input!$A:$A,$B1916,[1]Fixture_Capacity_Input!$B:$B,$C1916),[1]weekly_demand!G1917))</f>
        <v/>
      </c>
      <c r="E1916" s="62" t="str">
        <f>IF($A1916="","",[1]weekly_demand!I1917)</f>
        <v/>
      </c>
      <c r="F1916" s="61" t="str">
        <f>IF($A1916="","",IF($A1916&lt;&gt;$A1915,IFERROR(INDEX([1]FG_Begin_Inventory!$B:$B,MATCH($A1916,[1]FG_Begin_Inventory!$A:$A,0)),0),J1915))</f>
        <v/>
      </c>
      <c r="G1916" s="61" t="str">
        <f t="shared" si="213"/>
        <v/>
      </c>
      <c r="H1916" s="61" t="str">
        <f t="shared" si="207"/>
        <v/>
      </c>
      <c r="I1916" s="62" t="str">
        <f t="shared" si="208"/>
        <v/>
      </c>
      <c r="J1916" s="61" t="str">
        <f t="shared" si="209"/>
        <v/>
      </c>
      <c r="K1916" s="61" t="str">
        <f t="shared" si="210"/>
        <v/>
      </c>
      <c r="L1916" s="61" t="str">
        <f t="shared" si="211"/>
        <v/>
      </c>
      <c r="M1916" s="63" t="str">
        <f t="shared" si="212"/>
        <v/>
      </c>
      <c r="N1916" s="64"/>
    </row>
    <row r="1917" spans="1:14" x14ac:dyDescent="0.3">
      <c r="A1917" s="58" t="str">
        <f>IF([1]weekly_demand!A1918="","",[1]weekly_demand!A1918)</f>
        <v/>
      </c>
      <c r="B1917" s="59" t="str">
        <f>IF($A1917="","",[1]weekly_demand!F1918)</f>
        <v/>
      </c>
      <c r="C1917" s="60" t="str">
        <f>IF($A1917="","",[1]weekly_demand!H1918)</f>
        <v/>
      </c>
      <c r="D1917" s="61" t="str">
        <f>IF($A1917="","",IF(SUMIFS([1]Fixture_Capacity_Input!$C:$C,[1]Fixture_Capacity_Input!$A:$A,$B1917,[1]Fixture_Capacity_Input!$B:$B,$C1917)&gt;0,SUMIFS([1]Fixture_Capacity_Input!$C:$C,[1]Fixture_Capacity_Input!$A:$A,$B1917,[1]Fixture_Capacity_Input!$B:$B,$C1917),[1]weekly_demand!G1918))</f>
        <v/>
      </c>
      <c r="E1917" s="62" t="str">
        <f>IF($A1917="","",[1]weekly_demand!I1918)</f>
        <v/>
      </c>
      <c r="F1917" s="61" t="str">
        <f>IF($A1917="","",IF($A1917&lt;&gt;$A1916,IFERROR(INDEX([1]FG_Begin_Inventory!$B:$B,MATCH($A1917,[1]FG_Begin_Inventory!$A:$A,0)),0),J1916))</f>
        <v/>
      </c>
      <c r="G1917" s="61" t="str">
        <f t="shared" si="213"/>
        <v/>
      </c>
      <c r="H1917" s="61" t="str">
        <f t="shared" si="207"/>
        <v/>
      </c>
      <c r="I1917" s="62" t="str">
        <f t="shared" si="208"/>
        <v/>
      </c>
      <c r="J1917" s="61" t="str">
        <f t="shared" si="209"/>
        <v/>
      </c>
      <c r="K1917" s="61" t="str">
        <f t="shared" si="210"/>
        <v/>
      </c>
      <c r="L1917" s="61" t="str">
        <f t="shared" si="211"/>
        <v/>
      </c>
      <c r="M1917" s="63" t="str">
        <f t="shared" si="212"/>
        <v/>
      </c>
      <c r="N1917" s="64"/>
    </row>
    <row r="1918" spans="1:14" x14ac:dyDescent="0.3">
      <c r="A1918" s="58" t="str">
        <f>IF([1]weekly_demand!A1919="","",[1]weekly_demand!A1919)</f>
        <v/>
      </c>
      <c r="B1918" s="59" t="str">
        <f>IF($A1918="","",[1]weekly_demand!F1919)</f>
        <v/>
      </c>
      <c r="C1918" s="60" t="str">
        <f>IF($A1918="","",[1]weekly_demand!H1919)</f>
        <v/>
      </c>
      <c r="D1918" s="61" t="str">
        <f>IF($A1918="","",IF(SUMIFS([1]Fixture_Capacity_Input!$C:$C,[1]Fixture_Capacity_Input!$A:$A,$B1918,[1]Fixture_Capacity_Input!$B:$B,$C1918)&gt;0,SUMIFS([1]Fixture_Capacity_Input!$C:$C,[1]Fixture_Capacity_Input!$A:$A,$B1918,[1]Fixture_Capacity_Input!$B:$B,$C1918),[1]weekly_demand!G1919))</f>
        <v/>
      </c>
      <c r="E1918" s="62" t="str">
        <f>IF($A1918="","",[1]weekly_demand!I1919)</f>
        <v/>
      </c>
      <c r="F1918" s="61" t="str">
        <f>IF($A1918="","",IF($A1918&lt;&gt;$A1917,IFERROR(INDEX([1]FG_Begin_Inventory!$B:$B,MATCH($A1918,[1]FG_Begin_Inventory!$A:$A,0)),0),J1917))</f>
        <v/>
      </c>
      <c r="G1918" s="61" t="str">
        <f t="shared" si="213"/>
        <v/>
      </c>
      <c r="H1918" s="61" t="str">
        <f t="shared" si="207"/>
        <v/>
      </c>
      <c r="I1918" s="62" t="str">
        <f t="shared" si="208"/>
        <v/>
      </c>
      <c r="J1918" s="61" t="str">
        <f t="shared" si="209"/>
        <v/>
      </c>
      <c r="K1918" s="61" t="str">
        <f t="shared" si="210"/>
        <v/>
      </c>
      <c r="L1918" s="61" t="str">
        <f t="shared" si="211"/>
        <v/>
      </c>
      <c r="M1918" s="63" t="str">
        <f t="shared" si="212"/>
        <v/>
      </c>
      <c r="N1918" s="64"/>
    </row>
    <row r="1919" spans="1:14" x14ac:dyDescent="0.3">
      <c r="A1919" s="58" t="str">
        <f>IF([1]weekly_demand!A1920="","",[1]weekly_demand!A1920)</f>
        <v/>
      </c>
      <c r="B1919" s="59" t="str">
        <f>IF($A1919="","",[1]weekly_demand!F1920)</f>
        <v/>
      </c>
      <c r="C1919" s="60" t="str">
        <f>IF($A1919="","",[1]weekly_demand!H1920)</f>
        <v/>
      </c>
      <c r="D1919" s="61" t="str">
        <f>IF($A1919="","",IF(SUMIFS([1]Fixture_Capacity_Input!$C:$C,[1]Fixture_Capacity_Input!$A:$A,$B1919,[1]Fixture_Capacity_Input!$B:$B,$C1919)&gt;0,SUMIFS([1]Fixture_Capacity_Input!$C:$C,[1]Fixture_Capacity_Input!$A:$A,$B1919,[1]Fixture_Capacity_Input!$B:$B,$C1919),[1]weekly_demand!G1920))</f>
        <v/>
      </c>
      <c r="E1919" s="62" t="str">
        <f>IF($A1919="","",[1]weekly_demand!I1920)</f>
        <v/>
      </c>
      <c r="F1919" s="61" t="str">
        <f>IF($A1919="","",IF($A1919&lt;&gt;$A1918,IFERROR(INDEX([1]FG_Begin_Inventory!$B:$B,MATCH($A1919,[1]FG_Begin_Inventory!$A:$A,0)),0),J1918))</f>
        <v/>
      </c>
      <c r="G1919" s="61" t="str">
        <f t="shared" si="213"/>
        <v/>
      </c>
      <c r="H1919" s="61" t="str">
        <f t="shared" si="207"/>
        <v/>
      </c>
      <c r="I1919" s="62" t="str">
        <f t="shared" si="208"/>
        <v/>
      </c>
      <c r="J1919" s="61" t="str">
        <f t="shared" si="209"/>
        <v/>
      </c>
      <c r="K1919" s="61" t="str">
        <f t="shared" si="210"/>
        <v/>
      </c>
      <c r="L1919" s="61" t="str">
        <f t="shared" si="211"/>
        <v/>
      </c>
      <c r="M1919" s="63" t="str">
        <f t="shared" si="212"/>
        <v/>
      </c>
      <c r="N1919" s="64"/>
    </row>
    <row r="1920" spans="1:14" x14ac:dyDescent="0.3">
      <c r="A1920" s="58" t="str">
        <f>IF([1]weekly_demand!A1921="","",[1]weekly_demand!A1921)</f>
        <v/>
      </c>
      <c r="B1920" s="59" t="str">
        <f>IF($A1920="","",[1]weekly_demand!F1921)</f>
        <v/>
      </c>
      <c r="C1920" s="60" t="str">
        <f>IF($A1920="","",[1]weekly_demand!H1921)</f>
        <v/>
      </c>
      <c r="D1920" s="61" t="str">
        <f>IF($A1920="","",IF(SUMIFS([1]Fixture_Capacity_Input!$C:$C,[1]Fixture_Capacity_Input!$A:$A,$B1920,[1]Fixture_Capacity_Input!$B:$B,$C1920)&gt;0,SUMIFS([1]Fixture_Capacity_Input!$C:$C,[1]Fixture_Capacity_Input!$A:$A,$B1920,[1]Fixture_Capacity_Input!$B:$B,$C1920),[1]weekly_demand!G1921))</f>
        <v/>
      </c>
      <c r="E1920" s="62" t="str">
        <f>IF($A1920="","",[1]weekly_demand!I1921)</f>
        <v/>
      </c>
      <c r="F1920" s="61" t="str">
        <f>IF($A1920="","",IF($A1920&lt;&gt;$A1919,IFERROR(INDEX([1]FG_Begin_Inventory!$B:$B,MATCH($A1920,[1]FG_Begin_Inventory!$A:$A,0)),0),J1919))</f>
        <v/>
      </c>
      <c r="G1920" s="61" t="str">
        <f t="shared" si="213"/>
        <v/>
      </c>
      <c r="H1920" s="61" t="str">
        <f t="shared" si="207"/>
        <v/>
      </c>
      <c r="I1920" s="62" t="str">
        <f t="shared" si="208"/>
        <v/>
      </c>
      <c r="J1920" s="61" t="str">
        <f t="shared" si="209"/>
        <v/>
      </c>
      <c r="K1920" s="61" t="str">
        <f t="shared" si="210"/>
        <v/>
      </c>
      <c r="L1920" s="61" t="str">
        <f t="shared" si="211"/>
        <v/>
      </c>
      <c r="M1920" s="63" t="str">
        <f t="shared" si="212"/>
        <v/>
      </c>
      <c r="N1920" s="64"/>
    </row>
    <row r="1921" spans="1:14" x14ac:dyDescent="0.3">
      <c r="A1921" s="58" t="str">
        <f>IF([1]weekly_demand!A1922="","",[1]weekly_demand!A1922)</f>
        <v/>
      </c>
      <c r="B1921" s="59" t="str">
        <f>IF($A1921="","",[1]weekly_demand!F1922)</f>
        <v/>
      </c>
      <c r="C1921" s="60" t="str">
        <f>IF($A1921="","",[1]weekly_demand!H1922)</f>
        <v/>
      </c>
      <c r="D1921" s="61" t="str">
        <f>IF($A1921="","",IF(SUMIFS([1]Fixture_Capacity_Input!$C:$C,[1]Fixture_Capacity_Input!$A:$A,$B1921,[1]Fixture_Capacity_Input!$B:$B,$C1921)&gt;0,SUMIFS([1]Fixture_Capacity_Input!$C:$C,[1]Fixture_Capacity_Input!$A:$A,$B1921,[1]Fixture_Capacity_Input!$B:$B,$C1921),[1]weekly_demand!G1922))</f>
        <v/>
      </c>
      <c r="E1921" s="62" t="str">
        <f>IF($A1921="","",[1]weekly_demand!I1922)</f>
        <v/>
      </c>
      <c r="F1921" s="61" t="str">
        <f>IF($A1921="","",IF($A1921&lt;&gt;$A1920,IFERROR(INDEX([1]FG_Begin_Inventory!$B:$B,MATCH($A1921,[1]FG_Begin_Inventory!$A:$A,0)),0),J1920))</f>
        <v/>
      </c>
      <c r="G1921" s="61" t="str">
        <f t="shared" si="213"/>
        <v/>
      </c>
      <c r="H1921" s="61" t="str">
        <f t="shared" si="207"/>
        <v/>
      </c>
      <c r="I1921" s="62" t="str">
        <f t="shared" si="208"/>
        <v/>
      </c>
      <c r="J1921" s="61" t="str">
        <f t="shared" si="209"/>
        <v/>
      </c>
      <c r="K1921" s="61" t="str">
        <f t="shared" si="210"/>
        <v/>
      </c>
      <c r="L1921" s="61" t="str">
        <f t="shared" si="211"/>
        <v/>
      </c>
      <c r="M1921" s="63" t="str">
        <f t="shared" si="212"/>
        <v/>
      </c>
      <c r="N1921" s="64"/>
    </row>
    <row r="1922" spans="1:14" x14ac:dyDescent="0.3">
      <c r="A1922" s="58" t="str">
        <f>IF([1]weekly_demand!A1923="","",[1]weekly_demand!A1923)</f>
        <v/>
      </c>
      <c r="B1922" s="59" t="str">
        <f>IF($A1922="","",[1]weekly_demand!F1923)</f>
        <v/>
      </c>
      <c r="C1922" s="60" t="str">
        <f>IF($A1922="","",[1]weekly_demand!H1923)</f>
        <v/>
      </c>
      <c r="D1922" s="61" t="str">
        <f>IF($A1922="","",IF(SUMIFS([1]Fixture_Capacity_Input!$C:$C,[1]Fixture_Capacity_Input!$A:$A,$B1922,[1]Fixture_Capacity_Input!$B:$B,$C1922)&gt;0,SUMIFS([1]Fixture_Capacity_Input!$C:$C,[1]Fixture_Capacity_Input!$A:$A,$B1922,[1]Fixture_Capacity_Input!$B:$B,$C1922),[1]weekly_demand!G1923))</f>
        <v/>
      </c>
      <c r="E1922" s="62" t="str">
        <f>IF($A1922="","",[1]weekly_demand!I1923)</f>
        <v/>
      </c>
      <c r="F1922" s="61" t="str">
        <f>IF($A1922="","",IF($A1922&lt;&gt;$A1921,IFERROR(INDEX([1]FG_Begin_Inventory!$B:$B,MATCH($A1922,[1]FG_Begin_Inventory!$A:$A,0)),0),J1921))</f>
        <v/>
      </c>
      <c r="G1922" s="61" t="str">
        <f t="shared" si="213"/>
        <v/>
      </c>
      <c r="H1922" s="61" t="str">
        <f t="shared" ref="H1922:H1985" si="214">IF($A1922="","",MAX(0,E1922+G1922-F1922))</f>
        <v/>
      </c>
      <c r="I1922" s="62" t="str">
        <f t="shared" ref="I1922:I1985" si="215">IF($A1922="","",MIN(D1922,H1922))</f>
        <v/>
      </c>
      <c r="J1922" s="61" t="str">
        <f t="shared" ref="J1922:J1985" si="216">IF($A1922="","",MAX(0,F1922+I1922-E1922))</f>
        <v/>
      </c>
      <c r="K1922" s="61" t="str">
        <f t="shared" ref="K1922:K1985" si="217">IF($A1922="","",MAX(0,E1922-F1922-I1922))</f>
        <v/>
      </c>
      <c r="L1922" s="61" t="str">
        <f t="shared" ref="L1922:L1985" si="218">IF($A1922="","",MAX(0,F1922+I1922-E1922))</f>
        <v/>
      </c>
      <c r="M1922" s="63" t="str">
        <f t="shared" ref="M1922:M1985" si="219">IF($A1922="","",IFERROR(I1922/D1922,0))</f>
        <v/>
      </c>
      <c r="N1922" s="64"/>
    </row>
    <row r="1923" spans="1:14" x14ac:dyDescent="0.3">
      <c r="A1923" s="58" t="str">
        <f>IF([1]weekly_demand!A1924="","",[1]weekly_demand!A1924)</f>
        <v/>
      </c>
      <c r="B1923" s="59" t="str">
        <f>IF($A1923="","",[1]weekly_demand!F1924)</f>
        <v/>
      </c>
      <c r="C1923" s="60" t="str">
        <f>IF($A1923="","",[1]weekly_demand!H1924)</f>
        <v/>
      </c>
      <c r="D1923" s="61" t="str">
        <f>IF($A1923="","",IF(SUMIFS([1]Fixture_Capacity_Input!$C:$C,[1]Fixture_Capacity_Input!$A:$A,$B1923,[1]Fixture_Capacity_Input!$B:$B,$C1923)&gt;0,SUMIFS([1]Fixture_Capacity_Input!$C:$C,[1]Fixture_Capacity_Input!$A:$A,$B1923,[1]Fixture_Capacity_Input!$B:$B,$C1923),[1]weekly_demand!G1924))</f>
        <v/>
      </c>
      <c r="E1923" s="62" t="str">
        <f>IF($A1923="","",[1]weekly_demand!I1924)</f>
        <v/>
      </c>
      <c r="F1923" s="61" t="str">
        <f>IF($A1923="","",IF($A1923&lt;&gt;$A1922,IFERROR(INDEX([1]FG_Begin_Inventory!$B:$B,MATCH($A1923,[1]FG_Begin_Inventory!$A:$A,0)),0),J1922))</f>
        <v/>
      </c>
      <c r="G1923" s="61" t="str">
        <f t="shared" si="213"/>
        <v/>
      </c>
      <c r="H1923" s="61" t="str">
        <f t="shared" si="214"/>
        <v/>
      </c>
      <c r="I1923" s="62" t="str">
        <f t="shared" si="215"/>
        <v/>
      </c>
      <c r="J1923" s="61" t="str">
        <f t="shared" si="216"/>
        <v/>
      </c>
      <c r="K1923" s="61" t="str">
        <f t="shared" si="217"/>
        <v/>
      </c>
      <c r="L1923" s="61" t="str">
        <f t="shared" si="218"/>
        <v/>
      </c>
      <c r="M1923" s="63" t="str">
        <f t="shared" si="219"/>
        <v/>
      </c>
      <c r="N1923" s="64"/>
    </row>
    <row r="1924" spans="1:14" x14ac:dyDescent="0.3">
      <c r="A1924" s="58" t="str">
        <f>IF([1]weekly_demand!A1925="","",[1]weekly_demand!A1925)</f>
        <v/>
      </c>
      <c r="B1924" s="59" t="str">
        <f>IF($A1924="","",[1]weekly_demand!F1925)</f>
        <v/>
      </c>
      <c r="C1924" s="60" t="str">
        <f>IF($A1924="","",[1]weekly_demand!H1925)</f>
        <v/>
      </c>
      <c r="D1924" s="61" t="str">
        <f>IF($A1924="","",IF(SUMIFS([1]Fixture_Capacity_Input!$C:$C,[1]Fixture_Capacity_Input!$A:$A,$B1924,[1]Fixture_Capacity_Input!$B:$B,$C1924)&gt;0,SUMIFS([1]Fixture_Capacity_Input!$C:$C,[1]Fixture_Capacity_Input!$A:$A,$B1924,[1]Fixture_Capacity_Input!$B:$B,$C1924),[1]weekly_demand!G1925))</f>
        <v/>
      </c>
      <c r="E1924" s="62" t="str">
        <f>IF($A1924="","",[1]weekly_demand!I1925)</f>
        <v/>
      </c>
      <c r="F1924" s="61" t="str">
        <f>IF($A1924="","",IF($A1924&lt;&gt;$A1923,IFERROR(INDEX([1]FG_Begin_Inventory!$B:$B,MATCH($A1924,[1]FG_Begin_Inventory!$A:$A,0)),0),J1923))</f>
        <v/>
      </c>
      <c r="G1924" s="61" t="str">
        <f t="shared" si="213"/>
        <v/>
      </c>
      <c r="H1924" s="61" t="str">
        <f t="shared" si="214"/>
        <v/>
      </c>
      <c r="I1924" s="62" t="str">
        <f t="shared" si="215"/>
        <v/>
      </c>
      <c r="J1924" s="61" t="str">
        <f t="shared" si="216"/>
        <v/>
      </c>
      <c r="K1924" s="61" t="str">
        <f t="shared" si="217"/>
        <v/>
      </c>
      <c r="L1924" s="61" t="str">
        <f t="shared" si="218"/>
        <v/>
      </c>
      <c r="M1924" s="63" t="str">
        <f t="shared" si="219"/>
        <v/>
      </c>
      <c r="N1924" s="64"/>
    </row>
    <row r="1925" spans="1:14" x14ac:dyDescent="0.3">
      <c r="A1925" s="58" t="str">
        <f>IF([1]weekly_demand!A1926="","",[1]weekly_demand!A1926)</f>
        <v/>
      </c>
      <c r="B1925" s="59" t="str">
        <f>IF($A1925="","",[1]weekly_demand!F1926)</f>
        <v/>
      </c>
      <c r="C1925" s="60" t="str">
        <f>IF($A1925="","",[1]weekly_demand!H1926)</f>
        <v/>
      </c>
      <c r="D1925" s="61" t="str">
        <f>IF($A1925="","",IF(SUMIFS([1]Fixture_Capacity_Input!$C:$C,[1]Fixture_Capacity_Input!$A:$A,$B1925,[1]Fixture_Capacity_Input!$B:$B,$C1925)&gt;0,SUMIFS([1]Fixture_Capacity_Input!$C:$C,[1]Fixture_Capacity_Input!$A:$A,$B1925,[1]Fixture_Capacity_Input!$B:$B,$C1925),[1]weekly_demand!G1926))</f>
        <v/>
      </c>
      <c r="E1925" s="62" t="str">
        <f>IF($A1925="","",[1]weekly_demand!I1926)</f>
        <v/>
      </c>
      <c r="F1925" s="61" t="str">
        <f>IF($A1925="","",IF($A1925&lt;&gt;$A1924,IFERROR(INDEX([1]FG_Begin_Inventory!$B:$B,MATCH($A1925,[1]FG_Begin_Inventory!$A:$A,0)),0),J1924))</f>
        <v/>
      </c>
      <c r="G1925" s="61" t="str">
        <f t="shared" si="213"/>
        <v/>
      </c>
      <c r="H1925" s="61" t="str">
        <f t="shared" si="214"/>
        <v/>
      </c>
      <c r="I1925" s="62" t="str">
        <f t="shared" si="215"/>
        <v/>
      </c>
      <c r="J1925" s="61" t="str">
        <f t="shared" si="216"/>
        <v/>
      </c>
      <c r="K1925" s="61" t="str">
        <f t="shared" si="217"/>
        <v/>
      </c>
      <c r="L1925" s="61" t="str">
        <f t="shared" si="218"/>
        <v/>
      </c>
      <c r="M1925" s="63" t="str">
        <f t="shared" si="219"/>
        <v/>
      </c>
      <c r="N1925" s="64"/>
    </row>
    <row r="1926" spans="1:14" x14ac:dyDescent="0.3">
      <c r="A1926" s="58" t="str">
        <f>IF([1]weekly_demand!A1927="","",[1]weekly_demand!A1927)</f>
        <v/>
      </c>
      <c r="B1926" s="59" t="str">
        <f>IF($A1926="","",[1]weekly_demand!F1927)</f>
        <v/>
      </c>
      <c r="C1926" s="60" t="str">
        <f>IF($A1926="","",[1]weekly_demand!H1927)</f>
        <v/>
      </c>
      <c r="D1926" s="61" t="str">
        <f>IF($A1926="","",IF(SUMIFS([1]Fixture_Capacity_Input!$C:$C,[1]Fixture_Capacity_Input!$A:$A,$B1926,[1]Fixture_Capacity_Input!$B:$B,$C1926)&gt;0,SUMIFS([1]Fixture_Capacity_Input!$C:$C,[1]Fixture_Capacity_Input!$A:$A,$B1926,[1]Fixture_Capacity_Input!$B:$B,$C1926),[1]weekly_demand!G1927))</f>
        <v/>
      </c>
      <c r="E1926" s="62" t="str">
        <f>IF($A1926="","",[1]weekly_demand!I1927)</f>
        <v/>
      </c>
      <c r="F1926" s="61" t="str">
        <f>IF($A1926="","",IF($A1926&lt;&gt;$A1925,IFERROR(INDEX([1]FG_Begin_Inventory!$B:$B,MATCH($A1926,[1]FG_Begin_Inventory!$A:$A,0)),0),J1925))</f>
        <v/>
      </c>
      <c r="G1926" s="61" t="str">
        <f t="shared" si="213"/>
        <v/>
      </c>
      <c r="H1926" s="61" t="str">
        <f t="shared" si="214"/>
        <v/>
      </c>
      <c r="I1926" s="62" t="str">
        <f t="shared" si="215"/>
        <v/>
      </c>
      <c r="J1926" s="61" t="str">
        <f t="shared" si="216"/>
        <v/>
      </c>
      <c r="K1926" s="61" t="str">
        <f t="shared" si="217"/>
        <v/>
      </c>
      <c r="L1926" s="61" t="str">
        <f t="shared" si="218"/>
        <v/>
      </c>
      <c r="M1926" s="63" t="str">
        <f t="shared" si="219"/>
        <v/>
      </c>
      <c r="N1926" s="64"/>
    </row>
    <row r="1927" spans="1:14" x14ac:dyDescent="0.3">
      <c r="A1927" s="58" t="str">
        <f>IF([1]weekly_demand!A1928="","",[1]weekly_demand!A1928)</f>
        <v/>
      </c>
      <c r="B1927" s="59" t="str">
        <f>IF($A1927="","",[1]weekly_demand!F1928)</f>
        <v/>
      </c>
      <c r="C1927" s="60" t="str">
        <f>IF($A1927="","",[1]weekly_demand!H1928)</f>
        <v/>
      </c>
      <c r="D1927" s="61" t="str">
        <f>IF($A1927="","",IF(SUMIFS([1]Fixture_Capacity_Input!$C:$C,[1]Fixture_Capacity_Input!$A:$A,$B1927,[1]Fixture_Capacity_Input!$B:$B,$C1927)&gt;0,SUMIFS([1]Fixture_Capacity_Input!$C:$C,[1]Fixture_Capacity_Input!$A:$A,$B1927,[1]Fixture_Capacity_Input!$B:$B,$C1927),[1]weekly_demand!G1928))</f>
        <v/>
      </c>
      <c r="E1927" s="62" t="str">
        <f>IF($A1927="","",[1]weekly_demand!I1928)</f>
        <v/>
      </c>
      <c r="F1927" s="61" t="str">
        <f>IF($A1927="","",IF($A1927&lt;&gt;$A1926,IFERROR(INDEX([1]FG_Begin_Inventory!$B:$B,MATCH($A1927,[1]FG_Begin_Inventory!$A:$A,0)),0),J1926))</f>
        <v/>
      </c>
      <c r="G1927" s="61" t="str">
        <f t="shared" si="213"/>
        <v/>
      </c>
      <c r="H1927" s="61" t="str">
        <f t="shared" si="214"/>
        <v/>
      </c>
      <c r="I1927" s="62" t="str">
        <f t="shared" si="215"/>
        <v/>
      </c>
      <c r="J1927" s="61" t="str">
        <f t="shared" si="216"/>
        <v/>
      </c>
      <c r="K1927" s="61" t="str">
        <f t="shared" si="217"/>
        <v/>
      </c>
      <c r="L1927" s="61" t="str">
        <f t="shared" si="218"/>
        <v/>
      </c>
      <c r="M1927" s="63" t="str">
        <f t="shared" si="219"/>
        <v/>
      </c>
      <c r="N1927" s="64"/>
    </row>
    <row r="1928" spans="1:14" x14ac:dyDescent="0.3">
      <c r="A1928" s="58" t="str">
        <f>IF([1]weekly_demand!A1929="","",[1]weekly_demand!A1929)</f>
        <v/>
      </c>
      <c r="B1928" s="59" t="str">
        <f>IF($A1928="","",[1]weekly_demand!F1929)</f>
        <v/>
      </c>
      <c r="C1928" s="60" t="str">
        <f>IF($A1928="","",[1]weekly_demand!H1929)</f>
        <v/>
      </c>
      <c r="D1928" s="61" t="str">
        <f>IF($A1928="","",IF(SUMIFS([1]Fixture_Capacity_Input!$C:$C,[1]Fixture_Capacity_Input!$A:$A,$B1928,[1]Fixture_Capacity_Input!$B:$B,$C1928)&gt;0,SUMIFS([1]Fixture_Capacity_Input!$C:$C,[1]Fixture_Capacity_Input!$A:$A,$B1928,[1]Fixture_Capacity_Input!$B:$B,$C1928),[1]weekly_demand!G1929))</f>
        <v/>
      </c>
      <c r="E1928" s="62" t="str">
        <f>IF($A1928="","",[1]weekly_demand!I1929)</f>
        <v/>
      </c>
      <c r="F1928" s="61" t="str">
        <f>IF($A1928="","",IF($A1928&lt;&gt;$A1927,IFERROR(INDEX([1]FG_Begin_Inventory!$B:$B,MATCH($A1928,[1]FG_Begin_Inventory!$A:$A,0)),0),J1927))</f>
        <v/>
      </c>
      <c r="G1928" s="61" t="str">
        <f t="shared" si="213"/>
        <v/>
      </c>
      <c r="H1928" s="61" t="str">
        <f t="shared" si="214"/>
        <v/>
      </c>
      <c r="I1928" s="62" t="str">
        <f t="shared" si="215"/>
        <v/>
      </c>
      <c r="J1928" s="61" t="str">
        <f t="shared" si="216"/>
        <v/>
      </c>
      <c r="K1928" s="61" t="str">
        <f t="shared" si="217"/>
        <v/>
      </c>
      <c r="L1928" s="61" t="str">
        <f t="shared" si="218"/>
        <v/>
      </c>
      <c r="M1928" s="63" t="str">
        <f t="shared" si="219"/>
        <v/>
      </c>
      <c r="N1928" s="64"/>
    </row>
    <row r="1929" spans="1:14" x14ac:dyDescent="0.3">
      <c r="A1929" s="58" t="str">
        <f>IF([1]weekly_demand!A1930="","",[1]weekly_demand!A1930)</f>
        <v/>
      </c>
      <c r="B1929" s="59" t="str">
        <f>IF($A1929="","",[1]weekly_demand!F1930)</f>
        <v/>
      </c>
      <c r="C1929" s="60" t="str">
        <f>IF($A1929="","",[1]weekly_demand!H1930)</f>
        <v/>
      </c>
      <c r="D1929" s="61" t="str">
        <f>IF($A1929="","",IF(SUMIFS([1]Fixture_Capacity_Input!$C:$C,[1]Fixture_Capacity_Input!$A:$A,$B1929,[1]Fixture_Capacity_Input!$B:$B,$C1929)&gt;0,SUMIFS([1]Fixture_Capacity_Input!$C:$C,[1]Fixture_Capacity_Input!$A:$A,$B1929,[1]Fixture_Capacity_Input!$B:$B,$C1929),[1]weekly_demand!G1930))</f>
        <v/>
      </c>
      <c r="E1929" s="62" t="str">
        <f>IF($A1929="","",[1]weekly_demand!I1930)</f>
        <v/>
      </c>
      <c r="F1929" s="61" t="str">
        <f>IF($A1929="","",IF($A1929&lt;&gt;$A1928,IFERROR(INDEX([1]FG_Begin_Inventory!$B:$B,MATCH($A1929,[1]FG_Begin_Inventory!$A:$A,0)),0),J1928))</f>
        <v/>
      </c>
      <c r="G1929" s="61" t="str">
        <f t="shared" si="213"/>
        <v/>
      </c>
      <c r="H1929" s="61" t="str">
        <f t="shared" si="214"/>
        <v/>
      </c>
      <c r="I1929" s="62" t="str">
        <f t="shared" si="215"/>
        <v/>
      </c>
      <c r="J1929" s="61" t="str">
        <f t="shared" si="216"/>
        <v/>
      </c>
      <c r="K1929" s="61" t="str">
        <f t="shared" si="217"/>
        <v/>
      </c>
      <c r="L1929" s="61" t="str">
        <f t="shared" si="218"/>
        <v/>
      </c>
      <c r="M1929" s="63" t="str">
        <f t="shared" si="219"/>
        <v/>
      </c>
      <c r="N1929" s="64"/>
    </row>
    <row r="1930" spans="1:14" x14ac:dyDescent="0.3">
      <c r="A1930" s="58" t="str">
        <f>IF([1]weekly_demand!A1931="","",[1]weekly_demand!A1931)</f>
        <v/>
      </c>
      <c r="B1930" s="59" t="str">
        <f>IF($A1930="","",[1]weekly_demand!F1931)</f>
        <v/>
      </c>
      <c r="C1930" s="60" t="str">
        <f>IF($A1930="","",[1]weekly_demand!H1931)</f>
        <v/>
      </c>
      <c r="D1930" s="61" t="str">
        <f>IF($A1930="","",IF(SUMIFS([1]Fixture_Capacity_Input!$C:$C,[1]Fixture_Capacity_Input!$A:$A,$B1930,[1]Fixture_Capacity_Input!$B:$B,$C1930)&gt;0,SUMIFS([1]Fixture_Capacity_Input!$C:$C,[1]Fixture_Capacity_Input!$A:$A,$B1930,[1]Fixture_Capacity_Input!$B:$B,$C1930),[1]weekly_demand!G1931))</f>
        <v/>
      </c>
      <c r="E1930" s="62" t="str">
        <f>IF($A1930="","",[1]weekly_demand!I1931)</f>
        <v/>
      </c>
      <c r="F1930" s="61" t="str">
        <f>IF($A1930="","",IF($A1930&lt;&gt;$A1929,IFERROR(INDEX([1]FG_Begin_Inventory!$B:$B,MATCH($A1930,[1]FG_Begin_Inventory!$A:$A,0)),0),J1929))</f>
        <v/>
      </c>
      <c r="G1930" s="61" t="str">
        <f t="shared" si="213"/>
        <v/>
      </c>
      <c r="H1930" s="61" t="str">
        <f t="shared" si="214"/>
        <v/>
      </c>
      <c r="I1930" s="62" t="str">
        <f t="shared" si="215"/>
        <v/>
      </c>
      <c r="J1930" s="61" t="str">
        <f t="shared" si="216"/>
        <v/>
      </c>
      <c r="K1930" s="61" t="str">
        <f t="shared" si="217"/>
        <v/>
      </c>
      <c r="L1930" s="61" t="str">
        <f t="shared" si="218"/>
        <v/>
      </c>
      <c r="M1930" s="63" t="str">
        <f t="shared" si="219"/>
        <v/>
      </c>
      <c r="N1930" s="64"/>
    </row>
    <row r="1931" spans="1:14" x14ac:dyDescent="0.3">
      <c r="A1931" s="58" t="str">
        <f>IF([1]weekly_demand!A1932="","",[1]weekly_demand!A1932)</f>
        <v/>
      </c>
      <c r="B1931" s="59" t="str">
        <f>IF($A1931="","",[1]weekly_demand!F1932)</f>
        <v/>
      </c>
      <c r="C1931" s="60" t="str">
        <f>IF($A1931="","",[1]weekly_demand!H1932)</f>
        <v/>
      </c>
      <c r="D1931" s="61" t="str">
        <f>IF($A1931="","",IF(SUMIFS([1]Fixture_Capacity_Input!$C:$C,[1]Fixture_Capacity_Input!$A:$A,$B1931,[1]Fixture_Capacity_Input!$B:$B,$C1931)&gt;0,SUMIFS([1]Fixture_Capacity_Input!$C:$C,[1]Fixture_Capacity_Input!$A:$A,$B1931,[1]Fixture_Capacity_Input!$B:$B,$C1931),[1]weekly_demand!G1932))</f>
        <v/>
      </c>
      <c r="E1931" s="62" t="str">
        <f>IF($A1931="","",[1]weekly_demand!I1932)</f>
        <v/>
      </c>
      <c r="F1931" s="61" t="str">
        <f>IF($A1931="","",IF($A1931&lt;&gt;$A1930,IFERROR(INDEX([1]FG_Begin_Inventory!$B:$B,MATCH($A1931,[1]FG_Begin_Inventory!$A:$A,0)),0),J1930))</f>
        <v/>
      </c>
      <c r="G1931" s="61" t="str">
        <f t="shared" si="213"/>
        <v/>
      </c>
      <c r="H1931" s="61" t="str">
        <f t="shared" si="214"/>
        <v/>
      </c>
      <c r="I1931" s="62" t="str">
        <f t="shared" si="215"/>
        <v/>
      </c>
      <c r="J1931" s="61" t="str">
        <f t="shared" si="216"/>
        <v/>
      </c>
      <c r="K1931" s="61" t="str">
        <f t="shared" si="217"/>
        <v/>
      </c>
      <c r="L1931" s="61" t="str">
        <f t="shared" si="218"/>
        <v/>
      </c>
      <c r="M1931" s="63" t="str">
        <f t="shared" si="219"/>
        <v/>
      </c>
      <c r="N1931" s="64"/>
    </row>
    <row r="1932" spans="1:14" x14ac:dyDescent="0.3">
      <c r="A1932" s="58" t="str">
        <f>IF([1]weekly_demand!A1933="","",[1]weekly_demand!A1933)</f>
        <v/>
      </c>
      <c r="B1932" s="59" t="str">
        <f>IF($A1932="","",[1]weekly_demand!F1933)</f>
        <v/>
      </c>
      <c r="C1932" s="60" t="str">
        <f>IF($A1932="","",[1]weekly_demand!H1933)</f>
        <v/>
      </c>
      <c r="D1932" s="61" t="str">
        <f>IF($A1932="","",IF(SUMIFS([1]Fixture_Capacity_Input!$C:$C,[1]Fixture_Capacity_Input!$A:$A,$B1932,[1]Fixture_Capacity_Input!$B:$B,$C1932)&gt;0,SUMIFS([1]Fixture_Capacity_Input!$C:$C,[1]Fixture_Capacity_Input!$A:$A,$B1932,[1]Fixture_Capacity_Input!$B:$B,$C1932),[1]weekly_demand!G1933))</f>
        <v/>
      </c>
      <c r="E1932" s="62" t="str">
        <f>IF($A1932="","",[1]weekly_demand!I1933)</f>
        <v/>
      </c>
      <c r="F1932" s="61" t="str">
        <f>IF($A1932="","",IF($A1932&lt;&gt;$A1931,IFERROR(INDEX([1]FG_Begin_Inventory!$B:$B,MATCH($A1932,[1]FG_Begin_Inventory!$A:$A,0)),0),J1931))</f>
        <v/>
      </c>
      <c r="G1932" s="61" t="str">
        <f t="shared" si="213"/>
        <v/>
      </c>
      <c r="H1932" s="61" t="str">
        <f t="shared" si="214"/>
        <v/>
      </c>
      <c r="I1932" s="62" t="str">
        <f t="shared" si="215"/>
        <v/>
      </c>
      <c r="J1932" s="61" t="str">
        <f t="shared" si="216"/>
        <v/>
      </c>
      <c r="K1932" s="61" t="str">
        <f t="shared" si="217"/>
        <v/>
      </c>
      <c r="L1932" s="61" t="str">
        <f t="shared" si="218"/>
        <v/>
      </c>
      <c r="M1932" s="63" t="str">
        <f t="shared" si="219"/>
        <v/>
      </c>
      <c r="N1932" s="64"/>
    </row>
    <row r="1933" spans="1:14" x14ac:dyDescent="0.3">
      <c r="A1933" s="58" t="str">
        <f>IF([1]weekly_demand!A1934="","",[1]weekly_demand!A1934)</f>
        <v/>
      </c>
      <c r="B1933" s="59" t="str">
        <f>IF($A1933="","",[1]weekly_demand!F1934)</f>
        <v/>
      </c>
      <c r="C1933" s="60" t="str">
        <f>IF($A1933="","",[1]weekly_demand!H1934)</f>
        <v/>
      </c>
      <c r="D1933" s="61" t="str">
        <f>IF($A1933="","",IF(SUMIFS([1]Fixture_Capacity_Input!$C:$C,[1]Fixture_Capacity_Input!$A:$A,$B1933,[1]Fixture_Capacity_Input!$B:$B,$C1933)&gt;0,SUMIFS([1]Fixture_Capacity_Input!$C:$C,[1]Fixture_Capacity_Input!$A:$A,$B1933,[1]Fixture_Capacity_Input!$B:$B,$C1933),[1]weekly_demand!G1934))</f>
        <v/>
      </c>
      <c r="E1933" s="62" t="str">
        <f>IF($A1933="","",[1]weekly_demand!I1934)</f>
        <v/>
      </c>
      <c r="F1933" s="61" t="str">
        <f>IF($A1933="","",IF($A1933&lt;&gt;$A1932,IFERROR(INDEX([1]FG_Begin_Inventory!$B:$B,MATCH($A1933,[1]FG_Begin_Inventory!$A:$A,0)),0),J1932))</f>
        <v/>
      </c>
      <c r="G1933" s="61" t="str">
        <f t="shared" si="213"/>
        <v/>
      </c>
      <c r="H1933" s="61" t="str">
        <f t="shared" si="214"/>
        <v/>
      </c>
      <c r="I1933" s="62" t="str">
        <f t="shared" si="215"/>
        <v/>
      </c>
      <c r="J1933" s="61" t="str">
        <f t="shared" si="216"/>
        <v/>
      </c>
      <c r="K1933" s="61" t="str">
        <f t="shared" si="217"/>
        <v/>
      </c>
      <c r="L1933" s="61" t="str">
        <f t="shared" si="218"/>
        <v/>
      </c>
      <c r="M1933" s="63" t="str">
        <f t="shared" si="219"/>
        <v/>
      </c>
      <c r="N1933" s="64"/>
    </row>
    <row r="1934" spans="1:14" x14ac:dyDescent="0.3">
      <c r="A1934" s="58" t="str">
        <f>IF([1]weekly_demand!A1935="","",[1]weekly_demand!A1935)</f>
        <v/>
      </c>
      <c r="B1934" s="59" t="str">
        <f>IF($A1934="","",[1]weekly_demand!F1935)</f>
        <v/>
      </c>
      <c r="C1934" s="60" t="str">
        <f>IF($A1934="","",[1]weekly_demand!H1935)</f>
        <v/>
      </c>
      <c r="D1934" s="61" t="str">
        <f>IF($A1934="","",IF(SUMIFS([1]Fixture_Capacity_Input!$C:$C,[1]Fixture_Capacity_Input!$A:$A,$B1934,[1]Fixture_Capacity_Input!$B:$B,$C1934)&gt;0,SUMIFS([1]Fixture_Capacity_Input!$C:$C,[1]Fixture_Capacity_Input!$A:$A,$B1934,[1]Fixture_Capacity_Input!$B:$B,$C1934),[1]weekly_demand!G1935))</f>
        <v/>
      </c>
      <c r="E1934" s="62" t="str">
        <f>IF($A1934="","",[1]weekly_demand!I1935)</f>
        <v/>
      </c>
      <c r="F1934" s="61" t="str">
        <f>IF($A1934="","",IF($A1934&lt;&gt;$A1933,IFERROR(INDEX([1]FG_Begin_Inventory!$B:$B,MATCH($A1934,[1]FG_Begin_Inventory!$A:$A,0)),0),J1933))</f>
        <v/>
      </c>
      <c r="G1934" s="61" t="str">
        <f t="shared" si="213"/>
        <v/>
      </c>
      <c r="H1934" s="61" t="str">
        <f t="shared" si="214"/>
        <v/>
      </c>
      <c r="I1934" s="62" t="str">
        <f t="shared" si="215"/>
        <v/>
      </c>
      <c r="J1934" s="61" t="str">
        <f t="shared" si="216"/>
        <v/>
      </c>
      <c r="K1934" s="61" t="str">
        <f t="shared" si="217"/>
        <v/>
      </c>
      <c r="L1934" s="61" t="str">
        <f t="shared" si="218"/>
        <v/>
      </c>
      <c r="M1934" s="63" t="str">
        <f t="shared" si="219"/>
        <v/>
      </c>
      <c r="N1934" s="64"/>
    </row>
    <row r="1935" spans="1:14" x14ac:dyDescent="0.3">
      <c r="A1935" s="58" t="str">
        <f>IF([1]weekly_demand!A1936="","",[1]weekly_demand!A1936)</f>
        <v/>
      </c>
      <c r="B1935" s="59" t="str">
        <f>IF($A1935="","",[1]weekly_demand!F1936)</f>
        <v/>
      </c>
      <c r="C1935" s="60" t="str">
        <f>IF($A1935="","",[1]weekly_demand!H1936)</f>
        <v/>
      </c>
      <c r="D1935" s="61" t="str">
        <f>IF($A1935="","",IF(SUMIFS([1]Fixture_Capacity_Input!$C:$C,[1]Fixture_Capacity_Input!$A:$A,$B1935,[1]Fixture_Capacity_Input!$B:$B,$C1935)&gt;0,SUMIFS([1]Fixture_Capacity_Input!$C:$C,[1]Fixture_Capacity_Input!$A:$A,$B1935,[1]Fixture_Capacity_Input!$B:$B,$C1935),[1]weekly_demand!G1936))</f>
        <v/>
      </c>
      <c r="E1935" s="62" t="str">
        <f>IF($A1935="","",[1]weekly_demand!I1936)</f>
        <v/>
      </c>
      <c r="F1935" s="61" t="str">
        <f>IF($A1935="","",IF($A1935&lt;&gt;$A1934,IFERROR(INDEX([1]FG_Begin_Inventory!$B:$B,MATCH($A1935,[1]FG_Begin_Inventory!$A:$A,0)),0),J1934))</f>
        <v/>
      </c>
      <c r="G1935" s="61" t="str">
        <f t="shared" si="213"/>
        <v/>
      </c>
      <c r="H1935" s="61" t="str">
        <f t="shared" si="214"/>
        <v/>
      </c>
      <c r="I1935" s="62" t="str">
        <f t="shared" si="215"/>
        <v/>
      </c>
      <c r="J1935" s="61" t="str">
        <f t="shared" si="216"/>
        <v/>
      </c>
      <c r="K1935" s="61" t="str">
        <f t="shared" si="217"/>
        <v/>
      </c>
      <c r="L1935" s="61" t="str">
        <f t="shared" si="218"/>
        <v/>
      </c>
      <c r="M1935" s="63" t="str">
        <f t="shared" si="219"/>
        <v/>
      </c>
      <c r="N1935" s="64"/>
    </row>
    <row r="1936" spans="1:14" x14ac:dyDescent="0.3">
      <c r="A1936" s="58" t="str">
        <f>IF([1]weekly_demand!A1937="","",[1]weekly_demand!A1937)</f>
        <v/>
      </c>
      <c r="B1936" s="59" t="str">
        <f>IF($A1936="","",[1]weekly_demand!F1937)</f>
        <v/>
      </c>
      <c r="C1936" s="60" t="str">
        <f>IF($A1936="","",[1]weekly_demand!H1937)</f>
        <v/>
      </c>
      <c r="D1936" s="61" t="str">
        <f>IF($A1936="","",IF(SUMIFS([1]Fixture_Capacity_Input!$C:$C,[1]Fixture_Capacity_Input!$A:$A,$B1936,[1]Fixture_Capacity_Input!$B:$B,$C1936)&gt;0,SUMIFS([1]Fixture_Capacity_Input!$C:$C,[1]Fixture_Capacity_Input!$A:$A,$B1936,[1]Fixture_Capacity_Input!$B:$B,$C1936),[1]weekly_demand!G1937))</f>
        <v/>
      </c>
      <c r="E1936" s="62" t="str">
        <f>IF($A1936="","",[1]weekly_demand!I1937)</f>
        <v/>
      </c>
      <c r="F1936" s="61" t="str">
        <f>IF($A1936="","",IF($A1936&lt;&gt;$A1935,IFERROR(INDEX([1]FG_Begin_Inventory!$B:$B,MATCH($A1936,[1]FG_Begin_Inventory!$A:$A,0)),0),J1935))</f>
        <v/>
      </c>
      <c r="G1936" s="61" t="str">
        <f t="shared" si="213"/>
        <v/>
      </c>
      <c r="H1936" s="61" t="str">
        <f t="shared" si="214"/>
        <v/>
      </c>
      <c r="I1936" s="62" t="str">
        <f t="shared" si="215"/>
        <v/>
      </c>
      <c r="J1936" s="61" t="str">
        <f t="shared" si="216"/>
        <v/>
      </c>
      <c r="K1936" s="61" t="str">
        <f t="shared" si="217"/>
        <v/>
      </c>
      <c r="L1936" s="61" t="str">
        <f t="shared" si="218"/>
        <v/>
      </c>
      <c r="M1936" s="63" t="str">
        <f t="shared" si="219"/>
        <v/>
      </c>
      <c r="N1936" s="64"/>
    </row>
    <row r="1937" spans="1:14" x14ac:dyDescent="0.3">
      <c r="A1937" s="58" t="str">
        <f>IF([1]weekly_demand!A1938="","",[1]weekly_demand!A1938)</f>
        <v/>
      </c>
      <c r="B1937" s="59" t="str">
        <f>IF($A1937="","",[1]weekly_demand!F1938)</f>
        <v/>
      </c>
      <c r="C1937" s="60" t="str">
        <f>IF($A1937="","",[1]weekly_demand!H1938)</f>
        <v/>
      </c>
      <c r="D1937" s="61" t="str">
        <f>IF($A1937="","",IF(SUMIFS([1]Fixture_Capacity_Input!$C:$C,[1]Fixture_Capacity_Input!$A:$A,$B1937,[1]Fixture_Capacity_Input!$B:$B,$C1937)&gt;0,SUMIFS([1]Fixture_Capacity_Input!$C:$C,[1]Fixture_Capacity_Input!$A:$A,$B1937,[1]Fixture_Capacity_Input!$B:$B,$C1937),[1]weekly_demand!G1938))</f>
        <v/>
      </c>
      <c r="E1937" s="62" t="str">
        <f>IF($A1937="","",[1]weekly_demand!I1938)</f>
        <v/>
      </c>
      <c r="F1937" s="61" t="str">
        <f>IF($A1937="","",IF($A1937&lt;&gt;$A1936,IFERROR(INDEX([1]FG_Begin_Inventory!$B:$B,MATCH($A1937,[1]FG_Begin_Inventory!$A:$A,0)),0),J1936))</f>
        <v/>
      </c>
      <c r="G1937" s="61" t="str">
        <f t="shared" si="213"/>
        <v/>
      </c>
      <c r="H1937" s="61" t="str">
        <f t="shared" si="214"/>
        <v/>
      </c>
      <c r="I1937" s="62" t="str">
        <f t="shared" si="215"/>
        <v/>
      </c>
      <c r="J1937" s="61" t="str">
        <f t="shared" si="216"/>
        <v/>
      </c>
      <c r="K1937" s="61" t="str">
        <f t="shared" si="217"/>
        <v/>
      </c>
      <c r="L1937" s="61" t="str">
        <f t="shared" si="218"/>
        <v/>
      </c>
      <c r="M1937" s="63" t="str">
        <f t="shared" si="219"/>
        <v/>
      </c>
      <c r="N1937" s="64"/>
    </row>
    <row r="1938" spans="1:14" x14ac:dyDescent="0.3">
      <c r="A1938" s="58" t="str">
        <f>IF([1]weekly_demand!A1939="","",[1]weekly_demand!A1939)</f>
        <v/>
      </c>
      <c r="B1938" s="59" t="str">
        <f>IF($A1938="","",[1]weekly_demand!F1939)</f>
        <v/>
      </c>
      <c r="C1938" s="60" t="str">
        <f>IF($A1938="","",[1]weekly_demand!H1939)</f>
        <v/>
      </c>
      <c r="D1938" s="61" t="str">
        <f>IF($A1938="","",IF(SUMIFS([1]Fixture_Capacity_Input!$C:$C,[1]Fixture_Capacity_Input!$A:$A,$B1938,[1]Fixture_Capacity_Input!$B:$B,$C1938)&gt;0,SUMIFS([1]Fixture_Capacity_Input!$C:$C,[1]Fixture_Capacity_Input!$A:$A,$B1938,[1]Fixture_Capacity_Input!$B:$B,$C1938),[1]weekly_demand!G1939))</f>
        <v/>
      </c>
      <c r="E1938" s="62" t="str">
        <f>IF($A1938="","",[1]weekly_demand!I1939)</f>
        <v/>
      </c>
      <c r="F1938" s="61" t="str">
        <f>IF($A1938="","",IF($A1938&lt;&gt;$A1937,IFERROR(INDEX([1]FG_Begin_Inventory!$B:$B,MATCH($A1938,[1]FG_Begin_Inventory!$A:$A,0)),0),J1937))</f>
        <v/>
      </c>
      <c r="G1938" s="61" t="str">
        <f t="shared" si="213"/>
        <v/>
      </c>
      <c r="H1938" s="61" t="str">
        <f t="shared" si="214"/>
        <v/>
      </c>
      <c r="I1938" s="62" t="str">
        <f t="shared" si="215"/>
        <v/>
      </c>
      <c r="J1938" s="61" t="str">
        <f t="shared" si="216"/>
        <v/>
      </c>
      <c r="K1938" s="61" t="str">
        <f t="shared" si="217"/>
        <v/>
      </c>
      <c r="L1938" s="61" t="str">
        <f t="shared" si="218"/>
        <v/>
      </c>
      <c r="M1938" s="63" t="str">
        <f t="shared" si="219"/>
        <v/>
      </c>
      <c r="N1938" s="64"/>
    </row>
    <row r="1939" spans="1:14" x14ac:dyDescent="0.3">
      <c r="A1939" s="58" t="str">
        <f>IF([1]weekly_demand!A1940="","",[1]weekly_demand!A1940)</f>
        <v/>
      </c>
      <c r="B1939" s="59" t="str">
        <f>IF($A1939="","",[1]weekly_demand!F1940)</f>
        <v/>
      </c>
      <c r="C1939" s="60" t="str">
        <f>IF($A1939="","",[1]weekly_demand!H1940)</f>
        <v/>
      </c>
      <c r="D1939" s="61" t="str">
        <f>IF($A1939="","",IF(SUMIFS([1]Fixture_Capacity_Input!$C:$C,[1]Fixture_Capacity_Input!$A:$A,$B1939,[1]Fixture_Capacity_Input!$B:$B,$C1939)&gt;0,SUMIFS([1]Fixture_Capacity_Input!$C:$C,[1]Fixture_Capacity_Input!$A:$A,$B1939,[1]Fixture_Capacity_Input!$B:$B,$C1939),[1]weekly_demand!G1940))</f>
        <v/>
      </c>
      <c r="E1939" s="62" t="str">
        <f>IF($A1939="","",[1]weekly_demand!I1940)</f>
        <v/>
      </c>
      <c r="F1939" s="61" t="str">
        <f>IF($A1939="","",IF($A1939&lt;&gt;$A1938,IFERROR(INDEX([1]FG_Begin_Inventory!$B:$B,MATCH($A1939,[1]FG_Begin_Inventory!$A:$A,0)),0),J1938))</f>
        <v/>
      </c>
      <c r="G1939" s="61" t="str">
        <f t="shared" si="213"/>
        <v/>
      </c>
      <c r="H1939" s="61" t="str">
        <f t="shared" si="214"/>
        <v/>
      </c>
      <c r="I1939" s="62" t="str">
        <f t="shared" si="215"/>
        <v/>
      </c>
      <c r="J1939" s="61" t="str">
        <f t="shared" si="216"/>
        <v/>
      </c>
      <c r="K1939" s="61" t="str">
        <f t="shared" si="217"/>
        <v/>
      </c>
      <c r="L1939" s="61" t="str">
        <f t="shared" si="218"/>
        <v/>
      </c>
      <c r="M1939" s="63" t="str">
        <f t="shared" si="219"/>
        <v/>
      </c>
      <c r="N1939" s="64"/>
    </row>
    <row r="1940" spans="1:14" x14ac:dyDescent="0.3">
      <c r="A1940" s="58" t="str">
        <f>IF([1]weekly_demand!A1941="","",[1]weekly_demand!A1941)</f>
        <v/>
      </c>
      <c r="B1940" s="59" t="str">
        <f>IF($A1940="","",[1]weekly_demand!F1941)</f>
        <v/>
      </c>
      <c r="C1940" s="60" t="str">
        <f>IF($A1940="","",[1]weekly_demand!H1941)</f>
        <v/>
      </c>
      <c r="D1940" s="61" t="str">
        <f>IF($A1940="","",IF(SUMIFS([1]Fixture_Capacity_Input!$C:$C,[1]Fixture_Capacity_Input!$A:$A,$B1940,[1]Fixture_Capacity_Input!$B:$B,$C1940)&gt;0,SUMIFS([1]Fixture_Capacity_Input!$C:$C,[1]Fixture_Capacity_Input!$A:$A,$B1940,[1]Fixture_Capacity_Input!$B:$B,$C1940),[1]weekly_demand!G1941))</f>
        <v/>
      </c>
      <c r="E1940" s="62" t="str">
        <f>IF($A1940="","",[1]weekly_demand!I1941)</f>
        <v/>
      </c>
      <c r="F1940" s="61" t="str">
        <f>IF($A1940="","",IF($A1940&lt;&gt;$A1939,IFERROR(INDEX([1]FG_Begin_Inventory!$B:$B,MATCH($A1940,[1]FG_Begin_Inventory!$A:$A,0)),0),J1939))</f>
        <v/>
      </c>
      <c r="G1940" s="61" t="str">
        <f t="shared" si="213"/>
        <v/>
      </c>
      <c r="H1940" s="61" t="str">
        <f t="shared" si="214"/>
        <v/>
      </c>
      <c r="I1940" s="62" t="str">
        <f t="shared" si="215"/>
        <v/>
      </c>
      <c r="J1940" s="61" t="str">
        <f t="shared" si="216"/>
        <v/>
      </c>
      <c r="K1940" s="61" t="str">
        <f t="shared" si="217"/>
        <v/>
      </c>
      <c r="L1940" s="61" t="str">
        <f t="shared" si="218"/>
        <v/>
      </c>
      <c r="M1940" s="63" t="str">
        <f t="shared" si="219"/>
        <v/>
      </c>
      <c r="N1940" s="64"/>
    </row>
    <row r="1941" spans="1:14" x14ac:dyDescent="0.3">
      <c r="A1941" s="58" t="str">
        <f>IF([1]weekly_demand!A1942="","",[1]weekly_demand!A1942)</f>
        <v/>
      </c>
      <c r="B1941" s="59" t="str">
        <f>IF($A1941="","",[1]weekly_demand!F1942)</f>
        <v/>
      </c>
      <c r="C1941" s="60" t="str">
        <f>IF($A1941="","",[1]weekly_demand!H1942)</f>
        <v/>
      </c>
      <c r="D1941" s="61" t="str">
        <f>IF($A1941="","",IF(SUMIFS([1]Fixture_Capacity_Input!$C:$C,[1]Fixture_Capacity_Input!$A:$A,$B1941,[1]Fixture_Capacity_Input!$B:$B,$C1941)&gt;0,SUMIFS([1]Fixture_Capacity_Input!$C:$C,[1]Fixture_Capacity_Input!$A:$A,$B1941,[1]Fixture_Capacity_Input!$B:$B,$C1941),[1]weekly_demand!G1942))</f>
        <v/>
      </c>
      <c r="E1941" s="62" t="str">
        <f>IF($A1941="","",[1]weekly_demand!I1942)</f>
        <v/>
      </c>
      <c r="F1941" s="61" t="str">
        <f>IF($A1941="","",IF($A1941&lt;&gt;$A1940,IFERROR(INDEX([1]FG_Begin_Inventory!$B:$B,MATCH($A1941,[1]FG_Begin_Inventory!$A:$A,0)),0),J1940))</f>
        <v/>
      </c>
      <c r="G1941" s="61" t="str">
        <f t="shared" si="213"/>
        <v/>
      </c>
      <c r="H1941" s="61" t="str">
        <f t="shared" si="214"/>
        <v/>
      </c>
      <c r="I1941" s="62" t="str">
        <f t="shared" si="215"/>
        <v/>
      </c>
      <c r="J1941" s="61" t="str">
        <f t="shared" si="216"/>
        <v/>
      </c>
      <c r="K1941" s="61" t="str">
        <f t="shared" si="217"/>
        <v/>
      </c>
      <c r="L1941" s="61" t="str">
        <f t="shared" si="218"/>
        <v/>
      </c>
      <c r="M1941" s="63" t="str">
        <f t="shared" si="219"/>
        <v/>
      </c>
      <c r="N1941" s="64"/>
    </row>
    <row r="1942" spans="1:14" x14ac:dyDescent="0.3">
      <c r="A1942" s="58" t="str">
        <f>IF([1]weekly_demand!A1943="","",[1]weekly_demand!A1943)</f>
        <v/>
      </c>
      <c r="B1942" s="59" t="str">
        <f>IF($A1942="","",[1]weekly_demand!F1943)</f>
        <v/>
      </c>
      <c r="C1942" s="60" t="str">
        <f>IF($A1942="","",[1]weekly_demand!H1943)</f>
        <v/>
      </c>
      <c r="D1942" s="61" t="str">
        <f>IF($A1942="","",IF(SUMIFS([1]Fixture_Capacity_Input!$C:$C,[1]Fixture_Capacity_Input!$A:$A,$B1942,[1]Fixture_Capacity_Input!$B:$B,$C1942)&gt;0,SUMIFS([1]Fixture_Capacity_Input!$C:$C,[1]Fixture_Capacity_Input!$A:$A,$B1942,[1]Fixture_Capacity_Input!$B:$B,$C1942),[1]weekly_demand!G1943))</f>
        <v/>
      </c>
      <c r="E1942" s="62" t="str">
        <f>IF($A1942="","",[1]weekly_demand!I1943)</f>
        <v/>
      </c>
      <c r="F1942" s="61" t="str">
        <f>IF($A1942="","",IF($A1942&lt;&gt;$A1941,IFERROR(INDEX([1]FG_Begin_Inventory!$B:$B,MATCH($A1942,[1]FG_Begin_Inventory!$A:$A,0)),0),J1941))</f>
        <v/>
      </c>
      <c r="G1942" s="61" t="str">
        <f t="shared" si="213"/>
        <v/>
      </c>
      <c r="H1942" s="61" t="str">
        <f t="shared" si="214"/>
        <v/>
      </c>
      <c r="I1942" s="62" t="str">
        <f t="shared" si="215"/>
        <v/>
      </c>
      <c r="J1942" s="61" t="str">
        <f t="shared" si="216"/>
        <v/>
      </c>
      <c r="K1942" s="61" t="str">
        <f t="shared" si="217"/>
        <v/>
      </c>
      <c r="L1942" s="61" t="str">
        <f t="shared" si="218"/>
        <v/>
      </c>
      <c r="M1942" s="63" t="str">
        <f t="shared" si="219"/>
        <v/>
      </c>
      <c r="N1942" s="64"/>
    </row>
    <row r="1943" spans="1:14" x14ac:dyDescent="0.3">
      <c r="A1943" s="58" t="str">
        <f>IF([1]weekly_demand!A1944="","",[1]weekly_demand!A1944)</f>
        <v/>
      </c>
      <c r="B1943" s="59" t="str">
        <f>IF($A1943="","",[1]weekly_demand!F1944)</f>
        <v/>
      </c>
      <c r="C1943" s="60" t="str">
        <f>IF($A1943="","",[1]weekly_demand!H1944)</f>
        <v/>
      </c>
      <c r="D1943" s="61" t="str">
        <f>IF($A1943="","",IF(SUMIFS([1]Fixture_Capacity_Input!$C:$C,[1]Fixture_Capacity_Input!$A:$A,$B1943,[1]Fixture_Capacity_Input!$B:$B,$C1943)&gt;0,SUMIFS([1]Fixture_Capacity_Input!$C:$C,[1]Fixture_Capacity_Input!$A:$A,$B1943,[1]Fixture_Capacity_Input!$B:$B,$C1943),[1]weekly_demand!G1944))</f>
        <v/>
      </c>
      <c r="E1943" s="62" t="str">
        <f>IF($A1943="","",[1]weekly_demand!I1944)</f>
        <v/>
      </c>
      <c r="F1943" s="61" t="str">
        <f>IF($A1943="","",IF($A1943&lt;&gt;$A1942,IFERROR(INDEX([1]FG_Begin_Inventory!$B:$B,MATCH($A1943,[1]FG_Begin_Inventory!$A:$A,0)),0),J1942))</f>
        <v/>
      </c>
      <c r="G1943" s="61" t="str">
        <f t="shared" si="213"/>
        <v/>
      </c>
      <c r="H1943" s="61" t="str">
        <f t="shared" si="214"/>
        <v/>
      </c>
      <c r="I1943" s="62" t="str">
        <f t="shared" si="215"/>
        <v/>
      </c>
      <c r="J1943" s="61" t="str">
        <f t="shared" si="216"/>
        <v/>
      </c>
      <c r="K1943" s="61" t="str">
        <f t="shared" si="217"/>
        <v/>
      </c>
      <c r="L1943" s="61" t="str">
        <f t="shared" si="218"/>
        <v/>
      </c>
      <c r="M1943" s="63" t="str">
        <f t="shared" si="219"/>
        <v/>
      </c>
      <c r="N1943" s="64"/>
    </row>
    <row r="1944" spans="1:14" x14ac:dyDescent="0.3">
      <c r="A1944" s="58" t="str">
        <f>IF([1]weekly_demand!A1945="","",[1]weekly_demand!A1945)</f>
        <v/>
      </c>
      <c r="B1944" s="59" t="str">
        <f>IF($A1944="","",[1]weekly_demand!F1945)</f>
        <v/>
      </c>
      <c r="C1944" s="60" t="str">
        <f>IF($A1944="","",[1]weekly_demand!H1945)</f>
        <v/>
      </c>
      <c r="D1944" s="61" t="str">
        <f>IF($A1944="","",IF(SUMIFS([1]Fixture_Capacity_Input!$C:$C,[1]Fixture_Capacity_Input!$A:$A,$B1944,[1]Fixture_Capacity_Input!$B:$B,$C1944)&gt;0,SUMIFS([1]Fixture_Capacity_Input!$C:$C,[1]Fixture_Capacity_Input!$A:$A,$B1944,[1]Fixture_Capacity_Input!$B:$B,$C1944),[1]weekly_demand!G1945))</f>
        <v/>
      </c>
      <c r="E1944" s="62" t="str">
        <f>IF($A1944="","",[1]weekly_demand!I1945)</f>
        <v/>
      </c>
      <c r="F1944" s="61" t="str">
        <f>IF($A1944="","",IF($A1944&lt;&gt;$A1943,IFERROR(INDEX([1]FG_Begin_Inventory!$B:$B,MATCH($A1944,[1]FG_Begin_Inventory!$A:$A,0)),0),J1943))</f>
        <v/>
      </c>
      <c r="G1944" s="61" t="str">
        <f t="shared" si="213"/>
        <v/>
      </c>
      <c r="H1944" s="61" t="str">
        <f t="shared" si="214"/>
        <v/>
      </c>
      <c r="I1944" s="62" t="str">
        <f t="shared" si="215"/>
        <v/>
      </c>
      <c r="J1944" s="61" t="str">
        <f t="shared" si="216"/>
        <v/>
      </c>
      <c r="K1944" s="61" t="str">
        <f t="shared" si="217"/>
        <v/>
      </c>
      <c r="L1944" s="61" t="str">
        <f t="shared" si="218"/>
        <v/>
      </c>
      <c r="M1944" s="63" t="str">
        <f t="shared" si="219"/>
        <v/>
      </c>
      <c r="N1944" s="64"/>
    </row>
    <row r="1945" spans="1:14" x14ac:dyDescent="0.3">
      <c r="A1945" s="58" t="str">
        <f>IF([1]weekly_demand!A1946="","",[1]weekly_demand!A1946)</f>
        <v/>
      </c>
      <c r="B1945" s="59" t="str">
        <f>IF($A1945="","",[1]weekly_demand!F1946)</f>
        <v/>
      </c>
      <c r="C1945" s="60" t="str">
        <f>IF($A1945="","",[1]weekly_demand!H1946)</f>
        <v/>
      </c>
      <c r="D1945" s="61" t="str">
        <f>IF($A1945="","",IF(SUMIFS([1]Fixture_Capacity_Input!$C:$C,[1]Fixture_Capacity_Input!$A:$A,$B1945,[1]Fixture_Capacity_Input!$B:$B,$C1945)&gt;0,SUMIFS([1]Fixture_Capacity_Input!$C:$C,[1]Fixture_Capacity_Input!$A:$A,$B1945,[1]Fixture_Capacity_Input!$B:$B,$C1945),[1]weekly_demand!G1946))</f>
        <v/>
      </c>
      <c r="E1945" s="62" t="str">
        <f>IF($A1945="","",[1]weekly_demand!I1946)</f>
        <v/>
      </c>
      <c r="F1945" s="61" t="str">
        <f>IF($A1945="","",IF($A1945&lt;&gt;$A1944,IFERROR(INDEX([1]FG_Begin_Inventory!$B:$B,MATCH($A1945,[1]FG_Begin_Inventory!$A:$A,0)),0),J1944))</f>
        <v/>
      </c>
      <c r="G1945" s="61" t="str">
        <f t="shared" si="213"/>
        <v/>
      </c>
      <c r="H1945" s="61" t="str">
        <f t="shared" si="214"/>
        <v/>
      </c>
      <c r="I1945" s="62" t="str">
        <f t="shared" si="215"/>
        <v/>
      </c>
      <c r="J1945" s="61" t="str">
        <f t="shared" si="216"/>
        <v/>
      </c>
      <c r="K1945" s="61" t="str">
        <f t="shared" si="217"/>
        <v/>
      </c>
      <c r="L1945" s="61" t="str">
        <f t="shared" si="218"/>
        <v/>
      </c>
      <c r="M1945" s="63" t="str">
        <f t="shared" si="219"/>
        <v/>
      </c>
      <c r="N1945" s="64"/>
    </row>
    <row r="1946" spans="1:14" x14ac:dyDescent="0.3">
      <c r="A1946" s="58" t="str">
        <f>IF([1]weekly_demand!A1947="","",[1]weekly_demand!A1947)</f>
        <v/>
      </c>
      <c r="B1946" s="59" t="str">
        <f>IF($A1946="","",[1]weekly_demand!F1947)</f>
        <v/>
      </c>
      <c r="C1946" s="60" t="str">
        <f>IF($A1946="","",[1]weekly_demand!H1947)</f>
        <v/>
      </c>
      <c r="D1946" s="61" t="str">
        <f>IF($A1946="","",IF(SUMIFS([1]Fixture_Capacity_Input!$C:$C,[1]Fixture_Capacity_Input!$A:$A,$B1946,[1]Fixture_Capacity_Input!$B:$B,$C1946)&gt;0,SUMIFS([1]Fixture_Capacity_Input!$C:$C,[1]Fixture_Capacity_Input!$A:$A,$B1946,[1]Fixture_Capacity_Input!$B:$B,$C1946),[1]weekly_demand!G1947))</f>
        <v/>
      </c>
      <c r="E1946" s="62" t="str">
        <f>IF($A1946="","",[1]weekly_demand!I1947)</f>
        <v/>
      </c>
      <c r="F1946" s="61" t="str">
        <f>IF($A1946="","",IF($A1946&lt;&gt;$A1945,IFERROR(INDEX([1]FG_Begin_Inventory!$B:$B,MATCH($A1946,[1]FG_Begin_Inventory!$A:$A,0)),0),J1945))</f>
        <v/>
      </c>
      <c r="G1946" s="61" t="str">
        <f t="shared" si="213"/>
        <v/>
      </c>
      <c r="H1946" s="61" t="str">
        <f t="shared" si="214"/>
        <v/>
      </c>
      <c r="I1946" s="62" t="str">
        <f t="shared" si="215"/>
        <v/>
      </c>
      <c r="J1946" s="61" t="str">
        <f t="shared" si="216"/>
        <v/>
      </c>
      <c r="K1946" s="61" t="str">
        <f t="shared" si="217"/>
        <v/>
      </c>
      <c r="L1946" s="61" t="str">
        <f t="shared" si="218"/>
        <v/>
      </c>
      <c r="M1946" s="63" t="str">
        <f t="shared" si="219"/>
        <v/>
      </c>
      <c r="N1946" s="64"/>
    </row>
    <row r="1947" spans="1:14" x14ac:dyDescent="0.3">
      <c r="A1947" s="58" t="str">
        <f>IF([1]weekly_demand!A1948="","",[1]weekly_demand!A1948)</f>
        <v/>
      </c>
      <c r="B1947" s="59" t="str">
        <f>IF($A1947="","",[1]weekly_demand!F1948)</f>
        <v/>
      </c>
      <c r="C1947" s="60" t="str">
        <f>IF($A1947="","",[1]weekly_demand!H1948)</f>
        <v/>
      </c>
      <c r="D1947" s="61" t="str">
        <f>IF($A1947="","",IF(SUMIFS([1]Fixture_Capacity_Input!$C:$C,[1]Fixture_Capacity_Input!$A:$A,$B1947,[1]Fixture_Capacity_Input!$B:$B,$C1947)&gt;0,SUMIFS([1]Fixture_Capacity_Input!$C:$C,[1]Fixture_Capacity_Input!$A:$A,$B1947,[1]Fixture_Capacity_Input!$B:$B,$C1947),[1]weekly_demand!G1948))</f>
        <v/>
      </c>
      <c r="E1947" s="62" t="str">
        <f>IF($A1947="","",[1]weekly_demand!I1948)</f>
        <v/>
      </c>
      <c r="F1947" s="61" t="str">
        <f>IF($A1947="","",IF($A1947&lt;&gt;$A1946,IFERROR(INDEX([1]FG_Begin_Inventory!$B:$B,MATCH($A1947,[1]FG_Begin_Inventory!$A:$A,0)),0),J1946))</f>
        <v/>
      </c>
      <c r="G1947" s="61" t="str">
        <f t="shared" si="213"/>
        <v/>
      </c>
      <c r="H1947" s="61" t="str">
        <f t="shared" si="214"/>
        <v/>
      </c>
      <c r="I1947" s="62" t="str">
        <f t="shared" si="215"/>
        <v/>
      </c>
      <c r="J1947" s="61" t="str">
        <f t="shared" si="216"/>
        <v/>
      </c>
      <c r="K1947" s="61" t="str">
        <f t="shared" si="217"/>
        <v/>
      </c>
      <c r="L1947" s="61" t="str">
        <f t="shared" si="218"/>
        <v/>
      </c>
      <c r="M1947" s="63" t="str">
        <f t="shared" si="219"/>
        <v/>
      </c>
      <c r="N1947" s="64"/>
    </row>
    <row r="1948" spans="1:14" x14ac:dyDescent="0.3">
      <c r="A1948" s="58" t="str">
        <f>IF([1]weekly_demand!A1949="","",[1]weekly_demand!A1949)</f>
        <v/>
      </c>
      <c r="B1948" s="59" t="str">
        <f>IF($A1948="","",[1]weekly_demand!F1949)</f>
        <v/>
      </c>
      <c r="C1948" s="60" t="str">
        <f>IF($A1948="","",[1]weekly_demand!H1949)</f>
        <v/>
      </c>
      <c r="D1948" s="61" t="str">
        <f>IF($A1948="","",IF(SUMIFS([1]Fixture_Capacity_Input!$C:$C,[1]Fixture_Capacity_Input!$A:$A,$B1948,[1]Fixture_Capacity_Input!$B:$B,$C1948)&gt;0,SUMIFS([1]Fixture_Capacity_Input!$C:$C,[1]Fixture_Capacity_Input!$A:$A,$B1948,[1]Fixture_Capacity_Input!$B:$B,$C1948),[1]weekly_demand!G1949))</f>
        <v/>
      </c>
      <c r="E1948" s="62" t="str">
        <f>IF($A1948="","",[1]weekly_demand!I1949)</f>
        <v/>
      </c>
      <c r="F1948" s="61" t="str">
        <f>IF($A1948="","",IF($A1948&lt;&gt;$A1947,IFERROR(INDEX([1]FG_Begin_Inventory!$B:$B,MATCH($A1948,[1]FG_Begin_Inventory!$A:$A,0)),0),J1947))</f>
        <v/>
      </c>
      <c r="G1948" s="61" t="str">
        <f t="shared" si="213"/>
        <v/>
      </c>
      <c r="H1948" s="61" t="str">
        <f t="shared" si="214"/>
        <v/>
      </c>
      <c r="I1948" s="62" t="str">
        <f t="shared" si="215"/>
        <v/>
      </c>
      <c r="J1948" s="61" t="str">
        <f t="shared" si="216"/>
        <v/>
      </c>
      <c r="K1948" s="61" t="str">
        <f t="shared" si="217"/>
        <v/>
      </c>
      <c r="L1948" s="61" t="str">
        <f t="shared" si="218"/>
        <v/>
      </c>
      <c r="M1948" s="63" t="str">
        <f t="shared" si="219"/>
        <v/>
      </c>
      <c r="N1948" s="64"/>
    </row>
    <row r="1949" spans="1:14" x14ac:dyDescent="0.3">
      <c r="A1949" s="58" t="str">
        <f>IF([1]weekly_demand!A1950="","",[1]weekly_demand!A1950)</f>
        <v/>
      </c>
      <c r="B1949" s="59" t="str">
        <f>IF($A1949="","",[1]weekly_demand!F1950)</f>
        <v/>
      </c>
      <c r="C1949" s="60" t="str">
        <f>IF($A1949="","",[1]weekly_demand!H1950)</f>
        <v/>
      </c>
      <c r="D1949" s="61" t="str">
        <f>IF($A1949="","",IF(SUMIFS([1]Fixture_Capacity_Input!$C:$C,[1]Fixture_Capacity_Input!$A:$A,$B1949,[1]Fixture_Capacity_Input!$B:$B,$C1949)&gt;0,SUMIFS([1]Fixture_Capacity_Input!$C:$C,[1]Fixture_Capacity_Input!$A:$A,$B1949,[1]Fixture_Capacity_Input!$B:$B,$C1949),[1]weekly_demand!G1950))</f>
        <v/>
      </c>
      <c r="E1949" s="62" t="str">
        <f>IF($A1949="","",[1]weekly_demand!I1950)</f>
        <v/>
      </c>
      <c r="F1949" s="61" t="str">
        <f>IF($A1949="","",IF($A1949&lt;&gt;$A1948,IFERROR(INDEX([1]FG_Begin_Inventory!$B:$B,MATCH($A1949,[1]FG_Begin_Inventory!$A:$A,0)),0),J1948))</f>
        <v/>
      </c>
      <c r="G1949" s="61" t="str">
        <f t="shared" si="213"/>
        <v/>
      </c>
      <c r="H1949" s="61" t="str">
        <f t="shared" si="214"/>
        <v/>
      </c>
      <c r="I1949" s="62" t="str">
        <f t="shared" si="215"/>
        <v/>
      </c>
      <c r="J1949" s="61" t="str">
        <f t="shared" si="216"/>
        <v/>
      </c>
      <c r="K1949" s="61" t="str">
        <f t="shared" si="217"/>
        <v/>
      </c>
      <c r="L1949" s="61" t="str">
        <f t="shared" si="218"/>
        <v/>
      </c>
      <c r="M1949" s="63" t="str">
        <f t="shared" si="219"/>
        <v/>
      </c>
      <c r="N1949" s="64"/>
    </row>
    <row r="1950" spans="1:14" x14ac:dyDescent="0.3">
      <c r="A1950" s="58" t="str">
        <f>IF([1]weekly_demand!A1951="","",[1]weekly_demand!A1951)</f>
        <v/>
      </c>
      <c r="B1950" s="59" t="str">
        <f>IF($A1950="","",[1]weekly_demand!F1951)</f>
        <v/>
      </c>
      <c r="C1950" s="60" t="str">
        <f>IF($A1950="","",[1]weekly_demand!H1951)</f>
        <v/>
      </c>
      <c r="D1950" s="61" t="str">
        <f>IF($A1950="","",IF(SUMIFS([1]Fixture_Capacity_Input!$C:$C,[1]Fixture_Capacity_Input!$A:$A,$B1950,[1]Fixture_Capacity_Input!$B:$B,$C1950)&gt;0,SUMIFS([1]Fixture_Capacity_Input!$C:$C,[1]Fixture_Capacity_Input!$A:$A,$B1950,[1]Fixture_Capacity_Input!$B:$B,$C1950),[1]weekly_demand!G1951))</f>
        <v/>
      </c>
      <c r="E1950" s="62" t="str">
        <f>IF($A1950="","",[1]weekly_demand!I1951)</f>
        <v/>
      </c>
      <c r="F1950" s="61" t="str">
        <f>IF($A1950="","",IF($A1950&lt;&gt;$A1949,IFERROR(INDEX([1]FG_Begin_Inventory!$B:$B,MATCH($A1950,[1]FG_Begin_Inventory!$A:$A,0)),0),J1949))</f>
        <v/>
      </c>
      <c r="G1950" s="61" t="str">
        <f t="shared" si="213"/>
        <v/>
      </c>
      <c r="H1950" s="61" t="str">
        <f t="shared" si="214"/>
        <v/>
      </c>
      <c r="I1950" s="62" t="str">
        <f t="shared" si="215"/>
        <v/>
      </c>
      <c r="J1950" s="61" t="str">
        <f t="shared" si="216"/>
        <v/>
      </c>
      <c r="K1950" s="61" t="str">
        <f t="shared" si="217"/>
        <v/>
      </c>
      <c r="L1950" s="61" t="str">
        <f t="shared" si="218"/>
        <v/>
      </c>
      <c r="M1950" s="63" t="str">
        <f t="shared" si="219"/>
        <v/>
      </c>
      <c r="N1950" s="64"/>
    </row>
    <row r="1951" spans="1:14" x14ac:dyDescent="0.3">
      <c r="A1951" s="58" t="str">
        <f>IF([1]weekly_demand!A1952="","",[1]weekly_demand!A1952)</f>
        <v/>
      </c>
      <c r="B1951" s="59" t="str">
        <f>IF($A1951="","",[1]weekly_demand!F1952)</f>
        <v/>
      </c>
      <c r="C1951" s="60" t="str">
        <f>IF($A1951="","",[1]weekly_demand!H1952)</f>
        <v/>
      </c>
      <c r="D1951" s="61" t="str">
        <f>IF($A1951="","",IF(SUMIFS([1]Fixture_Capacity_Input!$C:$C,[1]Fixture_Capacity_Input!$A:$A,$B1951,[1]Fixture_Capacity_Input!$B:$B,$C1951)&gt;0,SUMIFS([1]Fixture_Capacity_Input!$C:$C,[1]Fixture_Capacity_Input!$A:$A,$B1951,[1]Fixture_Capacity_Input!$B:$B,$C1951),[1]weekly_demand!G1952))</f>
        <v/>
      </c>
      <c r="E1951" s="62" t="str">
        <f>IF($A1951="","",[1]weekly_demand!I1952)</f>
        <v/>
      </c>
      <c r="F1951" s="61" t="str">
        <f>IF($A1951="","",IF($A1951&lt;&gt;$A1950,IFERROR(INDEX([1]FG_Begin_Inventory!$B:$B,MATCH($A1951,[1]FG_Begin_Inventory!$A:$A,0)),0),J1950))</f>
        <v/>
      </c>
      <c r="G1951" s="61" t="str">
        <f t="shared" si="213"/>
        <v/>
      </c>
      <c r="H1951" s="61" t="str">
        <f t="shared" si="214"/>
        <v/>
      </c>
      <c r="I1951" s="62" t="str">
        <f t="shared" si="215"/>
        <v/>
      </c>
      <c r="J1951" s="61" t="str">
        <f t="shared" si="216"/>
        <v/>
      </c>
      <c r="K1951" s="61" t="str">
        <f t="shared" si="217"/>
        <v/>
      </c>
      <c r="L1951" s="61" t="str">
        <f t="shared" si="218"/>
        <v/>
      </c>
      <c r="M1951" s="63" t="str">
        <f t="shared" si="219"/>
        <v/>
      </c>
      <c r="N1951" s="64"/>
    </row>
    <row r="1952" spans="1:14" x14ac:dyDescent="0.3">
      <c r="A1952" s="58" t="str">
        <f>IF([1]weekly_demand!A1953="","",[1]weekly_demand!A1953)</f>
        <v/>
      </c>
      <c r="B1952" s="59" t="str">
        <f>IF($A1952="","",[1]weekly_demand!F1953)</f>
        <v/>
      </c>
      <c r="C1952" s="60" t="str">
        <f>IF($A1952="","",[1]weekly_demand!H1953)</f>
        <v/>
      </c>
      <c r="D1952" s="61" t="str">
        <f>IF($A1952="","",IF(SUMIFS([1]Fixture_Capacity_Input!$C:$C,[1]Fixture_Capacity_Input!$A:$A,$B1952,[1]Fixture_Capacity_Input!$B:$B,$C1952)&gt;0,SUMIFS([1]Fixture_Capacity_Input!$C:$C,[1]Fixture_Capacity_Input!$A:$A,$B1952,[1]Fixture_Capacity_Input!$B:$B,$C1952),[1]weekly_demand!G1953))</f>
        <v/>
      </c>
      <c r="E1952" s="62" t="str">
        <f>IF($A1952="","",[1]weekly_demand!I1953)</f>
        <v/>
      </c>
      <c r="F1952" s="61" t="str">
        <f>IF($A1952="","",IF($A1952&lt;&gt;$A1951,IFERROR(INDEX([1]FG_Begin_Inventory!$B:$B,MATCH($A1952,[1]FG_Begin_Inventory!$A:$A,0)),0),J1951))</f>
        <v/>
      </c>
      <c r="G1952" s="61" t="str">
        <f t="shared" si="213"/>
        <v/>
      </c>
      <c r="H1952" s="61" t="str">
        <f t="shared" si="214"/>
        <v/>
      </c>
      <c r="I1952" s="62" t="str">
        <f t="shared" si="215"/>
        <v/>
      </c>
      <c r="J1952" s="61" t="str">
        <f t="shared" si="216"/>
        <v/>
      </c>
      <c r="K1952" s="61" t="str">
        <f t="shared" si="217"/>
        <v/>
      </c>
      <c r="L1952" s="61" t="str">
        <f t="shared" si="218"/>
        <v/>
      </c>
      <c r="M1952" s="63" t="str">
        <f t="shared" si="219"/>
        <v/>
      </c>
      <c r="N1952" s="64"/>
    </row>
    <row r="1953" spans="1:14" x14ac:dyDescent="0.3">
      <c r="A1953" s="58" t="str">
        <f>IF([1]weekly_demand!A1954="","",[1]weekly_demand!A1954)</f>
        <v/>
      </c>
      <c r="B1953" s="59" t="str">
        <f>IF($A1953="","",[1]weekly_demand!F1954)</f>
        <v/>
      </c>
      <c r="C1953" s="60" t="str">
        <f>IF($A1953="","",[1]weekly_demand!H1954)</f>
        <v/>
      </c>
      <c r="D1953" s="61" t="str">
        <f>IF($A1953="","",IF(SUMIFS([1]Fixture_Capacity_Input!$C:$C,[1]Fixture_Capacity_Input!$A:$A,$B1953,[1]Fixture_Capacity_Input!$B:$B,$C1953)&gt;0,SUMIFS([1]Fixture_Capacity_Input!$C:$C,[1]Fixture_Capacity_Input!$A:$A,$B1953,[1]Fixture_Capacity_Input!$B:$B,$C1953),[1]weekly_demand!G1954))</f>
        <v/>
      </c>
      <c r="E1953" s="62" t="str">
        <f>IF($A1953="","",[1]weekly_demand!I1954)</f>
        <v/>
      </c>
      <c r="F1953" s="61" t="str">
        <f>IF($A1953="","",IF($A1953&lt;&gt;$A1952,IFERROR(INDEX([1]FG_Begin_Inventory!$B:$B,MATCH($A1953,[1]FG_Begin_Inventory!$A:$A,0)),0),J1952))</f>
        <v/>
      </c>
      <c r="G1953" s="61" t="str">
        <f t="shared" si="213"/>
        <v/>
      </c>
      <c r="H1953" s="61" t="str">
        <f t="shared" si="214"/>
        <v/>
      </c>
      <c r="I1953" s="62" t="str">
        <f t="shared" si="215"/>
        <v/>
      </c>
      <c r="J1953" s="61" t="str">
        <f t="shared" si="216"/>
        <v/>
      </c>
      <c r="K1953" s="61" t="str">
        <f t="shared" si="217"/>
        <v/>
      </c>
      <c r="L1953" s="61" t="str">
        <f t="shared" si="218"/>
        <v/>
      </c>
      <c r="M1953" s="63" t="str">
        <f t="shared" si="219"/>
        <v/>
      </c>
      <c r="N1953" s="64"/>
    </row>
    <row r="1954" spans="1:14" x14ac:dyDescent="0.3">
      <c r="A1954" s="58" t="str">
        <f>IF([1]weekly_demand!A1955="","",[1]weekly_demand!A1955)</f>
        <v/>
      </c>
      <c r="B1954" s="59" t="str">
        <f>IF($A1954="","",[1]weekly_demand!F1955)</f>
        <v/>
      </c>
      <c r="C1954" s="60" t="str">
        <f>IF($A1954="","",[1]weekly_demand!H1955)</f>
        <v/>
      </c>
      <c r="D1954" s="61" t="str">
        <f>IF($A1954="","",IF(SUMIFS([1]Fixture_Capacity_Input!$C:$C,[1]Fixture_Capacity_Input!$A:$A,$B1954,[1]Fixture_Capacity_Input!$B:$B,$C1954)&gt;0,SUMIFS([1]Fixture_Capacity_Input!$C:$C,[1]Fixture_Capacity_Input!$A:$A,$B1954,[1]Fixture_Capacity_Input!$B:$B,$C1954),[1]weekly_demand!G1955))</f>
        <v/>
      </c>
      <c r="E1954" s="62" t="str">
        <f>IF($A1954="","",[1]weekly_demand!I1955)</f>
        <v/>
      </c>
      <c r="F1954" s="61" t="str">
        <f>IF($A1954="","",IF($A1954&lt;&gt;$A1953,IFERROR(INDEX([1]FG_Begin_Inventory!$B:$B,MATCH($A1954,[1]FG_Begin_Inventory!$A:$A,0)),0),J1953))</f>
        <v/>
      </c>
      <c r="G1954" s="61" t="str">
        <f t="shared" si="213"/>
        <v/>
      </c>
      <c r="H1954" s="61" t="str">
        <f t="shared" si="214"/>
        <v/>
      </c>
      <c r="I1954" s="62" t="str">
        <f t="shared" si="215"/>
        <v/>
      </c>
      <c r="J1954" s="61" t="str">
        <f t="shared" si="216"/>
        <v/>
      </c>
      <c r="K1954" s="61" t="str">
        <f t="shared" si="217"/>
        <v/>
      </c>
      <c r="L1954" s="61" t="str">
        <f t="shared" si="218"/>
        <v/>
      </c>
      <c r="M1954" s="63" t="str">
        <f t="shared" si="219"/>
        <v/>
      </c>
      <c r="N1954" s="64"/>
    </row>
    <row r="1955" spans="1:14" x14ac:dyDescent="0.3">
      <c r="A1955" s="58" t="str">
        <f>IF([1]weekly_demand!A1956="","",[1]weekly_demand!A1956)</f>
        <v/>
      </c>
      <c r="B1955" s="59" t="str">
        <f>IF($A1955="","",[1]weekly_demand!F1956)</f>
        <v/>
      </c>
      <c r="C1955" s="60" t="str">
        <f>IF($A1955="","",[1]weekly_demand!H1956)</f>
        <v/>
      </c>
      <c r="D1955" s="61" t="str">
        <f>IF($A1955="","",IF(SUMIFS([1]Fixture_Capacity_Input!$C:$C,[1]Fixture_Capacity_Input!$A:$A,$B1955,[1]Fixture_Capacity_Input!$B:$B,$C1955)&gt;0,SUMIFS([1]Fixture_Capacity_Input!$C:$C,[1]Fixture_Capacity_Input!$A:$A,$B1955,[1]Fixture_Capacity_Input!$B:$B,$C1955),[1]weekly_demand!G1956))</f>
        <v/>
      </c>
      <c r="E1955" s="62" t="str">
        <f>IF($A1955="","",[1]weekly_demand!I1956)</f>
        <v/>
      </c>
      <c r="F1955" s="61" t="str">
        <f>IF($A1955="","",IF($A1955&lt;&gt;$A1954,IFERROR(INDEX([1]FG_Begin_Inventory!$B:$B,MATCH($A1955,[1]FG_Begin_Inventory!$A:$A,0)),0),J1954))</f>
        <v/>
      </c>
      <c r="G1955" s="61" t="str">
        <f t="shared" si="213"/>
        <v/>
      </c>
      <c r="H1955" s="61" t="str">
        <f t="shared" si="214"/>
        <v/>
      </c>
      <c r="I1955" s="62" t="str">
        <f t="shared" si="215"/>
        <v/>
      </c>
      <c r="J1955" s="61" t="str">
        <f t="shared" si="216"/>
        <v/>
      </c>
      <c r="K1955" s="61" t="str">
        <f t="shared" si="217"/>
        <v/>
      </c>
      <c r="L1955" s="61" t="str">
        <f t="shared" si="218"/>
        <v/>
      </c>
      <c r="M1955" s="63" t="str">
        <f t="shared" si="219"/>
        <v/>
      </c>
      <c r="N1955" s="64"/>
    </row>
    <row r="1956" spans="1:14" x14ac:dyDescent="0.3">
      <c r="A1956" s="58" t="str">
        <f>IF([1]weekly_demand!A1957="","",[1]weekly_demand!A1957)</f>
        <v/>
      </c>
      <c r="B1956" s="59" t="str">
        <f>IF($A1956="","",[1]weekly_demand!F1957)</f>
        <v/>
      </c>
      <c r="C1956" s="60" t="str">
        <f>IF($A1956="","",[1]weekly_demand!H1957)</f>
        <v/>
      </c>
      <c r="D1956" s="61" t="str">
        <f>IF($A1956="","",IF(SUMIFS([1]Fixture_Capacity_Input!$C:$C,[1]Fixture_Capacity_Input!$A:$A,$B1956,[1]Fixture_Capacity_Input!$B:$B,$C1956)&gt;0,SUMIFS([1]Fixture_Capacity_Input!$C:$C,[1]Fixture_Capacity_Input!$A:$A,$B1956,[1]Fixture_Capacity_Input!$B:$B,$C1956),[1]weekly_demand!G1957))</f>
        <v/>
      </c>
      <c r="E1956" s="62" t="str">
        <f>IF($A1956="","",[1]weekly_demand!I1957)</f>
        <v/>
      </c>
      <c r="F1956" s="61" t="str">
        <f>IF($A1956="","",IF($A1956&lt;&gt;$A1955,IFERROR(INDEX([1]FG_Begin_Inventory!$B:$B,MATCH($A1956,[1]FG_Begin_Inventory!$A:$A,0)),0),J1955))</f>
        <v/>
      </c>
      <c r="G1956" s="61" t="str">
        <f t="shared" si="213"/>
        <v/>
      </c>
      <c r="H1956" s="61" t="str">
        <f t="shared" si="214"/>
        <v/>
      </c>
      <c r="I1956" s="62" t="str">
        <f t="shared" si="215"/>
        <v/>
      </c>
      <c r="J1956" s="61" t="str">
        <f t="shared" si="216"/>
        <v/>
      </c>
      <c r="K1956" s="61" t="str">
        <f t="shared" si="217"/>
        <v/>
      </c>
      <c r="L1956" s="61" t="str">
        <f t="shared" si="218"/>
        <v/>
      </c>
      <c r="M1956" s="63" t="str">
        <f t="shared" si="219"/>
        <v/>
      </c>
      <c r="N1956" s="64"/>
    </row>
    <row r="1957" spans="1:14" x14ac:dyDescent="0.3">
      <c r="A1957" s="58" t="str">
        <f>IF([1]weekly_demand!A1958="","",[1]weekly_demand!A1958)</f>
        <v/>
      </c>
      <c r="B1957" s="59" t="str">
        <f>IF($A1957="","",[1]weekly_demand!F1958)</f>
        <v/>
      </c>
      <c r="C1957" s="60" t="str">
        <f>IF($A1957="","",[1]weekly_demand!H1958)</f>
        <v/>
      </c>
      <c r="D1957" s="61" t="str">
        <f>IF($A1957="","",IF(SUMIFS([1]Fixture_Capacity_Input!$C:$C,[1]Fixture_Capacity_Input!$A:$A,$B1957,[1]Fixture_Capacity_Input!$B:$B,$C1957)&gt;0,SUMIFS([1]Fixture_Capacity_Input!$C:$C,[1]Fixture_Capacity_Input!$A:$A,$B1957,[1]Fixture_Capacity_Input!$B:$B,$C1957),[1]weekly_demand!G1958))</f>
        <v/>
      </c>
      <c r="E1957" s="62" t="str">
        <f>IF($A1957="","",[1]weekly_demand!I1958)</f>
        <v/>
      </c>
      <c r="F1957" s="61" t="str">
        <f>IF($A1957="","",IF($A1957&lt;&gt;$A1956,IFERROR(INDEX([1]FG_Begin_Inventory!$B:$B,MATCH($A1957,[1]FG_Begin_Inventory!$A:$A,0)),0),J1956))</f>
        <v/>
      </c>
      <c r="G1957" s="61" t="str">
        <f t="shared" si="213"/>
        <v/>
      </c>
      <c r="H1957" s="61" t="str">
        <f t="shared" si="214"/>
        <v/>
      </c>
      <c r="I1957" s="62" t="str">
        <f t="shared" si="215"/>
        <v/>
      </c>
      <c r="J1957" s="61" t="str">
        <f t="shared" si="216"/>
        <v/>
      </c>
      <c r="K1957" s="61" t="str">
        <f t="shared" si="217"/>
        <v/>
      </c>
      <c r="L1957" s="61" t="str">
        <f t="shared" si="218"/>
        <v/>
      </c>
      <c r="M1957" s="63" t="str">
        <f t="shared" si="219"/>
        <v/>
      </c>
      <c r="N1957" s="64"/>
    </row>
    <row r="1958" spans="1:14" x14ac:dyDescent="0.3">
      <c r="A1958" s="58" t="str">
        <f>IF([1]weekly_demand!A1959="","",[1]weekly_demand!A1959)</f>
        <v/>
      </c>
      <c r="B1958" s="59" t="str">
        <f>IF($A1958="","",[1]weekly_demand!F1959)</f>
        <v/>
      </c>
      <c r="C1958" s="60" t="str">
        <f>IF($A1958="","",[1]weekly_demand!H1959)</f>
        <v/>
      </c>
      <c r="D1958" s="61" t="str">
        <f>IF($A1958="","",IF(SUMIFS([1]Fixture_Capacity_Input!$C:$C,[1]Fixture_Capacity_Input!$A:$A,$B1958,[1]Fixture_Capacity_Input!$B:$B,$C1958)&gt;0,SUMIFS([1]Fixture_Capacity_Input!$C:$C,[1]Fixture_Capacity_Input!$A:$A,$B1958,[1]Fixture_Capacity_Input!$B:$B,$C1958),[1]weekly_demand!G1959))</f>
        <v/>
      </c>
      <c r="E1958" s="62" t="str">
        <f>IF($A1958="","",[1]weekly_demand!I1959)</f>
        <v/>
      </c>
      <c r="F1958" s="61" t="str">
        <f>IF($A1958="","",IF($A1958&lt;&gt;$A1957,IFERROR(INDEX([1]FG_Begin_Inventory!$B:$B,MATCH($A1958,[1]FG_Begin_Inventory!$A:$A,0)),0),J1957))</f>
        <v/>
      </c>
      <c r="G1958" s="61" t="str">
        <f t="shared" si="213"/>
        <v/>
      </c>
      <c r="H1958" s="61" t="str">
        <f t="shared" si="214"/>
        <v/>
      </c>
      <c r="I1958" s="62" t="str">
        <f t="shared" si="215"/>
        <v/>
      </c>
      <c r="J1958" s="61" t="str">
        <f t="shared" si="216"/>
        <v/>
      </c>
      <c r="K1958" s="61" t="str">
        <f t="shared" si="217"/>
        <v/>
      </c>
      <c r="L1958" s="61" t="str">
        <f t="shared" si="218"/>
        <v/>
      </c>
      <c r="M1958" s="63" t="str">
        <f t="shared" si="219"/>
        <v/>
      </c>
      <c r="N1958" s="64"/>
    </row>
    <row r="1959" spans="1:14" x14ac:dyDescent="0.3">
      <c r="A1959" s="58" t="str">
        <f>IF([1]weekly_demand!A1960="","",[1]weekly_demand!A1960)</f>
        <v/>
      </c>
      <c r="B1959" s="59" t="str">
        <f>IF($A1959="","",[1]weekly_demand!F1960)</f>
        <v/>
      </c>
      <c r="C1959" s="60" t="str">
        <f>IF($A1959="","",[1]weekly_demand!H1960)</f>
        <v/>
      </c>
      <c r="D1959" s="61" t="str">
        <f>IF($A1959="","",IF(SUMIFS([1]Fixture_Capacity_Input!$C:$C,[1]Fixture_Capacity_Input!$A:$A,$B1959,[1]Fixture_Capacity_Input!$B:$B,$C1959)&gt;0,SUMIFS([1]Fixture_Capacity_Input!$C:$C,[1]Fixture_Capacity_Input!$A:$A,$B1959,[1]Fixture_Capacity_Input!$B:$B,$C1959),[1]weekly_demand!G1960))</f>
        <v/>
      </c>
      <c r="E1959" s="62" t="str">
        <f>IF($A1959="","",[1]weekly_demand!I1960)</f>
        <v/>
      </c>
      <c r="F1959" s="61" t="str">
        <f>IF($A1959="","",IF($A1959&lt;&gt;$A1958,IFERROR(INDEX([1]FG_Begin_Inventory!$B:$B,MATCH($A1959,[1]FG_Begin_Inventory!$A:$A,0)),0),J1958))</f>
        <v/>
      </c>
      <c r="G1959" s="61" t="str">
        <f t="shared" si="213"/>
        <v/>
      </c>
      <c r="H1959" s="61" t="str">
        <f t="shared" si="214"/>
        <v/>
      </c>
      <c r="I1959" s="62" t="str">
        <f t="shared" si="215"/>
        <v/>
      </c>
      <c r="J1959" s="61" t="str">
        <f t="shared" si="216"/>
        <v/>
      </c>
      <c r="K1959" s="61" t="str">
        <f t="shared" si="217"/>
        <v/>
      </c>
      <c r="L1959" s="61" t="str">
        <f t="shared" si="218"/>
        <v/>
      </c>
      <c r="M1959" s="63" t="str">
        <f t="shared" si="219"/>
        <v/>
      </c>
      <c r="N1959" s="64"/>
    </row>
    <row r="1960" spans="1:14" x14ac:dyDescent="0.3">
      <c r="A1960" s="58" t="str">
        <f>IF([1]weekly_demand!A1961="","",[1]weekly_demand!A1961)</f>
        <v/>
      </c>
      <c r="B1960" s="59" t="str">
        <f>IF($A1960="","",[1]weekly_demand!F1961)</f>
        <v/>
      </c>
      <c r="C1960" s="60" t="str">
        <f>IF($A1960="","",[1]weekly_demand!H1961)</f>
        <v/>
      </c>
      <c r="D1960" s="61" t="str">
        <f>IF($A1960="","",IF(SUMIFS([1]Fixture_Capacity_Input!$C:$C,[1]Fixture_Capacity_Input!$A:$A,$B1960,[1]Fixture_Capacity_Input!$B:$B,$C1960)&gt;0,SUMIFS([1]Fixture_Capacity_Input!$C:$C,[1]Fixture_Capacity_Input!$A:$A,$B1960,[1]Fixture_Capacity_Input!$B:$B,$C1960),[1]weekly_demand!G1961))</f>
        <v/>
      </c>
      <c r="E1960" s="62" t="str">
        <f>IF($A1960="","",[1]weekly_demand!I1961)</f>
        <v/>
      </c>
      <c r="F1960" s="61" t="str">
        <f>IF($A1960="","",IF($A1960&lt;&gt;$A1959,IFERROR(INDEX([1]FG_Begin_Inventory!$B:$B,MATCH($A1960,[1]FG_Begin_Inventory!$A:$A,0)),0),J1959))</f>
        <v/>
      </c>
      <c r="G1960" s="61" t="str">
        <f t="shared" si="213"/>
        <v/>
      </c>
      <c r="H1960" s="61" t="str">
        <f t="shared" si="214"/>
        <v/>
      </c>
      <c r="I1960" s="62" t="str">
        <f t="shared" si="215"/>
        <v/>
      </c>
      <c r="J1960" s="61" t="str">
        <f t="shared" si="216"/>
        <v/>
      </c>
      <c r="K1960" s="61" t="str">
        <f t="shared" si="217"/>
        <v/>
      </c>
      <c r="L1960" s="61" t="str">
        <f t="shared" si="218"/>
        <v/>
      </c>
      <c r="M1960" s="63" t="str">
        <f t="shared" si="219"/>
        <v/>
      </c>
      <c r="N1960" s="64"/>
    </row>
    <row r="1961" spans="1:14" x14ac:dyDescent="0.3">
      <c r="A1961" s="58" t="str">
        <f>IF([1]weekly_demand!A1962="","",[1]weekly_demand!A1962)</f>
        <v/>
      </c>
      <c r="B1961" s="59" t="str">
        <f>IF($A1961="","",[1]weekly_demand!F1962)</f>
        <v/>
      </c>
      <c r="C1961" s="60" t="str">
        <f>IF($A1961="","",[1]weekly_demand!H1962)</f>
        <v/>
      </c>
      <c r="D1961" s="61" t="str">
        <f>IF($A1961="","",IF(SUMIFS([1]Fixture_Capacity_Input!$C:$C,[1]Fixture_Capacity_Input!$A:$A,$B1961,[1]Fixture_Capacity_Input!$B:$B,$C1961)&gt;0,SUMIFS([1]Fixture_Capacity_Input!$C:$C,[1]Fixture_Capacity_Input!$A:$A,$B1961,[1]Fixture_Capacity_Input!$B:$B,$C1961),[1]weekly_demand!G1962))</f>
        <v/>
      </c>
      <c r="E1961" s="62" t="str">
        <f>IF($A1961="","",[1]weekly_demand!I1962)</f>
        <v/>
      </c>
      <c r="F1961" s="61" t="str">
        <f>IF($A1961="","",IF($A1961&lt;&gt;$A1960,IFERROR(INDEX([1]FG_Begin_Inventory!$B:$B,MATCH($A1961,[1]FG_Begin_Inventory!$A:$A,0)),0),J1960))</f>
        <v/>
      </c>
      <c r="G1961" s="61" t="str">
        <f t="shared" si="213"/>
        <v/>
      </c>
      <c r="H1961" s="61" t="str">
        <f t="shared" si="214"/>
        <v/>
      </c>
      <c r="I1961" s="62" t="str">
        <f t="shared" si="215"/>
        <v/>
      </c>
      <c r="J1961" s="61" t="str">
        <f t="shared" si="216"/>
        <v/>
      </c>
      <c r="K1961" s="61" t="str">
        <f t="shared" si="217"/>
        <v/>
      </c>
      <c r="L1961" s="61" t="str">
        <f t="shared" si="218"/>
        <v/>
      </c>
      <c r="M1961" s="63" t="str">
        <f t="shared" si="219"/>
        <v/>
      </c>
      <c r="N1961" s="64"/>
    </row>
    <row r="1962" spans="1:14" x14ac:dyDescent="0.3">
      <c r="A1962" s="58" t="str">
        <f>IF([1]weekly_demand!A1963="","",[1]weekly_demand!A1963)</f>
        <v/>
      </c>
      <c r="B1962" s="59" t="str">
        <f>IF($A1962="","",[1]weekly_demand!F1963)</f>
        <v/>
      </c>
      <c r="C1962" s="60" t="str">
        <f>IF($A1962="","",[1]weekly_demand!H1963)</f>
        <v/>
      </c>
      <c r="D1962" s="61" t="str">
        <f>IF($A1962="","",IF(SUMIFS([1]Fixture_Capacity_Input!$C:$C,[1]Fixture_Capacity_Input!$A:$A,$B1962,[1]Fixture_Capacity_Input!$B:$B,$C1962)&gt;0,SUMIFS([1]Fixture_Capacity_Input!$C:$C,[1]Fixture_Capacity_Input!$A:$A,$B1962,[1]Fixture_Capacity_Input!$B:$B,$C1962),[1]weekly_demand!G1963))</f>
        <v/>
      </c>
      <c r="E1962" s="62" t="str">
        <f>IF($A1962="","",[1]weekly_demand!I1963)</f>
        <v/>
      </c>
      <c r="F1962" s="61" t="str">
        <f>IF($A1962="","",IF($A1962&lt;&gt;$A1961,IFERROR(INDEX([1]FG_Begin_Inventory!$B:$B,MATCH($A1962,[1]FG_Begin_Inventory!$A:$A,0)),0),J1961))</f>
        <v/>
      </c>
      <c r="G1962" s="61" t="str">
        <f t="shared" si="213"/>
        <v/>
      </c>
      <c r="H1962" s="61" t="str">
        <f t="shared" si="214"/>
        <v/>
      </c>
      <c r="I1962" s="62" t="str">
        <f t="shared" si="215"/>
        <v/>
      </c>
      <c r="J1962" s="61" t="str">
        <f t="shared" si="216"/>
        <v/>
      </c>
      <c r="K1962" s="61" t="str">
        <f t="shared" si="217"/>
        <v/>
      </c>
      <c r="L1962" s="61" t="str">
        <f t="shared" si="218"/>
        <v/>
      </c>
      <c r="M1962" s="63" t="str">
        <f t="shared" si="219"/>
        <v/>
      </c>
      <c r="N1962" s="64"/>
    </row>
    <row r="1963" spans="1:14" x14ac:dyDescent="0.3">
      <c r="A1963" s="58" t="str">
        <f>IF([1]weekly_demand!A1964="","",[1]weekly_demand!A1964)</f>
        <v/>
      </c>
      <c r="B1963" s="59" t="str">
        <f>IF($A1963="","",[1]weekly_demand!F1964)</f>
        <v/>
      </c>
      <c r="C1963" s="60" t="str">
        <f>IF($A1963="","",[1]weekly_demand!H1964)</f>
        <v/>
      </c>
      <c r="D1963" s="61" t="str">
        <f>IF($A1963="","",IF(SUMIFS([1]Fixture_Capacity_Input!$C:$C,[1]Fixture_Capacity_Input!$A:$A,$B1963,[1]Fixture_Capacity_Input!$B:$B,$C1963)&gt;0,SUMIFS([1]Fixture_Capacity_Input!$C:$C,[1]Fixture_Capacity_Input!$A:$A,$B1963,[1]Fixture_Capacity_Input!$B:$B,$C1963),[1]weekly_demand!G1964))</f>
        <v/>
      </c>
      <c r="E1963" s="62" t="str">
        <f>IF($A1963="","",[1]weekly_demand!I1964)</f>
        <v/>
      </c>
      <c r="F1963" s="61" t="str">
        <f>IF($A1963="","",IF($A1963&lt;&gt;$A1962,IFERROR(INDEX([1]FG_Begin_Inventory!$B:$B,MATCH($A1963,[1]FG_Begin_Inventory!$A:$A,0)),0),J1962))</f>
        <v/>
      </c>
      <c r="G1963" s="61" t="str">
        <f t="shared" si="213"/>
        <v/>
      </c>
      <c r="H1963" s="61" t="str">
        <f t="shared" si="214"/>
        <v/>
      </c>
      <c r="I1963" s="62" t="str">
        <f t="shared" si="215"/>
        <v/>
      </c>
      <c r="J1963" s="61" t="str">
        <f t="shared" si="216"/>
        <v/>
      </c>
      <c r="K1963" s="61" t="str">
        <f t="shared" si="217"/>
        <v/>
      </c>
      <c r="L1963" s="61" t="str">
        <f t="shared" si="218"/>
        <v/>
      </c>
      <c r="M1963" s="63" t="str">
        <f t="shared" si="219"/>
        <v/>
      </c>
      <c r="N1963" s="64"/>
    </row>
    <row r="1964" spans="1:14" x14ac:dyDescent="0.3">
      <c r="A1964" s="58" t="str">
        <f>IF([1]weekly_demand!A1965="","",[1]weekly_demand!A1965)</f>
        <v/>
      </c>
      <c r="B1964" s="59" t="str">
        <f>IF($A1964="","",[1]weekly_demand!F1965)</f>
        <v/>
      </c>
      <c r="C1964" s="60" t="str">
        <f>IF($A1964="","",[1]weekly_demand!H1965)</f>
        <v/>
      </c>
      <c r="D1964" s="61" t="str">
        <f>IF($A1964="","",IF(SUMIFS([1]Fixture_Capacity_Input!$C:$C,[1]Fixture_Capacity_Input!$A:$A,$B1964,[1]Fixture_Capacity_Input!$B:$B,$C1964)&gt;0,SUMIFS([1]Fixture_Capacity_Input!$C:$C,[1]Fixture_Capacity_Input!$A:$A,$B1964,[1]Fixture_Capacity_Input!$B:$B,$C1964),[1]weekly_demand!G1965))</f>
        <v/>
      </c>
      <c r="E1964" s="62" t="str">
        <f>IF($A1964="","",[1]weekly_demand!I1965)</f>
        <v/>
      </c>
      <c r="F1964" s="61" t="str">
        <f>IF($A1964="","",IF($A1964&lt;&gt;$A1963,IFERROR(INDEX([1]FG_Begin_Inventory!$B:$B,MATCH($A1964,[1]FG_Begin_Inventory!$A:$A,0)),0),J1963))</f>
        <v/>
      </c>
      <c r="G1964" s="61" t="str">
        <f t="shared" si="213"/>
        <v/>
      </c>
      <c r="H1964" s="61" t="str">
        <f t="shared" si="214"/>
        <v/>
      </c>
      <c r="I1964" s="62" t="str">
        <f t="shared" si="215"/>
        <v/>
      </c>
      <c r="J1964" s="61" t="str">
        <f t="shared" si="216"/>
        <v/>
      </c>
      <c r="K1964" s="61" t="str">
        <f t="shared" si="217"/>
        <v/>
      </c>
      <c r="L1964" s="61" t="str">
        <f t="shared" si="218"/>
        <v/>
      </c>
      <c r="M1964" s="63" t="str">
        <f t="shared" si="219"/>
        <v/>
      </c>
      <c r="N1964" s="64"/>
    </row>
    <row r="1965" spans="1:14" x14ac:dyDescent="0.3">
      <c r="A1965" s="58" t="str">
        <f>IF([1]weekly_demand!A1966="","",[1]weekly_demand!A1966)</f>
        <v/>
      </c>
      <c r="B1965" s="59" t="str">
        <f>IF($A1965="","",[1]weekly_demand!F1966)</f>
        <v/>
      </c>
      <c r="C1965" s="60" t="str">
        <f>IF($A1965="","",[1]weekly_demand!H1966)</f>
        <v/>
      </c>
      <c r="D1965" s="61" t="str">
        <f>IF($A1965="","",IF(SUMIFS([1]Fixture_Capacity_Input!$C:$C,[1]Fixture_Capacity_Input!$A:$A,$B1965,[1]Fixture_Capacity_Input!$B:$B,$C1965)&gt;0,SUMIFS([1]Fixture_Capacity_Input!$C:$C,[1]Fixture_Capacity_Input!$A:$A,$B1965,[1]Fixture_Capacity_Input!$B:$B,$C1965),[1]weekly_demand!G1966))</f>
        <v/>
      </c>
      <c r="E1965" s="62" t="str">
        <f>IF($A1965="","",[1]weekly_demand!I1966)</f>
        <v/>
      </c>
      <c r="F1965" s="61" t="str">
        <f>IF($A1965="","",IF($A1965&lt;&gt;$A1964,IFERROR(INDEX([1]FG_Begin_Inventory!$B:$B,MATCH($A1965,[1]FG_Begin_Inventory!$A:$A,0)),0),J1964))</f>
        <v/>
      </c>
      <c r="G1965" s="61" t="str">
        <f t="shared" si="213"/>
        <v/>
      </c>
      <c r="H1965" s="61" t="str">
        <f t="shared" si="214"/>
        <v/>
      </c>
      <c r="I1965" s="62" t="str">
        <f t="shared" si="215"/>
        <v/>
      </c>
      <c r="J1965" s="61" t="str">
        <f t="shared" si="216"/>
        <v/>
      </c>
      <c r="K1965" s="61" t="str">
        <f t="shared" si="217"/>
        <v/>
      </c>
      <c r="L1965" s="61" t="str">
        <f t="shared" si="218"/>
        <v/>
      </c>
      <c r="M1965" s="63" t="str">
        <f t="shared" si="219"/>
        <v/>
      </c>
      <c r="N1965" s="64"/>
    </row>
    <row r="1966" spans="1:14" x14ac:dyDescent="0.3">
      <c r="A1966" s="58" t="str">
        <f>IF([1]weekly_demand!A1967="","",[1]weekly_demand!A1967)</f>
        <v/>
      </c>
      <c r="B1966" s="59" t="str">
        <f>IF($A1966="","",[1]weekly_demand!F1967)</f>
        <v/>
      </c>
      <c r="C1966" s="60" t="str">
        <f>IF($A1966="","",[1]weekly_demand!H1967)</f>
        <v/>
      </c>
      <c r="D1966" s="61" t="str">
        <f>IF($A1966="","",IF(SUMIFS([1]Fixture_Capacity_Input!$C:$C,[1]Fixture_Capacity_Input!$A:$A,$B1966,[1]Fixture_Capacity_Input!$B:$B,$C1966)&gt;0,SUMIFS([1]Fixture_Capacity_Input!$C:$C,[1]Fixture_Capacity_Input!$A:$A,$B1966,[1]Fixture_Capacity_Input!$B:$B,$C1966),[1]weekly_demand!G1967))</f>
        <v/>
      </c>
      <c r="E1966" s="62" t="str">
        <f>IF($A1966="","",[1]weekly_demand!I1967)</f>
        <v/>
      </c>
      <c r="F1966" s="61" t="str">
        <f>IF($A1966="","",IF($A1966&lt;&gt;$A1965,IFERROR(INDEX([1]FG_Begin_Inventory!$B:$B,MATCH($A1966,[1]FG_Begin_Inventory!$A:$A,0)),0),J1965))</f>
        <v/>
      </c>
      <c r="G1966" s="61" t="str">
        <f t="shared" si="213"/>
        <v/>
      </c>
      <c r="H1966" s="61" t="str">
        <f t="shared" si="214"/>
        <v/>
      </c>
      <c r="I1966" s="62" t="str">
        <f t="shared" si="215"/>
        <v/>
      </c>
      <c r="J1966" s="61" t="str">
        <f t="shared" si="216"/>
        <v/>
      </c>
      <c r="K1966" s="61" t="str">
        <f t="shared" si="217"/>
        <v/>
      </c>
      <c r="L1966" s="61" t="str">
        <f t="shared" si="218"/>
        <v/>
      </c>
      <c r="M1966" s="63" t="str">
        <f t="shared" si="219"/>
        <v/>
      </c>
      <c r="N1966" s="64"/>
    </row>
    <row r="1967" spans="1:14" x14ac:dyDescent="0.3">
      <c r="A1967" s="58" t="str">
        <f>IF([1]weekly_demand!A1968="","",[1]weekly_demand!A1968)</f>
        <v/>
      </c>
      <c r="B1967" s="59" t="str">
        <f>IF($A1967="","",[1]weekly_demand!F1968)</f>
        <v/>
      </c>
      <c r="C1967" s="60" t="str">
        <f>IF($A1967="","",[1]weekly_demand!H1968)</f>
        <v/>
      </c>
      <c r="D1967" s="61" t="str">
        <f>IF($A1967="","",IF(SUMIFS([1]Fixture_Capacity_Input!$C:$C,[1]Fixture_Capacity_Input!$A:$A,$B1967,[1]Fixture_Capacity_Input!$B:$B,$C1967)&gt;0,SUMIFS([1]Fixture_Capacity_Input!$C:$C,[1]Fixture_Capacity_Input!$A:$A,$B1967,[1]Fixture_Capacity_Input!$B:$B,$C1967),[1]weekly_demand!G1968))</f>
        <v/>
      </c>
      <c r="E1967" s="62" t="str">
        <f>IF($A1967="","",[1]weekly_demand!I1968)</f>
        <v/>
      </c>
      <c r="F1967" s="61" t="str">
        <f>IF($A1967="","",IF($A1967&lt;&gt;$A1966,IFERROR(INDEX([1]FG_Begin_Inventory!$B:$B,MATCH($A1967,[1]FG_Begin_Inventory!$A:$A,0)),0),J1966))</f>
        <v/>
      </c>
      <c r="G1967" s="61" t="str">
        <f t="shared" si="213"/>
        <v/>
      </c>
      <c r="H1967" s="61" t="str">
        <f t="shared" si="214"/>
        <v/>
      </c>
      <c r="I1967" s="62" t="str">
        <f t="shared" si="215"/>
        <v/>
      </c>
      <c r="J1967" s="61" t="str">
        <f t="shared" si="216"/>
        <v/>
      </c>
      <c r="K1967" s="61" t="str">
        <f t="shared" si="217"/>
        <v/>
      </c>
      <c r="L1967" s="61" t="str">
        <f t="shared" si="218"/>
        <v/>
      </c>
      <c r="M1967" s="63" t="str">
        <f t="shared" si="219"/>
        <v/>
      </c>
      <c r="N1967" s="64"/>
    </row>
    <row r="1968" spans="1:14" x14ac:dyDescent="0.3">
      <c r="A1968" s="58" t="str">
        <f>IF([1]weekly_demand!A1969="","",[1]weekly_demand!A1969)</f>
        <v/>
      </c>
      <c r="B1968" s="59" t="str">
        <f>IF($A1968="","",[1]weekly_demand!F1969)</f>
        <v/>
      </c>
      <c r="C1968" s="60" t="str">
        <f>IF($A1968="","",[1]weekly_demand!H1969)</f>
        <v/>
      </c>
      <c r="D1968" s="61" t="str">
        <f>IF($A1968="","",IF(SUMIFS([1]Fixture_Capacity_Input!$C:$C,[1]Fixture_Capacity_Input!$A:$A,$B1968,[1]Fixture_Capacity_Input!$B:$B,$C1968)&gt;0,SUMIFS([1]Fixture_Capacity_Input!$C:$C,[1]Fixture_Capacity_Input!$A:$A,$B1968,[1]Fixture_Capacity_Input!$B:$B,$C1968),[1]weekly_demand!G1969))</f>
        <v/>
      </c>
      <c r="E1968" s="62" t="str">
        <f>IF($A1968="","",[1]weekly_demand!I1969)</f>
        <v/>
      </c>
      <c r="F1968" s="61" t="str">
        <f>IF($A1968="","",IF($A1968&lt;&gt;$A1967,IFERROR(INDEX([1]FG_Begin_Inventory!$B:$B,MATCH($A1968,[1]FG_Begin_Inventory!$A:$A,0)),0),J1967))</f>
        <v/>
      </c>
      <c r="G1968" s="61" t="str">
        <f t="shared" si="213"/>
        <v/>
      </c>
      <c r="H1968" s="61" t="str">
        <f t="shared" si="214"/>
        <v/>
      </c>
      <c r="I1968" s="62" t="str">
        <f t="shared" si="215"/>
        <v/>
      </c>
      <c r="J1968" s="61" t="str">
        <f t="shared" si="216"/>
        <v/>
      </c>
      <c r="K1968" s="61" t="str">
        <f t="shared" si="217"/>
        <v/>
      </c>
      <c r="L1968" s="61" t="str">
        <f t="shared" si="218"/>
        <v/>
      </c>
      <c r="M1968" s="63" t="str">
        <f t="shared" si="219"/>
        <v/>
      </c>
      <c r="N1968" s="64"/>
    </row>
    <row r="1969" spans="1:14" x14ac:dyDescent="0.3">
      <c r="A1969" s="58" t="str">
        <f>IF([1]weekly_demand!A1970="","",[1]weekly_demand!A1970)</f>
        <v/>
      </c>
      <c r="B1969" s="59" t="str">
        <f>IF($A1969="","",[1]weekly_demand!F1970)</f>
        <v/>
      </c>
      <c r="C1969" s="60" t="str">
        <f>IF($A1969="","",[1]weekly_demand!H1970)</f>
        <v/>
      </c>
      <c r="D1969" s="61" t="str">
        <f>IF($A1969="","",IF(SUMIFS([1]Fixture_Capacity_Input!$C:$C,[1]Fixture_Capacity_Input!$A:$A,$B1969,[1]Fixture_Capacity_Input!$B:$B,$C1969)&gt;0,SUMIFS([1]Fixture_Capacity_Input!$C:$C,[1]Fixture_Capacity_Input!$A:$A,$B1969,[1]Fixture_Capacity_Input!$B:$B,$C1969),[1]weekly_demand!G1970))</f>
        <v/>
      </c>
      <c r="E1969" s="62" t="str">
        <f>IF($A1969="","",[1]weekly_demand!I1970)</f>
        <v/>
      </c>
      <c r="F1969" s="61" t="str">
        <f>IF($A1969="","",IF($A1969&lt;&gt;$A1968,IFERROR(INDEX([1]FG_Begin_Inventory!$B:$B,MATCH($A1969,[1]FG_Begin_Inventory!$A:$A,0)),0),J1968))</f>
        <v/>
      </c>
      <c r="G1969" s="61" t="str">
        <f t="shared" si="213"/>
        <v/>
      </c>
      <c r="H1969" s="61" t="str">
        <f t="shared" si="214"/>
        <v/>
      </c>
      <c r="I1969" s="62" t="str">
        <f t="shared" si="215"/>
        <v/>
      </c>
      <c r="J1969" s="61" t="str">
        <f t="shared" si="216"/>
        <v/>
      </c>
      <c r="K1969" s="61" t="str">
        <f t="shared" si="217"/>
        <v/>
      </c>
      <c r="L1969" s="61" t="str">
        <f t="shared" si="218"/>
        <v/>
      </c>
      <c r="M1969" s="63" t="str">
        <f t="shared" si="219"/>
        <v/>
      </c>
      <c r="N1969" s="64"/>
    </row>
    <row r="1970" spans="1:14" x14ac:dyDescent="0.3">
      <c r="A1970" s="58" t="str">
        <f>IF([1]weekly_demand!A1971="","",[1]weekly_demand!A1971)</f>
        <v/>
      </c>
      <c r="B1970" s="59" t="str">
        <f>IF($A1970="","",[1]weekly_demand!F1971)</f>
        <v/>
      </c>
      <c r="C1970" s="60" t="str">
        <f>IF($A1970="","",[1]weekly_demand!H1971)</f>
        <v/>
      </c>
      <c r="D1970" s="61" t="str">
        <f>IF($A1970="","",IF(SUMIFS([1]Fixture_Capacity_Input!$C:$C,[1]Fixture_Capacity_Input!$A:$A,$B1970,[1]Fixture_Capacity_Input!$B:$B,$C1970)&gt;0,SUMIFS([1]Fixture_Capacity_Input!$C:$C,[1]Fixture_Capacity_Input!$A:$A,$B1970,[1]Fixture_Capacity_Input!$B:$B,$C1970),[1]weekly_demand!G1971))</f>
        <v/>
      </c>
      <c r="E1970" s="62" t="str">
        <f>IF($A1970="","",[1]weekly_demand!I1971)</f>
        <v/>
      </c>
      <c r="F1970" s="61" t="str">
        <f>IF($A1970="","",IF($A1970&lt;&gt;$A1969,IFERROR(INDEX([1]FG_Begin_Inventory!$B:$B,MATCH($A1970,[1]FG_Begin_Inventory!$A:$A,0)),0),J1969))</f>
        <v/>
      </c>
      <c r="G1970" s="61" t="str">
        <f t="shared" si="213"/>
        <v/>
      </c>
      <c r="H1970" s="61" t="str">
        <f t="shared" si="214"/>
        <v/>
      </c>
      <c r="I1970" s="62" t="str">
        <f t="shared" si="215"/>
        <v/>
      </c>
      <c r="J1970" s="61" t="str">
        <f t="shared" si="216"/>
        <v/>
      </c>
      <c r="K1970" s="61" t="str">
        <f t="shared" si="217"/>
        <v/>
      </c>
      <c r="L1970" s="61" t="str">
        <f t="shared" si="218"/>
        <v/>
      </c>
      <c r="M1970" s="63" t="str">
        <f t="shared" si="219"/>
        <v/>
      </c>
      <c r="N1970" s="64"/>
    </row>
    <row r="1971" spans="1:14" x14ac:dyDescent="0.3">
      <c r="A1971" s="58" t="str">
        <f>IF([1]weekly_demand!A1972="","",[1]weekly_demand!A1972)</f>
        <v/>
      </c>
      <c r="B1971" s="59" t="str">
        <f>IF($A1971="","",[1]weekly_demand!F1972)</f>
        <v/>
      </c>
      <c r="C1971" s="60" t="str">
        <f>IF($A1971="","",[1]weekly_demand!H1972)</f>
        <v/>
      </c>
      <c r="D1971" s="61" t="str">
        <f>IF($A1971="","",IF(SUMIFS([1]Fixture_Capacity_Input!$C:$C,[1]Fixture_Capacity_Input!$A:$A,$B1971,[1]Fixture_Capacity_Input!$B:$B,$C1971)&gt;0,SUMIFS([1]Fixture_Capacity_Input!$C:$C,[1]Fixture_Capacity_Input!$A:$A,$B1971,[1]Fixture_Capacity_Input!$B:$B,$C1971),[1]weekly_demand!G1972))</f>
        <v/>
      </c>
      <c r="E1971" s="62" t="str">
        <f>IF($A1971="","",[1]weekly_demand!I1972)</f>
        <v/>
      </c>
      <c r="F1971" s="61" t="str">
        <f>IF($A1971="","",IF($A1971&lt;&gt;$A1970,IFERROR(INDEX([1]FG_Begin_Inventory!$B:$B,MATCH($A1971,[1]FG_Begin_Inventory!$A:$A,0)),0),J1970))</f>
        <v/>
      </c>
      <c r="G1971" s="61" t="str">
        <f t="shared" ref="G1971:G1999" si="220">IF($A1971="","",IF($A1971&lt;&gt;$A1972,0,MAX(0,G1972+E1972-D1972)))</f>
        <v/>
      </c>
      <c r="H1971" s="61" t="str">
        <f t="shared" si="214"/>
        <v/>
      </c>
      <c r="I1971" s="62" t="str">
        <f t="shared" si="215"/>
        <v/>
      </c>
      <c r="J1971" s="61" t="str">
        <f t="shared" si="216"/>
        <v/>
      </c>
      <c r="K1971" s="61" t="str">
        <f t="shared" si="217"/>
        <v/>
      </c>
      <c r="L1971" s="61" t="str">
        <f t="shared" si="218"/>
        <v/>
      </c>
      <c r="M1971" s="63" t="str">
        <f t="shared" si="219"/>
        <v/>
      </c>
      <c r="N1971" s="64"/>
    </row>
    <row r="1972" spans="1:14" x14ac:dyDescent="0.3">
      <c r="A1972" s="58" t="str">
        <f>IF([1]weekly_demand!A1973="","",[1]weekly_demand!A1973)</f>
        <v/>
      </c>
      <c r="B1972" s="59" t="str">
        <f>IF($A1972="","",[1]weekly_demand!F1973)</f>
        <v/>
      </c>
      <c r="C1972" s="60" t="str">
        <f>IF($A1972="","",[1]weekly_demand!H1973)</f>
        <v/>
      </c>
      <c r="D1972" s="61" t="str">
        <f>IF($A1972="","",IF(SUMIFS([1]Fixture_Capacity_Input!$C:$C,[1]Fixture_Capacity_Input!$A:$A,$B1972,[1]Fixture_Capacity_Input!$B:$B,$C1972)&gt;0,SUMIFS([1]Fixture_Capacity_Input!$C:$C,[1]Fixture_Capacity_Input!$A:$A,$B1972,[1]Fixture_Capacity_Input!$B:$B,$C1972),[1]weekly_demand!G1973))</f>
        <v/>
      </c>
      <c r="E1972" s="62" t="str">
        <f>IF($A1972="","",[1]weekly_demand!I1973)</f>
        <v/>
      </c>
      <c r="F1972" s="61" t="str">
        <f>IF($A1972="","",IF($A1972&lt;&gt;$A1971,IFERROR(INDEX([1]FG_Begin_Inventory!$B:$B,MATCH($A1972,[1]FG_Begin_Inventory!$A:$A,0)),0),J1971))</f>
        <v/>
      </c>
      <c r="G1972" s="61" t="str">
        <f t="shared" si="220"/>
        <v/>
      </c>
      <c r="H1972" s="61" t="str">
        <f t="shared" si="214"/>
        <v/>
      </c>
      <c r="I1972" s="62" t="str">
        <f t="shared" si="215"/>
        <v/>
      </c>
      <c r="J1972" s="61" t="str">
        <f t="shared" si="216"/>
        <v/>
      </c>
      <c r="K1972" s="61" t="str">
        <f t="shared" si="217"/>
        <v/>
      </c>
      <c r="L1972" s="61" t="str">
        <f t="shared" si="218"/>
        <v/>
      </c>
      <c r="M1972" s="63" t="str">
        <f t="shared" si="219"/>
        <v/>
      </c>
      <c r="N1972" s="64"/>
    </row>
    <row r="1973" spans="1:14" x14ac:dyDescent="0.3">
      <c r="A1973" s="58" t="str">
        <f>IF([1]weekly_demand!A1974="","",[1]weekly_demand!A1974)</f>
        <v/>
      </c>
      <c r="B1973" s="59" t="str">
        <f>IF($A1973="","",[1]weekly_demand!F1974)</f>
        <v/>
      </c>
      <c r="C1973" s="60" t="str">
        <f>IF($A1973="","",[1]weekly_demand!H1974)</f>
        <v/>
      </c>
      <c r="D1973" s="61" t="str">
        <f>IF($A1973="","",IF(SUMIFS([1]Fixture_Capacity_Input!$C:$C,[1]Fixture_Capacity_Input!$A:$A,$B1973,[1]Fixture_Capacity_Input!$B:$B,$C1973)&gt;0,SUMIFS([1]Fixture_Capacity_Input!$C:$C,[1]Fixture_Capacity_Input!$A:$A,$B1973,[1]Fixture_Capacity_Input!$B:$B,$C1973),[1]weekly_demand!G1974))</f>
        <v/>
      </c>
      <c r="E1973" s="62" t="str">
        <f>IF($A1973="","",[1]weekly_demand!I1974)</f>
        <v/>
      </c>
      <c r="F1973" s="61" t="str">
        <f>IF($A1973="","",IF($A1973&lt;&gt;$A1972,IFERROR(INDEX([1]FG_Begin_Inventory!$B:$B,MATCH($A1973,[1]FG_Begin_Inventory!$A:$A,0)),0),J1972))</f>
        <v/>
      </c>
      <c r="G1973" s="61" t="str">
        <f t="shared" si="220"/>
        <v/>
      </c>
      <c r="H1973" s="61" t="str">
        <f t="shared" si="214"/>
        <v/>
      </c>
      <c r="I1973" s="62" t="str">
        <f t="shared" si="215"/>
        <v/>
      </c>
      <c r="J1973" s="61" t="str">
        <f t="shared" si="216"/>
        <v/>
      </c>
      <c r="K1973" s="61" t="str">
        <f t="shared" si="217"/>
        <v/>
      </c>
      <c r="L1973" s="61" t="str">
        <f t="shared" si="218"/>
        <v/>
      </c>
      <c r="M1973" s="63" t="str">
        <f t="shared" si="219"/>
        <v/>
      </c>
      <c r="N1973" s="64"/>
    </row>
    <row r="1974" spans="1:14" x14ac:dyDescent="0.3">
      <c r="A1974" s="58" t="str">
        <f>IF([1]weekly_demand!A1975="","",[1]weekly_demand!A1975)</f>
        <v/>
      </c>
      <c r="B1974" s="59" t="str">
        <f>IF($A1974="","",[1]weekly_demand!F1975)</f>
        <v/>
      </c>
      <c r="C1974" s="60" t="str">
        <f>IF($A1974="","",[1]weekly_demand!H1975)</f>
        <v/>
      </c>
      <c r="D1974" s="61" t="str">
        <f>IF($A1974="","",IF(SUMIFS([1]Fixture_Capacity_Input!$C:$C,[1]Fixture_Capacity_Input!$A:$A,$B1974,[1]Fixture_Capacity_Input!$B:$B,$C1974)&gt;0,SUMIFS([1]Fixture_Capacity_Input!$C:$C,[1]Fixture_Capacity_Input!$A:$A,$B1974,[1]Fixture_Capacity_Input!$B:$B,$C1974),[1]weekly_demand!G1975))</f>
        <v/>
      </c>
      <c r="E1974" s="62" t="str">
        <f>IF($A1974="","",[1]weekly_demand!I1975)</f>
        <v/>
      </c>
      <c r="F1974" s="61" t="str">
        <f>IF($A1974="","",IF($A1974&lt;&gt;$A1973,IFERROR(INDEX([1]FG_Begin_Inventory!$B:$B,MATCH($A1974,[1]FG_Begin_Inventory!$A:$A,0)),0),J1973))</f>
        <v/>
      </c>
      <c r="G1974" s="61" t="str">
        <f t="shared" si="220"/>
        <v/>
      </c>
      <c r="H1974" s="61" t="str">
        <f t="shared" si="214"/>
        <v/>
      </c>
      <c r="I1974" s="62" t="str">
        <f t="shared" si="215"/>
        <v/>
      </c>
      <c r="J1974" s="61" t="str">
        <f t="shared" si="216"/>
        <v/>
      </c>
      <c r="K1974" s="61" t="str">
        <f t="shared" si="217"/>
        <v/>
      </c>
      <c r="L1974" s="61" t="str">
        <f t="shared" si="218"/>
        <v/>
      </c>
      <c r="M1974" s="63" t="str">
        <f t="shared" si="219"/>
        <v/>
      </c>
      <c r="N1974" s="64"/>
    </row>
    <row r="1975" spans="1:14" x14ac:dyDescent="0.3">
      <c r="A1975" s="58" t="str">
        <f>IF([1]weekly_demand!A1976="","",[1]weekly_demand!A1976)</f>
        <v/>
      </c>
      <c r="B1975" s="59" t="str">
        <f>IF($A1975="","",[1]weekly_demand!F1976)</f>
        <v/>
      </c>
      <c r="C1975" s="60" t="str">
        <f>IF($A1975="","",[1]weekly_demand!H1976)</f>
        <v/>
      </c>
      <c r="D1975" s="61" t="str">
        <f>IF($A1975="","",IF(SUMIFS([1]Fixture_Capacity_Input!$C:$C,[1]Fixture_Capacity_Input!$A:$A,$B1975,[1]Fixture_Capacity_Input!$B:$B,$C1975)&gt;0,SUMIFS([1]Fixture_Capacity_Input!$C:$C,[1]Fixture_Capacity_Input!$A:$A,$B1975,[1]Fixture_Capacity_Input!$B:$B,$C1975),[1]weekly_demand!G1976))</f>
        <v/>
      </c>
      <c r="E1975" s="62" t="str">
        <f>IF($A1975="","",[1]weekly_demand!I1976)</f>
        <v/>
      </c>
      <c r="F1975" s="61" t="str">
        <f>IF($A1975="","",IF($A1975&lt;&gt;$A1974,IFERROR(INDEX([1]FG_Begin_Inventory!$B:$B,MATCH($A1975,[1]FG_Begin_Inventory!$A:$A,0)),0),J1974))</f>
        <v/>
      </c>
      <c r="G1975" s="61" t="str">
        <f t="shared" si="220"/>
        <v/>
      </c>
      <c r="H1975" s="61" t="str">
        <f t="shared" si="214"/>
        <v/>
      </c>
      <c r="I1975" s="62" t="str">
        <f t="shared" si="215"/>
        <v/>
      </c>
      <c r="J1975" s="61" t="str">
        <f t="shared" si="216"/>
        <v/>
      </c>
      <c r="K1975" s="61" t="str">
        <f t="shared" si="217"/>
        <v/>
      </c>
      <c r="L1975" s="61" t="str">
        <f t="shared" si="218"/>
        <v/>
      </c>
      <c r="M1975" s="63" t="str">
        <f t="shared" si="219"/>
        <v/>
      </c>
      <c r="N1975" s="64"/>
    </row>
    <row r="1976" spans="1:14" x14ac:dyDescent="0.3">
      <c r="A1976" s="58" t="str">
        <f>IF([1]weekly_demand!A1977="","",[1]weekly_demand!A1977)</f>
        <v/>
      </c>
      <c r="B1976" s="59" t="str">
        <f>IF($A1976="","",[1]weekly_demand!F1977)</f>
        <v/>
      </c>
      <c r="C1976" s="60" t="str">
        <f>IF($A1976="","",[1]weekly_demand!H1977)</f>
        <v/>
      </c>
      <c r="D1976" s="61" t="str">
        <f>IF($A1976="","",IF(SUMIFS([1]Fixture_Capacity_Input!$C:$C,[1]Fixture_Capacity_Input!$A:$A,$B1976,[1]Fixture_Capacity_Input!$B:$B,$C1976)&gt;0,SUMIFS([1]Fixture_Capacity_Input!$C:$C,[1]Fixture_Capacity_Input!$A:$A,$B1976,[1]Fixture_Capacity_Input!$B:$B,$C1976),[1]weekly_demand!G1977))</f>
        <v/>
      </c>
      <c r="E1976" s="62" t="str">
        <f>IF($A1976="","",[1]weekly_demand!I1977)</f>
        <v/>
      </c>
      <c r="F1976" s="61" t="str">
        <f>IF($A1976="","",IF($A1976&lt;&gt;$A1975,IFERROR(INDEX([1]FG_Begin_Inventory!$B:$B,MATCH($A1976,[1]FG_Begin_Inventory!$A:$A,0)),0),J1975))</f>
        <v/>
      </c>
      <c r="G1976" s="61" t="str">
        <f t="shared" si="220"/>
        <v/>
      </c>
      <c r="H1976" s="61" t="str">
        <f t="shared" si="214"/>
        <v/>
      </c>
      <c r="I1976" s="62" t="str">
        <f t="shared" si="215"/>
        <v/>
      </c>
      <c r="J1976" s="61" t="str">
        <f t="shared" si="216"/>
        <v/>
      </c>
      <c r="K1976" s="61" t="str">
        <f t="shared" si="217"/>
        <v/>
      </c>
      <c r="L1976" s="61" t="str">
        <f t="shared" si="218"/>
        <v/>
      </c>
      <c r="M1976" s="63" t="str">
        <f t="shared" si="219"/>
        <v/>
      </c>
      <c r="N1976" s="64"/>
    </row>
    <row r="1977" spans="1:14" x14ac:dyDescent="0.3">
      <c r="A1977" s="58" t="str">
        <f>IF([1]weekly_demand!A1978="","",[1]weekly_demand!A1978)</f>
        <v/>
      </c>
      <c r="B1977" s="59" t="str">
        <f>IF($A1977="","",[1]weekly_demand!F1978)</f>
        <v/>
      </c>
      <c r="C1977" s="60" t="str">
        <f>IF($A1977="","",[1]weekly_demand!H1978)</f>
        <v/>
      </c>
      <c r="D1977" s="61" t="str">
        <f>IF($A1977="","",IF(SUMIFS([1]Fixture_Capacity_Input!$C:$C,[1]Fixture_Capacity_Input!$A:$A,$B1977,[1]Fixture_Capacity_Input!$B:$B,$C1977)&gt;0,SUMIFS([1]Fixture_Capacity_Input!$C:$C,[1]Fixture_Capacity_Input!$A:$A,$B1977,[1]Fixture_Capacity_Input!$B:$B,$C1977),[1]weekly_demand!G1978))</f>
        <v/>
      </c>
      <c r="E1977" s="62" t="str">
        <f>IF($A1977="","",[1]weekly_demand!I1978)</f>
        <v/>
      </c>
      <c r="F1977" s="61" t="str">
        <f>IF($A1977="","",IF($A1977&lt;&gt;$A1976,IFERROR(INDEX([1]FG_Begin_Inventory!$B:$B,MATCH($A1977,[1]FG_Begin_Inventory!$A:$A,0)),0),J1976))</f>
        <v/>
      </c>
      <c r="G1977" s="61" t="str">
        <f t="shared" si="220"/>
        <v/>
      </c>
      <c r="H1977" s="61" t="str">
        <f t="shared" si="214"/>
        <v/>
      </c>
      <c r="I1977" s="62" t="str">
        <f t="shared" si="215"/>
        <v/>
      </c>
      <c r="J1977" s="61" t="str">
        <f t="shared" si="216"/>
        <v/>
      </c>
      <c r="K1977" s="61" t="str">
        <f t="shared" si="217"/>
        <v/>
      </c>
      <c r="L1977" s="61" t="str">
        <f t="shared" si="218"/>
        <v/>
      </c>
      <c r="M1977" s="63" t="str">
        <f t="shared" si="219"/>
        <v/>
      </c>
      <c r="N1977" s="64"/>
    </row>
    <row r="1978" spans="1:14" x14ac:dyDescent="0.3">
      <c r="A1978" s="58" t="str">
        <f>IF([1]weekly_demand!A1979="","",[1]weekly_demand!A1979)</f>
        <v/>
      </c>
      <c r="B1978" s="59" t="str">
        <f>IF($A1978="","",[1]weekly_demand!F1979)</f>
        <v/>
      </c>
      <c r="C1978" s="60" t="str">
        <f>IF($A1978="","",[1]weekly_demand!H1979)</f>
        <v/>
      </c>
      <c r="D1978" s="61" t="str">
        <f>IF($A1978="","",IF(SUMIFS([1]Fixture_Capacity_Input!$C:$C,[1]Fixture_Capacity_Input!$A:$A,$B1978,[1]Fixture_Capacity_Input!$B:$B,$C1978)&gt;0,SUMIFS([1]Fixture_Capacity_Input!$C:$C,[1]Fixture_Capacity_Input!$A:$A,$B1978,[1]Fixture_Capacity_Input!$B:$B,$C1978),[1]weekly_demand!G1979))</f>
        <v/>
      </c>
      <c r="E1978" s="62" t="str">
        <f>IF($A1978="","",[1]weekly_demand!I1979)</f>
        <v/>
      </c>
      <c r="F1978" s="61" t="str">
        <f>IF($A1978="","",IF($A1978&lt;&gt;$A1977,IFERROR(INDEX([1]FG_Begin_Inventory!$B:$B,MATCH($A1978,[1]FG_Begin_Inventory!$A:$A,0)),0),J1977))</f>
        <v/>
      </c>
      <c r="G1978" s="61" t="str">
        <f t="shared" si="220"/>
        <v/>
      </c>
      <c r="H1978" s="61" t="str">
        <f t="shared" si="214"/>
        <v/>
      </c>
      <c r="I1978" s="62" t="str">
        <f t="shared" si="215"/>
        <v/>
      </c>
      <c r="J1978" s="61" t="str">
        <f t="shared" si="216"/>
        <v/>
      </c>
      <c r="K1978" s="61" t="str">
        <f t="shared" si="217"/>
        <v/>
      </c>
      <c r="L1978" s="61" t="str">
        <f t="shared" si="218"/>
        <v/>
      </c>
      <c r="M1978" s="63" t="str">
        <f t="shared" si="219"/>
        <v/>
      </c>
      <c r="N1978" s="64"/>
    </row>
    <row r="1979" spans="1:14" x14ac:dyDescent="0.3">
      <c r="A1979" s="58" t="str">
        <f>IF([1]weekly_demand!A1980="","",[1]weekly_demand!A1980)</f>
        <v/>
      </c>
      <c r="B1979" s="59" t="str">
        <f>IF($A1979="","",[1]weekly_demand!F1980)</f>
        <v/>
      </c>
      <c r="C1979" s="60" t="str">
        <f>IF($A1979="","",[1]weekly_demand!H1980)</f>
        <v/>
      </c>
      <c r="D1979" s="61" t="str">
        <f>IF($A1979="","",IF(SUMIFS([1]Fixture_Capacity_Input!$C:$C,[1]Fixture_Capacity_Input!$A:$A,$B1979,[1]Fixture_Capacity_Input!$B:$B,$C1979)&gt;0,SUMIFS([1]Fixture_Capacity_Input!$C:$C,[1]Fixture_Capacity_Input!$A:$A,$B1979,[1]Fixture_Capacity_Input!$B:$B,$C1979),[1]weekly_demand!G1980))</f>
        <v/>
      </c>
      <c r="E1979" s="62" t="str">
        <f>IF($A1979="","",[1]weekly_demand!I1980)</f>
        <v/>
      </c>
      <c r="F1979" s="61" t="str">
        <f>IF($A1979="","",IF($A1979&lt;&gt;$A1978,IFERROR(INDEX([1]FG_Begin_Inventory!$B:$B,MATCH($A1979,[1]FG_Begin_Inventory!$A:$A,0)),0),J1978))</f>
        <v/>
      </c>
      <c r="G1979" s="61" t="str">
        <f t="shared" si="220"/>
        <v/>
      </c>
      <c r="H1979" s="61" t="str">
        <f t="shared" si="214"/>
        <v/>
      </c>
      <c r="I1979" s="62" t="str">
        <f t="shared" si="215"/>
        <v/>
      </c>
      <c r="J1979" s="61" t="str">
        <f t="shared" si="216"/>
        <v/>
      </c>
      <c r="K1979" s="61" t="str">
        <f t="shared" si="217"/>
        <v/>
      </c>
      <c r="L1979" s="61" t="str">
        <f t="shared" si="218"/>
        <v/>
      </c>
      <c r="M1979" s="63" t="str">
        <f t="shared" si="219"/>
        <v/>
      </c>
      <c r="N1979" s="64"/>
    </row>
    <row r="1980" spans="1:14" x14ac:dyDescent="0.3">
      <c r="A1980" s="58" t="str">
        <f>IF([1]weekly_demand!A1981="","",[1]weekly_demand!A1981)</f>
        <v/>
      </c>
      <c r="B1980" s="59" t="str">
        <f>IF($A1980="","",[1]weekly_demand!F1981)</f>
        <v/>
      </c>
      <c r="C1980" s="60" t="str">
        <f>IF($A1980="","",[1]weekly_demand!H1981)</f>
        <v/>
      </c>
      <c r="D1980" s="61" t="str">
        <f>IF($A1980="","",IF(SUMIFS([1]Fixture_Capacity_Input!$C:$C,[1]Fixture_Capacity_Input!$A:$A,$B1980,[1]Fixture_Capacity_Input!$B:$B,$C1980)&gt;0,SUMIFS([1]Fixture_Capacity_Input!$C:$C,[1]Fixture_Capacity_Input!$A:$A,$B1980,[1]Fixture_Capacity_Input!$B:$B,$C1980),[1]weekly_demand!G1981))</f>
        <v/>
      </c>
      <c r="E1980" s="62" t="str">
        <f>IF($A1980="","",[1]weekly_demand!I1981)</f>
        <v/>
      </c>
      <c r="F1980" s="61" t="str">
        <f>IF($A1980="","",IF($A1980&lt;&gt;$A1979,IFERROR(INDEX([1]FG_Begin_Inventory!$B:$B,MATCH($A1980,[1]FG_Begin_Inventory!$A:$A,0)),0),J1979))</f>
        <v/>
      </c>
      <c r="G1980" s="61" t="str">
        <f t="shared" si="220"/>
        <v/>
      </c>
      <c r="H1980" s="61" t="str">
        <f t="shared" si="214"/>
        <v/>
      </c>
      <c r="I1980" s="62" t="str">
        <f t="shared" si="215"/>
        <v/>
      </c>
      <c r="J1980" s="61" t="str">
        <f t="shared" si="216"/>
        <v/>
      </c>
      <c r="K1980" s="61" t="str">
        <f t="shared" si="217"/>
        <v/>
      </c>
      <c r="L1980" s="61" t="str">
        <f t="shared" si="218"/>
        <v/>
      </c>
      <c r="M1980" s="63" t="str">
        <f t="shared" si="219"/>
        <v/>
      </c>
      <c r="N1980" s="64"/>
    </row>
    <row r="1981" spans="1:14" x14ac:dyDescent="0.3">
      <c r="A1981" s="58" t="str">
        <f>IF([1]weekly_demand!A1982="","",[1]weekly_demand!A1982)</f>
        <v/>
      </c>
      <c r="B1981" s="59" t="str">
        <f>IF($A1981="","",[1]weekly_demand!F1982)</f>
        <v/>
      </c>
      <c r="C1981" s="60" t="str">
        <f>IF($A1981="","",[1]weekly_demand!H1982)</f>
        <v/>
      </c>
      <c r="D1981" s="61" t="str">
        <f>IF($A1981="","",IF(SUMIFS([1]Fixture_Capacity_Input!$C:$C,[1]Fixture_Capacity_Input!$A:$A,$B1981,[1]Fixture_Capacity_Input!$B:$B,$C1981)&gt;0,SUMIFS([1]Fixture_Capacity_Input!$C:$C,[1]Fixture_Capacity_Input!$A:$A,$B1981,[1]Fixture_Capacity_Input!$B:$B,$C1981),[1]weekly_demand!G1982))</f>
        <v/>
      </c>
      <c r="E1981" s="62" t="str">
        <f>IF($A1981="","",[1]weekly_demand!I1982)</f>
        <v/>
      </c>
      <c r="F1981" s="61" t="str">
        <f>IF($A1981="","",IF($A1981&lt;&gt;$A1980,IFERROR(INDEX([1]FG_Begin_Inventory!$B:$B,MATCH($A1981,[1]FG_Begin_Inventory!$A:$A,0)),0),J1980))</f>
        <v/>
      </c>
      <c r="G1981" s="61" t="str">
        <f t="shared" si="220"/>
        <v/>
      </c>
      <c r="H1981" s="61" t="str">
        <f t="shared" si="214"/>
        <v/>
      </c>
      <c r="I1981" s="62" t="str">
        <f t="shared" si="215"/>
        <v/>
      </c>
      <c r="J1981" s="61" t="str">
        <f t="shared" si="216"/>
        <v/>
      </c>
      <c r="K1981" s="61" t="str">
        <f t="shared" si="217"/>
        <v/>
      </c>
      <c r="L1981" s="61" t="str">
        <f t="shared" si="218"/>
        <v/>
      </c>
      <c r="M1981" s="63" t="str">
        <f t="shared" si="219"/>
        <v/>
      </c>
      <c r="N1981" s="64"/>
    </row>
    <row r="1982" spans="1:14" x14ac:dyDescent="0.3">
      <c r="A1982" s="58" t="str">
        <f>IF([1]weekly_demand!A1983="","",[1]weekly_demand!A1983)</f>
        <v/>
      </c>
      <c r="B1982" s="59" t="str">
        <f>IF($A1982="","",[1]weekly_demand!F1983)</f>
        <v/>
      </c>
      <c r="C1982" s="60" t="str">
        <f>IF($A1982="","",[1]weekly_demand!H1983)</f>
        <v/>
      </c>
      <c r="D1982" s="61" t="str">
        <f>IF($A1982="","",IF(SUMIFS([1]Fixture_Capacity_Input!$C:$C,[1]Fixture_Capacity_Input!$A:$A,$B1982,[1]Fixture_Capacity_Input!$B:$B,$C1982)&gt;0,SUMIFS([1]Fixture_Capacity_Input!$C:$C,[1]Fixture_Capacity_Input!$A:$A,$B1982,[1]Fixture_Capacity_Input!$B:$B,$C1982),[1]weekly_demand!G1983))</f>
        <v/>
      </c>
      <c r="E1982" s="62" t="str">
        <f>IF($A1982="","",[1]weekly_demand!I1983)</f>
        <v/>
      </c>
      <c r="F1982" s="61" t="str">
        <f>IF($A1982="","",IF($A1982&lt;&gt;$A1981,IFERROR(INDEX([1]FG_Begin_Inventory!$B:$B,MATCH($A1982,[1]FG_Begin_Inventory!$A:$A,0)),0),J1981))</f>
        <v/>
      </c>
      <c r="G1982" s="61" t="str">
        <f t="shared" si="220"/>
        <v/>
      </c>
      <c r="H1982" s="61" t="str">
        <f t="shared" si="214"/>
        <v/>
      </c>
      <c r="I1982" s="62" t="str">
        <f t="shared" si="215"/>
        <v/>
      </c>
      <c r="J1982" s="61" t="str">
        <f t="shared" si="216"/>
        <v/>
      </c>
      <c r="K1982" s="61" t="str">
        <f t="shared" si="217"/>
        <v/>
      </c>
      <c r="L1982" s="61" t="str">
        <f t="shared" si="218"/>
        <v/>
      </c>
      <c r="M1982" s="63" t="str">
        <f t="shared" si="219"/>
        <v/>
      </c>
      <c r="N1982" s="64"/>
    </row>
    <row r="1983" spans="1:14" x14ac:dyDescent="0.3">
      <c r="A1983" s="58" t="str">
        <f>IF([1]weekly_demand!A1984="","",[1]weekly_demand!A1984)</f>
        <v/>
      </c>
      <c r="B1983" s="59" t="str">
        <f>IF($A1983="","",[1]weekly_demand!F1984)</f>
        <v/>
      </c>
      <c r="C1983" s="60" t="str">
        <f>IF($A1983="","",[1]weekly_demand!H1984)</f>
        <v/>
      </c>
      <c r="D1983" s="61" t="str">
        <f>IF($A1983="","",IF(SUMIFS([1]Fixture_Capacity_Input!$C:$C,[1]Fixture_Capacity_Input!$A:$A,$B1983,[1]Fixture_Capacity_Input!$B:$B,$C1983)&gt;0,SUMIFS([1]Fixture_Capacity_Input!$C:$C,[1]Fixture_Capacity_Input!$A:$A,$B1983,[1]Fixture_Capacity_Input!$B:$B,$C1983),[1]weekly_demand!G1984))</f>
        <v/>
      </c>
      <c r="E1983" s="62" t="str">
        <f>IF($A1983="","",[1]weekly_demand!I1984)</f>
        <v/>
      </c>
      <c r="F1983" s="61" t="str">
        <f>IF($A1983="","",IF($A1983&lt;&gt;$A1982,IFERROR(INDEX([1]FG_Begin_Inventory!$B:$B,MATCH($A1983,[1]FG_Begin_Inventory!$A:$A,0)),0),J1982))</f>
        <v/>
      </c>
      <c r="G1983" s="61" t="str">
        <f t="shared" si="220"/>
        <v/>
      </c>
      <c r="H1983" s="61" t="str">
        <f t="shared" si="214"/>
        <v/>
      </c>
      <c r="I1983" s="62" t="str">
        <f t="shared" si="215"/>
        <v/>
      </c>
      <c r="J1983" s="61" t="str">
        <f t="shared" si="216"/>
        <v/>
      </c>
      <c r="K1983" s="61" t="str">
        <f t="shared" si="217"/>
        <v/>
      </c>
      <c r="L1983" s="61" t="str">
        <f t="shared" si="218"/>
        <v/>
      </c>
      <c r="M1983" s="63" t="str">
        <f t="shared" si="219"/>
        <v/>
      </c>
      <c r="N1983" s="64"/>
    </row>
    <row r="1984" spans="1:14" x14ac:dyDescent="0.3">
      <c r="A1984" s="58" t="str">
        <f>IF([1]weekly_demand!A1985="","",[1]weekly_demand!A1985)</f>
        <v/>
      </c>
      <c r="B1984" s="59" t="str">
        <f>IF($A1984="","",[1]weekly_demand!F1985)</f>
        <v/>
      </c>
      <c r="C1984" s="60" t="str">
        <f>IF($A1984="","",[1]weekly_demand!H1985)</f>
        <v/>
      </c>
      <c r="D1984" s="61" t="str">
        <f>IF($A1984="","",IF(SUMIFS([1]Fixture_Capacity_Input!$C:$C,[1]Fixture_Capacity_Input!$A:$A,$B1984,[1]Fixture_Capacity_Input!$B:$B,$C1984)&gt;0,SUMIFS([1]Fixture_Capacity_Input!$C:$C,[1]Fixture_Capacity_Input!$A:$A,$B1984,[1]Fixture_Capacity_Input!$B:$B,$C1984),[1]weekly_demand!G1985))</f>
        <v/>
      </c>
      <c r="E1984" s="62" t="str">
        <f>IF($A1984="","",[1]weekly_demand!I1985)</f>
        <v/>
      </c>
      <c r="F1984" s="61" t="str">
        <f>IF($A1984="","",IF($A1984&lt;&gt;$A1983,IFERROR(INDEX([1]FG_Begin_Inventory!$B:$B,MATCH($A1984,[1]FG_Begin_Inventory!$A:$A,0)),0),J1983))</f>
        <v/>
      </c>
      <c r="G1984" s="61" t="str">
        <f t="shared" si="220"/>
        <v/>
      </c>
      <c r="H1984" s="61" t="str">
        <f t="shared" si="214"/>
        <v/>
      </c>
      <c r="I1984" s="62" t="str">
        <f t="shared" si="215"/>
        <v/>
      </c>
      <c r="J1984" s="61" t="str">
        <f t="shared" si="216"/>
        <v/>
      </c>
      <c r="K1984" s="61" t="str">
        <f t="shared" si="217"/>
        <v/>
      </c>
      <c r="L1984" s="61" t="str">
        <f t="shared" si="218"/>
        <v/>
      </c>
      <c r="M1984" s="63" t="str">
        <f t="shared" si="219"/>
        <v/>
      </c>
      <c r="N1984" s="64"/>
    </row>
    <row r="1985" spans="1:14" x14ac:dyDescent="0.3">
      <c r="A1985" s="58" t="str">
        <f>IF([1]weekly_demand!A1986="","",[1]weekly_demand!A1986)</f>
        <v/>
      </c>
      <c r="B1985" s="59" t="str">
        <f>IF($A1985="","",[1]weekly_demand!F1986)</f>
        <v/>
      </c>
      <c r="C1985" s="60" t="str">
        <f>IF($A1985="","",[1]weekly_demand!H1986)</f>
        <v/>
      </c>
      <c r="D1985" s="61" t="str">
        <f>IF($A1985="","",IF(SUMIFS([1]Fixture_Capacity_Input!$C:$C,[1]Fixture_Capacity_Input!$A:$A,$B1985,[1]Fixture_Capacity_Input!$B:$B,$C1985)&gt;0,SUMIFS([1]Fixture_Capacity_Input!$C:$C,[1]Fixture_Capacity_Input!$A:$A,$B1985,[1]Fixture_Capacity_Input!$B:$B,$C1985),[1]weekly_demand!G1986))</f>
        <v/>
      </c>
      <c r="E1985" s="62" t="str">
        <f>IF($A1985="","",[1]weekly_demand!I1986)</f>
        <v/>
      </c>
      <c r="F1985" s="61" t="str">
        <f>IF($A1985="","",IF($A1985&lt;&gt;$A1984,IFERROR(INDEX([1]FG_Begin_Inventory!$B:$B,MATCH($A1985,[1]FG_Begin_Inventory!$A:$A,0)),0),J1984))</f>
        <v/>
      </c>
      <c r="G1985" s="61" t="str">
        <f t="shared" si="220"/>
        <v/>
      </c>
      <c r="H1985" s="61" t="str">
        <f t="shared" si="214"/>
        <v/>
      </c>
      <c r="I1985" s="62" t="str">
        <f t="shared" si="215"/>
        <v/>
      </c>
      <c r="J1985" s="61" t="str">
        <f t="shared" si="216"/>
        <v/>
      </c>
      <c r="K1985" s="61" t="str">
        <f t="shared" si="217"/>
        <v/>
      </c>
      <c r="L1985" s="61" t="str">
        <f t="shared" si="218"/>
        <v/>
      </c>
      <c r="M1985" s="63" t="str">
        <f t="shared" si="219"/>
        <v/>
      </c>
      <c r="N1985" s="64"/>
    </row>
    <row r="1986" spans="1:14" x14ac:dyDescent="0.3">
      <c r="A1986" s="58" t="str">
        <f>IF([1]weekly_demand!A1987="","",[1]weekly_demand!A1987)</f>
        <v/>
      </c>
      <c r="B1986" s="59" t="str">
        <f>IF($A1986="","",[1]weekly_demand!F1987)</f>
        <v/>
      </c>
      <c r="C1986" s="60" t="str">
        <f>IF($A1986="","",[1]weekly_demand!H1987)</f>
        <v/>
      </c>
      <c r="D1986" s="61" t="str">
        <f>IF($A1986="","",IF(SUMIFS([1]Fixture_Capacity_Input!$C:$C,[1]Fixture_Capacity_Input!$A:$A,$B1986,[1]Fixture_Capacity_Input!$B:$B,$C1986)&gt;0,SUMIFS([1]Fixture_Capacity_Input!$C:$C,[1]Fixture_Capacity_Input!$A:$A,$B1986,[1]Fixture_Capacity_Input!$B:$B,$C1986),[1]weekly_demand!G1987))</f>
        <v/>
      </c>
      <c r="E1986" s="62" t="str">
        <f>IF($A1986="","",[1]weekly_demand!I1987)</f>
        <v/>
      </c>
      <c r="F1986" s="61" t="str">
        <f>IF($A1986="","",IF($A1986&lt;&gt;$A1985,IFERROR(INDEX([1]FG_Begin_Inventory!$B:$B,MATCH($A1986,[1]FG_Begin_Inventory!$A:$A,0)),0),J1985))</f>
        <v/>
      </c>
      <c r="G1986" s="61" t="str">
        <f t="shared" si="220"/>
        <v/>
      </c>
      <c r="H1986" s="61" t="str">
        <f t="shared" ref="H1986:H1999" si="221">IF($A1986="","",MAX(0,E1986+G1986-F1986))</f>
        <v/>
      </c>
      <c r="I1986" s="62" t="str">
        <f t="shared" ref="I1986:I1999" si="222">IF($A1986="","",MIN(D1986,H1986))</f>
        <v/>
      </c>
      <c r="J1986" s="61" t="str">
        <f t="shared" ref="J1986:J1999" si="223">IF($A1986="","",MAX(0,F1986+I1986-E1986))</f>
        <v/>
      </c>
      <c r="K1986" s="61" t="str">
        <f t="shared" ref="K1986:K1999" si="224">IF($A1986="","",MAX(0,E1986-F1986-I1986))</f>
        <v/>
      </c>
      <c r="L1986" s="61" t="str">
        <f t="shared" ref="L1986:L1999" si="225">IF($A1986="","",MAX(0,F1986+I1986-E1986))</f>
        <v/>
      </c>
      <c r="M1986" s="63" t="str">
        <f t="shared" ref="M1986:M1999" si="226">IF($A1986="","",IFERROR(I1986/D1986,0))</f>
        <v/>
      </c>
      <c r="N1986" s="64"/>
    </row>
    <row r="1987" spans="1:14" x14ac:dyDescent="0.3">
      <c r="A1987" s="58" t="str">
        <f>IF([1]weekly_demand!A1988="","",[1]weekly_demand!A1988)</f>
        <v/>
      </c>
      <c r="B1987" s="59" t="str">
        <f>IF($A1987="","",[1]weekly_demand!F1988)</f>
        <v/>
      </c>
      <c r="C1987" s="60" t="str">
        <f>IF($A1987="","",[1]weekly_demand!H1988)</f>
        <v/>
      </c>
      <c r="D1987" s="61" t="str">
        <f>IF($A1987="","",IF(SUMIFS([1]Fixture_Capacity_Input!$C:$C,[1]Fixture_Capacity_Input!$A:$A,$B1987,[1]Fixture_Capacity_Input!$B:$B,$C1987)&gt;0,SUMIFS([1]Fixture_Capacity_Input!$C:$C,[1]Fixture_Capacity_Input!$A:$A,$B1987,[1]Fixture_Capacity_Input!$B:$B,$C1987),[1]weekly_demand!G1988))</f>
        <v/>
      </c>
      <c r="E1987" s="62" t="str">
        <f>IF($A1987="","",[1]weekly_demand!I1988)</f>
        <v/>
      </c>
      <c r="F1987" s="61" t="str">
        <f>IF($A1987="","",IF($A1987&lt;&gt;$A1986,IFERROR(INDEX([1]FG_Begin_Inventory!$B:$B,MATCH($A1987,[1]FG_Begin_Inventory!$A:$A,0)),0),J1986))</f>
        <v/>
      </c>
      <c r="G1987" s="61" t="str">
        <f t="shared" si="220"/>
        <v/>
      </c>
      <c r="H1987" s="61" t="str">
        <f t="shared" si="221"/>
        <v/>
      </c>
      <c r="I1987" s="62" t="str">
        <f t="shared" si="222"/>
        <v/>
      </c>
      <c r="J1987" s="61" t="str">
        <f t="shared" si="223"/>
        <v/>
      </c>
      <c r="K1987" s="61" t="str">
        <f t="shared" si="224"/>
        <v/>
      </c>
      <c r="L1987" s="61" t="str">
        <f t="shared" si="225"/>
        <v/>
      </c>
      <c r="M1987" s="63" t="str">
        <f t="shared" si="226"/>
        <v/>
      </c>
      <c r="N1987" s="64"/>
    </row>
    <row r="1988" spans="1:14" x14ac:dyDescent="0.3">
      <c r="A1988" s="58" t="str">
        <f>IF([1]weekly_demand!A1989="","",[1]weekly_demand!A1989)</f>
        <v/>
      </c>
      <c r="B1988" s="59" t="str">
        <f>IF($A1988="","",[1]weekly_demand!F1989)</f>
        <v/>
      </c>
      <c r="C1988" s="60" t="str">
        <f>IF($A1988="","",[1]weekly_demand!H1989)</f>
        <v/>
      </c>
      <c r="D1988" s="61" t="str">
        <f>IF($A1988="","",IF(SUMIFS([1]Fixture_Capacity_Input!$C:$C,[1]Fixture_Capacity_Input!$A:$A,$B1988,[1]Fixture_Capacity_Input!$B:$B,$C1988)&gt;0,SUMIFS([1]Fixture_Capacity_Input!$C:$C,[1]Fixture_Capacity_Input!$A:$A,$B1988,[1]Fixture_Capacity_Input!$B:$B,$C1988),[1]weekly_demand!G1989))</f>
        <v/>
      </c>
      <c r="E1988" s="62" t="str">
        <f>IF($A1988="","",[1]weekly_demand!I1989)</f>
        <v/>
      </c>
      <c r="F1988" s="61" t="str">
        <f>IF($A1988="","",IF($A1988&lt;&gt;$A1987,IFERROR(INDEX([1]FG_Begin_Inventory!$B:$B,MATCH($A1988,[1]FG_Begin_Inventory!$A:$A,0)),0),J1987))</f>
        <v/>
      </c>
      <c r="G1988" s="61" t="str">
        <f t="shared" si="220"/>
        <v/>
      </c>
      <c r="H1988" s="61" t="str">
        <f t="shared" si="221"/>
        <v/>
      </c>
      <c r="I1988" s="62" t="str">
        <f t="shared" si="222"/>
        <v/>
      </c>
      <c r="J1988" s="61" t="str">
        <f t="shared" si="223"/>
        <v/>
      </c>
      <c r="K1988" s="61" t="str">
        <f t="shared" si="224"/>
        <v/>
      </c>
      <c r="L1988" s="61" t="str">
        <f t="shared" si="225"/>
        <v/>
      </c>
      <c r="M1988" s="63" t="str">
        <f t="shared" si="226"/>
        <v/>
      </c>
      <c r="N1988" s="64"/>
    </row>
    <row r="1989" spans="1:14" x14ac:dyDescent="0.3">
      <c r="A1989" s="58" t="str">
        <f>IF([1]weekly_demand!A1990="","",[1]weekly_demand!A1990)</f>
        <v/>
      </c>
      <c r="B1989" s="59" t="str">
        <f>IF($A1989="","",[1]weekly_demand!F1990)</f>
        <v/>
      </c>
      <c r="C1989" s="60" t="str">
        <f>IF($A1989="","",[1]weekly_demand!H1990)</f>
        <v/>
      </c>
      <c r="D1989" s="61" t="str">
        <f>IF($A1989="","",IF(SUMIFS([1]Fixture_Capacity_Input!$C:$C,[1]Fixture_Capacity_Input!$A:$A,$B1989,[1]Fixture_Capacity_Input!$B:$B,$C1989)&gt;0,SUMIFS([1]Fixture_Capacity_Input!$C:$C,[1]Fixture_Capacity_Input!$A:$A,$B1989,[1]Fixture_Capacity_Input!$B:$B,$C1989),[1]weekly_demand!G1990))</f>
        <v/>
      </c>
      <c r="E1989" s="62" t="str">
        <f>IF($A1989="","",[1]weekly_demand!I1990)</f>
        <v/>
      </c>
      <c r="F1989" s="61" t="str">
        <f>IF($A1989="","",IF($A1989&lt;&gt;$A1988,IFERROR(INDEX([1]FG_Begin_Inventory!$B:$B,MATCH($A1989,[1]FG_Begin_Inventory!$A:$A,0)),0),J1988))</f>
        <v/>
      </c>
      <c r="G1989" s="61" t="str">
        <f t="shared" si="220"/>
        <v/>
      </c>
      <c r="H1989" s="61" t="str">
        <f t="shared" si="221"/>
        <v/>
      </c>
      <c r="I1989" s="62" t="str">
        <f t="shared" si="222"/>
        <v/>
      </c>
      <c r="J1989" s="61" t="str">
        <f t="shared" si="223"/>
        <v/>
      </c>
      <c r="K1989" s="61" t="str">
        <f t="shared" si="224"/>
        <v/>
      </c>
      <c r="L1989" s="61" t="str">
        <f t="shared" si="225"/>
        <v/>
      </c>
      <c r="M1989" s="63" t="str">
        <f t="shared" si="226"/>
        <v/>
      </c>
      <c r="N1989" s="64"/>
    </row>
    <row r="1990" spans="1:14" x14ac:dyDescent="0.3">
      <c r="A1990" s="58" t="str">
        <f>IF([1]weekly_demand!A1991="","",[1]weekly_demand!A1991)</f>
        <v/>
      </c>
      <c r="B1990" s="59" t="str">
        <f>IF($A1990="","",[1]weekly_demand!F1991)</f>
        <v/>
      </c>
      <c r="C1990" s="60" t="str">
        <f>IF($A1990="","",[1]weekly_demand!H1991)</f>
        <v/>
      </c>
      <c r="D1990" s="61" t="str">
        <f>IF($A1990="","",IF(SUMIFS([1]Fixture_Capacity_Input!$C:$C,[1]Fixture_Capacity_Input!$A:$A,$B1990,[1]Fixture_Capacity_Input!$B:$B,$C1990)&gt;0,SUMIFS([1]Fixture_Capacity_Input!$C:$C,[1]Fixture_Capacity_Input!$A:$A,$B1990,[1]Fixture_Capacity_Input!$B:$B,$C1990),[1]weekly_demand!G1991))</f>
        <v/>
      </c>
      <c r="E1990" s="62" t="str">
        <f>IF($A1990="","",[1]weekly_demand!I1991)</f>
        <v/>
      </c>
      <c r="F1990" s="61" t="str">
        <f>IF($A1990="","",IF($A1990&lt;&gt;$A1989,IFERROR(INDEX([1]FG_Begin_Inventory!$B:$B,MATCH($A1990,[1]FG_Begin_Inventory!$A:$A,0)),0),J1989))</f>
        <v/>
      </c>
      <c r="G1990" s="61" t="str">
        <f t="shared" si="220"/>
        <v/>
      </c>
      <c r="H1990" s="61" t="str">
        <f t="shared" si="221"/>
        <v/>
      </c>
      <c r="I1990" s="62" t="str">
        <f t="shared" si="222"/>
        <v/>
      </c>
      <c r="J1990" s="61" t="str">
        <f t="shared" si="223"/>
        <v/>
      </c>
      <c r="K1990" s="61" t="str">
        <f t="shared" si="224"/>
        <v/>
      </c>
      <c r="L1990" s="61" t="str">
        <f t="shared" si="225"/>
        <v/>
      </c>
      <c r="M1990" s="63" t="str">
        <f t="shared" si="226"/>
        <v/>
      </c>
      <c r="N1990" s="64"/>
    </row>
    <row r="1991" spans="1:14" x14ac:dyDescent="0.3">
      <c r="A1991" s="58" t="str">
        <f>IF([1]weekly_demand!A1992="","",[1]weekly_demand!A1992)</f>
        <v/>
      </c>
      <c r="B1991" s="59" t="str">
        <f>IF($A1991="","",[1]weekly_demand!F1992)</f>
        <v/>
      </c>
      <c r="C1991" s="60" t="str">
        <f>IF($A1991="","",[1]weekly_demand!H1992)</f>
        <v/>
      </c>
      <c r="D1991" s="61" t="str">
        <f>IF($A1991="","",IF(SUMIFS([1]Fixture_Capacity_Input!$C:$C,[1]Fixture_Capacity_Input!$A:$A,$B1991,[1]Fixture_Capacity_Input!$B:$B,$C1991)&gt;0,SUMIFS([1]Fixture_Capacity_Input!$C:$C,[1]Fixture_Capacity_Input!$A:$A,$B1991,[1]Fixture_Capacity_Input!$B:$B,$C1991),[1]weekly_demand!G1992))</f>
        <v/>
      </c>
      <c r="E1991" s="62" t="str">
        <f>IF($A1991="","",[1]weekly_demand!I1992)</f>
        <v/>
      </c>
      <c r="F1991" s="61" t="str">
        <f>IF($A1991="","",IF($A1991&lt;&gt;$A1990,IFERROR(INDEX([1]FG_Begin_Inventory!$B:$B,MATCH($A1991,[1]FG_Begin_Inventory!$A:$A,0)),0),J1990))</f>
        <v/>
      </c>
      <c r="G1991" s="61" t="str">
        <f t="shared" si="220"/>
        <v/>
      </c>
      <c r="H1991" s="61" t="str">
        <f t="shared" si="221"/>
        <v/>
      </c>
      <c r="I1991" s="62" t="str">
        <f t="shared" si="222"/>
        <v/>
      </c>
      <c r="J1991" s="61" t="str">
        <f t="shared" si="223"/>
        <v/>
      </c>
      <c r="K1991" s="61" t="str">
        <f t="shared" si="224"/>
        <v/>
      </c>
      <c r="L1991" s="61" t="str">
        <f t="shared" si="225"/>
        <v/>
      </c>
      <c r="M1991" s="63" t="str">
        <f t="shared" si="226"/>
        <v/>
      </c>
      <c r="N1991" s="64"/>
    </row>
    <row r="1992" spans="1:14" x14ac:dyDescent="0.3">
      <c r="A1992" s="58" t="str">
        <f>IF([1]weekly_demand!A1993="","",[1]weekly_demand!A1993)</f>
        <v/>
      </c>
      <c r="B1992" s="59" t="str">
        <f>IF($A1992="","",[1]weekly_demand!F1993)</f>
        <v/>
      </c>
      <c r="C1992" s="60" t="str">
        <f>IF($A1992="","",[1]weekly_demand!H1993)</f>
        <v/>
      </c>
      <c r="D1992" s="61" t="str">
        <f>IF($A1992="","",IF(SUMIFS([1]Fixture_Capacity_Input!$C:$C,[1]Fixture_Capacity_Input!$A:$A,$B1992,[1]Fixture_Capacity_Input!$B:$B,$C1992)&gt;0,SUMIFS([1]Fixture_Capacity_Input!$C:$C,[1]Fixture_Capacity_Input!$A:$A,$B1992,[1]Fixture_Capacity_Input!$B:$B,$C1992),[1]weekly_demand!G1993))</f>
        <v/>
      </c>
      <c r="E1992" s="62" t="str">
        <f>IF($A1992="","",[1]weekly_demand!I1993)</f>
        <v/>
      </c>
      <c r="F1992" s="61" t="str">
        <f>IF($A1992="","",IF($A1992&lt;&gt;$A1991,IFERROR(INDEX([1]FG_Begin_Inventory!$B:$B,MATCH($A1992,[1]FG_Begin_Inventory!$A:$A,0)),0),J1991))</f>
        <v/>
      </c>
      <c r="G1992" s="61" t="str">
        <f t="shared" si="220"/>
        <v/>
      </c>
      <c r="H1992" s="61" t="str">
        <f t="shared" si="221"/>
        <v/>
      </c>
      <c r="I1992" s="62" t="str">
        <f t="shared" si="222"/>
        <v/>
      </c>
      <c r="J1992" s="61" t="str">
        <f t="shared" si="223"/>
        <v/>
      </c>
      <c r="K1992" s="61" t="str">
        <f t="shared" si="224"/>
        <v/>
      </c>
      <c r="L1992" s="61" t="str">
        <f t="shared" si="225"/>
        <v/>
      </c>
      <c r="M1992" s="63" t="str">
        <f t="shared" si="226"/>
        <v/>
      </c>
      <c r="N1992" s="64"/>
    </row>
    <row r="1993" spans="1:14" x14ac:dyDescent="0.3">
      <c r="A1993" s="58" t="str">
        <f>IF([1]weekly_demand!A1994="","",[1]weekly_demand!A1994)</f>
        <v/>
      </c>
      <c r="B1993" s="59" t="str">
        <f>IF($A1993="","",[1]weekly_demand!F1994)</f>
        <v/>
      </c>
      <c r="C1993" s="60" t="str">
        <f>IF($A1993="","",[1]weekly_demand!H1994)</f>
        <v/>
      </c>
      <c r="D1993" s="61" t="str">
        <f>IF($A1993="","",IF(SUMIFS([1]Fixture_Capacity_Input!$C:$C,[1]Fixture_Capacity_Input!$A:$A,$B1993,[1]Fixture_Capacity_Input!$B:$B,$C1993)&gt;0,SUMIFS([1]Fixture_Capacity_Input!$C:$C,[1]Fixture_Capacity_Input!$A:$A,$B1993,[1]Fixture_Capacity_Input!$B:$B,$C1993),[1]weekly_demand!G1994))</f>
        <v/>
      </c>
      <c r="E1993" s="62" t="str">
        <f>IF($A1993="","",[1]weekly_demand!I1994)</f>
        <v/>
      </c>
      <c r="F1993" s="61" t="str">
        <f>IF($A1993="","",IF($A1993&lt;&gt;$A1992,IFERROR(INDEX([1]FG_Begin_Inventory!$B:$B,MATCH($A1993,[1]FG_Begin_Inventory!$A:$A,0)),0),J1992))</f>
        <v/>
      </c>
      <c r="G1993" s="61" t="str">
        <f t="shared" si="220"/>
        <v/>
      </c>
      <c r="H1993" s="61" t="str">
        <f t="shared" si="221"/>
        <v/>
      </c>
      <c r="I1993" s="62" t="str">
        <f t="shared" si="222"/>
        <v/>
      </c>
      <c r="J1993" s="61" t="str">
        <f t="shared" si="223"/>
        <v/>
      </c>
      <c r="K1993" s="61" t="str">
        <f t="shared" si="224"/>
        <v/>
      </c>
      <c r="L1993" s="61" t="str">
        <f t="shared" si="225"/>
        <v/>
      </c>
      <c r="M1993" s="63" t="str">
        <f t="shared" si="226"/>
        <v/>
      </c>
      <c r="N1993" s="64"/>
    </row>
    <row r="1994" spans="1:14" x14ac:dyDescent="0.3">
      <c r="A1994" s="58" t="str">
        <f>IF([1]weekly_demand!A1995="","",[1]weekly_demand!A1995)</f>
        <v/>
      </c>
      <c r="B1994" s="59" t="str">
        <f>IF($A1994="","",[1]weekly_demand!F1995)</f>
        <v/>
      </c>
      <c r="C1994" s="60" t="str">
        <f>IF($A1994="","",[1]weekly_demand!H1995)</f>
        <v/>
      </c>
      <c r="D1994" s="61" t="str">
        <f>IF($A1994="","",IF(SUMIFS([1]Fixture_Capacity_Input!$C:$C,[1]Fixture_Capacity_Input!$A:$A,$B1994,[1]Fixture_Capacity_Input!$B:$B,$C1994)&gt;0,SUMIFS([1]Fixture_Capacity_Input!$C:$C,[1]Fixture_Capacity_Input!$A:$A,$B1994,[1]Fixture_Capacity_Input!$B:$B,$C1994),[1]weekly_demand!G1995))</f>
        <v/>
      </c>
      <c r="E1994" s="62" t="str">
        <f>IF($A1994="","",[1]weekly_demand!I1995)</f>
        <v/>
      </c>
      <c r="F1994" s="61" t="str">
        <f>IF($A1994="","",IF($A1994&lt;&gt;$A1993,IFERROR(INDEX([1]FG_Begin_Inventory!$B:$B,MATCH($A1994,[1]FG_Begin_Inventory!$A:$A,0)),0),J1993))</f>
        <v/>
      </c>
      <c r="G1994" s="61" t="str">
        <f t="shared" si="220"/>
        <v/>
      </c>
      <c r="H1994" s="61" t="str">
        <f t="shared" si="221"/>
        <v/>
      </c>
      <c r="I1994" s="62" t="str">
        <f t="shared" si="222"/>
        <v/>
      </c>
      <c r="J1994" s="61" t="str">
        <f t="shared" si="223"/>
        <v/>
      </c>
      <c r="K1994" s="61" t="str">
        <f t="shared" si="224"/>
        <v/>
      </c>
      <c r="L1994" s="61" t="str">
        <f t="shared" si="225"/>
        <v/>
      </c>
      <c r="M1994" s="63" t="str">
        <f t="shared" si="226"/>
        <v/>
      </c>
      <c r="N1994" s="64"/>
    </row>
    <row r="1995" spans="1:14" x14ac:dyDescent="0.3">
      <c r="A1995" s="58" t="str">
        <f>IF([1]weekly_demand!A1996="","",[1]weekly_demand!A1996)</f>
        <v/>
      </c>
      <c r="B1995" s="59" t="str">
        <f>IF($A1995="","",[1]weekly_demand!F1996)</f>
        <v/>
      </c>
      <c r="C1995" s="60" t="str">
        <f>IF($A1995="","",[1]weekly_demand!H1996)</f>
        <v/>
      </c>
      <c r="D1995" s="61" t="str">
        <f>IF($A1995="","",IF(SUMIFS([1]Fixture_Capacity_Input!$C:$C,[1]Fixture_Capacity_Input!$A:$A,$B1995,[1]Fixture_Capacity_Input!$B:$B,$C1995)&gt;0,SUMIFS([1]Fixture_Capacity_Input!$C:$C,[1]Fixture_Capacity_Input!$A:$A,$B1995,[1]Fixture_Capacity_Input!$B:$B,$C1995),[1]weekly_demand!G1996))</f>
        <v/>
      </c>
      <c r="E1995" s="62" t="str">
        <f>IF($A1995="","",[1]weekly_demand!I1996)</f>
        <v/>
      </c>
      <c r="F1995" s="61" t="str">
        <f>IF($A1995="","",IF($A1995&lt;&gt;$A1994,IFERROR(INDEX([1]FG_Begin_Inventory!$B:$B,MATCH($A1995,[1]FG_Begin_Inventory!$A:$A,0)),0),J1994))</f>
        <v/>
      </c>
      <c r="G1995" s="61" t="str">
        <f t="shared" si="220"/>
        <v/>
      </c>
      <c r="H1995" s="61" t="str">
        <f t="shared" si="221"/>
        <v/>
      </c>
      <c r="I1995" s="62" t="str">
        <f t="shared" si="222"/>
        <v/>
      </c>
      <c r="J1995" s="61" t="str">
        <f t="shared" si="223"/>
        <v/>
      </c>
      <c r="K1995" s="61" t="str">
        <f t="shared" si="224"/>
        <v/>
      </c>
      <c r="L1995" s="61" t="str">
        <f t="shared" si="225"/>
        <v/>
      </c>
      <c r="M1995" s="63" t="str">
        <f t="shared" si="226"/>
        <v/>
      </c>
      <c r="N1995" s="64"/>
    </row>
    <row r="1996" spans="1:14" x14ac:dyDescent="0.3">
      <c r="A1996" s="58" t="str">
        <f>IF([1]weekly_demand!A1997="","",[1]weekly_demand!A1997)</f>
        <v/>
      </c>
      <c r="B1996" s="59" t="str">
        <f>IF($A1996="","",[1]weekly_demand!F1997)</f>
        <v/>
      </c>
      <c r="C1996" s="60" t="str">
        <f>IF($A1996="","",[1]weekly_demand!H1997)</f>
        <v/>
      </c>
      <c r="D1996" s="61" t="str">
        <f>IF($A1996="","",IF(SUMIFS([1]Fixture_Capacity_Input!$C:$C,[1]Fixture_Capacity_Input!$A:$A,$B1996,[1]Fixture_Capacity_Input!$B:$B,$C1996)&gt;0,SUMIFS([1]Fixture_Capacity_Input!$C:$C,[1]Fixture_Capacity_Input!$A:$A,$B1996,[1]Fixture_Capacity_Input!$B:$B,$C1996),[1]weekly_demand!G1997))</f>
        <v/>
      </c>
      <c r="E1996" s="62" t="str">
        <f>IF($A1996="","",[1]weekly_demand!I1997)</f>
        <v/>
      </c>
      <c r="F1996" s="61" t="str">
        <f>IF($A1996="","",IF($A1996&lt;&gt;$A1995,IFERROR(INDEX([1]FG_Begin_Inventory!$B:$B,MATCH($A1996,[1]FG_Begin_Inventory!$A:$A,0)),0),J1995))</f>
        <v/>
      </c>
      <c r="G1996" s="61" t="str">
        <f t="shared" si="220"/>
        <v/>
      </c>
      <c r="H1996" s="61" t="str">
        <f t="shared" si="221"/>
        <v/>
      </c>
      <c r="I1996" s="62" t="str">
        <f t="shared" si="222"/>
        <v/>
      </c>
      <c r="J1996" s="61" t="str">
        <f t="shared" si="223"/>
        <v/>
      </c>
      <c r="K1996" s="61" t="str">
        <f t="shared" si="224"/>
        <v/>
      </c>
      <c r="L1996" s="61" t="str">
        <f t="shared" si="225"/>
        <v/>
      </c>
      <c r="M1996" s="63" t="str">
        <f t="shared" si="226"/>
        <v/>
      </c>
      <c r="N1996" s="64"/>
    </row>
    <row r="1997" spans="1:14" x14ac:dyDescent="0.3">
      <c r="A1997" s="58" t="str">
        <f>IF([1]weekly_demand!A1998="","",[1]weekly_demand!A1998)</f>
        <v/>
      </c>
      <c r="B1997" s="59" t="str">
        <f>IF($A1997="","",[1]weekly_demand!F1998)</f>
        <v/>
      </c>
      <c r="C1997" s="60" t="str">
        <f>IF($A1997="","",[1]weekly_demand!H1998)</f>
        <v/>
      </c>
      <c r="D1997" s="61" t="str">
        <f>IF($A1997="","",IF(SUMIFS([1]Fixture_Capacity_Input!$C:$C,[1]Fixture_Capacity_Input!$A:$A,$B1997,[1]Fixture_Capacity_Input!$B:$B,$C1997)&gt;0,SUMIFS([1]Fixture_Capacity_Input!$C:$C,[1]Fixture_Capacity_Input!$A:$A,$B1997,[1]Fixture_Capacity_Input!$B:$B,$C1997),[1]weekly_demand!G1998))</f>
        <v/>
      </c>
      <c r="E1997" s="62" t="str">
        <f>IF($A1997="","",[1]weekly_demand!I1998)</f>
        <v/>
      </c>
      <c r="F1997" s="61" t="str">
        <f>IF($A1997="","",IF($A1997&lt;&gt;$A1996,IFERROR(INDEX([1]FG_Begin_Inventory!$B:$B,MATCH($A1997,[1]FG_Begin_Inventory!$A:$A,0)),0),J1996))</f>
        <v/>
      </c>
      <c r="G1997" s="61" t="str">
        <f t="shared" si="220"/>
        <v/>
      </c>
      <c r="H1997" s="61" t="str">
        <f t="shared" si="221"/>
        <v/>
      </c>
      <c r="I1997" s="62" t="str">
        <f t="shared" si="222"/>
        <v/>
      </c>
      <c r="J1997" s="61" t="str">
        <f t="shared" si="223"/>
        <v/>
      </c>
      <c r="K1997" s="61" t="str">
        <f t="shared" si="224"/>
        <v/>
      </c>
      <c r="L1997" s="61" t="str">
        <f t="shared" si="225"/>
        <v/>
      </c>
      <c r="M1997" s="63" t="str">
        <f t="shared" si="226"/>
        <v/>
      </c>
      <c r="N1997" s="64"/>
    </row>
    <row r="1998" spans="1:14" x14ac:dyDescent="0.3">
      <c r="A1998" s="58" t="str">
        <f>IF([1]weekly_demand!A1999="","",[1]weekly_demand!A1999)</f>
        <v/>
      </c>
      <c r="B1998" s="59" t="str">
        <f>IF($A1998="","",[1]weekly_demand!F1999)</f>
        <v/>
      </c>
      <c r="C1998" s="60" t="str">
        <f>IF($A1998="","",[1]weekly_demand!H1999)</f>
        <v/>
      </c>
      <c r="D1998" s="61" t="str">
        <f>IF($A1998="","",IF(SUMIFS([1]Fixture_Capacity_Input!$C:$C,[1]Fixture_Capacity_Input!$A:$A,$B1998,[1]Fixture_Capacity_Input!$B:$B,$C1998)&gt;0,SUMIFS([1]Fixture_Capacity_Input!$C:$C,[1]Fixture_Capacity_Input!$A:$A,$B1998,[1]Fixture_Capacity_Input!$B:$B,$C1998),[1]weekly_demand!G1999))</f>
        <v/>
      </c>
      <c r="E1998" s="62" t="str">
        <f>IF($A1998="","",[1]weekly_demand!I1999)</f>
        <v/>
      </c>
      <c r="F1998" s="61" t="str">
        <f>IF($A1998="","",IF($A1998&lt;&gt;$A1997,IFERROR(INDEX([1]FG_Begin_Inventory!$B:$B,MATCH($A1998,[1]FG_Begin_Inventory!$A:$A,0)),0),J1997))</f>
        <v/>
      </c>
      <c r="G1998" s="61" t="str">
        <f t="shared" si="220"/>
        <v/>
      </c>
      <c r="H1998" s="61" t="str">
        <f t="shared" si="221"/>
        <v/>
      </c>
      <c r="I1998" s="62" t="str">
        <f t="shared" si="222"/>
        <v/>
      </c>
      <c r="J1998" s="61" t="str">
        <f t="shared" si="223"/>
        <v/>
      </c>
      <c r="K1998" s="61" t="str">
        <f t="shared" si="224"/>
        <v/>
      </c>
      <c r="L1998" s="61" t="str">
        <f t="shared" si="225"/>
        <v/>
      </c>
      <c r="M1998" s="63" t="str">
        <f t="shared" si="226"/>
        <v/>
      </c>
      <c r="N1998" s="64"/>
    </row>
    <row r="1999" spans="1:14" x14ac:dyDescent="0.3">
      <c r="A1999" s="58" t="str">
        <f>IF([1]weekly_demand!A2000="","",[1]weekly_demand!A2000)</f>
        <v/>
      </c>
      <c r="B1999" s="59" t="str">
        <f>IF($A1999="","",[1]weekly_demand!F2000)</f>
        <v/>
      </c>
      <c r="C1999" s="60" t="str">
        <f>IF($A1999="","",[1]weekly_demand!H2000)</f>
        <v/>
      </c>
      <c r="D1999" s="61" t="str">
        <f>IF($A1999="","",IF(SUMIFS([1]Fixture_Capacity_Input!$C:$C,[1]Fixture_Capacity_Input!$A:$A,$B1999,[1]Fixture_Capacity_Input!$B:$B,$C1999)&gt;0,SUMIFS([1]Fixture_Capacity_Input!$C:$C,[1]Fixture_Capacity_Input!$A:$A,$B1999,[1]Fixture_Capacity_Input!$B:$B,$C1999),[1]weekly_demand!G2000))</f>
        <v/>
      </c>
      <c r="E1999" s="62" t="str">
        <f>IF($A1999="","",[1]weekly_demand!I2000)</f>
        <v/>
      </c>
      <c r="F1999" s="61" t="str">
        <f>IF($A1999="","",IF($A1999&lt;&gt;$A1998,IFERROR(INDEX([1]FG_Begin_Inventory!$B:$B,MATCH($A1999,[1]FG_Begin_Inventory!$A:$A,0)),0),J1998))</f>
        <v/>
      </c>
      <c r="G1999" s="61" t="str">
        <f t="shared" si="220"/>
        <v/>
      </c>
      <c r="H1999" s="61" t="str">
        <f t="shared" si="221"/>
        <v/>
      </c>
      <c r="I1999" s="62" t="str">
        <f t="shared" si="222"/>
        <v/>
      </c>
      <c r="J1999" s="61" t="str">
        <f t="shared" si="223"/>
        <v/>
      </c>
      <c r="K1999" s="61" t="str">
        <f t="shared" si="224"/>
        <v/>
      </c>
      <c r="L1999" s="61" t="str">
        <f t="shared" si="225"/>
        <v/>
      </c>
      <c r="M1999" s="63" t="str">
        <f t="shared" si="226"/>
        <v/>
      </c>
      <c r="N1999" s="64"/>
    </row>
  </sheetData>
  <conditionalFormatting sqref="K2:K1999">
    <cfRule type="cellIs" dxfId="10" priority="1" operator="greaterThan">
      <formula>0</formula>
    </cfRule>
  </conditionalFormatting>
  <conditionalFormatting sqref="M2:M1999">
    <cfRule type="cellIs" dxfId="9" priority="2" operator="greaterThan">
      <formula>1</formula>
    </cfRule>
    <cfRule type="cellIs" dxfId="8" priority="3" operator="between">
      <formula>0</formula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00"/>
  <sheetViews>
    <sheetView topLeftCell="D1" zoomScale="64" workbookViewId="0">
      <selection activeCell="AG10" sqref="AG10"/>
    </sheetView>
  </sheetViews>
  <sheetFormatPr defaultRowHeight="14.4" x14ac:dyDescent="0.3"/>
  <cols>
    <col min="1" max="1" width="13" customWidth="1"/>
    <col min="2" max="7" width="10" customWidth="1"/>
    <col min="8" max="22" width="12" customWidth="1"/>
    <col min="24" max="24" width="18" customWidth="1"/>
    <col min="25" max="30" width="10" customWidth="1"/>
  </cols>
  <sheetData>
    <row r="1" spans="1:30" ht="22.05" customHeight="1" x14ac:dyDescent="0.3">
      <c r="A1" s="39" t="s">
        <v>63</v>
      </c>
      <c r="B1" s="39" t="s">
        <v>14</v>
      </c>
      <c r="C1" s="39" t="s">
        <v>22</v>
      </c>
      <c r="D1" s="39" t="s">
        <v>25</v>
      </c>
      <c r="E1" s="39" t="s">
        <v>30</v>
      </c>
      <c r="F1" s="39" t="s">
        <v>18</v>
      </c>
      <c r="G1" s="39" t="s">
        <v>9</v>
      </c>
      <c r="H1" s="39" t="s">
        <v>79</v>
      </c>
      <c r="I1" s="39" t="s">
        <v>80</v>
      </c>
      <c r="J1" s="39" t="s">
        <v>81</v>
      </c>
      <c r="K1" s="39" t="s">
        <v>82</v>
      </c>
      <c r="L1" s="39" t="s">
        <v>83</v>
      </c>
      <c r="M1" s="39" t="s">
        <v>84</v>
      </c>
      <c r="N1" s="39" t="s">
        <v>85</v>
      </c>
      <c r="O1" s="39" t="s">
        <v>86</v>
      </c>
      <c r="P1" s="39" t="s">
        <v>87</v>
      </c>
      <c r="Q1" s="39" t="s">
        <v>88</v>
      </c>
      <c r="R1" s="39" t="s">
        <v>89</v>
      </c>
      <c r="S1" s="39" t="s">
        <v>90</v>
      </c>
      <c r="T1" s="39" t="s">
        <v>91</v>
      </c>
      <c r="U1" s="39" t="s">
        <v>92</v>
      </c>
      <c r="V1" s="39" t="s">
        <v>93</v>
      </c>
      <c r="X1" s="40" t="s">
        <v>94</v>
      </c>
      <c r="Y1" s="41" t="s">
        <v>14</v>
      </c>
      <c r="Z1" s="41" t="s">
        <v>22</v>
      </c>
      <c r="AA1" s="41" t="s">
        <v>25</v>
      </c>
      <c r="AB1" s="41" t="s">
        <v>30</v>
      </c>
      <c r="AC1" s="41" t="s">
        <v>18</v>
      </c>
      <c r="AD1" s="41" t="s">
        <v>9</v>
      </c>
    </row>
    <row r="2" spans="1:30" x14ac:dyDescent="0.3">
      <c r="A2" s="42">
        <v>46132</v>
      </c>
      <c r="B2" s="70">
        <f>IF($A2="","",SUMIFS(weekly_demand!$D:$D,weekly_demand!$A:$A,B$1,weekly_demand!$C:$C,$A2))</f>
        <v>0</v>
      </c>
      <c r="C2" s="70">
        <f>IF($A2="","",SUMIFS(weekly_demand!$D:$D,weekly_demand!$A:$A,C$1,weekly_demand!$C:$C,$A2))</f>
        <v>0</v>
      </c>
      <c r="D2" s="70">
        <f>IF($A2="","",SUMIFS(weekly_demand!$D:$D,weekly_demand!$A:$A,D$1,weekly_demand!$C:$C,$A2))</f>
        <v>0</v>
      </c>
      <c r="E2" s="70">
        <f>IF($A2="","",SUMIFS(weekly_demand!$D:$D,weekly_demand!$A:$A,E$1,weekly_demand!$C:$C,$A2))</f>
        <v>0</v>
      </c>
      <c r="F2" s="70">
        <f>IF($A2="","",SUMIFS(weekly_demand!$D:$D,weekly_demand!$A:$A,F$1,weekly_demand!$C:$C,$A2))</f>
        <v>0</v>
      </c>
      <c r="G2" s="70">
        <f>IF($A2="","",SUMIFS(weekly_demand!$D:$D,weekly_demand!$A:$A,G$1,weekly_demand!$C:$C,$A2))</f>
        <v>0</v>
      </c>
      <c r="H2" s="70">
        <f t="shared" ref="H2:V11" si="0">IF($A2="","",SUMPRODUCT($B2:$G2,INDEX($Y$2:$AD$16,MATCH(H$1,$X$2:$X$16,0),0)))</f>
        <v>0</v>
      </c>
      <c r="I2" s="70">
        <f t="shared" si="0"/>
        <v>0</v>
      </c>
      <c r="J2" s="70">
        <f t="shared" si="0"/>
        <v>0</v>
      </c>
      <c r="K2" s="70">
        <f t="shared" si="0"/>
        <v>0</v>
      </c>
      <c r="L2" s="70">
        <f t="shared" si="0"/>
        <v>0</v>
      </c>
      <c r="M2" s="70">
        <f t="shared" si="0"/>
        <v>0</v>
      </c>
      <c r="N2" s="70">
        <f t="shared" si="0"/>
        <v>0</v>
      </c>
      <c r="O2" s="70">
        <f t="shared" si="0"/>
        <v>0</v>
      </c>
      <c r="P2" s="70">
        <f t="shared" si="0"/>
        <v>0</v>
      </c>
      <c r="Q2" s="70">
        <f t="shared" si="0"/>
        <v>0</v>
      </c>
      <c r="R2" s="70">
        <f t="shared" si="0"/>
        <v>0</v>
      </c>
      <c r="S2" s="70">
        <f t="shared" si="0"/>
        <v>0</v>
      </c>
      <c r="T2" s="70">
        <f t="shared" si="0"/>
        <v>0</v>
      </c>
      <c r="U2" s="70">
        <f t="shared" si="0"/>
        <v>0</v>
      </c>
      <c r="V2" s="70">
        <f t="shared" si="0"/>
        <v>0</v>
      </c>
      <c r="X2" s="44" t="s">
        <v>79</v>
      </c>
      <c r="Y2" s="45">
        <v>1</v>
      </c>
      <c r="Z2" s="45">
        <v>1</v>
      </c>
      <c r="AA2" s="45">
        <v>1</v>
      </c>
      <c r="AB2" s="45">
        <v>1</v>
      </c>
      <c r="AC2" s="45">
        <v>1</v>
      </c>
      <c r="AD2" s="45">
        <v>1</v>
      </c>
    </row>
    <row r="3" spans="1:30" x14ac:dyDescent="0.3">
      <c r="A3" s="42">
        <v>46139</v>
      </c>
      <c r="B3" s="70">
        <f>IF($A3="","",SUMIFS(weekly_demand!$D:$D,weekly_demand!$A:$A,B$1,weekly_demand!$C:$C,$A3))</f>
        <v>0</v>
      </c>
      <c r="C3" s="70">
        <f>IF($A3="","",SUMIFS(weekly_demand!$D:$D,weekly_demand!$A:$A,C$1,weekly_demand!$C:$C,$A3))</f>
        <v>0</v>
      </c>
      <c r="D3" s="70">
        <f>IF($A3="","",SUMIFS(weekly_demand!$D:$D,weekly_demand!$A:$A,D$1,weekly_demand!$C:$C,$A3))</f>
        <v>0</v>
      </c>
      <c r="E3" s="70">
        <f>IF($A3="","",SUMIFS(weekly_demand!$D:$D,weekly_demand!$A:$A,E$1,weekly_demand!$C:$C,$A3))</f>
        <v>0</v>
      </c>
      <c r="F3" s="70">
        <f>IF($A3="","",SUMIFS(weekly_demand!$D:$D,weekly_demand!$A:$A,F$1,weekly_demand!$C:$C,$A3))</f>
        <v>0</v>
      </c>
      <c r="G3" s="70">
        <f>IF($A3="","",SUMIFS(weekly_demand!$D:$D,weekly_demand!$A:$A,G$1,weekly_demand!$C:$C,$A3))</f>
        <v>0</v>
      </c>
      <c r="H3" s="43">
        <f t="shared" si="0"/>
        <v>0</v>
      </c>
      <c r="I3" s="43">
        <f t="shared" si="0"/>
        <v>0</v>
      </c>
      <c r="J3" s="43">
        <f t="shared" si="0"/>
        <v>0</v>
      </c>
      <c r="K3" s="43">
        <f t="shared" si="0"/>
        <v>0</v>
      </c>
      <c r="L3" s="43">
        <f t="shared" si="0"/>
        <v>0</v>
      </c>
      <c r="M3" s="43">
        <f t="shared" si="0"/>
        <v>0</v>
      </c>
      <c r="N3" s="43">
        <f t="shared" si="0"/>
        <v>0</v>
      </c>
      <c r="O3" s="43">
        <f t="shared" si="0"/>
        <v>0</v>
      </c>
      <c r="P3" s="43">
        <f t="shared" si="0"/>
        <v>0</v>
      </c>
      <c r="Q3" s="43">
        <f t="shared" si="0"/>
        <v>0</v>
      </c>
      <c r="R3" s="43">
        <f t="shared" si="0"/>
        <v>0</v>
      </c>
      <c r="S3" s="43">
        <f t="shared" si="0"/>
        <v>0</v>
      </c>
      <c r="T3" s="43">
        <f t="shared" si="0"/>
        <v>0</v>
      </c>
      <c r="U3" s="43">
        <f t="shared" si="0"/>
        <v>0</v>
      </c>
      <c r="V3" s="43">
        <f t="shared" si="0"/>
        <v>0</v>
      </c>
      <c r="X3" s="44" t="s">
        <v>80</v>
      </c>
      <c r="Y3" s="45">
        <v>0.25</v>
      </c>
      <c r="Z3" s="45">
        <v>0.25</v>
      </c>
      <c r="AA3" s="45">
        <v>0.5</v>
      </c>
      <c r="AB3" s="45">
        <v>0.25</v>
      </c>
      <c r="AC3" s="45">
        <v>0.5</v>
      </c>
      <c r="AD3" s="45">
        <v>0.125</v>
      </c>
    </row>
    <row r="4" spans="1:30" x14ac:dyDescent="0.3">
      <c r="A4" s="42">
        <v>46146</v>
      </c>
      <c r="B4" s="70">
        <f>IF($A4="","",SUMIFS(weekly_demand!$D:$D,weekly_demand!$A:$A,B$1,weekly_demand!$C:$C,$A4))</f>
        <v>0</v>
      </c>
      <c r="C4" s="70">
        <f>IF($A4="","",SUMIFS(weekly_demand!$D:$D,weekly_demand!$A:$A,C$1,weekly_demand!$C:$C,$A4))</f>
        <v>0</v>
      </c>
      <c r="D4" s="70">
        <f>IF($A4="","",SUMIFS(weekly_demand!$D:$D,weekly_demand!$A:$A,D$1,weekly_demand!$C:$C,$A4))</f>
        <v>0</v>
      </c>
      <c r="E4" s="70">
        <f>IF($A4="","",SUMIFS(weekly_demand!$D:$D,weekly_demand!$A:$A,E$1,weekly_demand!$C:$C,$A4))</f>
        <v>0</v>
      </c>
      <c r="F4" s="70">
        <f>IF($A4="","",SUMIFS(weekly_demand!$D:$D,weekly_demand!$A:$A,F$1,weekly_demand!$C:$C,$A4))</f>
        <v>0</v>
      </c>
      <c r="G4" s="70">
        <f>IF($A4="","",SUMIFS(weekly_demand!$D:$D,weekly_demand!$A:$A,G$1,weekly_demand!$C:$C,$A4))</f>
        <v>0</v>
      </c>
      <c r="H4" s="43">
        <f t="shared" si="0"/>
        <v>0</v>
      </c>
      <c r="I4" s="43">
        <f t="shared" si="0"/>
        <v>0</v>
      </c>
      <c r="J4" s="43">
        <f t="shared" si="0"/>
        <v>0</v>
      </c>
      <c r="K4" s="43">
        <f t="shared" si="0"/>
        <v>0</v>
      </c>
      <c r="L4" s="43">
        <f t="shared" si="0"/>
        <v>0</v>
      </c>
      <c r="M4" s="43">
        <f t="shared" si="0"/>
        <v>0</v>
      </c>
      <c r="N4" s="43">
        <f t="shared" si="0"/>
        <v>0</v>
      </c>
      <c r="O4" s="43">
        <f t="shared" si="0"/>
        <v>0</v>
      </c>
      <c r="P4" s="43">
        <f t="shared" si="0"/>
        <v>0</v>
      </c>
      <c r="Q4" s="43">
        <f t="shared" si="0"/>
        <v>0</v>
      </c>
      <c r="R4" s="43">
        <f t="shared" si="0"/>
        <v>0</v>
      </c>
      <c r="S4" s="43">
        <f t="shared" si="0"/>
        <v>0</v>
      </c>
      <c r="T4" s="43">
        <f t="shared" si="0"/>
        <v>0</v>
      </c>
      <c r="U4" s="43">
        <f t="shared" si="0"/>
        <v>0</v>
      </c>
      <c r="V4" s="43">
        <f t="shared" si="0"/>
        <v>0</v>
      </c>
      <c r="X4" s="44" t="s">
        <v>81</v>
      </c>
      <c r="Y4" s="45">
        <v>1</v>
      </c>
      <c r="Z4" s="45">
        <v>1</v>
      </c>
      <c r="AA4" s="45">
        <v>1</v>
      </c>
      <c r="AB4" s="45">
        <v>1</v>
      </c>
      <c r="AC4" s="45">
        <v>1</v>
      </c>
      <c r="AD4" s="45">
        <v>1</v>
      </c>
    </row>
    <row r="5" spans="1:30" x14ac:dyDescent="0.3">
      <c r="A5" s="42">
        <v>46153</v>
      </c>
      <c r="B5" s="70">
        <f>IF($A5="","",SUMIFS(weekly_demand!$D:$D,weekly_demand!$A:$A,B$1,weekly_demand!$C:$C,$A5))</f>
        <v>0</v>
      </c>
      <c r="C5" s="70">
        <f>IF($A5="","",SUMIFS(weekly_demand!$D:$D,weekly_demand!$A:$A,C$1,weekly_demand!$C:$C,$A5))</f>
        <v>0</v>
      </c>
      <c r="D5" s="70">
        <f>IF($A5="","",SUMIFS(weekly_demand!$D:$D,weekly_demand!$A:$A,D$1,weekly_demand!$C:$C,$A5))</f>
        <v>0</v>
      </c>
      <c r="E5" s="70">
        <f>IF($A5="","",SUMIFS(weekly_demand!$D:$D,weekly_demand!$A:$A,E$1,weekly_demand!$C:$C,$A5))</f>
        <v>0</v>
      </c>
      <c r="F5" s="70">
        <f>IF($A5="","",SUMIFS(weekly_demand!$D:$D,weekly_demand!$A:$A,F$1,weekly_demand!$C:$C,$A5))</f>
        <v>0</v>
      </c>
      <c r="G5" s="70">
        <f>IF($A5="","",SUMIFS(weekly_demand!$D:$D,weekly_demand!$A:$A,G$1,weekly_demand!$C:$C,$A5))</f>
        <v>0</v>
      </c>
      <c r="H5" s="43">
        <f t="shared" si="0"/>
        <v>0</v>
      </c>
      <c r="I5" s="43">
        <f t="shared" si="0"/>
        <v>0</v>
      </c>
      <c r="J5" s="43">
        <f t="shared" si="0"/>
        <v>0</v>
      </c>
      <c r="K5" s="43">
        <f t="shared" si="0"/>
        <v>0</v>
      </c>
      <c r="L5" s="43">
        <f t="shared" si="0"/>
        <v>0</v>
      </c>
      <c r="M5" s="43">
        <f t="shared" si="0"/>
        <v>0</v>
      </c>
      <c r="N5" s="43">
        <f t="shared" si="0"/>
        <v>0</v>
      </c>
      <c r="O5" s="43">
        <f t="shared" si="0"/>
        <v>0</v>
      </c>
      <c r="P5" s="43">
        <f t="shared" si="0"/>
        <v>0</v>
      </c>
      <c r="Q5" s="43">
        <f t="shared" si="0"/>
        <v>0</v>
      </c>
      <c r="R5" s="43">
        <f t="shared" si="0"/>
        <v>0</v>
      </c>
      <c r="S5" s="43">
        <f t="shared" si="0"/>
        <v>0</v>
      </c>
      <c r="T5" s="43">
        <f t="shared" si="0"/>
        <v>0</v>
      </c>
      <c r="U5" s="43">
        <f t="shared" si="0"/>
        <v>0</v>
      </c>
      <c r="V5" s="43">
        <f t="shared" si="0"/>
        <v>0</v>
      </c>
      <c r="X5" s="44" t="s">
        <v>82</v>
      </c>
      <c r="Y5" s="45">
        <v>2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</row>
    <row r="6" spans="1:30" x14ac:dyDescent="0.3">
      <c r="A6" s="42">
        <v>46160</v>
      </c>
      <c r="B6" s="70">
        <f>IF($A6="","",SUMIFS(weekly_demand!$D:$D,weekly_demand!$A:$A,B$1,weekly_demand!$C:$C,$A6))</f>
        <v>0</v>
      </c>
      <c r="C6" s="70">
        <f>IF($A6="","",SUMIFS(weekly_demand!$D:$D,weekly_demand!$A:$A,C$1,weekly_demand!$C:$C,$A6))</f>
        <v>0</v>
      </c>
      <c r="D6" s="70">
        <f>IF($A6="","",SUMIFS(weekly_demand!$D:$D,weekly_demand!$A:$A,D$1,weekly_demand!$C:$C,$A6))</f>
        <v>0</v>
      </c>
      <c r="E6" s="70">
        <f>IF($A6="","",SUMIFS(weekly_demand!$D:$D,weekly_demand!$A:$A,E$1,weekly_demand!$C:$C,$A6))</f>
        <v>0</v>
      </c>
      <c r="F6" s="70">
        <f>IF($A6="","",SUMIFS(weekly_demand!$D:$D,weekly_demand!$A:$A,F$1,weekly_demand!$C:$C,$A6))</f>
        <v>0</v>
      </c>
      <c r="G6" s="70">
        <f>IF($A6="","",SUMIFS(weekly_demand!$D:$D,weekly_demand!$A:$A,G$1,weekly_demand!$C:$C,$A6))</f>
        <v>0</v>
      </c>
      <c r="H6" s="43">
        <f t="shared" si="0"/>
        <v>0</v>
      </c>
      <c r="I6" s="43">
        <f t="shared" si="0"/>
        <v>0</v>
      </c>
      <c r="J6" s="43">
        <f t="shared" si="0"/>
        <v>0</v>
      </c>
      <c r="K6" s="43">
        <f t="shared" si="0"/>
        <v>0</v>
      </c>
      <c r="L6" s="43">
        <f t="shared" si="0"/>
        <v>0</v>
      </c>
      <c r="M6" s="43">
        <f t="shared" si="0"/>
        <v>0</v>
      </c>
      <c r="N6" s="43">
        <f t="shared" si="0"/>
        <v>0</v>
      </c>
      <c r="O6" s="43">
        <f t="shared" si="0"/>
        <v>0</v>
      </c>
      <c r="P6" s="43">
        <f t="shared" si="0"/>
        <v>0</v>
      </c>
      <c r="Q6" s="43">
        <f t="shared" si="0"/>
        <v>0</v>
      </c>
      <c r="R6" s="43">
        <f t="shared" si="0"/>
        <v>0</v>
      </c>
      <c r="S6" s="43">
        <f t="shared" si="0"/>
        <v>0</v>
      </c>
      <c r="T6" s="43">
        <f t="shared" si="0"/>
        <v>0</v>
      </c>
      <c r="U6" s="43">
        <f t="shared" si="0"/>
        <v>0</v>
      </c>
      <c r="V6" s="43">
        <f t="shared" si="0"/>
        <v>0</v>
      </c>
      <c r="X6" s="44" t="s">
        <v>83</v>
      </c>
      <c r="Y6" s="45">
        <v>1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</row>
    <row r="7" spans="1:30" x14ac:dyDescent="0.3">
      <c r="A7" s="42">
        <v>46167</v>
      </c>
      <c r="B7" s="70">
        <f>IF($A7="","",SUMIFS(weekly_demand!$D:$D,weekly_demand!$A:$A,B$1,weekly_demand!$C:$C,$A7))</f>
        <v>0</v>
      </c>
      <c r="C7" s="70">
        <f>IF($A7="","",SUMIFS(weekly_demand!$D:$D,weekly_demand!$A:$A,C$1,weekly_demand!$C:$C,$A7))</f>
        <v>0</v>
      </c>
      <c r="D7" s="70">
        <f>IF($A7="","",SUMIFS(weekly_demand!$D:$D,weekly_demand!$A:$A,D$1,weekly_demand!$C:$C,$A7))</f>
        <v>0</v>
      </c>
      <c r="E7" s="70">
        <f>IF($A7="","",SUMIFS(weekly_demand!$D:$D,weekly_demand!$A:$A,E$1,weekly_demand!$C:$C,$A7))</f>
        <v>0</v>
      </c>
      <c r="F7" s="70">
        <f>IF($A7="","",SUMIFS(weekly_demand!$D:$D,weekly_demand!$A:$A,F$1,weekly_demand!$C:$C,$A7))</f>
        <v>0</v>
      </c>
      <c r="G7" s="70">
        <f>IF($A7="","",SUMIFS(weekly_demand!$D:$D,weekly_demand!$A:$A,G$1,weekly_demand!$C:$C,$A7))</f>
        <v>0</v>
      </c>
      <c r="H7" s="43">
        <f t="shared" si="0"/>
        <v>0</v>
      </c>
      <c r="I7" s="43">
        <f t="shared" si="0"/>
        <v>0</v>
      </c>
      <c r="J7" s="43">
        <f t="shared" si="0"/>
        <v>0</v>
      </c>
      <c r="K7" s="43">
        <f t="shared" si="0"/>
        <v>0</v>
      </c>
      <c r="L7" s="43">
        <f t="shared" si="0"/>
        <v>0</v>
      </c>
      <c r="M7" s="43">
        <f t="shared" si="0"/>
        <v>0</v>
      </c>
      <c r="N7" s="43">
        <f t="shared" si="0"/>
        <v>0</v>
      </c>
      <c r="O7" s="43">
        <f t="shared" si="0"/>
        <v>0</v>
      </c>
      <c r="P7" s="43">
        <f t="shared" si="0"/>
        <v>0</v>
      </c>
      <c r="Q7" s="43">
        <f t="shared" si="0"/>
        <v>0</v>
      </c>
      <c r="R7" s="43">
        <f t="shared" si="0"/>
        <v>0</v>
      </c>
      <c r="S7" s="43">
        <f t="shared" si="0"/>
        <v>0</v>
      </c>
      <c r="T7" s="43">
        <f t="shared" si="0"/>
        <v>0</v>
      </c>
      <c r="U7" s="43">
        <f t="shared" si="0"/>
        <v>0</v>
      </c>
      <c r="V7" s="43">
        <f t="shared" si="0"/>
        <v>0</v>
      </c>
      <c r="X7" s="44" t="s">
        <v>84</v>
      </c>
      <c r="Y7" s="45">
        <v>0</v>
      </c>
      <c r="Z7" s="45">
        <v>2.5</v>
      </c>
      <c r="AA7" s="45">
        <v>0</v>
      </c>
      <c r="AB7" s="45">
        <v>0</v>
      </c>
      <c r="AC7" s="45">
        <v>0</v>
      </c>
      <c r="AD7" s="45">
        <v>0</v>
      </c>
    </row>
    <row r="8" spans="1:30" x14ac:dyDescent="0.3">
      <c r="A8" s="42">
        <v>46174</v>
      </c>
      <c r="B8" s="70">
        <f>IF($A8="","",SUMIFS(weekly_demand!$D:$D,weekly_demand!$A:$A,B$1,weekly_demand!$C:$C,$A8))</f>
        <v>0</v>
      </c>
      <c r="C8" s="70">
        <f>IF($A8="","",SUMIFS(weekly_demand!$D:$D,weekly_demand!$A:$A,C$1,weekly_demand!$C:$C,$A8))</f>
        <v>0</v>
      </c>
      <c r="D8" s="70">
        <f>IF($A8="","",SUMIFS(weekly_demand!$D:$D,weekly_demand!$A:$A,D$1,weekly_demand!$C:$C,$A8))</f>
        <v>0</v>
      </c>
      <c r="E8" s="70">
        <f>IF($A8="","",SUMIFS(weekly_demand!$D:$D,weekly_demand!$A:$A,E$1,weekly_demand!$C:$C,$A8))</f>
        <v>0</v>
      </c>
      <c r="F8" s="70">
        <f>IF($A8="","",SUMIFS(weekly_demand!$D:$D,weekly_demand!$A:$A,F$1,weekly_demand!$C:$C,$A8))</f>
        <v>0</v>
      </c>
      <c r="G8" s="70">
        <f>IF($A8="","",SUMIFS(weekly_demand!$D:$D,weekly_demand!$A:$A,G$1,weekly_demand!$C:$C,$A8))</f>
        <v>0</v>
      </c>
      <c r="H8" s="43">
        <f t="shared" si="0"/>
        <v>0</v>
      </c>
      <c r="I8" s="43">
        <f t="shared" si="0"/>
        <v>0</v>
      </c>
      <c r="J8" s="43">
        <f t="shared" si="0"/>
        <v>0</v>
      </c>
      <c r="K8" s="43">
        <f t="shared" si="0"/>
        <v>0</v>
      </c>
      <c r="L8" s="43">
        <f t="shared" si="0"/>
        <v>0</v>
      </c>
      <c r="M8" s="43">
        <f t="shared" si="0"/>
        <v>0</v>
      </c>
      <c r="N8" s="43">
        <f t="shared" si="0"/>
        <v>0</v>
      </c>
      <c r="O8" s="43">
        <f t="shared" si="0"/>
        <v>0</v>
      </c>
      <c r="P8" s="43">
        <f t="shared" si="0"/>
        <v>0</v>
      </c>
      <c r="Q8" s="43">
        <f t="shared" si="0"/>
        <v>0</v>
      </c>
      <c r="R8" s="43">
        <f t="shared" si="0"/>
        <v>0</v>
      </c>
      <c r="S8" s="43">
        <f t="shared" si="0"/>
        <v>0</v>
      </c>
      <c r="T8" s="43">
        <f t="shared" si="0"/>
        <v>0</v>
      </c>
      <c r="U8" s="43">
        <f t="shared" si="0"/>
        <v>0</v>
      </c>
      <c r="V8" s="43">
        <f t="shared" si="0"/>
        <v>0</v>
      </c>
      <c r="X8" s="44" t="s">
        <v>85</v>
      </c>
      <c r="Y8" s="45">
        <v>0</v>
      </c>
      <c r="Z8" s="45">
        <v>1.5</v>
      </c>
      <c r="AA8" s="45">
        <v>0</v>
      </c>
      <c r="AB8" s="45">
        <v>0</v>
      </c>
      <c r="AC8" s="45">
        <v>0</v>
      </c>
      <c r="AD8" s="45">
        <v>0</v>
      </c>
    </row>
    <row r="9" spans="1:30" x14ac:dyDescent="0.3">
      <c r="A9" s="42">
        <v>46181</v>
      </c>
      <c r="B9" s="70">
        <f>IF($A9="","",SUMIFS(weekly_demand!$D:$D,weekly_demand!$A:$A,B$1,weekly_demand!$C:$C,$A9))</f>
        <v>0</v>
      </c>
      <c r="C9" s="70">
        <f>IF($A9="","",SUMIFS(weekly_demand!$D:$D,weekly_demand!$A:$A,C$1,weekly_demand!$C:$C,$A9))</f>
        <v>0</v>
      </c>
      <c r="D9" s="70">
        <f>IF($A9="","",SUMIFS(weekly_demand!$D:$D,weekly_demand!$A:$A,D$1,weekly_demand!$C:$C,$A9))</f>
        <v>0</v>
      </c>
      <c r="E9" s="70">
        <f>IF($A9="","",SUMIFS(weekly_demand!$D:$D,weekly_demand!$A:$A,E$1,weekly_demand!$C:$C,$A9))</f>
        <v>0</v>
      </c>
      <c r="F9" s="70">
        <f>IF($A9="","",SUMIFS(weekly_demand!$D:$D,weekly_demand!$A:$A,F$1,weekly_demand!$C:$C,$A9))</f>
        <v>0</v>
      </c>
      <c r="G9" s="70">
        <f>IF($A9="","",SUMIFS(weekly_demand!$D:$D,weekly_demand!$A:$A,G$1,weekly_demand!$C:$C,$A9))</f>
        <v>0</v>
      </c>
      <c r="H9" s="43">
        <f t="shared" si="0"/>
        <v>0</v>
      </c>
      <c r="I9" s="43">
        <f t="shared" si="0"/>
        <v>0</v>
      </c>
      <c r="J9" s="43">
        <f t="shared" si="0"/>
        <v>0</v>
      </c>
      <c r="K9" s="43">
        <f t="shared" si="0"/>
        <v>0</v>
      </c>
      <c r="L9" s="43">
        <f t="shared" si="0"/>
        <v>0</v>
      </c>
      <c r="M9" s="43">
        <f t="shared" si="0"/>
        <v>0</v>
      </c>
      <c r="N9" s="43">
        <f t="shared" si="0"/>
        <v>0</v>
      </c>
      <c r="O9" s="43">
        <f t="shared" si="0"/>
        <v>0</v>
      </c>
      <c r="P9" s="43">
        <f t="shared" si="0"/>
        <v>0</v>
      </c>
      <c r="Q9" s="43">
        <f t="shared" si="0"/>
        <v>0</v>
      </c>
      <c r="R9" s="43">
        <f t="shared" si="0"/>
        <v>0</v>
      </c>
      <c r="S9" s="43">
        <f t="shared" si="0"/>
        <v>0</v>
      </c>
      <c r="T9" s="43">
        <f t="shared" si="0"/>
        <v>0</v>
      </c>
      <c r="U9" s="43">
        <f t="shared" si="0"/>
        <v>0</v>
      </c>
      <c r="V9" s="43">
        <f t="shared" si="0"/>
        <v>0</v>
      </c>
      <c r="X9" s="44" t="s">
        <v>86</v>
      </c>
      <c r="Y9" s="45">
        <v>0</v>
      </c>
      <c r="Z9" s="45">
        <v>0</v>
      </c>
      <c r="AA9" s="45">
        <v>3</v>
      </c>
      <c r="AB9" s="45">
        <v>0</v>
      </c>
      <c r="AC9" s="45">
        <v>0</v>
      </c>
      <c r="AD9" s="45">
        <v>0</v>
      </c>
    </row>
    <row r="10" spans="1:30" x14ac:dyDescent="0.3">
      <c r="A10" s="42">
        <v>46188</v>
      </c>
      <c r="B10" s="70">
        <f>IF($A10="","",SUMIFS(weekly_demand!$D:$D,weekly_demand!$A:$A,B$1,weekly_demand!$C:$C,$A10))</f>
        <v>0</v>
      </c>
      <c r="C10" s="70">
        <f>IF($A10="","",SUMIFS(weekly_demand!$D:$D,weekly_demand!$A:$A,C$1,weekly_demand!$C:$C,$A10))</f>
        <v>0</v>
      </c>
      <c r="D10" s="70">
        <f>IF($A10="","",SUMIFS(weekly_demand!$D:$D,weekly_demand!$A:$A,D$1,weekly_demand!$C:$C,$A10))</f>
        <v>0</v>
      </c>
      <c r="E10" s="70">
        <f>IF($A10="","",SUMIFS(weekly_demand!$D:$D,weekly_demand!$A:$A,E$1,weekly_demand!$C:$C,$A10))</f>
        <v>0</v>
      </c>
      <c r="F10" s="70">
        <f>IF($A10="","",SUMIFS(weekly_demand!$D:$D,weekly_demand!$A:$A,F$1,weekly_demand!$C:$C,$A10))</f>
        <v>0</v>
      </c>
      <c r="G10" s="70">
        <f>IF($A10="","",SUMIFS(weekly_demand!$D:$D,weekly_demand!$A:$A,G$1,weekly_demand!$C:$C,$A10))</f>
        <v>0</v>
      </c>
      <c r="H10" s="43">
        <f t="shared" si="0"/>
        <v>0</v>
      </c>
      <c r="I10" s="43">
        <f t="shared" si="0"/>
        <v>0</v>
      </c>
      <c r="J10" s="43">
        <f t="shared" si="0"/>
        <v>0</v>
      </c>
      <c r="K10" s="43">
        <f t="shared" si="0"/>
        <v>0</v>
      </c>
      <c r="L10" s="43">
        <f t="shared" si="0"/>
        <v>0</v>
      </c>
      <c r="M10" s="43">
        <f t="shared" si="0"/>
        <v>0</v>
      </c>
      <c r="N10" s="43">
        <f t="shared" si="0"/>
        <v>0</v>
      </c>
      <c r="O10" s="43">
        <f t="shared" si="0"/>
        <v>0</v>
      </c>
      <c r="P10" s="43">
        <f t="shared" si="0"/>
        <v>0</v>
      </c>
      <c r="Q10" s="43">
        <f t="shared" si="0"/>
        <v>0</v>
      </c>
      <c r="R10" s="43">
        <f t="shared" si="0"/>
        <v>0</v>
      </c>
      <c r="S10" s="43">
        <f t="shared" si="0"/>
        <v>0</v>
      </c>
      <c r="T10" s="43">
        <f t="shared" si="0"/>
        <v>0</v>
      </c>
      <c r="U10" s="43">
        <f t="shared" si="0"/>
        <v>0</v>
      </c>
      <c r="V10" s="43">
        <f t="shared" si="0"/>
        <v>0</v>
      </c>
      <c r="X10" s="44" t="s">
        <v>87</v>
      </c>
      <c r="Y10" s="45">
        <v>0</v>
      </c>
      <c r="Z10" s="45">
        <v>0</v>
      </c>
      <c r="AA10" s="45">
        <v>0.5</v>
      </c>
      <c r="AB10" s="45">
        <v>0</v>
      </c>
      <c r="AC10" s="45">
        <v>0</v>
      </c>
      <c r="AD10" s="45">
        <v>0</v>
      </c>
    </row>
    <row r="11" spans="1:30" x14ac:dyDescent="0.3">
      <c r="A11" s="42">
        <v>46195</v>
      </c>
      <c r="B11" s="70">
        <f>IF($A11="","",SUMIFS(weekly_demand!$D:$D,weekly_demand!$A:$A,B$1,weekly_demand!$C:$C,$A11))</f>
        <v>0</v>
      </c>
      <c r="C11" s="70">
        <f>IF($A11="","",SUMIFS(weekly_demand!$D:$D,weekly_demand!$A:$A,C$1,weekly_demand!$C:$C,$A11))</f>
        <v>0</v>
      </c>
      <c r="D11" s="70">
        <f>IF($A11="","",SUMIFS(weekly_demand!$D:$D,weekly_demand!$A:$A,D$1,weekly_demand!$C:$C,$A11))</f>
        <v>0</v>
      </c>
      <c r="E11" s="70">
        <f>IF($A11="","",SUMIFS(weekly_demand!$D:$D,weekly_demand!$A:$A,E$1,weekly_demand!$C:$C,$A11))</f>
        <v>0</v>
      </c>
      <c r="F11" s="70">
        <f>IF($A11="","",SUMIFS(weekly_demand!$D:$D,weekly_demand!$A:$A,F$1,weekly_demand!$C:$C,$A11))</f>
        <v>0</v>
      </c>
      <c r="G11" s="70">
        <f>IF($A11="","",SUMIFS(weekly_demand!$D:$D,weekly_demand!$A:$A,G$1,weekly_demand!$C:$C,$A11))</f>
        <v>0</v>
      </c>
      <c r="H11" s="43">
        <f t="shared" si="0"/>
        <v>0</v>
      </c>
      <c r="I11" s="43">
        <f t="shared" si="0"/>
        <v>0</v>
      </c>
      <c r="J11" s="43">
        <f t="shared" si="0"/>
        <v>0</v>
      </c>
      <c r="K11" s="43">
        <f t="shared" si="0"/>
        <v>0</v>
      </c>
      <c r="L11" s="43">
        <f t="shared" si="0"/>
        <v>0</v>
      </c>
      <c r="M11" s="43">
        <f t="shared" si="0"/>
        <v>0</v>
      </c>
      <c r="N11" s="43">
        <f t="shared" si="0"/>
        <v>0</v>
      </c>
      <c r="O11" s="43">
        <f t="shared" si="0"/>
        <v>0</v>
      </c>
      <c r="P11" s="43">
        <f t="shared" si="0"/>
        <v>0</v>
      </c>
      <c r="Q11" s="43">
        <f t="shared" si="0"/>
        <v>0</v>
      </c>
      <c r="R11" s="43">
        <f t="shared" si="0"/>
        <v>0</v>
      </c>
      <c r="S11" s="43">
        <f t="shared" si="0"/>
        <v>0</v>
      </c>
      <c r="T11" s="43">
        <f t="shared" si="0"/>
        <v>0</v>
      </c>
      <c r="U11" s="43">
        <f t="shared" si="0"/>
        <v>0</v>
      </c>
      <c r="V11" s="43">
        <f t="shared" si="0"/>
        <v>0</v>
      </c>
      <c r="X11" s="44" t="s">
        <v>88</v>
      </c>
      <c r="Y11" s="45">
        <v>0</v>
      </c>
      <c r="Z11" s="45">
        <v>0</v>
      </c>
      <c r="AA11" s="45">
        <v>0</v>
      </c>
      <c r="AB11" s="45">
        <v>2</v>
      </c>
      <c r="AC11" s="45">
        <v>0</v>
      </c>
      <c r="AD11" s="45">
        <v>0</v>
      </c>
    </row>
    <row r="12" spans="1:30" x14ac:dyDescent="0.3">
      <c r="A12" s="42">
        <v>46202</v>
      </c>
      <c r="B12" s="70">
        <f>IF($A12="","",SUMIFS(weekly_demand!$D:$D,weekly_demand!$A:$A,B$1,weekly_demand!$C:$C,$A12))</f>
        <v>0</v>
      </c>
      <c r="C12" s="70">
        <f>IF($A12="","",SUMIFS(weekly_demand!$D:$D,weekly_demand!$A:$A,C$1,weekly_demand!$C:$C,$A12))</f>
        <v>0</v>
      </c>
      <c r="D12" s="70">
        <f>IF($A12="","",SUMIFS(weekly_demand!$D:$D,weekly_demand!$A:$A,D$1,weekly_demand!$C:$C,$A12))</f>
        <v>0</v>
      </c>
      <c r="E12" s="70">
        <f>IF($A12="","",SUMIFS(weekly_demand!$D:$D,weekly_demand!$A:$A,E$1,weekly_demand!$C:$C,$A12))</f>
        <v>0</v>
      </c>
      <c r="F12" s="70">
        <f>IF($A12="","",SUMIFS(weekly_demand!$D:$D,weekly_demand!$A:$A,F$1,weekly_demand!$C:$C,$A12))</f>
        <v>0</v>
      </c>
      <c r="G12" s="70">
        <f>IF($A12="","",SUMIFS(weekly_demand!$D:$D,weekly_demand!$A:$A,G$1,weekly_demand!$C:$C,$A12))</f>
        <v>0</v>
      </c>
      <c r="H12" s="43">
        <f t="shared" ref="H12:V21" si="1">IF($A12="","",SUMPRODUCT($B12:$G12,INDEX($Y$2:$AD$16,MATCH(H$1,$X$2:$X$16,0),0)))</f>
        <v>0</v>
      </c>
      <c r="I12" s="43">
        <f t="shared" si="1"/>
        <v>0</v>
      </c>
      <c r="J12" s="43">
        <f t="shared" si="1"/>
        <v>0</v>
      </c>
      <c r="K12" s="43">
        <f t="shared" si="1"/>
        <v>0</v>
      </c>
      <c r="L12" s="43">
        <f t="shared" si="1"/>
        <v>0</v>
      </c>
      <c r="M12" s="43">
        <f t="shared" si="1"/>
        <v>0</v>
      </c>
      <c r="N12" s="43">
        <f t="shared" si="1"/>
        <v>0</v>
      </c>
      <c r="O12" s="43">
        <f t="shared" si="1"/>
        <v>0</v>
      </c>
      <c r="P12" s="43">
        <f t="shared" si="1"/>
        <v>0</v>
      </c>
      <c r="Q12" s="43">
        <f t="shared" si="1"/>
        <v>0</v>
      </c>
      <c r="R12" s="43">
        <f t="shared" si="1"/>
        <v>0</v>
      </c>
      <c r="S12" s="43">
        <f t="shared" si="1"/>
        <v>0</v>
      </c>
      <c r="T12" s="43">
        <f t="shared" si="1"/>
        <v>0</v>
      </c>
      <c r="U12" s="43">
        <f t="shared" si="1"/>
        <v>0</v>
      </c>
      <c r="V12" s="43">
        <f t="shared" si="1"/>
        <v>0</v>
      </c>
      <c r="X12" s="44" t="s">
        <v>89</v>
      </c>
      <c r="Y12" s="45">
        <v>0</v>
      </c>
      <c r="Z12" s="45">
        <v>0</v>
      </c>
      <c r="AA12" s="45">
        <v>0</v>
      </c>
      <c r="AB12" s="45">
        <v>1.5</v>
      </c>
      <c r="AC12" s="45">
        <v>0</v>
      </c>
      <c r="AD12" s="45">
        <v>0</v>
      </c>
    </row>
    <row r="13" spans="1:30" x14ac:dyDescent="0.3">
      <c r="A13" s="42">
        <v>46209</v>
      </c>
      <c r="B13" s="70">
        <f>IF($A13="","",SUMIFS(weekly_demand!$D:$D,weekly_demand!$A:$A,B$1,weekly_demand!$C:$C,$A13))</f>
        <v>0</v>
      </c>
      <c r="C13" s="70">
        <f>IF($A13="","",SUMIFS(weekly_demand!$D:$D,weekly_demand!$A:$A,C$1,weekly_demand!$C:$C,$A13))</f>
        <v>0</v>
      </c>
      <c r="D13" s="70">
        <f>IF($A13="","",SUMIFS(weekly_demand!$D:$D,weekly_demand!$A:$A,D$1,weekly_demand!$C:$C,$A13))</f>
        <v>0</v>
      </c>
      <c r="E13" s="70">
        <f>IF($A13="","",SUMIFS(weekly_demand!$D:$D,weekly_demand!$A:$A,E$1,weekly_demand!$C:$C,$A13))</f>
        <v>0</v>
      </c>
      <c r="F13" s="70">
        <f>IF($A13="","",SUMIFS(weekly_demand!$D:$D,weekly_demand!$A:$A,F$1,weekly_demand!$C:$C,$A13))</f>
        <v>0</v>
      </c>
      <c r="G13" s="70">
        <f>IF($A13="","",SUMIFS(weekly_demand!$D:$D,weekly_demand!$A:$A,G$1,weekly_demand!$C:$C,$A13))</f>
        <v>0</v>
      </c>
      <c r="H13" s="43">
        <f t="shared" si="1"/>
        <v>0</v>
      </c>
      <c r="I13" s="43">
        <f t="shared" si="1"/>
        <v>0</v>
      </c>
      <c r="J13" s="43">
        <f t="shared" si="1"/>
        <v>0</v>
      </c>
      <c r="K13" s="43">
        <f t="shared" si="1"/>
        <v>0</v>
      </c>
      <c r="L13" s="43">
        <f t="shared" si="1"/>
        <v>0</v>
      </c>
      <c r="M13" s="43">
        <f t="shared" si="1"/>
        <v>0</v>
      </c>
      <c r="N13" s="43">
        <f t="shared" si="1"/>
        <v>0</v>
      </c>
      <c r="O13" s="43">
        <f t="shared" si="1"/>
        <v>0</v>
      </c>
      <c r="P13" s="43">
        <f t="shared" si="1"/>
        <v>0</v>
      </c>
      <c r="Q13" s="43">
        <f t="shared" si="1"/>
        <v>0</v>
      </c>
      <c r="R13" s="43">
        <f t="shared" si="1"/>
        <v>0</v>
      </c>
      <c r="S13" s="43">
        <f t="shared" si="1"/>
        <v>0</v>
      </c>
      <c r="T13" s="43">
        <f t="shared" si="1"/>
        <v>0</v>
      </c>
      <c r="U13" s="43">
        <f t="shared" si="1"/>
        <v>0</v>
      </c>
      <c r="V13" s="43">
        <f t="shared" si="1"/>
        <v>0</v>
      </c>
      <c r="X13" s="44" t="s">
        <v>90</v>
      </c>
      <c r="Y13" s="45">
        <v>0</v>
      </c>
      <c r="Z13" s="45">
        <v>0</v>
      </c>
      <c r="AA13" s="45">
        <v>0</v>
      </c>
      <c r="AB13" s="45">
        <v>0</v>
      </c>
      <c r="AC13" s="45">
        <v>3</v>
      </c>
      <c r="AD13" s="45">
        <v>0</v>
      </c>
    </row>
    <row r="14" spans="1:30" x14ac:dyDescent="0.3">
      <c r="A14" s="42">
        <v>46216</v>
      </c>
      <c r="B14" s="70">
        <f>IF($A14="","",SUMIFS(weekly_demand!$D:$D,weekly_demand!$A:$A,B$1,weekly_demand!$C:$C,$A14))</f>
        <v>0</v>
      </c>
      <c r="C14" s="70">
        <f>IF($A14="","",SUMIFS(weekly_demand!$D:$D,weekly_demand!$A:$A,C$1,weekly_demand!$C:$C,$A14))</f>
        <v>0</v>
      </c>
      <c r="D14" s="70">
        <f>IF($A14="","",SUMIFS(weekly_demand!$D:$D,weekly_demand!$A:$A,D$1,weekly_demand!$C:$C,$A14))</f>
        <v>0</v>
      </c>
      <c r="E14" s="70">
        <f>IF($A14="","",SUMIFS(weekly_demand!$D:$D,weekly_demand!$A:$A,E$1,weekly_demand!$C:$C,$A14))</f>
        <v>0</v>
      </c>
      <c r="F14" s="70">
        <f>IF($A14="","",SUMIFS(weekly_demand!$D:$D,weekly_demand!$A:$A,F$1,weekly_demand!$C:$C,$A14))</f>
        <v>0</v>
      </c>
      <c r="G14" s="70">
        <f>IF($A14="","",SUMIFS(weekly_demand!$D:$D,weekly_demand!$A:$A,G$1,weekly_demand!$C:$C,$A14))</f>
        <v>0</v>
      </c>
      <c r="H14" s="43">
        <f t="shared" si="1"/>
        <v>0</v>
      </c>
      <c r="I14" s="43">
        <f t="shared" si="1"/>
        <v>0</v>
      </c>
      <c r="J14" s="43">
        <f t="shared" si="1"/>
        <v>0</v>
      </c>
      <c r="K14" s="43">
        <f t="shared" si="1"/>
        <v>0</v>
      </c>
      <c r="L14" s="43">
        <f t="shared" si="1"/>
        <v>0</v>
      </c>
      <c r="M14" s="43">
        <f t="shared" si="1"/>
        <v>0</v>
      </c>
      <c r="N14" s="43">
        <f t="shared" si="1"/>
        <v>0</v>
      </c>
      <c r="O14" s="43">
        <f t="shared" si="1"/>
        <v>0</v>
      </c>
      <c r="P14" s="43">
        <f t="shared" si="1"/>
        <v>0</v>
      </c>
      <c r="Q14" s="43">
        <f t="shared" si="1"/>
        <v>0</v>
      </c>
      <c r="R14" s="43">
        <f t="shared" si="1"/>
        <v>0</v>
      </c>
      <c r="S14" s="43">
        <f t="shared" si="1"/>
        <v>0</v>
      </c>
      <c r="T14" s="43">
        <f t="shared" si="1"/>
        <v>0</v>
      </c>
      <c r="U14" s="43">
        <f t="shared" si="1"/>
        <v>0</v>
      </c>
      <c r="V14" s="43">
        <f t="shared" si="1"/>
        <v>0</v>
      </c>
      <c r="X14" s="44" t="s">
        <v>91</v>
      </c>
      <c r="Y14" s="45">
        <v>0</v>
      </c>
      <c r="Z14" s="45">
        <v>0</v>
      </c>
      <c r="AA14" s="45">
        <v>0</v>
      </c>
      <c r="AB14" s="45">
        <v>0</v>
      </c>
      <c r="AC14" s="45">
        <v>4</v>
      </c>
      <c r="AD14" s="45">
        <v>0</v>
      </c>
    </row>
    <row r="15" spans="1:30" x14ac:dyDescent="0.3">
      <c r="A15" s="42">
        <v>46223</v>
      </c>
      <c r="B15" s="70">
        <f>IF($A15="","",SUMIFS(weekly_demand!$D:$D,weekly_demand!$A:$A,B$1,weekly_demand!$C:$C,$A15))</f>
        <v>0</v>
      </c>
      <c r="C15" s="70">
        <f>IF($A15="","",SUMIFS(weekly_demand!$D:$D,weekly_demand!$A:$A,C$1,weekly_demand!$C:$C,$A15))</f>
        <v>0</v>
      </c>
      <c r="D15" s="70">
        <f>IF($A15="","",SUMIFS(weekly_demand!$D:$D,weekly_demand!$A:$A,D$1,weekly_demand!$C:$C,$A15))</f>
        <v>0</v>
      </c>
      <c r="E15" s="70">
        <f>IF($A15="","",SUMIFS(weekly_demand!$D:$D,weekly_demand!$A:$A,E$1,weekly_demand!$C:$C,$A15))</f>
        <v>0</v>
      </c>
      <c r="F15" s="70">
        <f>IF($A15="","",SUMIFS(weekly_demand!$D:$D,weekly_demand!$A:$A,F$1,weekly_demand!$C:$C,$A15))</f>
        <v>0</v>
      </c>
      <c r="G15" s="70">
        <f>IF($A15="","",SUMIFS(weekly_demand!$D:$D,weekly_demand!$A:$A,G$1,weekly_demand!$C:$C,$A15))</f>
        <v>0</v>
      </c>
      <c r="H15" s="43">
        <f t="shared" si="1"/>
        <v>0</v>
      </c>
      <c r="I15" s="43">
        <f t="shared" si="1"/>
        <v>0</v>
      </c>
      <c r="J15" s="43">
        <f t="shared" si="1"/>
        <v>0</v>
      </c>
      <c r="K15" s="43">
        <f t="shared" si="1"/>
        <v>0</v>
      </c>
      <c r="L15" s="43">
        <f t="shared" si="1"/>
        <v>0</v>
      </c>
      <c r="M15" s="43">
        <f t="shared" si="1"/>
        <v>0</v>
      </c>
      <c r="N15" s="43">
        <f t="shared" si="1"/>
        <v>0</v>
      </c>
      <c r="O15" s="43">
        <f t="shared" si="1"/>
        <v>0</v>
      </c>
      <c r="P15" s="43">
        <f t="shared" si="1"/>
        <v>0</v>
      </c>
      <c r="Q15" s="43">
        <f t="shared" si="1"/>
        <v>0</v>
      </c>
      <c r="R15" s="43">
        <f t="shared" si="1"/>
        <v>0</v>
      </c>
      <c r="S15" s="43">
        <f t="shared" si="1"/>
        <v>0</v>
      </c>
      <c r="T15" s="43">
        <f t="shared" si="1"/>
        <v>0</v>
      </c>
      <c r="U15" s="43">
        <f t="shared" si="1"/>
        <v>0</v>
      </c>
      <c r="V15" s="43">
        <f t="shared" si="1"/>
        <v>0</v>
      </c>
      <c r="X15" s="44" t="s">
        <v>92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5</v>
      </c>
    </row>
    <row r="16" spans="1:30" x14ac:dyDescent="0.3">
      <c r="A16" s="42">
        <v>46230</v>
      </c>
      <c r="B16" s="70">
        <f>IF($A16="","",SUMIFS(weekly_demand!$D:$D,weekly_demand!$A:$A,B$1,weekly_demand!$C:$C,$A16))</f>
        <v>0</v>
      </c>
      <c r="C16" s="70">
        <f>IF($A16="","",SUMIFS(weekly_demand!$D:$D,weekly_demand!$A:$A,C$1,weekly_demand!$C:$C,$A16))</f>
        <v>0</v>
      </c>
      <c r="D16" s="70">
        <f>IF($A16="","",SUMIFS(weekly_demand!$D:$D,weekly_demand!$A:$A,D$1,weekly_demand!$C:$C,$A16))</f>
        <v>0</v>
      </c>
      <c r="E16" s="70">
        <f>IF($A16="","",SUMIFS(weekly_demand!$D:$D,weekly_demand!$A:$A,E$1,weekly_demand!$C:$C,$A16))</f>
        <v>0</v>
      </c>
      <c r="F16" s="70">
        <f>IF($A16="","",SUMIFS(weekly_demand!$D:$D,weekly_demand!$A:$A,F$1,weekly_demand!$C:$C,$A16))</f>
        <v>0</v>
      </c>
      <c r="G16" s="70">
        <f>IF($A16="","",SUMIFS(weekly_demand!$D:$D,weekly_demand!$A:$A,G$1,weekly_demand!$C:$C,$A16))</f>
        <v>0</v>
      </c>
      <c r="H16" s="43">
        <f t="shared" si="1"/>
        <v>0</v>
      </c>
      <c r="I16" s="43">
        <f t="shared" si="1"/>
        <v>0</v>
      </c>
      <c r="J16" s="43">
        <f t="shared" si="1"/>
        <v>0</v>
      </c>
      <c r="K16" s="43">
        <f t="shared" si="1"/>
        <v>0</v>
      </c>
      <c r="L16" s="43">
        <f t="shared" si="1"/>
        <v>0</v>
      </c>
      <c r="M16" s="43">
        <f t="shared" si="1"/>
        <v>0</v>
      </c>
      <c r="N16" s="43">
        <f t="shared" si="1"/>
        <v>0</v>
      </c>
      <c r="O16" s="43">
        <f t="shared" si="1"/>
        <v>0</v>
      </c>
      <c r="P16" s="43">
        <f t="shared" si="1"/>
        <v>0</v>
      </c>
      <c r="Q16" s="43">
        <f t="shared" si="1"/>
        <v>0</v>
      </c>
      <c r="R16" s="43">
        <f t="shared" si="1"/>
        <v>0</v>
      </c>
      <c r="S16" s="43">
        <f t="shared" si="1"/>
        <v>0</v>
      </c>
      <c r="T16" s="43">
        <f t="shared" si="1"/>
        <v>0</v>
      </c>
      <c r="U16" s="43">
        <f t="shared" si="1"/>
        <v>0</v>
      </c>
      <c r="V16" s="43">
        <f t="shared" si="1"/>
        <v>0</v>
      </c>
      <c r="X16" s="44" t="s">
        <v>93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2</v>
      </c>
    </row>
    <row r="17" spans="1:22" x14ac:dyDescent="0.3">
      <c r="A17" s="42">
        <v>46237</v>
      </c>
      <c r="B17" s="70">
        <f>IF($A17="","",SUMIFS(weekly_demand!$D:$D,weekly_demand!$A:$A,B$1,weekly_demand!$C:$C,$A17))</f>
        <v>0</v>
      </c>
      <c r="C17" s="70">
        <f>IF($A17="","",SUMIFS(weekly_demand!$D:$D,weekly_demand!$A:$A,C$1,weekly_demand!$C:$C,$A17))</f>
        <v>0</v>
      </c>
      <c r="D17" s="70">
        <f>IF($A17="","",SUMIFS(weekly_demand!$D:$D,weekly_demand!$A:$A,D$1,weekly_demand!$C:$C,$A17))</f>
        <v>0</v>
      </c>
      <c r="E17" s="70">
        <f>IF($A17="","",SUMIFS(weekly_demand!$D:$D,weekly_demand!$A:$A,E$1,weekly_demand!$C:$C,$A17))</f>
        <v>0</v>
      </c>
      <c r="F17" s="70">
        <f>IF($A17="","",SUMIFS(weekly_demand!$D:$D,weekly_demand!$A:$A,F$1,weekly_demand!$C:$C,$A17))</f>
        <v>0</v>
      </c>
      <c r="G17" s="70">
        <f>IF($A17="","",SUMIFS(weekly_demand!$D:$D,weekly_demand!$A:$A,G$1,weekly_demand!$C:$C,$A17))</f>
        <v>0</v>
      </c>
      <c r="H17" s="43">
        <f t="shared" si="1"/>
        <v>0</v>
      </c>
      <c r="I17" s="43">
        <f t="shared" si="1"/>
        <v>0</v>
      </c>
      <c r="J17" s="43">
        <f t="shared" si="1"/>
        <v>0</v>
      </c>
      <c r="K17" s="43">
        <f t="shared" si="1"/>
        <v>0</v>
      </c>
      <c r="L17" s="43">
        <f t="shared" si="1"/>
        <v>0</v>
      </c>
      <c r="M17" s="43">
        <f t="shared" si="1"/>
        <v>0</v>
      </c>
      <c r="N17" s="43">
        <f t="shared" si="1"/>
        <v>0</v>
      </c>
      <c r="O17" s="43">
        <f t="shared" si="1"/>
        <v>0</v>
      </c>
      <c r="P17" s="43">
        <f t="shared" si="1"/>
        <v>0</v>
      </c>
      <c r="Q17" s="43">
        <f t="shared" si="1"/>
        <v>0</v>
      </c>
      <c r="R17" s="43">
        <f t="shared" si="1"/>
        <v>0</v>
      </c>
      <c r="S17" s="43">
        <f t="shared" si="1"/>
        <v>0</v>
      </c>
      <c r="T17" s="43">
        <f t="shared" si="1"/>
        <v>0</v>
      </c>
      <c r="U17" s="43">
        <f t="shared" si="1"/>
        <v>0</v>
      </c>
      <c r="V17" s="43">
        <f t="shared" si="1"/>
        <v>0</v>
      </c>
    </row>
    <row r="18" spans="1:22" x14ac:dyDescent="0.3">
      <c r="A18" s="42">
        <v>46244</v>
      </c>
      <c r="B18" s="70">
        <f>IF($A18="","",SUMIFS(weekly_demand!$D:$D,weekly_demand!$A:$A,B$1,weekly_demand!$C:$C,$A18))</f>
        <v>0</v>
      </c>
      <c r="C18" s="70">
        <f>IF($A18="","",SUMIFS(weekly_demand!$D:$D,weekly_demand!$A:$A,C$1,weekly_demand!$C:$C,$A18))</f>
        <v>0</v>
      </c>
      <c r="D18" s="70">
        <f>IF($A18="","",SUMIFS(weekly_demand!$D:$D,weekly_demand!$A:$A,D$1,weekly_demand!$C:$C,$A18))</f>
        <v>0</v>
      </c>
      <c r="E18" s="70">
        <f>IF($A18="","",SUMIFS(weekly_demand!$D:$D,weekly_demand!$A:$A,E$1,weekly_demand!$C:$C,$A18))</f>
        <v>0</v>
      </c>
      <c r="F18" s="70">
        <f>IF($A18="","",SUMIFS(weekly_demand!$D:$D,weekly_demand!$A:$A,F$1,weekly_demand!$C:$C,$A18))</f>
        <v>0</v>
      </c>
      <c r="G18" s="70">
        <f>IF($A18="","",SUMIFS(weekly_demand!$D:$D,weekly_demand!$A:$A,G$1,weekly_demand!$C:$C,$A18))</f>
        <v>0</v>
      </c>
      <c r="H18" s="43">
        <f t="shared" si="1"/>
        <v>0</v>
      </c>
      <c r="I18" s="43">
        <f t="shared" si="1"/>
        <v>0</v>
      </c>
      <c r="J18" s="43">
        <f t="shared" si="1"/>
        <v>0</v>
      </c>
      <c r="K18" s="43">
        <f t="shared" si="1"/>
        <v>0</v>
      </c>
      <c r="L18" s="43">
        <f t="shared" si="1"/>
        <v>0</v>
      </c>
      <c r="M18" s="43">
        <f t="shared" si="1"/>
        <v>0</v>
      </c>
      <c r="N18" s="43">
        <f t="shared" si="1"/>
        <v>0</v>
      </c>
      <c r="O18" s="43">
        <f t="shared" si="1"/>
        <v>0</v>
      </c>
      <c r="P18" s="43">
        <f t="shared" si="1"/>
        <v>0</v>
      </c>
      <c r="Q18" s="43">
        <f t="shared" si="1"/>
        <v>0</v>
      </c>
      <c r="R18" s="43">
        <f t="shared" si="1"/>
        <v>0</v>
      </c>
      <c r="S18" s="43">
        <f t="shared" si="1"/>
        <v>0</v>
      </c>
      <c r="T18" s="43">
        <f t="shared" si="1"/>
        <v>0</v>
      </c>
      <c r="U18" s="43">
        <f t="shared" si="1"/>
        <v>0</v>
      </c>
      <c r="V18" s="43">
        <f t="shared" si="1"/>
        <v>0</v>
      </c>
    </row>
    <row r="19" spans="1:22" x14ac:dyDescent="0.3">
      <c r="A19" s="42">
        <v>46251</v>
      </c>
      <c r="B19" s="70">
        <f>IF($A19="","",SUMIFS(weekly_demand!$D:$D,weekly_demand!$A:$A,B$1,weekly_demand!$C:$C,$A19))</f>
        <v>0</v>
      </c>
      <c r="C19" s="70">
        <f>IF($A19="","",SUMIFS(weekly_demand!$D:$D,weekly_demand!$A:$A,C$1,weekly_demand!$C:$C,$A19))</f>
        <v>0</v>
      </c>
      <c r="D19" s="70">
        <f>IF($A19="","",SUMIFS(weekly_demand!$D:$D,weekly_demand!$A:$A,D$1,weekly_demand!$C:$C,$A19))</f>
        <v>0</v>
      </c>
      <c r="E19" s="70">
        <f>IF($A19="","",SUMIFS(weekly_demand!$D:$D,weekly_demand!$A:$A,E$1,weekly_demand!$C:$C,$A19))</f>
        <v>0</v>
      </c>
      <c r="F19" s="70">
        <f>IF($A19="","",SUMIFS(weekly_demand!$D:$D,weekly_demand!$A:$A,F$1,weekly_demand!$C:$C,$A19))</f>
        <v>0</v>
      </c>
      <c r="G19" s="70">
        <f>IF($A19="","",SUMIFS(weekly_demand!$D:$D,weekly_demand!$A:$A,G$1,weekly_demand!$C:$C,$A19))</f>
        <v>0</v>
      </c>
      <c r="H19" s="43">
        <f t="shared" si="1"/>
        <v>0</v>
      </c>
      <c r="I19" s="43">
        <f t="shared" si="1"/>
        <v>0</v>
      </c>
      <c r="J19" s="43">
        <f t="shared" si="1"/>
        <v>0</v>
      </c>
      <c r="K19" s="43">
        <f t="shared" si="1"/>
        <v>0</v>
      </c>
      <c r="L19" s="43">
        <f t="shared" si="1"/>
        <v>0</v>
      </c>
      <c r="M19" s="43">
        <f t="shared" si="1"/>
        <v>0</v>
      </c>
      <c r="N19" s="43">
        <f t="shared" si="1"/>
        <v>0</v>
      </c>
      <c r="O19" s="43">
        <f t="shared" si="1"/>
        <v>0</v>
      </c>
      <c r="P19" s="43">
        <f t="shared" si="1"/>
        <v>0</v>
      </c>
      <c r="Q19" s="43">
        <f t="shared" si="1"/>
        <v>0</v>
      </c>
      <c r="R19" s="43">
        <f t="shared" si="1"/>
        <v>0</v>
      </c>
      <c r="S19" s="43">
        <f t="shared" si="1"/>
        <v>0</v>
      </c>
      <c r="T19" s="43">
        <f t="shared" si="1"/>
        <v>0</v>
      </c>
      <c r="U19" s="43">
        <f t="shared" si="1"/>
        <v>0</v>
      </c>
      <c r="V19" s="43">
        <f t="shared" si="1"/>
        <v>0</v>
      </c>
    </row>
    <row r="20" spans="1:22" x14ac:dyDescent="0.3">
      <c r="A20" s="42">
        <v>46258</v>
      </c>
      <c r="B20" s="70">
        <f>IF($A20="","",SUMIFS(weekly_demand!$D:$D,weekly_demand!$A:$A,B$1,weekly_demand!$C:$C,$A20))</f>
        <v>0</v>
      </c>
      <c r="C20" s="70">
        <f>IF($A20="","",SUMIFS(weekly_demand!$D:$D,weekly_demand!$A:$A,C$1,weekly_demand!$C:$C,$A20))</f>
        <v>0</v>
      </c>
      <c r="D20" s="70">
        <f>IF($A20="","",SUMIFS(weekly_demand!$D:$D,weekly_demand!$A:$A,D$1,weekly_demand!$C:$C,$A20))</f>
        <v>0</v>
      </c>
      <c r="E20" s="70">
        <f>IF($A20="","",SUMIFS(weekly_demand!$D:$D,weekly_demand!$A:$A,E$1,weekly_demand!$C:$C,$A20))</f>
        <v>0</v>
      </c>
      <c r="F20" s="70">
        <f>IF($A20="","",SUMIFS(weekly_demand!$D:$D,weekly_demand!$A:$A,F$1,weekly_demand!$C:$C,$A20))</f>
        <v>0</v>
      </c>
      <c r="G20" s="70">
        <f>IF($A20="","",SUMIFS(weekly_demand!$D:$D,weekly_demand!$A:$A,G$1,weekly_demand!$C:$C,$A20))</f>
        <v>0</v>
      </c>
      <c r="H20" s="43">
        <f t="shared" si="1"/>
        <v>0</v>
      </c>
      <c r="I20" s="43">
        <f t="shared" si="1"/>
        <v>0</v>
      </c>
      <c r="J20" s="43">
        <f t="shared" si="1"/>
        <v>0</v>
      </c>
      <c r="K20" s="43">
        <f t="shared" si="1"/>
        <v>0</v>
      </c>
      <c r="L20" s="43">
        <f t="shared" si="1"/>
        <v>0</v>
      </c>
      <c r="M20" s="43">
        <f t="shared" si="1"/>
        <v>0</v>
      </c>
      <c r="N20" s="43">
        <f t="shared" si="1"/>
        <v>0</v>
      </c>
      <c r="O20" s="43">
        <f t="shared" si="1"/>
        <v>0</v>
      </c>
      <c r="P20" s="43">
        <f t="shared" si="1"/>
        <v>0</v>
      </c>
      <c r="Q20" s="43">
        <f t="shared" si="1"/>
        <v>0</v>
      </c>
      <c r="R20" s="43">
        <f t="shared" si="1"/>
        <v>0</v>
      </c>
      <c r="S20" s="43">
        <f t="shared" si="1"/>
        <v>0</v>
      </c>
      <c r="T20" s="43">
        <f t="shared" si="1"/>
        <v>0</v>
      </c>
      <c r="U20" s="43">
        <f t="shared" si="1"/>
        <v>0</v>
      </c>
      <c r="V20" s="43">
        <f t="shared" si="1"/>
        <v>0</v>
      </c>
    </row>
    <row r="21" spans="1:22" x14ac:dyDescent="0.3">
      <c r="A21" s="42">
        <v>46265</v>
      </c>
      <c r="B21" s="70">
        <f>IF($A21="","",SUMIFS(weekly_demand!$D:$D,weekly_demand!$A:$A,B$1,weekly_demand!$C:$C,$A21))</f>
        <v>0</v>
      </c>
      <c r="C21" s="70">
        <f>IF($A21="","",SUMIFS(weekly_demand!$D:$D,weekly_demand!$A:$A,C$1,weekly_demand!$C:$C,$A21))</f>
        <v>0</v>
      </c>
      <c r="D21" s="70">
        <f>IF($A21="","",SUMIFS(weekly_demand!$D:$D,weekly_demand!$A:$A,D$1,weekly_demand!$C:$C,$A21))</f>
        <v>0</v>
      </c>
      <c r="E21" s="70">
        <f>IF($A21="","",SUMIFS(weekly_demand!$D:$D,weekly_demand!$A:$A,E$1,weekly_demand!$C:$C,$A21))</f>
        <v>0</v>
      </c>
      <c r="F21" s="70">
        <f>IF($A21="","",SUMIFS(weekly_demand!$D:$D,weekly_demand!$A:$A,F$1,weekly_demand!$C:$C,$A21))</f>
        <v>0</v>
      </c>
      <c r="G21" s="70">
        <f>IF($A21="","",SUMIFS(weekly_demand!$D:$D,weekly_demand!$A:$A,G$1,weekly_demand!$C:$C,$A21))</f>
        <v>0</v>
      </c>
      <c r="H21" s="43">
        <f t="shared" si="1"/>
        <v>0</v>
      </c>
      <c r="I21" s="43">
        <f t="shared" si="1"/>
        <v>0</v>
      </c>
      <c r="J21" s="43">
        <f t="shared" si="1"/>
        <v>0</v>
      </c>
      <c r="K21" s="43">
        <f t="shared" si="1"/>
        <v>0</v>
      </c>
      <c r="L21" s="43">
        <f t="shared" si="1"/>
        <v>0</v>
      </c>
      <c r="M21" s="43">
        <f t="shared" si="1"/>
        <v>0</v>
      </c>
      <c r="N21" s="43">
        <f t="shared" si="1"/>
        <v>0</v>
      </c>
      <c r="O21" s="43">
        <f t="shared" si="1"/>
        <v>0</v>
      </c>
      <c r="P21" s="43">
        <f t="shared" si="1"/>
        <v>0</v>
      </c>
      <c r="Q21" s="43">
        <f t="shared" si="1"/>
        <v>0</v>
      </c>
      <c r="R21" s="43">
        <f t="shared" si="1"/>
        <v>0</v>
      </c>
      <c r="S21" s="43">
        <f t="shared" si="1"/>
        <v>0</v>
      </c>
      <c r="T21" s="43">
        <f t="shared" si="1"/>
        <v>0</v>
      </c>
      <c r="U21" s="43">
        <f t="shared" si="1"/>
        <v>0</v>
      </c>
      <c r="V21" s="43">
        <f t="shared" si="1"/>
        <v>0</v>
      </c>
    </row>
    <row r="22" spans="1:22" x14ac:dyDescent="0.3">
      <c r="A22" s="42">
        <v>46272</v>
      </c>
      <c r="B22" s="70">
        <f>IF($A22="","",SUMIFS(weekly_demand!$D:$D,weekly_demand!$A:$A,B$1,weekly_demand!$C:$C,$A22))</f>
        <v>0</v>
      </c>
      <c r="C22" s="70">
        <f>IF($A22="","",SUMIFS(weekly_demand!$D:$D,weekly_demand!$A:$A,C$1,weekly_demand!$C:$C,$A22))</f>
        <v>0</v>
      </c>
      <c r="D22" s="70">
        <f>IF($A22="","",SUMIFS(weekly_demand!$D:$D,weekly_demand!$A:$A,D$1,weekly_demand!$C:$C,$A22))</f>
        <v>0</v>
      </c>
      <c r="E22" s="70">
        <f>IF($A22="","",SUMIFS(weekly_demand!$D:$D,weekly_demand!$A:$A,E$1,weekly_demand!$C:$C,$A22))</f>
        <v>0</v>
      </c>
      <c r="F22" s="70">
        <f>IF($A22="","",SUMIFS(weekly_demand!$D:$D,weekly_demand!$A:$A,F$1,weekly_demand!$C:$C,$A22))</f>
        <v>0</v>
      </c>
      <c r="G22" s="70">
        <f>IF($A22="","",SUMIFS(weekly_demand!$D:$D,weekly_demand!$A:$A,G$1,weekly_demand!$C:$C,$A22))</f>
        <v>0</v>
      </c>
      <c r="H22" s="43">
        <f t="shared" ref="H22:V31" si="2">IF($A22="","",SUMPRODUCT($B22:$G22,INDEX($Y$2:$AD$16,MATCH(H$1,$X$2:$X$16,0),0)))</f>
        <v>0</v>
      </c>
      <c r="I22" s="43">
        <f t="shared" si="2"/>
        <v>0</v>
      </c>
      <c r="J22" s="43">
        <f t="shared" si="2"/>
        <v>0</v>
      </c>
      <c r="K22" s="43">
        <f t="shared" si="2"/>
        <v>0</v>
      </c>
      <c r="L22" s="43">
        <f t="shared" si="2"/>
        <v>0</v>
      </c>
      <c r="M22" s="43">
        <f t="shared" si="2"/>
        <v>0</v>
      </c>
      <c r="N22" s="43">
        <f t="shared" si="2"/>
        <v>0</v>
      </c>
      <c r="O22" s="43">
        <f t="shared" si="2"/>
        <v>0</v>
      </c>
      <c r="P22" s="43">
        <f t="shared" si="2"/>
        <v>0</v>
      </c>
      <c r="Q22" s="43">
        <f t="shared" si="2"/>
        <v>0</v>
      </c>
      <c r="R22" s="43">
        <f t="shared" si="2"/>
        <v>0</v>
      </c>
      <c r="S22" s="43">
        <f t="shared" si="2"/>
        <v>0</v>
      </c>
      <c r="T22" s="43">
        <f t="shared" si="2"/>
        <v>0</v>
      </c>
      <c r="U22" s="43">
        <f t="shared" si="2"/>
        <v>0</v>
      </c>
      <c r="V22" s="43">
        <f t="shared" si="2"/>
        <v>0</v>
      </c>
    </row>
    <row r="23" spans="1:22" x14ac:dyDescent="0.3">
      <c r="A23" s="42">
        <v>46279</v>
      </c>
      <c r="B23" s="70">
        <f>IF($A23="","",SUMIFS(weekly_demand!$D:$D,weekly_demand!$A:$A,B$1,weekly_demand!$C:$C,$A23))</f>
        <v>0</v>
      </c>
      <c r="C23" s="70">
        <f>IF($A23="","",SUMIFS(weekly_demand!$D:$D,weekly_demand!$A:$A,C$1,weekly_demand!$C:$C,$A23))</f>
        <v>0</v>
      </c>
      <c r="D23" s="70">
        <f>IF($A23="","",SUMIFS(weekly_demand!$D:$D,weekly_demand!$A:$A,D$1,weekly_demand!$C:$C,$A23))</f>
        <v>0</v>
      </c>
      <c r="E23" s="70">
        <f>IF($A23="","",SUMIFS(weekly_demand!$D:$D,weekly_demand!$A:$A,E$1,weekly_demand!$C:$C,$A23))</f>
        <v>0</v>
      </c>
      <c r="F23" s="70">
        <f>IF($A23="","",SUMIFS(weekly_demand!$D:$D,weekly_demand!$A:$A,F$1,weekly_demand!$C:$C,$A23))</f>
        <v>0</v>
      </c>
      <c r="G23" s="70">
        <f>IF($A23="","",SUMIFS(weekly_demand!$D:$D,weekly_demand!$A:$A,G$1,weekly_demand!$C:$C,$A23))</f>
        <v>0</v>
      </c>
      <c r="H23" s="43">
        <f t="shared" si="2"/>
        <v>0</v>
      </c>
      <c r="I23" s="43">
        <f t="shared" si="2"/>
        <v>0</v>
      </c>
      <c r="J23" s="43">
        <f t="shared" si="2"/>
        <v>0</v>
      </c>
      <c r="K23" s="43">
        <f t="shared" si="2"/>
        <v>0</v>
      </c>
      <c r="L23" s="43">
        <f t="shared" si="2"/>
        <v>0</v>
      </c>
      <c r="M23" s="43">
        <f t="shared" si="2"/>
        <v>0</v>
      </c>
      <c r="N23" s="43">
        <f t="shared" si="2"/>
        <v>0</v>
      </c>
      <c r="O23" s="43">
        <f t="shared" si="2"/>
        <v>0</v>
      </c>
      <c r="P23" s="43">
        <f t="shared" si="2"/>
        <v>0</v>
      </c>
      <c r="Q23" s="43">
        <f t="shared" si="2"/>
        <v>0</v>
      </c>
      <c r="R23" s="43">
        <f t="shared" si="2"/>
        <v>0</v>
      </c>
      <c r="S23" s="43">
        <f t="shared" si="2"/>
        <v>0</v>
      </c>
      <c r="T23" s="43">
        <f t="shared" si="2"/>
        <v>0</v>
      </c>
      <c r="U23" s="43">
        <f t="shared" si="2"/>
        <v>0</v>
      </c>
      <c r="V23" s="43">
        <f t="shared" si="2"/>
        <v>0</v>
      </c>
    </row>
    <row r="24" spans="1:22" x14ac:dyDescent="0.3">
      <c r="A24" s="42">
        <v>46286</v>
      </c>
      <c r="B24" s="70">
        <f>IF($A24="","",SUMIFS(weekly_demand!$D:$D,weekly_demand!$A:$A,B$1,weekly_demand!$C:$C,$A24))</f>
        <v>0</v>
      </c>
      <c r="C24" s="70">
        <f>IF($A24="","",SUMIFS(weekly_demand!$D:$D,weekly_demand!$A:$A,C$1,weekly_demand!$C:$C,$A24))</f>
        <v>0</v>
      </c>
      <c r="D24" s="70">
        <f>IF($A24="","",SUMIFS(weekly_demand!$D:$D,weekly_demand!$A:$A,D$1,weekly_demand!$C:$C,$A24))</f>
        <v>0</v>
      </c>
      <c r="E24" s="70">
        <f>IF($A24="","",SUMIFS(weekly_demand!$D:$D,weekly_demand!$A:$A,E$1,weekly_demand!$C:$C,$A24))</f>
        <v>0</v>
      </c>
      <c r="F24" s="70">
        <f>IF($A24="","",SUMIFS(weekly_demand!$D:$D,weekly_demand!$A:$A,F$1,weekly_demand!$C:$C,$A24))</f>
        <v>0</v>
      </c>
      <c r="G24" s="70">
        <f>IF($A24="","",SUMIFS(weekly_demand!$D:$D,weekly_demand!$A:$A,G$1,weekly_demand!$C:$C,$A24))</f>
        <v>0</v>
      </c>
      <c r="H24" s="43">
        <f t="shared" si="2"/>
        <v>0</v>
      </c>
      <c r="I24" s="43">
        <f t="shared" si="2"/>
        <v>0</v>
      </c>
      <c r="J24" s="43">
        <f t="shared" si="2"/>
        <v>0</v>
      </c>
      <c r="K24" s="43">
        <f t="shared" si="2"/>
        <v>0</v>
      </c>
      <c r="L24" s="43">
        <f t="shared" si="2"/>
        <v>0</v>
      </c>
      <c r="M24" s="43">
        <f t="shared" si="2"/>
        <v>0</v>
      </c>
      <c r="N24" s="43">
        <f t="shared" si="2"/>
        <v>0</v>
      </c>
      <c r="O24" s="43">
        <f t="shared" si="2"/>
        <v>0</v>
      </c>
      <c r="P24" s="43">
        <f t="shared" si="2"/>
        <v>0</v>
      </c>
      <c r="Q24" s="43">
        <f t="shared" si="2"/>
        <v>0</v>
      </c>
      <c r="R24" s="43">
        <f t="shared" si="2"/>
        <v>0</v>
      </c>
      <c r="S24" s="43">
        <f t="shared" si="2"/>
        <v>0</v>
      </c>
      <c r="T24" s="43">
        <f t="shared" si="2"/>
        <v>0</v>
      </c>
      <c r="U24" s="43">
        <f t="shared" si="2"/>
        <v>0</v>
      </c>
      <c r="V24" s="43">
        <f t="shared" si="2"/>
        <v>0</v>
      </c>
    </row>
    <row r="25" spans="1:22" x14ac:dyDescent="0.3">
      <c r="A25" s="42">
        <v>46293</v>
      </c>
      <c r="B25" s="70">
        <f>IF($A25="","",SUMIFS(weekly_demand!$D:$D,weekly_demand!$A:$A,B$1,weekly_demand!$C:$C,$A25))</f>
        <v>0</v>
      </c>
      <c r="C25" s="70">
        <f>IF($A25="","",SUMIFS(weekly_demand!$D:$D,weekly_demand!$A:$A,C$1,weekly_demand!$C:$C,$A25))</f>
        <v>0</v>
      </c>
      <c r="D25" s="70">
        <f>IF($A25="","",SUMIFS(weekly_demand!$D:$D,weekly_demand!$A:$A,D$1,weekly_demand!$C:$C,$A25))</f>
        <v>0</v>
      </c>
      <c r="E25" s="70">
        <f>IF($A25="","",SUMIFS(weekly_demand!$D:$D,weekly_demand!$A:$A,E$1,weekly_demand!$C:$C,$A25))</f>
        <v>0</v>
      </c>
      <c r="F25" s="70">
        <f>IF($A25="","",SUMIFS(weekly_demand!$D:$D,weekly_demand!$A:$A,F$1,weekly_demand!$C:$C,$A25))</f>
        <v>0</v>
      </c>
      <c r="G25" s="70">
        <f>IF($A25="","",SUMIFS(weekly_demand!$D:$D,weekly_demand!$A:$A,G$1,weekly_demand!$C:$C,$A25))</f>
        <v>0</v>
      </c>
      <c r="H25" s="43">
        <f t="shared" si="2"/>
        <v>0</v>
      </c>
      <c r="I25" s="43">
        <f t="shared" si="2"/>
        <v>0</v>
      </c>
      <c r="J25" s="43">
        <f t="shared" si="2"/>
        <v>0</v>
      </c>
      <c r="K25" s="43">
        <f t="shared" si="2"/>
        <v>0</v>
      </c>
      <c r="L25" s="43">
        <f t="shared" si="2"/>
        <v>0</v>
      </c>
      <c r="M25" s="43">
        <f t="shared" si="2"/>
        <v>0</v>
      </c>
      <c r="N25" s="43">
        <f t="shared" si="2"/>
        <v>0</v>
      </c>
      <c r="O25" s="43">
        <f t="shared" si="2"/>
        <v>0</v>
      </c>
      <c r="P25" s="43">
        <f t="shared" si="2"/>
        <v>0</v>
      </c>
      <c r="Q25" s="43">
        <f t="shared" si="2"/>
        <v>0</v>
      </c>
      <c r="R25" s="43">
        <f t="shared" si="2"/>
        <v>0</v>
      </c>
      <c r="S25" s="43">
        <f t="shared" si="2"/>
        <v>0</v>
      </c>
      <c r="T25" s="43">
        <f t="shared" si="2"/>
        <v>0</v>
      </c>
      <c r="U25" s="43">
        <f t="shared" si="2"/>
        <v>0</v>
      </c>
      <c r="V25" s="43">
        <f t="shared" si="2"/>
        <v>0</v>
      </c>
    </row>
    <row r="26" spans="1:22" x14ac:dyDescent="0.3">
      <c r="A26" s="42">
        <v>46300</v>
      </c>
      <c r="B26" s="70">
        <f>IF($A26="","",SUMIFS(weekly_demand!$D:$D,weekly_demand!$A:$A,B$1,weekly_demand!$C:$C,$A26))</f>
        <v>0</v>
      </c>
      <c r="C26" s="70">
        <f>IF($A26="","",SUMIFS(weekly_demand!$D:$D,weekly_demand!$A:$A,C$1,weekly_demand!$C:$C,$A26))</f>
        <v>0</v>
      </c>
      <c r="D26" s="70">
        <f>IF($A26="","",SUMIFS(weekly_demand!$D:$D,weekly_demand!$A:$A,D$1,weekly_demand!$C:$C,$A26))</f>
        <v>0</v>
      </c>
      <c r="E26" s="70">
        <f>IF($A26="","",SUMIFS(weekly_demand!$D:$D,weekly_demand!$A:$A,E$1,weekly_demand!$C:$C,$A26))</f>
        <v>0</v>
      </c>
      <c r="F26" s="70">
        <f>IF($A26="","",SUMIFS(weekly_demand!$D:$D,weekly_demand!$A:$A,F$1,weekly_demand!$C:$C,$A26))</f>
        <v>0</v>
      </c>
      <c r="G26" s="70">
        <f>IF($A26="","",SUMIFS(weekly_demand!$D:$D,weekly_demand!$A:$A,G$1,weekly_demand!$C:$C,$A26))</f>
        <v>0</v>
      </c>
      <c r="H26" s="43">
        <f t="shared" si="2"/>
        <v>0</v>
      </c>
      <c r="I26" s="43">
        <f t="shared" si="2"/>
        <v>0</v>
      </c>
      <c r="J26" s="43">
        <f t="shared" si="2"/>
        <v>0</v>
      </c>
      <c r="K26" s="43">
        <f t="shared" si="2"/>
        <v>0</v>
      </c>
      <c r="L26" s="43">
        <f t="shared" si="2"/>
        <v>0</v>
      </c>
      <c r="M26" s="43">
        <f t="shared" si="2"/>
        <v>0</v>
      </c>
      <c r="N26" s="43">
        <f t="shared" si="2"/>
        <v>0</v>
      </c>
      <c r="O26" s="43">
        <f t="shared" si="2"/>
        <v>0</v>
      </c>
      <c r="P26" s="43">
        <f t="shared" si="2"/>
        <v>0</v>
      </c>
      <c r="Q26" s="43">
        <f t="shared" si="2"/>
        <v>0</v>
      </c>
      <c r="R26" s="43">
        <f t="shared" si="2"/>
        <v>0</v>
      </c>
      <c r="S26" s="43">
        <f t="shared" si="2"/>
        <v>0</v>
      </c>
      <c r="T26" s="43">
        <f t="shared" si="2"/>
        <v>0</v>
      </c>
      <c r="U26" s="43">
        <f t="shared" si="2"/>
        <v>0</v>
      </c>
      <c r="V26" s="43">
        <f t="shared" si="2"/>
        <v>0</v>
      </c>
    </row>
    <row r="27" spans="1:22" x14ac:dyDescent="0.3">
      <c r="A27" s="42">
        <v>46307</v>
      </c>
      <c r="B27" s="70">
        <f>IF($A27="","",SUMIFS(weekly_demand!$D:$D,weekly_demand!$A:$A,B$1,weekly_demand!$C:$C,$A27))</f>
        <v>0</v>
      </c>
      <c r="C27" s="70">
        <f>IF($A27="","",SUMIFS(weekly_demand!$D:$D,weekly_demand!$A:$A,C$1,weekly_demand!$C:$C,$A27))</f>
        <v>0</v>
      </c>
      <c r="D27" s="70">
        <f>IF($A27="","",SUMIFS(weekly_demand!$D:$D,weekly_demand!$A:$A,D$1,weekly_demand!$C:$C,$A27))</f>
        <v>0</v>
      </c>
      <c r="E27" s="70">
        <f>IF($A27="","",SUMIFS(weekly_demand!$D:$D,weekly_demand!$A:$A,E$1,weekly_demand!$C:$C,$A27))</f>
        <v>0</v>
      </c>
      <c r="F27" s="70">
        <f>IF($A27="","",SUMIFS(weekly_demand!$D:$D,weekly_demand!$A:$A,F$1,weekly_demand!$C:$C,$A27))</f>
        <v>0</v>
      </c>
      <c r="G27" s="70">
        <f>IF($A27="","",SUMIFS(weekly_demand!$D:$D,weekly_demand!$A:$A,G$1,weekly_demand!$C:$C,$A27))</f>
        <v>0</v>
      </c>
      <c r="H27" s="43">
        <f t="shared" si="2"/>
        <v>0</v>
      </c>
      <c r="I27" s="43">
        <f t="shared" si="2"/>
        <v>0</v>
      </c>
      <c r="J27" s="43">
        <f t="shared" si="2"/>
        <v>0</v>
      </c>
      <c r="K27" s="43">
        <f t="shared" si="2"/>
        <v>0</v>
      </c>
      <c r="L27" s="43">
        <f t="shared" si="2"/>
        <v>0</v>
      </c>
      <c r="M27" s="43">
        <f t="shared" si="2"/>
        <v>0</v>
      </c>
      <c r="N27" s="43">
        <f t="shared" si="2"/>
        <v>0</v>
      </c>
      <c r="O27" s="43">
        <f t="shared" si="2"/>
        <v>0</v>
      </c>
      <c r="P27" s="43">
        <f t="shared" si="2"/>
        <v>0</v>
      </c>
      <c r="Q27" s="43">
        <f t="shared" si="2"/>
        <v>0</v>
      </c>
      <c r="R27" s="43">
        <f t="shared" si="2"/>
        <v>0</v>
      </c>
      <c r="S27" s="43">
        <f t="shared" si="2"/>
        <v>0</v>
      </c>
      <c r="T27" s="43">
        <f t="shared" si="2"/>
        <v>0</v>
      </c>
      <c r="U27" s="43">
        <f t="shared" si="2"/>
        <v>0</v>
      </c>
      <c r="V27" s="43">
        <f t="shared" si="2"/>
        <v>0</v>
      </c>
    </row>
    <row r="28" spans="1:22" x14ac:dyDescent="0.3">
      <c r="A28" s="42">
        <v>46314</v>
      </c>
      <c r="B28" s="70">
        <f>IF($A28="","",SUMIFS(weekly_demand!$D:$D,weekly_demand!$A:$A,B$1,weekly_demand!$C:$C,$A28))</f>
        <v>0</v>
      </c>
      <c r="C28" s="70">
        <f>IF($A28="","",SUMIFS(weekly_demand!$D:$D,weekly_demand!$A:$A,C$1,weekly_demand!$C:$C,$A28))</f>
        <v>0</v>
      </c>
      <c r="D28" s="70">
        <f>IF($A28="","",SUMIFS(weekly_demand!$D:$D,weekly_demand!$A:$A,D$1,weekly_demand!$C:$C,$A28))</f>
        <v>0</v>
      </c>
      <c r="E28" s="70">
        <f>IF($A28="","",SUMIFS(weekly_demand!$D:$D,weekly_demand!$A:$A,E$1,weekly_demand!$C:$C,$A28))</f>
        <v>0</v>
      </c>
      <c r="F28" s="70">
        <f>IF($A28="","",SUMIFS(weekly_demand!$D:$D,weekly_demand!$A:$A,F$1,weekly_demand!$C:$C,$A28))</f>
        <v>0</v>
      </c>
      <c r="G28" s="70">
        <f>IF($A28="","",SUMIFS(weekly_demand!$D:$D,weekly_demand!$A:$A,G$1,weekly_demand!$C:$C,$A28))</f>
        <v>0</v>
      </c>
      <c r="H28" s="43">
        <f t="shared" si="2"/>
        <v>0</v>
      </c>
      <c r="I28" s="43">
        <f t="shared" si="2"/>
        <v>0</v>
      </c>
      <c r="J28" s="43">
        <f t="shared" si="2"/>
        <v>0</v>
      </c>
      <c r="K28" s="43">
        <f t="shared" si="2"/>
        <v>0</v>
      </c>
      <c r="L28" s="43">
        <f t="shared" si="2"/>
        <v>0</v>
      </c>
      <c r="M28" s="43">
        <f t="shared" si="2"/>
        <v>0</v>
      </c>
      <c r="N28" s="43">
        <f t="shared" si="2"/>
        <v>0</v>
      </c>
      <c r="O28" s="43">
        <f t="shared" si="2"/>
        <v>0</v>
      </c>
      <c r="P28" s="43">
        <f t="shared" si="2"/>
        <v>0</v>
      </c>
      <c r="Q28" s="43">
        <f t="shared" si="2"/>
        <v>0</v>
      </c>
      <c r="R28" s="43">
        <f t="shared" si="2"/>
        <v>0</v>
      </c>
      <c r="S28" s="43">
        <f t="shared" si="2"/>
        <v>0</v>
      </c>
      <c r="T28" s="43">
        <f t="shared" si="2"/>
        <v>0</v>
      </c>
      <c r="U28" s="43">
        <f t="shared" si="2"/>
        <v>0</v>
      </c>
      <c r="V28" s="43">
        <f t="shared" si="2"/>
        <v>0</v>
      </c>
    </row>
    <row r="29" spans="1:22" x14ac:dyDescent="0.3">
      <c r="A29" s="42">
        <v>46321</v>
      </c>
      <c r="B29" s="70">
        <f>IF($A29="","",SUMIFS(weekly_demand!$D:$D,weekly_demand!$A:$A,B$1,weekly_demand!$C:$C,$A29))</f>
        <v>0</v>
      </c>
      <c r="C29" s="70">
        <f>IF($A29="","",SUMIFS(weekly_demand!$D:$D,weekly_demand!$A:$A,C$1,weekly_demand!$C:$C,$A29))</f>
        <v>0</v>
      </c>
      <c r="D29" s="70">
        <f>IF($A29="","",SUMIFS(weekly_demand!$D:$D,weekly_demand!$A:$A,D$1,weekly_demand!$C:$C,$A29))</f>
        <v>0</v>
      </c>
      <c r="E29" s="70">
        <f>IF($A29="","",SUMIFS(weekly_demand!$D:$D,weekly_demand!$A:$A,E$1,weekly_demand!$C:$C,$A29))</f>
        <v>0</v>
      </c>
      <c r="F29" s="70">
        <f>IF($A29="","",SUMIFS(weekly_demand!$D:$D,weekly_demand!$A:$A,F$1,weekly_demand!$C:$C,$A29))</f>
        <v>0</v>
      </c>
      <c r="G29" s="70">
        <f>IF($A29="","",SUMIFS(weekly_demand!$D:$D,weekly_demand!$A:$A,G$1,weekly_demand!$C:$C,$A29))</f>
        <v>0</v>
      </c>
      <c r="H29" s="43">
        <f t="shared" si="2"/>
        <v>0</v>
      </c>
      <c r="I29" s="43">
        <f t="shared" si="2"/>
        <v>0</v>
      </c>
      <c r="J29" s="43">
        <f t="shared" si="2"/>
        <v>0</v>
      </c>
      <c r="K29" s="43">
        <f t="shared" si="2"/>
        <v>0</v>
      </c>
      <c r="L29" s="43">
        <f t="shared" si="2"/>
        <v>0</v>
      </c>
      <c r="M29" s="43">
        <f t="shared" si="2"/>
        <v>0</v>
      </c>
      <c r="N29" s="43">
        <f t="shared" si="2"/>
        <v>0</v>
      </c>
      <c r="O29" s="43">
        <f t="shared" si="2"/>
        <v>0</v>
      </c>
      <c r="P29" s="43">
        <f t="shared" si="2"/>
        <v>0</v>
      </c>
      <c r="Q29" s="43">
        <f t="shared" si="2"/>
        <v>0</v>
      </c>
      <c r="R29" s="43">
        <f t="shared" si="2"/>
        <v>0</v>
      </c>
      <c r="S29" s="43">
        <f t="shared" si="2"/>
        <v>0</v>
      </c>
      <c r="T29" s="43">
        <f t="shared" si="2"/>
        <v>0</v>
      </c>
      <c r="U29" s="43">
        <f t="shared" si="2"/>
        <v>0</v>
      </c>
      <c r="V29" s="43">
        <f t="shared" si="2"/>
        <v>0</v>
      </c>
    </row>
    <row r="30" spans="1:22" x14ac:dyDescent="0.3">
      <c r="A30" s="42">
        <v>46328</v>
      </c>
      <c r="B30" s="70">
        <f>IF($A30="","",SUMIFS(weekly_demand!$D:$D,weekly_demand!$A:$A,B$1,weekly_demand!$C:$C,$A30))</f>
        <v>0</v>
      </c>
      <c r="C30" s="70">
        <f>IF($A30="","",SUMIFS(weekly_demand!$D:$D,weekly_demand!$A:$A,C$1,weekly_demand!$C:$C,$A30))</f>
        <v>0</v>
      </c>
      <c r="D30" s="70">
        <f>IF($A30="","",SUMIFS(weekly_demand!$D:$D,weekly_demand!$A:$A,D$1,weekly_demand!$C:$C,$A30))</f>
        <v>0</v>
      </c>
      <c r="E30" s="70">
        <f>IF($A30="","",SUMIFS(weekly_demand!$D:$D,weekly_demand!$A:$A,E$1,weekly_demand!$C:$C,$A30))</f>
        <v>0</v>
      </c>
      <c r="F30" s="70">
        <f>IF($A30="","",SUMIFS(weekly_demand!$D:$D,weekly_demand!$A:$A,F$1,weekly_demand!$C:$C,$A30))</f>
        <v>0</v>
      </c>
      <c r="G30" s="70">
        <f>IF($A30="","",SUMIFS(weekly_demand!$D:$D,weekly_demand!$A:$A,G$1,weekly_demand!$C:$C,$A30))</f>
        <v>0</v>
      </c>
      <c r="H30" s="43">
        <f t="shared" si="2"/>
        <v>0</v>
      </c>
      <c r="I30" s="43">
        <f t="shared" si="2"/>
        <v>0</v>
      </c>
      <c r="J30" s="43">
        <f t="shared" si="2"/>
        <v>0</v>
      </c>
      <c r="K30" s="43">
        <f t="shared" si="2"/>
        <v>0</v>
      </c>
      <c r="L30" s="43">
        <f t="shared" si="2"/>
        <v>0</v>
      </c>
      <c r="M30" s="43">
        <f t="shared" si="2"/>
        <v>0</v>
      </c>
      <c r="N30" s="43">
        <f t="shared" si="2"/>
        <v>0</v>
      </c>
      <c r="O30" s="43">
        <f t="shared" si="2"/>
        <v>0</v>
      </c>
      <c r="P30" s="43">
        <f t="shared" si="2"/>
        <v>0</v>
      </c>
      <c r="Q30" s="43">
        <f t="shared" si="2"/>
        <v>0</v>
      </c>
      <c r="R30" s="43">
        <f t="shared" si="2"/>
        <v>0</v>
      </c>
      <c r="S30" s="43">
        <f t="shared" si="2"/>
        <v>0</v>
      </c>
      <c r="T30" s="43">
        <f t="shared" si="2"/>
        <v>0</v>
      </c>
      <c r="U30" s="43">
        <f t="shared" si="2"/>
        <v>0</v>
      </c>
      <c r="V30" s="43">
        <f t="shared" si="2"/>
        <v>0</v>
      </c>
    </row>
    <row r="31" spans="1:22" x14ac:dyDescent="0.3">
      <c r="A31" s="42">
        <v>46335</v>
      </c>
      <c r="B31" s="70">
        <f>IF($A31="","",SUMIFS(weekly_demand!$D:$D,weekly_demand!$A:$A,B$1,weekly_demand!$C:$C,$A31))</f>
        <v>0</v>
      </c>
      <c r="C31" s="70">
        <f>IF($A31="","",SUMIFS(weekly_demand!$D:$D,weekly_demand!$A:$A,C$1,weekly_demand!$C:$C,$A31))</f>
        <v>0</v>
      </c>
      <c r="D31" s="70">
        <f>IF($A31="","",SUMIFS(weekly_demand!$D:$D,weekly_demand!$A:$A,D$1,weekly_demand!$C:$C,$A31))</f>
        <v>0</v>
      </c>
      <c r="E31" s="70">
        <f>IF($A31="","",SUMIFS(weekly_demand!$D:$D,weekly_demand!$A:$A,E$1,weekly_demand!$C:$C,$A31))</f>
        <v>0</v>
      </c>
      <c r="F31" s="70">
        <f>IF($A31="","",SUMIFS(weekly_demand!$D:$D,weekly_demand!$A:$A,F$1,weekly_demand!$C:$C,$A31))</f>
        <v>0</v>
      </c>
      <c r="G31" s="70">
        <f>IF($A31="","",SUMIFS(weekly_demand!$D:$D,weekly_demand!$A:$A,G$1,weekly_demand!$C:$C,$A31))</f>
        <v>0</v>
      </c>
      <c r="H31" s="43">
        <f t="shared" si="2"/>
        <v>0</v>
      </c>
      <c r="I31" s="43">
        <f t="shared" si="2"/>
        <v>0</v>
      </c>
      <c r="J31" s="43">
        <f t="shared" si="2"/>
        <v>0</v>
      </c>
      <c r="K31" s="43">
        <f t="shared" si="2"/>
        <v>0</v>
      </c>
      <c r="L31" s="43">
        <f t="shared" si="2"/>
        <v>0</v>
      </c>
      <c r="M31" s="43">
        <f t="shared" si="2"/>
        <v>0</v>
      </c>
      <c r="N31" s="43">
        <f t="shared" si="2"/>
        <v>0</v>
      </c>
      <c r="O31" s="43">
        <f t="shared" si="2"/>
        <v>0</v>
      </c>
      <c r="P31" s="43">
        <f t="shared" si="2"/>
        <v>0</v>
      </c>
      <c r="Q31" s="43">
        <f t="shared" si="2"/>
        <v>0</v>
      </c>
      <c r="R31" s="43">
        <f t="shared" si="2"/>
        <v>0</v>
      </c>
      <c r="S31" s="43">
        <f t="shared" si="2"/>
        <v>0</v>
      </c>
      <c r="T31" s="43">
        <f t="shared" si="2"/>
        <v>0</v>
      </c>
      <c r="U31" s="43">
        <f t="shared" si="2"/>
        <v>0</v>
      </c>
      <c r="V31" s="43">
        <f t="shared" si="2"/>
        <v>0</v>
      </c>
    </row>
    <row r="32" spans="1:22" x14ac:dyDescent="0.3">
      <c r="A32" s="42">
        <v>46342</v>
      </c>
      <c r="B32" s="70">
        <f>IF($A32="","",SUMIFS(weekly_demand!$D:$D,weekly_demand!$A:$A,B$1,weekly_demand!$C:$C,$A32))</f>
        <v>0</v>
      </c>
      <c r="C32" s="70">
        <f>IF($A32="","",SUMIFS(weekly_demand!$D:$D,weekly_demand!$A:$A,C$1,weekly_demand!$C:$C,$A32))</f>
        <v>0</v>
      </c>
      <c r="D32" s="70">
        <f>IF($A32="","",SUMIFS(weekly_demand!$D:$D,weekly_demand!$A:$A,D$1,weekly_demand!$C:$C,$A32))</f>
        <v>0</v>
      </c>
      <c r="E32" s="70">
        <f>IF($A32="","",SUMIFS(weekly_demand!$D:$D,weekly_demand!$A:$A,E$1,weekly_demand!$C:$C,$A32))</f>
        <v>0</v>
      </c>
      <c r="F32" s="70">
        <f>IF($A32="","",SUMIFS(weekly_demand!$D:$D,weekly_demand!$A:$A,F$1,weekly_demand!$C:$C,$A32))</f>
        <v>0</v>
      </c>
      <c r="G32" s="70">
        <f>IF($A32="","",SUMIFS(weekly_demand!$D:$D,weekly_demand!$A:$A,G$1,weekly_demand!$C:$C,$A32))</f>
        <v>0</v>
      </c>
      <c r="H32" s="43">
        <f t="shared" ref="H32:V41" si="3">IF($A32="","",SUMPRODUCT($B32:$G32,INDEX($Y$2:$AD$16,MATCH(H$1,$X$2:$X$16,0),0)))</f>
        <v>0</v>
      </c>
      <c r="I32" s="43">
        <f t="shared" si="3"/>
        <v>0</v>
      </c>
      <c r="J32" s="43">
        <f t="shared" si="3"/>
        <v>0</v>
      </c>
      <c r="K32" s="43">
        <f t="shared" si="3"/>
        <v>0</v>
      </c>
      <c r="L32" s="43">
        <f t="shared" si="3"/>
        <v>0</v>
      </c>
      <c r="M32" s="43">
        <f t="shared" si="3"/>
        <v>0</v>
      </c>
      <c r="N32" s="43">
        <f t="shared" si="3"/>
        <v>0</v>
      </c>
      <c r="O32" s="43">
        <f t="shared" si="3"/>
        <v>0</v>
      </c>
      <c r="P32" s="43">
        <f t="shared" si="3"/>
        <v>0</v>
      </c>
      <c r="Q32" s="43">
        <f t="shared" si="3"/>
        <v>0</v>
      </c>
      <c r="R32" s="43">
        <f t="shared" si="3"/>
        <v>0</v>
      </c>
      <c r="S32" s="43">
        <f t="shared" si="3"/>
        <v>0</v>
      </c>
      <c r="T32" s="43">
        <f t="shared" si="3"/>
        <v>0</v>
      </c>
      <c r="U32" s="43">
        <f t="shared" si="3"/>
        <v>0</v>
      </c>
      <c r="V32" s="43">
        <f t="shared" si="3"/>
        <v>0</v>
      </c>
    </row>
    <row r="33" spans="1:22" x14ac:dyDescent="0.3">
      <c r="A33" s="42">
        <v>46349</v>
      </c>
      <c r="B33" s="70">
        <f>IF($A33="","",SUMIFS(weekly_demand!$D:$D,weekly_demand!$A:$A,B$1,weekly_demand!$C:$C,$A33))</f>
        <v>0</v>
      </c>
      <c r="C33" s="70">
        <f>IF($A33="","",SUMIFS(weekly_demand!$D:$D,weekly_demand!$A:$A,C$1,weekly_demand!$C:$C,$A33))</f>
        <v>0</v>
      </c>
      <c r="D33" s="70">
        <f>IF($A33="","",SUMIFS(weekly_demand!$D:$D,weekly_demand!$A:$A,D$1,weekly_demand!$C:$C,$A33))</f>
        <v>0</v>
      </c>
      <c r="E33" s="70">
        <f>IF($A33="","",SUMIFS(weekly_demand!$D:$D,weekly_demand!$A:$A,E$1,weekly_demand!$C:$C,$A33))</f>
        <v>0</v>
      </c>
      <c r="F33" s="70">
        <f>IF($A33="","",SUMIFS(weekly_demand!$D:$D,weekly_demand!$A:$A,F$1,weekly_demand!$C:$C,$A33))</f>
        <v>0</v>
      </c>
      <c r="G33" s="70">
        <f>IF($A33="","",SUMIFS(weekly_demand!$D:$D,weekly_demand!$A:$A,G$1,weekly_demand!$C:$C,$A33))</f>
        <v>0</v>
      </c>
      <c r="H33" s="43">
        <f t="shared" si="3"/>
        <v>0</v>
      </c>
      <c r="I33" s="43">
        <f t="shared" si="3"/>
        <v>0</v>
      </c>
      <c r="J33" s="43">
        <f t="shared" si="3"/>
        <v>0</v>
      </c>
      <c r="K33" s="43">
        <f t="shared" si="3"/>
        <v>0</v>
      </c>
      <c r="L33" s="43">
        <f t="shared" si="3"/>
        <v>0</v>
      </c>
      <c r="M33" s="43">
        <f t="shared" si="3"/>
        <v>0</v>
      </c>
      <c r="N33" s="43">
        <f t="shared" si="3"/>
        <v>0</v>
      </c>
      <c r="O33" s="43">
        <f t="shared" si="3"/>
        <v>0</v>
      </c>
      <c r="P33" s="43">
        <f t="shared" si="3"/>
        <v>0</v>
      </c>
      <c r="Q33" s="43">
        <f t="shared" si="3"/>
        <v>0</v>
      </c>
      <c r="R33" s="43">
        <f t="shared" si="3"/>
        <v>0</v>
      </c>
      <c r="S33" s="43">
        <f t="shared" si="3"/>
        <v>0</v>
      </c>
      <c r="T33" s="43">
        <f t="shared" si="3"/>
        <v>0</v>
      </c>
      <c r="U33" s="43">
        <f t="shared" si="3"/>
        <v>0</v>
      </c>
      <c r="V33" s="43">
        <f t="shared" si="3"/>
        <v>0</v>
      </c>
    </row>
    <row r="34" spans="1:22" x14ac:dyDescent="0.3">
      <c r="A34" s="42">
        <v>46356</v>
      </c>
      <c r="B34" s="70">
        <f>IF($A34="","",SUMIFS(weekly_demand!$D:$D,weekly_demand!$A:$A,B$1,weekly_demand!$C:$C,$A34))</f>
        <v>0</v>
      </c>
      <c r="C34" s="70">
        <f>IF($A34="","",SUMIFS(weekly_demand!$D:$D,weekly_demand!$A:$A,C$1,weekly_demand!$C:$C,$A34))</f>
        <v>0</v>
      </c>
      <c r="D34" s="70">
        <f>IF($A34="","",SUMIFS(weekly_demand!$D:$D,weekly_demand!$A:$A,D$1,weekly_demand!$C:$C,$A34))</f>
        <v>0</v>
      </c>
      <c r="E34" s="70">
        <f>IF($A34="","",SUMIFS(weekly_demand!$D:$D,weekly_demand!$A:$A,E$1,weekly_demand!$C:$C,$A34))</f>
        <v>0</v>
      </c>
      <c r="F34" s="70">
        <f>IF($A34="","",SUMIFS(weekly_demand!$D:$D,weekly_demand!$A:$A,F$1,weekly_demand!$C:$C,$A34))</f>
        <v>0</v>
      </c>
      <c r="G34" s="70">
        <f>IF($A34="","",SUMIFS(weekly_demand!$D:$D,weekly_demand!$A:$A,G$1,weekly_demand!$C:$C,$A34))</f>
        <v>0</v>
      </c>
      <c r="H34" s="43">
        <f t="shared" si="3"/>
        <v>0</v>
      </c>
      <c r="I34" s="43">
        <f t="shared" si="3"/>
        <v>0</v>
      </c>
      <c r="J34" s="43">
        <f t="shared" si="3"/>
        <v>0</v>
      </c>
      <c r="K34" s="43">
        <f t="shared" si="3"/>
        <v>0</v>
      </c>
      <c r="L34" s="43">
        <f t="shared" si="3"/>
        <v>0</v>
      </c>
      <c r="M34" s="43">
        <f t="shared" si="3"/>
        <v>0</v>
      </c>
      <c r="N34" s="43">
        <f t="shared" si="3"/>
        <v>0</v>
      </c>
      <c r="O34" s="43">
        <f t="shared" si="3"/>
        <v>0</v>
      </c>
      <c r="P34" s="43">
        <f t="shared" si="3"/>
        <v>0</v>
      </c>
      <c r="Q34" s="43">
        <f t="shared" si="3"/>
        <v>0</v>
      </c>
      <c r="R34" s="43">
        <f t="shared" si="3"/>
        <v>0</v>
      </c>
      <c r="S34" s="43">
        <f t="shared" si="3"/>
        <v>0</v>
      </c>
      <c r="T34" s="43">
        <f t="shared" si="3"/>
        <v>0</v>
      </c>
      <c r="U34" s="43">
        <f t="shared" si="3"/>
        <v>0</v>
      </c>
      <c r="V34" s="43">
        <f t="shared" si="3"/>
        <v>0</v>
      </c>
    </row>
    <row r="35" spans="1:22" x14ac:dyDescent="0.3">
      <c r="A35" s="42">
        <v>46363</v>
      </c>
      <c r="B35" s="70">
        <f>IF($A35="","",SUMIFS(weekly_demand!$D:$D,weekly_demand!$A:$A,B$1,weekly_demand!$C:$C,$A35))</f>
        <v>0</v>
      </c>
      <c r="C35" s="70">
        <f>IF($A35="","",SUMIFS(weekly_demand!$D:$D,weekly_demand!$A:$A,C$1,weekly_demand!$C:$C,$A35))</f>
        <v>0</v>
      </c>
      <c r="D35" s="70">
        <f>IF($A35="","",SUMIFS(weekly_demand!$D:$D,weekly_demand!$A:$A,D$1,weekly_demand!$C:$C,$A35))</f>
        <v>0</v>
      </c>
      <c r="E35" s="70">
        <f>IF($A35="","",SUMIFS(weekly_demand!$D:$D,weekly_demand!$A:$A,E$1,weekly_demand!$C:$C,$A35))</f>
        <v>0</v>
      </c>
      <c r="F35" s="70">
        <f>IF($A35="","",SUMIFS(weekly_demand!$D:$D,weekly_demand!$A:$A,F$1,weekly_demand!$C:$C,$A35))</f>
        <v>0</v>
      </c>
      <c r="G35" s="70">
        <f>IF($A35="","",SUMIFS(weekly_demand!$D:$D,weekly_demand!$A:$A,G$1,weekly_demand!$C:$C,$A35))</f>
        <v>0</v>
      </c>
      <c r="H35" s="43">
        <f t="shared" si="3"/>
        <v>0</v>
      </c>
      <c r="I35" s="43">
        <f t="shared" si="3"/>
        <v>0</v>
      </c>
      <c r="J35" s="43">
        <f t="shared" si="3"/>
        <v>0</v>
      </c>
      <c r="K35" s="43">
        <f t="shared" si="3"/>
        <v>0</v>
      </c>
      <c r="L35" s="43">
        <f t="shared" si="3"/>
        <v>0</v>
      </c>
      <c r="M35" s="43">
        <f t="shared" si="3"/>
        <v>0</v>
      </c>
      <c r="N35" s="43">
        <f t="shared" si="3"/>
        <v>0</v>
      </c>
      <c r="O35" s="43">
        <f t="shared" si="3"/>
        <v>0</v>
      </c>
      <c r="P35" s="43">
        <f t="shared" si="3"/>
        <v>0</v>
      </c>
      <c r="Q35" s="43">
        <f t="shared" si="3"/>
        <v>0</v>
      </c>
      <c r="R35" s="43">
        <f t="shared" si="3"/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 t="shared" si="3"/>
        <v>0</v>
      </c>
    </row>
    <row r="36" spans="1:22" x14ac:dyDescent="0.3">
      <c r="A36" s="42">
        <v>46370</v>
      </c>
      <c r="B36" s="70">
        <f>IF($A36="","",SUMIFS(weekly_demand!$D:$D,weekly_demand!$A:$A,B$1,weekly_demand!$C:$C,$A36))</f>
        <v>0</v>
      </c>
      <c r="C36" s="70">
        <f>IF($A36="","",SUMIFS(weekly_demand!$D:$D,weekly_demand!$A:$A,C$1,weekly_demand!$C:$C,$A36))</f>
        <v>0</v>
      </c>
      <c r="D36" s="70">
        <f>IF($A36="","",SUMIFS(weekly_demand!$D:$D,weekly_demand!$A:$A,D$1,weekly_demand!$C:$C,$A36))</f>
        <v>0</v>
      </c>
      <c r="E36" s="70">
        <f>IF($A36="","",SUMIFS(weekly_demand!$D:$D,weekly_demand!$A:$A,E$1,weekly_demand!$C:$C,$A36))</f>
        <v>0</v>
      </c>
      <c r="F36" s="70">
        <f>IF($A36="","",SUMIFS(weekly_demand!$D:$D,weekly_demand!$A:$A,F$1,weekly_demand!$C:$C,$A36))</f>
        <v>0</v>
      </c>
      <c r="G36" s="70">
        <f>IF($A36="","",SUMIFS(weekly_demand!$D:$D,weekly_demand!$A:$A,G$1,weekly_demand!$C:$C,$A36))</f>
        <v>0</v>
      </c>
      <c r="H36" s="43">
        <f t="shared" si="3"/>
        <v>0</v>
      </c>
      <c r="I36" s="43">
        <f t="shared" si="3"/>
        <v>0</v>
      </c>
      <c r="J36" s="43">
        <f t="shared" si="3"/>
        <v>0</v>
      </c>
      <c r="K36" s="43">
        <f t="shared" si="3"/>
        <v>0</v>
      </c>
      <c r="L36" s="43">
        <f t="shared" si="3"/>
        <v>0</v>
      </c>
      <c r="M36" s="43">
        <f t="shared" si="3"/>
        <v>0</v>
      </c>
      <c r="N36" s="43">
        <f t="shared" si="3"/>
        <v>0</v>
      </c>
      <c r="O36" s="43">
        <f t="shared" si="3"/>
        <v>0</v>
      </c>
      <c r="P36" s="43">
        <f t="shared" si="3"/>
        <v>0</v>
      </c>
      <c r="Q36" s="43">
        <f t="shared" si="3"/>
        <v>0</v>
      </c>
      <c r="R36" s="43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 t="shared" si="3"/>
        <v>0</v>
      </c>
    </row>
    <row r="37" spans="1:22" x14ac:dyDescent="0.3">
      <c r="A37" s="42"/>
      <c r="B37" s="43" t="str">
        <f>IF($A37="","",SUMIFS([2]weekly_demand!$D:$D,[2]weekly_demand!$A:$A,B$1,[2]weekly_demand!$C:$C,$A37))</f>
        <v/>
      </c>
      <c r="C37" s="43" t="str">
        <f>IF($A37="","",SUMIFS([2]weekly_demand!$D:$D,[2]weekly_demand!$A:$A,C$1,[2]weekly_demand!$C:$C,$A37))</f>
        <v/>
      </c>
      <c r="D37" s="43" t="str">
        <f>IF($A37="","",SUMIFS([2]weekly_demand!$D:$D,[2]weekly_demand!$A:$A,D$1,[2]weekly_demand!$C:$C,$A37))</f>
        <v/>
      </c>
      <c r="E37" s="43" t="str">
        <f>IF($A37="","",SUMIFS([2]weekly_demand!$D:$D,[2]weekly_demand!$A:$A,E$1,[2]weekly_demand!$C:$C,$A37))</f>
        <v/>
      </c>
      <c r="F37" s="43" t="str">
        <f>IF($A37="","",SUMIFS([2]weekly_demand!$D:$D,[2]weekly_demand!$A:$A,F$1,[2]weekly_demand!$C:$C,$A37))</f>
        <v/>
      </c>
      <c r="G37" s="43" t="str">
        <f>IF($A37="","",SUMIFS([2]weekly_demand!$D:$D,[2]weekly_demand!$A:$A,G$1,[2]weekly_demand!$C:$C,$A37))</f>
        <v/>
      </c>
      <c r="H37" s="43" t="str">
        <f t="shared" si="3"/>
        <v/>
      </c>
      <c r="I37" s="43" t="str">
        <f t="shared" si="3"/>
        <v/>
      </c>
      <c r="J37" s="43" t="str">
        <f t="shared" si="3"/>
        <v/>
      </c>
      <c r="K37" s="43" t="str">
        <f t="shared" si="3"/>
        <v/>
      </c>
      <c r="L37" s="43" t="str">
        <f t="shared" si="3"/>
        <v/>
      </c>
      <c r="M37" s="43" t="str">
        <f t="shared" si="3"/>
        <v/>
      </c>
      <c r="N37" s="43" t="str">
        <f t="shared" si="3"/>
        <v/>
      </c>
      <c r="O37" s="43" t="str">
        <f t="shared" si="3"/>
        <v/>
      </c>
      <c r="P37" s="43" t="str">
        <f t="shared" si="3"/>
        <v/>
      </c>
      <c r="Q37" s="43" t="str">
        <f t="shared" si="3"/>
        <v/>
      </c>
      <c r="R37" s="43" t="str">
        <f t="shared" si="3"/>
        <v/>
      </c>
      <c r="S37" s="43" t="str">
        <f t="shared" si="3"/>
        <v/>
      </c>
      <c r="T37" s="43" t="str">
        <f t="shared" si="3"/>
        <v/>
      </c>
      <c r="U37" s="43" t="str">
        <f t="shared" si="3"/>
        <v/>
      </c>
      <c r="V37" s="43" t="str">
        <f t="shared" si="3"/>
        <v/>
      </c>
    </row>
    <row r="38" spans="1:22" x14ac:dyDescent="0.3">
      <c r="A38" s="42"/>
      <c r="B38" s="43" t="str">
        <f>IF($A38="","",SUMIFS([2]weekly_demand!$D:$D,[2]weekly_demand!$A:$A,B$1,[2]weekly_demand!$C:$C,$A38))</f>
        <v/>
      </c>
      <c r="C38" s="43" t="str">
        <f>IF($A38="","",SUMIFS([2]weekly_demand!$D:$D,[2]weekly_demand!$A:$A,C$1,[2]weekly_demand!$C:$C,$A38))</f>
        <v/>
      </c>
      <c r="D38" s="43" t="str">
        <f>IF($A38="","",SUMIFS([2]weekly_demand!$D:$D,[2]weekly_demand!$A:$A,D$1,[2]weekly_demand!$C:$C,$A38))</f>
        <v/>
      </c>
      <c r="E38" s="43" t="str">
        <f>IF($A38="","",SUMIFS([2]weekly_demand!$D:$D,[2]weekly_demand!$A:$A,E$1,[2]weekly_demand!$C:$C,$A38))</f>
        <v/>
      </c>
      <c r="F38" s="43" t="str">
        <f>IF($A38="","",SUMIFS([2]weekly_demand!$D:$D,[2]weekly_demand!$A:$A,F$1,[2]weekly_demand!$C:$C,$A38))</f>
        <v/>
      </c>
      <c r="G38" s="43" t="str">
        <f>IF($A38="","",SUMIFS([2]weekly_demand!$D:$D,[2]weekly_demand!$A:$A,G$1,[2]weekly_demand!$C:$C,$A38))</f>
        <v/>
      </c>
      <c r="H38" s="43" t="str">
        <f t="shared" si="3"/>
        <v/>
      </c>
      <c r="I38" s="43" t="str">
        <f t="shared" si="3"/>
        <v/>
      </c>
      <c r="J38" s="43" t="str">
        <f t="shared" si="3"/>
        <v/>
      </c>
      <c r="K38" s="43" t="str">
        <f t="shared" si="3"/>
        <v/>
      </c>
      <c r="L38" s="43" t="str">
        <f t="shared" si="3"/>
        <v/>
      </c>
      <c r="M38" s="43" t="str">
        <f t="shared" si="3"/>
        <v/>
      </c>
      <c r="N38" s="43" t="str">
        <f t="shared" si="3"/>
        <v/>
      </c>
      <c r="O38" s="43" t="str">
        <f t="shared" si="3"/>
        <v/>
      </c>
      <c r="P38" s="43" t="str">
        <f t="shared" si="3"/>
        <v/>
      </c>
      <c r="Q38" s="43" t="str">
        <f t="shared" si="3"/>
        <v/>
      </c>
      <c r="R38" s="43" t="str">
        <f t="shared" si="3"/>
        <v/>
      </c>
      <c r="S38" s="43" t="str">
        <f t="shared" si="3"/>
        <v/>
      </c>
      <c r="T38" s="43" t="str">
        <f t="shared" si="3"/>
        <v/>
      </c>
      <c r="U38" s="43" t="str">
        <f t="shared" si="3"/>
        <v/>
      </c>
      <c r="V38" s="43" t="str">
        <f t="shared" si="3"/>
        <v/>
      </c>
    </row>
    <row r="39" spans="1:22" x14ac:dyDescent="0.3">
      <c r="A39" s="42"/>
      <c r="B39" s="43" t="str">
        <f>IF($A39="","",SUMIFS([2]weekly_demand!$D:$D,[2]weekly_demand!$A:$A,B$1,[2]weekly_demand!$C:$C,$A39))</f>
        <v/>
      </c>
      <c r="C39" s="43" t="str">
        <f>IF($A39="","",SUMIFS([2]weekly_demand!$D:$D,[2]weekly_demand!$A:$A,C$1,[2]weekly_demand!$C:$C,$A39))</f>
        <v/>
      </c>
      <c r="D39" s="43" t="str">
        <f>IF($A39="","",SUMIFS([2]weekly_demand!$D:$D,[2]weekly_demand!$A:$A,D$1,[2]weekly_demand!$C:$C,$A39))</f>
        <v/>
      </c>
      <c r="E39" s="43" t="str">
        <f>IF($A39="","",SUMIFS([2]weekly_demand!$D:$D,[2]weekly_demand!$A:$A,E$1,[2]weekly_demand!$C:$C,$A39))</f>
        <v/>
      </c>
      <c r="F39" s="43" t="str">
        <f>IF($A39="","",SUMIFS([2]weekly_demand!$D:$D,[2]weekly_demand!$A:$A,F$1,[2]weekly_demand!$C:$C,$A39))</f>
        <v/>
      </c>
      <c r="G39" s="43" t="str">
        <f>IF($A39="","",SUMIFS([2]weekly_demand!$D:$D,[2]weekly_demand!$A:$A,G$1,[2]weekly_demand!$C:$C,$A39))</f>
        <v/>
      </c>
      <c r="H39" s="43" t="str">
        <f t="shared" si="3"/>
        <v/>
      </c>
      <c r="I39" s="43" t="str">
        <f t="shared" si="3"/>
        <v/>
      </c>
      <c r="J39" s="43" t="str">
        <f t="shared" si="3"/>
        <v/>
      </c>
      <c r="K39" s="43" t="str">
        <f t="shared" si="3"/>
        <v/>
      </c>
      <c r="L39" s="43" t="str">
        <f t="shared" si="3"/>
        <v/>
      </c>
      <c r="M39" s="43" t="str">
        <f t="shared" si="3"/>
        <v/>
      </c>
      <c r="N39" s="43" t="str">
        <f t="shared" si="3"/>
        <v/>
      </c>
      <c r="O39" s="43" t="str">
        <f t="shared" si="3"/>
        <v/>
      </c>
      <c r="P39" s="43" t="str">
        <f t="shared" si="3"/>
        <v/>
      </c>
      <c r="Q39" s="43" t="str">
        <f t="shared" si="3"/>
        <v/>
      </c>
      <c r="R39" s="43" t="str">
        <f t="shared" si="3"/>
        <v/>
      </c>
      <c r="S39" s="43" t="str">
        <f t="shared" si="3"/>
        <v/>
      </c>
      <c r="T39" s="43" t="str">
        <f t="shared" si="3"/>
        <v/>
      </c>
      <c r="U39" s="43" t="str">
        <f t="shared" si="3"/>
        <v/>
      </c>
      <c r="V39" s="43" t="str">
        <f t="shared" si="3"/>
        <v/>
      </c>
    </row>
    <row r="40" spans="1:22" x14ac:dyDescent="0.3">
      <c r="A40" s="42"/>
      <c r="B40" s="43" t="str">
        <f>IF($A40="","",SUMIFS([2]weekly_demand!$D:$D,[2]weekly_demand!$A:$A,B$1,[2]weekly_demand!$C:$C,$A40))</f>
        <v/>
      </c>
      <c r="C40" s="43" t="str">
        <f>IF($A40="","",SUMIFS([2]weekly_demand!$D:$D,[2]weekly_demand!$A:$A,C$1,[2]weekly_demand!$C:$C,$A40))</f>
        <v/>
      </c>
      <c r="D40" s="43" t="str">
        <f>IF($A40="","",SUMIFS([2]weekly_demand!$D:$D,[2]weekly_demand!$A:$A,D$1,[2]weekly_demand!$C:$C,$A40))</f>
        <v/>
      </c>
      <c r="E40" s="43" t="str">
        <f>IF($A40="","",SUMIFS([2]weekly_demand!$D:$D,[2]weekly_demand!$A:$A,E$1,[2]weekly_demand!$C:$C,$A40))</f>
        <v/>
      </c>
      <c r="F40" s="43" t="str">
        <f>IF($A40="","",SUMIFS([2]weekly_demand!$D:$D,[2]weekly_demand!$A:$A,F$1,[2]weekly_demand!$C:$C,$A40))</f>
        <v/>
      </c>
      <c r="G40" s="43" t="str">
        <f>IF($A40="","",SUMIFS([2]weekly_demand!$D:$D,[2]weekly_demand!$A:$A,G$1,[2]weekly_demand!$C:$C,$A40))</f>
        <v/>
      </c>
      <c r="H40" s="43" t="str">
        <f t="shared" si="3"/>
        <v/>
      </c>
      <c r="I40" s="43" t="str">
        <f t="shared" si="3"/>
        <v/>
      </c>
      <c r="J40" s="43" t="str">
        <f t="shared" si="3"/>
        <v/>
      </c>
      <c r="K40" s="43" t="str">
        <f t="shared" si="3"/>
        <v/>
      </c>
      <c r="L40" s="43" t="str">
        <f t="shared" si="3"/>
        <v/>
      </c>
      <c r="M40" s="43" t="str">
        <f t="shared" si="3"/>
        <v/>
      </c>
      <c r="N40" s="43" t="str">
        <f t="shared" si="3"/>
        <v/>
      </c>
      <c r="O40" s="43" t="str">
        <f t="shared" si="3"/>
        <v/>
      </c>
      <c r="P40" s="43" t="str">
        <f t="shared" si="3"/>
        <v/>
      </c>
      <c r="Q40" s="43" t="str">
        <f t="shared" si="3"/>
        <v/>
      </c>
      <c r="R40" s="43" t="str">
        <f t="shared" si="3"/>
        <v/>
      </c>
      <c r="S40" s="43" t="str">
        <f t="shared" si="3"/>
        <v/>
      </c>
      <c r="T40" s="43" t="str">
        <f t="shared" si="3"/>
        <v/>
      </c>
      <c r="U40" s="43" t="str">
        <f t="shared" si="3"/>
        <v/>
      </c>
      <c r="V40" s="43" t="str">
        <f t="shared" si="3"/>
        <v/>
      </c>
    </row>
    <row r="41" spans="1:22" x14ac:dyDescent="0.3">
      <c r="A41" s="42"/>
      <c r="B41" s="43" t="str">
        <f>IF($A41="","",SUMIFS([2]weekly_demand!$D:$D,[2]weekly_demand!$A:$A,B$1,[2]weekly_demand!$C:$C,$A41))</f>
        <v/>
      </c>
      <c r="C41" s="43" t="str">
        <f>IF($A41="","",SUMIFS([2]weekly_demand!$D:$D,[2]weekly_demand!$A:$A,C$1,[2]weekly_demand!$C:$C,$A41))</f>
        <v/>
      </c>
      <c r="D41" s="43" t="str">
        <f>IF($A41="","",SUMIFS([2]weekly_demand!$D:$D,[2]weekly_demand!$A:$A,D$1,[2]weekly_demand!$C:$C,$A41))</f>
        <v/>
      </c>
      <c r="E41" s="43" t="str">
        <f>IF($A41="","",SUMIFS([2]weekly_demand!$D:$D,[2]weekly_demand!$A:$A,E$1,[2]weekly_demand!$C:$C,$A41))</f>
        <v/>
      </c>
      <c r="F41" s="43" t="str">
        <f>IF($A41="","",SUMIFS([2]weekly_demand!$D:$D,[2]weekly_demand!$A:$A,F$1,[2]weekly_demand!$C:$C,$A41))</f>
        <v/>
      </c>
      <c r="G41" s="43" t="str">
        <f>IF($A41="","",SUMIFS([2]weekly_demand!$D:$D,[2]weekly_demand!$A:$A,G$1,[2]weekly_demand!$C:$C,$A41))</f>
        <v/>
      </c>
      <c r="H41" s="43" t="str">
        <f t="shared" si="3"/>
        <v/>
      </c>
      <c r="I41" s="43" t="str">
        <f t="shared" si="3"/>
        <v/>
      </c>
      <c r="J41" s="43" t="str">
        <f t="shared" si="3"/>
        <v/>
      </c>
      <c r="K41" s="43" t="str">
        <f t="shared" si="3"/>
        <v/>
      </c>
      <c r="L41" s="43" t="str">
        <f t="shared" si="3"/>
        <v/>
      </c>
      <c r="M41" s="43" t="str">
        <f t="shared" si="3"/>
        <v/>
      </c>
      <c r="N41" s="43" t="str">
        <f t="shared" si="3"/>
        <v/>
      </c>
      <c r="O41" s="43" t="str">
        <f t="shared" si="3"/>
        <v/>
      </c>
      <c r="P41" s="43" t="str">
        <f t="shared" si="3"/>
        <v/>
      </c>
      <c r="Q41" s="43" t="str">
        <f t="shared" si="3"/>
        <v/>
      </c>
      <c r="R41" s="43" t="str">
        <f t="shared" si="3"/>
        <v/>
      </c>
      <c r="S41" s="43" t="str">
        <f t="shared" si="3"/>
        <v/>
      </c>
      <c r="T41" s="43" t="str">
        <f t="shared" si="3"/>
        <v/>
      </c>
      <c r="U41" s="43" t="str">
        <f t="shared" si="3"/>
        <v/>
      </c>
      <c r="V41" s="43" t="str">
        <f t="shared" si="3"/>
        <v/>
      </c>
    </row>
    <row r="42" spans="1:22" x14ac:dyDescent="0.3">
      <c r="A42" s="42"/>
      <c r="B42" s="43" t="str">
        <f>IF($A42="","",SUMIFS([2]weekly_demand!$D:$D,[2]weekly_demand!$A:$A,B$1,[2]weekly_demand!$C:$C,$A42))</f>
        <v/>
      </c>
      <c r="C42" s="43" t="str">
        <f>IF($A42="","",SUMIFS([2]weekly_demand!$D:$D,[2]weekly_demand!$A:$A,C$1,[2]weekly_demand!$C:$C,$A42))</f>
        <v/>
      </c>
      <c r="D42" s="43" t="str">
        <f>IF($A42="","",SUMIFS([2]weekly_demand!$D:$D,[2]weekly_demand!$A:$A,D$1,[2]weekly_demand!$C:$C,$A42))</f>
        <v/>
      </c>
      <c r="E42" s="43" t="str">
        <f>IF($A42="","",SUMIFS([2]weekly_demand!$D:$D,[2]weekly_demand!$A:$A,E$1,[2]weekly_demand!$C:$C,$A42))</f>
        <v/>
      </c>
      <c r="F42" s="43" t="str">
        <f>IF($A42="","",SUMIFS([2]weekly_demand!$D:$D,[2]weekly_demand!$A:$A,F$1,[2]weekly_demand!$C:$C,$A42))</f>
        <v/>
      </c>
      <c r="G42" s="43" t="str">
        <f>IF($A42="","",SUMIFS([2]weekly_demand!$D:$D,[2]weekly_demand!$A:$A,G$1,[2]weekly_demand!$C:$C,$A42))</f>
        <v/>
      </c>
      <c r="H42" s="43" t="str">
        <f t="shared" ref="H42:V51" si="4">IF($A42="","",SUMPRODUCT($B42:$G42,INDEX($Y$2:$AD$16,MATCH(H$1,$X$2:$X$16,0),0)))</f>
        <v/>
      </c>
      <c r="I42" s="43" t="str">
        <f t="shared" si="4"/>
        <v/>
      </c>
      <c r="J42" s="43" t="str">
        <f t="shared" si="4"/>
        <v/>
      </c>
      <c r="K42" s="43" t="str">
        <f t="shared" si="4"/>
        <v/>
      </c>
      <c r="L42" s="43" t="str">
        <f t="shared" si="4"/>
        <v/>
      </c>
      <c r="M42" s="43" t="str">
        <f t="shared" si="4"/>
        <v/>
      </c>
      <c r="N42" s="43" t="str">
        <f t="shared" si="4"/>
        <v/>
      </c>
      <c r="O42" s="43" t="str">
        <f t="shared" si="4"/>
        <v/>
      </c>
      <c r="P42" s="43" t="str">
        <f t="shared" si="4"/>
        <v/>
      </c>
      <c r="Q42" s="43" t="str">
        <f t="shared" si="4"/>
        <v/>
      </c>
      <c r="R42" s="43" t="str">
        <f t="shared" si="4"/>
        <v/>
      </c>
      <c r="S42" s="43" t="str">
        <f t="shared" si="4"/>
        <v/>
      </c>
      <c r="T42" s="43" t="str">
        <f t="shared" si="4"/>
        <v/>
      </c>
      <c r="U42" s="43" t="str">
        <f t="shared" si="4"/>
        <v/>
      </c>
      <c r="V42" s="43" t="str">
        <f t="shared" si="4"/>
        <v/>
      </c>
    </row>
    <row r="43" spans="1:22" x14ac:dyDescent="0.3">
      <c r="A43" s="42"/>
      <c r="B43" s="43" t="str">
        <f>IF($A43="","",SUMIFS([2]weekly_demand!$D:$D,[2]weekly_demand!$A:$A,B$1,[2]weekly_demand!$C:$C,$A43))</f>
        <v/>
      </c>
      <c r="C43" s="43" t="str">
        <f>IF($A43="","",SUMIFS([2]weekly_demand!$D:$D,[2]weekly_demand!$A:$A,C$1,[2]weekly_demand!$C:$C,$A43))</f>
        <v/>
      </c>
      <c r="D43" s="43" t="str">
        <f>IF($A43="","",SUMIFS([2]weekly_demand!$D:$D,[2]weekly_demand!$A:$A,D$1,[2]weekly_demand!$C:$C,$A43))</f>
        <v/>
      </c>
      <c r="E43" s="43" t="str">
        <f>IF($A43="","",SUMIFS([2]weekly_demand!$D:$D,[2]weekly_demand!$A:$A,E$1,[2]weekly_demand!$C:$C,$A43))</f>
        <v/>
      </c>
      <c r="F43" s="43" t="str">
        <f>IF($A43="","",SUMIFS([2]weekly_demand!$D:$D,[2]weekly_demand!$A:$A,F$1,[2]weekly_demand!$C:$C,$A43))</f>
        <v/>
      </c>
      <c r="G43" s="43" t="str">
        <f>IF($A43="","",SUMIFS([2]weekly_demand!$D:$D,[2]weekly_demand!$A:$A,G$1,[2]weekly_demand!$C:$C,$A43))</f>
        <v/>
      </c>
      <c r="H43" s="43" t="str">
        <f t="shared" si="4"/>
        <v/>
      </c>
      <c r="I43" s="43" t="str">
        <f t="shared" si="4"/>
        <v/>
      </c>
      <c r="J43" s="43" t="str">
        <f t="shared" si="4"/>
        <v/>
      </c>
      <c r="K43" s="43" t="str">
        <f t="shared" si="4"/>
        <v/>
      </c>
      <c r="L43" s="43" t="str">
        <f t="shared" si="4"/>
        <v/>
      </c>
      <c r="M43" s="43" t="str">
        <f t="shared" si="4"/>
        <v/>
      </c>
      <c r="N43" s="43" t="str">
        <f t="shared" si="4"/>
        <v/>
      </c>
      <c r="O43" s="43" t="str">
        <f t="shared" si="4"/>
        <v/>
      </c>
      <c r="P43" s="43" t="str">
        <f t="shared" si="4"/>
        <v/>
      </c>
      <c r="Q43" s="43" t="str">
        <f t="shared" si="4"/>
        <v/>
      </c>
      <c r="R43" s="43" t="str">
        <f t="shared" si="4"/>
        <v/>
      </c>
      <c r="S43" s="43" t="str">
        <f t="shared" si="4"/>
        <v/>
      </c>
      <c r="T43" s="43" t="str">
        <f t="shared" si="4"/>
        <v/>
      </c>
      <c r="U43" s="43" t="str">
        <f t="shared" si="4"/>
        <v/>
      </c>
      <c r="V43" s="43" t="str">
        <f t="shared" si="4"/>
        <v/>
      </c>
    </row>
    <row r="44" spans="1:22" x14ac:dyDescent="0.3">
      <c r="A44" s="42"/>
      <c r="B44" s="43" t="str">
        <f>IF($A44="","",SUMIFS([2]weekly_demand!$D:$D,[2]weekly_demand!$A:$A,B$1,[2]weekly_demand!$C:$C,$A44))</f>
        <v/>
      </c>
      <c r="C44" s="43" t="str">
        <f>IF($A44="","",SUMIFS([2]weekly_demand!$D:$D,[2]weekly_demand!$A:$A,C$1,[2]weekly_demand!$C:$C,$A44))</f>
        <v/>
      </c>
      <c r="D44" s="43" t="str">
        <f>IF($A44="","",SUMIFS([2]weekly_demand!$D:$D,[2]weekly_demand!$A:$A,D$1,[2]weekly_demand!$C:$C,$A44))</f>
        <v/>
      </c>
      <c r="E44" s="43" t="str">
        <f>IF($A44="","",SUMIFS([2]weekly_demand!$D:$D,[2]weekly_demand!$A:$A,E$1,[2]weekly_demand!$C:$C,$A44))</f>
        <v/>
      </c>
      <c r="F44" s="43" t="str">
        <f>IF($A44="","",SUMIFS([2]weekly_demand!$D:$D,[2]weekly_demand!$A:$A,F$1,[2]weekly_demand!$C:$C,$A44))</f>
        <v/>
      </c>
      <c r="G44" s="43" t="str">
        <f>IF($A44="","",SUMIFS([2]weekly_demand!$D:$D,[2]weekly_demand!$A:$A,G$1,[2]weekly_demand!$C:$C,$A44))</f>
        <v/>
      </c>
      <c r="H44" s="43" t="str">
        <f t="shared" si="4"/>
        <v/>
      </c>
      <c r="I44" s="43" t="str">
        <f t="shared" si="4"/>
        <v/>
      </c>
      <c r="J44" s="43" t="str">
        <f t="shared" si="4"/>
        <v/>
      </c>
      <c r="K44" s="43" t="str">
        <f t="shared" si="4"/>
        <v/>
      </c>
      <c r="L44" s="43" t="str">
        <f t="shared" si="4"/>
        <v/>
      </c>
      <c r="M44" s="43" t="str">
        <f t="shared" si="4"/>
        <v/>
      </c>
      <c r="N44" s="43" t="str">
        <f t="shared" si="4"/>
        <v/>
      </c>
      <c r="O44" s="43" t="str">
        <f t="shared" si="4"/>
        <v/>
      </c>
      <c r="P44" s="43" t="str">
        <f t="shared" si="4"/>
        <v/>
      </c>
      <c r="Q44" s="43" t="str">
        <f t="shared" si="4"/>
        <v/>
      </c>
      <c r="R44" s="43" t="str">
        <f t="shared" si="4"/>
        <v/>
      </c>
      <c r="S44" s="43" t="str">
        <f t="shared" si="4"/>
        <v/>
      </c>
      <c r="T44" s="43" t="str">
        <f t="shared" si="4"/>
        <v/>
      </c>
      <c r="U44" s="43" t="str">
        <f t="shared" si="4"/>
        <v/>
      </c>
      <c r="V44" s="43" t="str">
        <f t="shared" si="4"/>
        <v/>
      </c>
    </row>
    <row r="45" spans="1:22" x14ac:dyDescent="0.3">
      <c r="A45" s="42"/>
      <c r="B45" s="43" t="str">
        <f>IF($A45="","",SUMIFS([2]weekly_demand!$D:$D,[2]weekly_demand!$A:$A,B$1,[2]weekly_demand!$C:$C,$A45))</f>
        <v/>
      </c>
      <c r="C45" s="43" t="str">
        <f>IF($A45="","",SUMIFS([2]weekly_demand!$D:$D,[2]weekly_demand!$A:$A,C$1,[2]weekly_demand!$C:$C,$A45))</f>
        <v/>
      </c>
      <c r="D45" s="43" t="str">
        <f>IF($A45="","",SUMIFS([2]weekly_demand!$D:$D,[2]weekly_demand!$A:$A,D$1,[2]weekly_demand!$C:$C,$A45))</f>
        <v/>
      </c>
      <c r="E45" s="43" t="str">
        <f>IF($A45="","",SUMIFS([2]weekly_demand!$D:$D,[2]weekly_demand!$A:$A,E$1,[2]weekly_demand!$C:$C,$A45))</f>
        <v/>
      </c>
      <c r="F45" s="43" t="str">
        <f>IF($A45="","",SUMIFS([2]weekly_demand!$D:$D,[2]weekly_demand!$A:$A,F$1,[2]weekly_demand!$C:$C,$A45))</f>
        <v/>
      </c>
      <c r="G45" s="43" t="str">
        <f>IF($A45="","",SUMIFS([2]weekly_demand!$D:$D,[2]weekly_demand!$A:$A,G$1,[2]weekly_demand!$C:$C,$A45))</f>
        <v/>
      </c>
      <c r="H45" s="43" t="str">
        <f t="shared" si="4"/>
        <v/>
      </c>
      <c r="I45" s="43" t="str">
        <f t="shared" si="4"/>
        <v/>
      </c>
      <c r="J45" s="43" t="str">
        <f t="shared" si="4"/>
        <v/>
      </c>
      <c r="K45" s="43" t="str">
        <f t="shared" si="4"/>
        <v/>
      </c>
      <c r="L45" s="43" t="str">
        <f t="shared" si="4"/>
        <v/>
      </c>
      <c r="M45" s="43" t="str">
        <f t="shared" si="4"/>
        <v/>
      </c>
      <c r="N45" s="43" t="str">
        <f t="shared" si="4"/>
        <v/>
      </c>
      <c r="O45" s="43" t="str">
        <f t="shared" si="4"/>
        <v/>
      </c>
      <c r="P45" s="43" t="str">
        <f t="shared" si="4"/>
        <v/>
      </c>
      <c r="Q45" s="43" t="str">
        <f t="shared" si="4"/>
        <v/>
      </c>
      <c r="R45" s="43" t="str">
        <f t="shared" si="4"/>
        <v/>
      </c>
      <c r="S45" s="43" t="str">
        <f t="shared" si="4"/>
        <v/>
      </c>
      <c r="T45" s="43" t="str">
        <f t="shared" si="4"/>
        <v/>
      </c>
      <c r="U45" s="43" t="str">
        <f t="shared" si="4"/>
        <v/>
      </c>
      <c r="V45" s="43" t="str">
        <f t="shared" si="4"/>
        <v/>
      </c>
    </row>
    <row r="46" spans="1:22" x14ac:dyDescent="0.3">
      <c r="A46" s="42"/>
      <c r="B46" s="43" t="str">
        <f>IF($A46="","",SUMIFS([2]weekly_demand!$D:$D,[2]weekly_demand!$A:$A,B$1,[2]weekly_demand!$C:$C,$A46))</f>
        <v/>
      </c>
      <c r="C46" s="43" t="str">
        <f>IF($A46="","",SUMIFS([2]weekly_demand!$D:$D,[2]weekly_demand!$A:$A,C$1,[2]weekly_demand!$C:$C,$A46))</f>
        <v/>
      </c>
      <c r="D46" s="43" t="str">
        <f>IF($A46="","",SUMIFS([2]weekly_demand!$D:$D,[2]weekly_demand!$A:$A,D$1,[2]weekly_demand!$C:$C,$A46))</f>
        <v/>
      </c>
      <c r="E46" s="43" t="str">
        <f>IF($A46="","",SUMIFS([2]weekly_demand!$D:$D,[2]weekly_demand!$A:$A,E$1,[2]weekly_demand!$C:$C,$A46))</f>
        <v/>
      </c>
      <c r="F46" s="43" t="str">
        <f>IF($A46="","",SUMIFS([2]weekly_demand!$D:$D,[2]weekly_demand!$A:$A,F$1,[2]weekly_demand!$C:$C,$A46))</f>
        <v/>
      </c>
      <c r="G46" s="43" t="str">
        <f>IF($A46="","",SUMIFS([2]weekly_demand!$D:$D,[2]weekly_demand!$A:$A,G$1,[2]weekly_demand!$C:$C,$A46))</f>
        <v/>
      </c>
      <c r="H46" s="43" t="str">
        <f t="shared" si="4"/>
        <v/>
      </c>
      <c r="I46" s="43" t="str">
        <f t="shared" si="4"/>
        <v/>
      </c>
      <c r="J46" s="43" t="str">
        <f t="shared" si="4"/>
        <v/>
      </c>
      <c r="K46" s="43" t="str">
        <f t="shared" si="4"/>
        <v/>
      </c>
      <c r="L46" s="43" t="str">
        <f t="shared" si="4"/>
        <v/>
      </c>
      <c r="M46" s="43" t="str">
        <f t="shared" si="4"/>
        <v/>
      </c>
      <c r="N46" s="43" t="str">
        <f t="shared" si="4"/>
        <v/>
      </c>
      <c r="O46" s="43" t="str">
        <f t="shared" si="4"/>
        <v/>
      </c>
      <c r="P46" s="43" t="str">
        <f t="shared" si="4"/>
        <v/>
      </c>
      <c r="Q46" s="43" t="str">
        <f t="shared" si="4"/>
        <v/>
      </c>
      <c r="R46" s="43" t="str">
        <f t="shared" si="4"/>
        <v/>
      </c>
      <c r="S46" s="43" t="str">
        <f t="shared" si="4"/>
        <v/>
      </c>
      <c r="T46" s="43" t="str">
        <f t="shared" si="4"/>
        <v/>
      </c>
      <c r="U46" s="43" t="str">
        <f t="shared" si="4"/>
        <v/>
      </c>
      <c r="V46" s="43" t="str">
        <f t="shared" si="4"/>
        <v/>
      </c>
    </row>
    <row r="47" spans="1:22" x14ac:dyDescent="0.3">
      <c r="A47" s="42"/>
      <c r="B47" s="43" t="str">
        <f>IF($A47="","",SUMIFS([2]weekly_demand!$D:$D,[2]weekly_demand!$A:$A,B$1,[2]weekly_demand!$C:$C,$A47))</f>
        <v/>
      </c>
      <c r="C47" s="43" t="str">
        <f>IF($A47="","",SUMIFS([2]weekly_demand!$D:$D,[2]weekly_demand!$A:$A,C$1,[2]weekly_demand!$C:$C,$A47))</f>
        <v/>
      </c>
      <c r="D47" s="43" t="str">
        <f>IF($A47="","",SUMIFS([2]weekly_demand!$D:$D,[2]weekly_demand!$A:$A,D$1,[2]weekly_demand!$C:$C,$A47))</f>
        <v/>
      </c>
      <c r="E47" s="43" t="str">
        <f>IF($A47="","",SUMIFS([2]weekly_demand!$D:$D,[2]weekly_demand!$A:$A,E$1,[2]weekly_demand!$C:$C,$A47))</f>
        <v/>
      </c>
      <c r="F47" s="43" t="str">
        <f>IF($A47="","",SUMIFS([2]weekly_demand!$D:$D,[2]weekly_demand!$A:$A,F$1,[2]weekly_demand!$C:$C,$A47))</f>
        <v/>
      </c>
      <c r="G47" s="43" t="str">
        <f>IF($A47="","",SUMIFS([2]weekly_demand!$D:$D,[2]weekly_demand!$A:$A,G$1,[2]weekly_demand!$C:$C,$A47))</f>
        <v/>
      </c>
      <c r="H47" s="43" t="str">
        <f t="shared" si="4"/>
        <v/>
      </c>
      <c r="I47" s="43" t="str">
        <f t="shared" si="4"/>
        <v/>
      </c>
      <c r="J47" s="43" t="str">
        <f t="shared" si="4"/>
        <v/>
      </c>
      <c r="K47" s="43" t="str">
        <f t="shared" si="4"/>
        <v/>
      </c>
      <c r="L47" s="43" t="str">
        <f t="shared" si="4"/>
        <v/>
      </c>
      <c r="M47" s="43" t="str">
        <f t="shared" si="4"/>
        <v/>
      </c>
      <c r="N47" s="43" t="str">
        <f t="shared" si="4"/>
        <v/>
      </c>
      <c r="O47" s="43" t="str">
        <f t="shared" si="4"/>
        <v/>
      </c>
      <c r="P47" s="43" t="str">
        <f t="shared" si="4"/>
        <v/>
      </c>
      <c r="Q47" s="43" t="str">
        <f t="shared" si="4"/>
        <v/>
      </c>
      <c r="R47" s="43" t="str">
        <f t="shared" si="4"/>
        <v/>
      </c>
      <c r="S47" s="43" t="str">
        <f t="shared" si="4"/>
        <v/>
      </c>
      <c r="T47" s="43" t="str">
        <f t="shared" si="4"/>
        <v/>
      </c>
      <c r="U47" s="43" t="str">
        <f t="shared" si="4"/>
        <v/>
      </c>
      <c r="V47" s="43" t="str">
        <f t="shared" si="4"/>
        <v/>
      </c>
    </row>
    <row r="48" spans="1:22" x14ac:dyDescent="0.3">
      <c r="A48" s="42"/>
      <c r="B48" s="43" t="str">
        <f>IF($A48="","",SUMIFS([2]weekly_demand!$D:$D,[2]weekly_demand!$A:$A,B$1,[2]weekly_demand!$C:$C,$A48))</f>
        <v/>
      </c>
      <c r="C48" s="43" t="str">
        <f>IF($A48="","",SUMIFS([2]weekly_demand!$D:$D,[2]weekly_demand!$A:$A,C$1,[2]weekly_demand!$C:$C,$A48))</f>
        <v/>
      </c>
      <c r="D48" s="43" t="str">
        <f>IF($A48="","",SUMIFS([2]weekly_demand!$D:$D,[2]weekly_demand!$A:$A,D$1,[2]weekly_demand!$C:$C,$A48))</f>
        <v/>
      </c>
      <c r="E48" s="43" t="str">
        <f>IF($A48="","",SUMIFS([2]weekly_demand!$D:$D,[2]weekly_demand!$A:$A,E$1,[2]weekly_demand!$C:$C,$A48))</f>
        <v/>
      </c>
      <c r="F48" s="43" t="str">
        <f>IF($A48="","",SUMIFS([2]weekly_demand!$D:$D,[2]weekly_demand!$A:$A,F$1,[2]weekly_demand!$C:$C,$A48))</f>
        <v/>
      </c>
      <c r="G48" s="43" t="str">
        <f>IF($A48="","",SUMIFS([2]weekly_demand!$D:$D,[2]weekly_demand!$A:$A,G$1,[2]weekly_demand!$C:$C,$A48))</f>
        <v/>
      </c>
      <c r="H48" s="43" t="str">
        <f t="shared" si="4"/>
        <v/>
      </c>
      <c r="I48" s="43" t="str">
        <f t="shared" si="4"/>
        <v/>
      </c>
      <c r="J48" s="43" t="str">
        <f t="shared" si="4"/>
        <v/>
      </c>
      <c r="K48" s="43" t="str">
        <f t="shared" si="4"/>
        <v/>
      </c>
      <c r="L48" s="43" t="str">
        <f t="shared" si="4"/>
        <v/>
      </c>
      <c r="M48" s="43" t="str">
        <f t="shared" si="4"/>
        <v/>
      </c>
      <c r="N48" s="43" t="str">
        <f t="shared" si="4"/>
        <v/>
      </c>
      <c r="O48" s="43" t="str">
        <f t="shared" si="4"/>
        <v/>
      </c>
      <c r="P48" s="43" t="str">
        <f t="shared" si="4"/>
        <v/>
      </c>
      <c r="Q48" s="43" t="str">
        <f t="shared" si="4"/>
        <v/>
      </c>
      <c r="R48" s="43" t="str">
        <f t="shared" si="4"/>
        <v/>
      </c>
      <c r="S48" s="43" t="str">
        <f t="shared" si="4"/>
        <v/>
      </c>
      <c r="T48" s="43" t="str">
        <f t="shared" si="4"/>
        <v/>
      </c>
      <c r="U48" s="43" t="str">
        <f t="shared" si="4"/>
        <v/>
      </c>
      <c r="V48" s="43" t="str">
        <f t="shared" si="4"/>
        <v/>
      </c>
    </row>
    <row r="49" spans="1:22" x14ac:dyDescent="0.3">
      <c r="A49" s="42"/>
      <c r="B49" s="43" t="str">
        <f>IF($A49="","",SUMIFS([2]weekly_demand!$D:$D,[2]weekly_demand!$A:$A,B$1,[2]weekly_demand!$C:$C,$A49))</f>
        <v/>
      </c>
      <c r="C49" s="43" t="str">
        <f>IF($A49="","",SUMIFS([2]weekly_demand!$D:$D,[2]weekly_demand!$A:$A,C$1,[2]weekly_demand!$C:$C,$A49))</f>
        <v/>
      </c>
      <c r="D49" s="43" t="str">
        <f>IF($A49="","",SUMIFS([2]weekly_demand!$D:$D,[2]weekly_demand!$A:$A,D$1,[2]weekly_demand!$C:$C,$A49))</f>
        <v/>
      </c>
      <c r="E49" s="43" t="str">
        <f>IF($A49="","",SUMIFS([2]weekly_demand!$D:$D,[2]weekly_demand!$A:$A,E$1,[2]weekly_demand!$C:$C,$A49))</f>
        <v/>
      </c>
      <c r="F49" s="43" t="str">
        <f>IF($A49="","",SUMIFS([2]weekly_demand!$D:$D,[2]weekly_demand!$A:$A,F$1,[2]weekly_demand!$C:$C,$A49))</f>
        <v/>
      </c>
      <c r="G49" s="43" t="str">
        <f>IF($A49="","",SUMIFS([2]weekly_demand!$D:$D,[2]weekly_demand!$A:$A,G$1,[2]weekly_demand!$C:$C,$A49))</f>
        <v/>
      </c>
      <c r="H49" s="43" t="str">
        <f t="shared" si="4"/>
        <v/>
      </c>
      <c r="I49" s="43" t="str">
        <f t="shared" si="4"/>
        <v/>
      </c>
      <c r="J49" s="43" t="str">
        <f t="shared" si="4"/>
        <v/>
      </c>
      <c r="K49" s="43" t="str">
        <f t="shared" si="4"/>
        <v/>
      </c>
      <c r="L49" s="43" t="str">
        <f t="shared" si="4"/>
        <v/>
      </c>
      <c r="M49" s="43" t="str">
        <f t="shared" si="4"/>
        <v/>
      </c>
      <c r="N49" s="43" t="str">
        <f t="shared" si="4"/>
        <v/>
      </c>
      <c r="O49" s="43" t="str">
        <f t="shared" si="4"/>
        <v/>
      </c>
      <c r="P49" s="43" t="str">
        <f t="shared" si="4"/>
        <v/>
      </c>
      <c r="Q49" s="43" t="str">
        <f t="shared" si="4"/>
        <v/>
      </c>
      <c r="R49" s="43" t="str">
        <f t="shared" si="4"/>
        <v/>
      </c>
      <c r="S49" s="43" t="str">
        <f t="shared" si="4"/>
        <v/>
      </c>
      <c r="T49" s="43" t="str">
        <f t="shared" si="4"/>
        <v/>
      </c>
      <c r="U49" s="43" t="str">
        <f t="shared" si="4"/>
        <v/>
      </c>
      <c r="V49" s="43" t="str">
        <f t="shared" si="4"/>
        <v/>
      </c>
    </row>
    <row r="50" spans="1:22" x14ac:dyDescent="0.3">
      <c r="A50" s="42"/>
      <c r="B50" s="43" t="str">
        <f>IF($A50="","",SUMIFS([2]weekly_demand!$D:$D,[2]weekly_demand!$A:$A,B$1,[2]weekly_demand!$C:$C,$A50))</f>
        <v/>
      </c>
      <c r="C50" s="43" t="str">
        <f>IF($A50="","",SUMIFS([2]weekly_demand!$D:$D,[2]weekly_demand!$A:$A,C$1,[2]weekly_demand!$C:$C,$A50))</f>
        <v/>
      </c>
      <c r="D50" s="43" t="str">
        <f>IF($A50="","",SUMIFS([2]weekly_demand!$D:$D,[2]weekly_demand!$A:$A,D$1,[2]weekly_demand!$C:$C,$A50))</f>
        <v/>
      </c>
      <c r="E50" s="43" t="str">
        <f>IF($A50="","",SUMIFS([2]weekly_demand!$D:$D,[2]weekly_demand!$A:$A,E$1,[2]weekly_demand!$C:$C,$A50))</f>
        <v/>
      </c>
      <c r="F50" s="43" t="str">
        <f>IF($A50="","",SUMIFS([2]weekly_demand!$D:$D,[2]weekly_demand!$A:$A,F$1,[2]weekly_demand!$C:$C,$A50))</f>
        <v/>
      </c>
      <c r="G50" s="43" t="str">
        <f>IF($A50="","",SUMIFS([2]weekly_demand!$D:$D,[2]weekly_demand!$A:$A,G$1,[2]weekly_demand!$C:$C,$A50))</f>
        <v/>
      </c>
      <c r="H50" s="43" t="str">
        <f t="shared" si="4"/>
        <v/>
      </c>
      <c r="I50" s="43" t="str">
        <f t="shared" si="4"/>
        <v/>
      </c>
      <c r="J50" s="43" t="str">
        <f t="shared" si="4"/>
        <v/>
      </c>
      <c r="K50" s="43" t="str">
        <f t="shared" si="4"/>
        <v/>
      </c>
      <c r="L50" s="43" t="str">
        <f t="shared" si="4"/>
        <v/>
      </c>
      <c r="M50" s="43" t="str">
        <f t="shared" si="4"/>
        <v/>
      </c>
      <c r="N50" s="43" t="str">
        <f t="shared" si="4"/>
        <v/>
      </c>
      <c r="O50" s="43" t="str">
        <f t="shared" si="4"/>
        <v/>
      </c>
      <c r="P50" s="43" t="str">
        <f t="shared" si="4"/>
        <v/>
      </c>
      <c r="Q50" s="43" t="str">
        <f t="shared" si="4"/>
        <v/>
      </c>
      <c r="R50" s="43" t="str">
        <f t="shared" si="4"/>
        <v/>
      </c>
      <c r="S50" s="43" t="str">
        <f t="shared" si="4"/>
        <v/>
      </c>
      <c r="T50" s="43" t="str">
        <f t="shared" si="4"/>
        <v/>
      </c>
      <c r="U50" s="43" t="str">
        <f t="shared" si="4"/>
        <v/>
      </c>
      <c r="V50" s="43" t="str">
        <f t="shared" si="4"/>
        <v/>
      </c>
    </row>
    <row r="51" spans="1:22" x14ac:dyDescent="0.3">
      <c r="A51" s="42"/>
      <c r="B51" s="43" t="str">
        <f>IF($A51="","",SUMIFS([2]weekly_demand!$D:$D,[2]weekly_demand!$A:$A,B$1,[2]weekly_demand!$C:$C,$A51))</f>
        <v/>
      </c>
      <c r="C51" s="43" t="str">
        <f>IF($A51="","",SUMIFS([2]weekly_demand!$D:$D,[2]weekly_demand!$A:$A,C$1,[2]weekly_demand!$C:$C,$A51))</f>
        <v/>
      </c>
      <c r="D51" s="43" t="str">
        <f>IF($A51="","",SUMIFS([2]weekly_demand!$D:$D,[2]weekly_demand!$A:$A,D$1,[2]weekly_demand!$C:$C,$A51))</f>
        <v/>
      </c>
      <c r="E51" s="43" t="str">
        <f>IF($A51="","",SUMIFS([2]weekly_demand!$D:$D,[2]weekly_demand!$A:$A,E$1,[2]weekly_demand!$C:$C,$A51))</f>
        <v/>
      </c>
      <c r="F51" s="43" t="str">
        <f>IF($A51="","",SUMIFS([2]weekly_demand!$D:$D,[2]weekly_demand!$A:$A,F$1,[2]weekly_demand!$C:$C,$A51))</f>
        <v/>
      </c>
      <c r="G51" s="43" t="str">
        <f>IF($A51="","",SUMIFS([2]weekly_demand!$D:$D,[2]weekly_demand!$A:$A,G$1,[2]weekly_demand!$C:$C,$A51))</f>
        <v/>
      </c>
      <c r="H51" s="43" t="str">
        <f t="shared" si="4"/>
        <v/>
      </c>
      <c r="I51" s="43" t="str">
        <f t="shared" si="4"/>
        <v/>
      </c>
      <c r="J51" s="43" t="str">
        <f t="shared" si="4"/>
        <v/>
      </c>
      <c r="K51" s="43" t="str">
        <f t="shared" si="4"/>
        <v/>
      </c>
      <c r="L51" s="43" t="str">
        <f t="shared" si="4"/>
        <v/>
      </c>
      <c r="M51" s="43" t="str">
        <f t="shared" si="4"/>
        <v/>
      </c>
      <c r="N51" s="43" t="str">
        <f t="shared" si="4"/>
        <v/>
      </c>
      <c r="O51" s="43" t="str">
        <f t="shared" si="4"/>
        <v/>
      </c>
      <c r="P51" s="43" t="str">
        <f t="shared" si="4"/>
        <v/>
      </c>
      <c r="Q51" s="43" t="str">
        <f t="shared" si="4"/>
        <v/>
      </c>
      <c r="R51" s="43" t="str">
        <f t="shared" si="4"/>
        <v/>
      </c>
      <c r="S51" s="43" t="str">
        <f t="shared" si="4"/>
        <v/>
      </c>
      <c r="T51" s="43" t="str">
        <f t="shared" si="4"/>
        <v/>
      </c>
      <c r="U51" s="43" t="str">
        <f t="shared" si="4"/>
        <v/>
      </c>
      <c r="V51" s="43" t="str">
        <f t="shared" si="4"/>
        <v/>
      </c>
    </row>
    <row r="52" spans="1:22" x14ac:dyDescent="0.3">
      <c r="A52" s="42"/>
      <c r="B52" s="43" t="str">
        <f>IF($A52="","",SUMIFS([2]weekly_demand!$D:$D,[2]weekly_demand!$A:$A,B$1,[2]weekly_demand!$C:$C,$A52))</f>
        <v/>
      </c>
      <c r="C52" s="43" t="str">
        <f>IF($A52="","",SUMIFS([2]weekly_demand!$D:$D,[2]weekly_demand!$A:$A,C$1,[2]weekly_demand!$C:$C,$A52))</f>
        <v/>
      </c>
      <c r="D52" s="43" t="str">
        <f>IF($A52="","",SUMIFS([2]weekly_demand!$D:$D,[2]weekly_demand!$A:$A,D$1,[2]weekly_demand!$C:$C,$A52))</f>
        <v/>
      </c>
      <c r="E52" s="43" t="str">
        <f>IF($A52="","",SUMIFS([2]weekly_demand!$D:$D,[2]weekly_demand!$A:$A,E$1,[2]weekly_demand!$C:$C,$A52))</f>
        <v/>
      </c>
      <c r="F52" s="43" t="str">
        <f>IF($A52="","",SUMIFS([2]weekly_demand!$D:$D,[2]weekly_demand!$A:$A,F$1,[2]weekly_demand!$C:$C,$A52))</f>
        <v/>
      </c>
      <c r="G52" s="43" t="str">
        <f>IF($A52="","",SUMIFS([2]weekly_demand!$D:$D,[2]weekly_demand!$A:$A,G$1,[2]weekly_demand!$C:$C,$A52))</f>
        <v/>
      </c>
      <c r="H52" s="43" t="str">
        <f t="shared" ref="H52:V61" si="5">IF($A52="","",SUMPRODUCT($B52:$G52,INDEX($Y$2:$AD$16,MATCH(H$1,$X$2:$X$16,0),0)))</f>
        <v/>
      </c>
      <c r="I52" s="43" t="str">
        <f t="shared" si="5"/>
        <v/>
      </c>
      <c r="J52" s="43" t="str">
        <f t="shared" si="5"/>
        <v/>
      </c>
      <c r="K52" s="43" t="str">
        <f t="shared" si="5"/>
        <v/>
      </c>
      <c r="L52" s="43" t="str">
        <f t="shared" si="5"/>
        <v/>
      </c>
      <c r="M52" s="43" t="str">
        <f t="shared" si="5"/>
        <v/>
      </c>
      <c r="N52" s="43" t="str">
        <f t="shared" si="5"/>
        <v/>
      </c>
      <c r="O52" s="43" t="str">
        <f t="shared" si="5"/>
        <v/>
      </c>
      <c r="P52" s="43" t="str">
        <f t="shared" si="5"/>
        <v/>
      </c>
      <c r="Q52" s="43" t="str">
        <f t="shared" si="5"/>
        <v/>
      </c>
      <c r="R52" s="43" t="str">
        <f t="shared" si="5"/>
        <v/>
      </c>
      <c r="S52" s="43" t="str">
        <f t="shared" si="5"/>
        <v/>
      </c>
      <c r="T52" s="43" t="str">
        <f t="shared" si="5"/>
        <v/>
      </c>
      <c r="U52" s="43" t="str">
        <f t="shared" si="5"/>
        <v/>
      </c>
      <c r="V52" s="43" t="str">
        <f t="shared" si="5"/>
        <v/>
      </c>
    </row>
    <row r="53" spans="1:22" x14ac:dyDescent="0.3">
      <c r="A53" s="42"/>
      <c r="B53" s="43" t="str">
        <f>IF($A53="","",SUMIFS([2]weekly_demand!$D:$D,[2]weekly_demand!$A:$A,B$1,[2]weekly_demand!$C:$C,$A53))</f>
        <v/>
      </c>
      <c r="C53" s="43" t="str">
        <f>IF($A53="","",SUMIFS([2]weekly_demand!$D:$D,[2]weekly_demand!$A:$A,C$1,[2]weekly_demand!$C:$C,$A53))</f>
        <v/>
      </c>
      <c r="D53" s="43" t="str">
        <f>IF($A53="","",SUMIFS([2]weekly_demand!$D:$D,[2]weekly_demand!$A:$A,D$1,[2]weekly_demand!$C:$C,$A53))</f>
        <v/>
      </c>
      <c r="E53" s="43" t="str">
        <f>IF($A53="","",SUMIFS([2]weekly_demand!$D:$D,[2]weekly_demand!$A:$A,E$1,[2]weekly_demand!$C:$C,$A53))</f>
        <v/>
      </c>
      <c r="F53" s="43" t="str">
        <f>IF($A53="","",SUMIFS([2]weekly_demand!$D:$D,[2]weekly_demand!$A:$A,F$1,[2]weekly_demand!$C:$C,$A53))</f>
        <v/>
      </c>
      <c r="G53" s="43" t="str">
        <f>IF($A53="","",SUMIFS([2]weekly_demand!$D:$D,[2]weekly_demand!$A:$A,G$1,[2]weekly_demand!$C:$C,$A53))</f>
        <v/>
      </c>
      <c r="H53" s="43" t="str">
        <f t="shared" si="5"/>
        <v/>
      </c>
      <c r="I53" s="43" t="str">
        <f t="shared" si="5"/>
        <v/>
      </c>
      <c r="J53" s="43" t="str">
        <f t="shared" si="5"/>
        <v/>
      </c>
      <c r="K53" s="43" t="str">
        <f t="shared" si="5"/>
        <v/>
      </c>
      <c r="L53" s="43" t="str">
        <f t="shared" si="5"/>
        <v/>
      </c>
      <c r="M53" s="43" t="str">
        <f t="shared" si="5"/>
        <v/>
      </c>
      <c r="N53" s="43" t="str">
        <f t="shared" si="5"/>
        <v/>
      </c>
      <c r="O53" s="43" t="str">
        <f t="shared" si="5"/>
        <v/>
      </c>
      <c r="P53" s="43" t="str">
        <f t="shared" si="5"/>
        <v/>
      </c>
      <c r="Q53" s="43" t="str">
        <f t="shared" si="5"/>
        <v/>
      </c>
      <c r="R53" s="43" t="str">
        <f t="shared" si="5"/>
        <v/>
      </c>
      <c r="S53" s="43" t="str">
        <f t="shared" si="5"/>
        <v/>
      </c>
      <c r="T53" s="43" t="str">
        <f t="shared" si="5"/>
        <v/>
      </c>
      <c r="U53" s="43" t="str">
        <f t="shared" si="5"/>
        <v/>
      </c>
      <c r="V53" s="43" t="str">
        <f t="shared" si="5"/>
        <v/>
      </c>
    </row>
    <row r="54" spans="1:22" x14ac:dyDescent="0.3">
      <c r="A54" s="42"/>
      <c r="B54" s="43" t="str">
        <f>IF($A54="","",SUMIFS([2]weekly_demand!$D:$D,[2]weekly_demand!$A:$A,B$1,[2]weekly_demand!$C:$C,$A54))</f>
        <v/>
      </c>
      <c r="C54" s="43" t="str">
        <f>IF($A54="","",SUMIFS([2]weekly_demand!$D:$D,[2]weekly_demand!$A:$A,C$1,[2]weekly_demand!$C:$C,$A54))</f>
        <v/>
      </c>
      <c r="D54" s="43" t="str">
        <f>IF($A54="","",SUMIFS([2]weekly_demand!$D:$D,[2]weekly_demand!$A:$A,D$1,[2]weekly_demand!$C:$C,$A54))</f>
        <v/>
      </c>
      <c r="E54" s="43" t="str">
        <f>IF($A54="","",SUMIFS([2]weekly_demand!$D:$D,[2]weekly_demand!$A:$A,E$1,[2]weekly_demand!$C:$C,$A54))</f>
        <v/>
      </c>
      <c r="F54" s="43" t="str">
        <f>IF($A54="","",SUMIFS([2]weekly_demand!$D:$D,[2]weekly_demand!$A:$A,F$1,[2]weekly_demand!$C:$C,$A54))</f>
        <v/>
      </c>
      <c r="G54" s="43" t="str">
        <f>IF($A54="","",SUMIFS([2]weekly_demand!$D:$D,[2]weekly_demand!$A:$A,G$1,[2]weekly_demand!$C:$C,$A54))</f>
        <v/>
      </c>
      <c r="H54" s="43" t="str">
        <f t="shared" si="5"/>
        <v/>
      </c>
      <c r="I54" s="43" t="str">
        <f t="shared" si="5"/>
        <v/>
      </c>
      <c r="J54" s="43" t="str">
        <f t="shared" si="5"/>
        <v/>
      </c>
      <c r="K54" s="43" t="str">
        <f t="shared" si="5"/>
        <v/>
      </c>
      <c r="L54" s="43" t="str">
        <f t="shared" si="5"/>
        <v/>
      </c>
      <c r="M54" s="43" t="str">
        <f t="shared" si="5"/>
        <v/>
      </c>
      <c r="N54" s="43" t="str">
        <f t="shared" si="5"/>
        <v/>
      </c>
      <c r="O54" s="43" t="str">
        <f t="shared" si="5"/>
        <v/>
      </c>
      <c r="P54" s="43" t="str">
        <f t="shared" si="5"/>
        <v/>
      </c>
      <c r="Q54" s="43" t="str">
        <f t="shared" si="5"/>
        <v/>
      </c>
      <c r="R54" s="43" t="str">
        <f t="shared" si="5"/>
        <v/>
      </c>
      <c r="S54" s="43" t="str">
        <f t="shared" si="5"/>
        <v/>
      </c>
      <c r="T54" s="43" t="str">
        <f t="shared" si="5"/>
        <v/>
      </c>
      <c r="U54" s="43" t="str">
        <f t="shared" si="5"/>
        <v/>
      </c>
      <c r="V54" s="43" t="str">
        <f t="shared" si="5"/>
        <v/>
      </c>
    </row>
    <row r="55" spans="1:22" x14ac:dyDescent="0.3">
      <c r="A55" s="42"/>
      <c r="B55" s="43" t="str">
        <f>IF($A55="","",SUMIFS([2]weekly_demand!$D:$D,[2]weekly_demand!$A:$A,B$1,[2]weekly_demand!$C:$C,$A55))</f>
        <v/>
      </c>
      <c r="C55" s="43" t="str">
        <f>IF($A55="","",SUMIFS([2]weekly_demand!$D:$D,[2]weekly_demand!$A:$A,C$1,[2]weekly_demand!$C:$C,$A55))</f>
        <v/>
      </c>
      <c r="D55" s="43" t="str">
        <f>IF($A55="","",SUMIFS([2]weekly_demand!$D:$D,[2]weekly_demand!$A:$A,D$1,[2]weekly_demand!$C:$C,$A55))</f>
        <v/>
      </c>
      <c r="E55" s="43" t="str">
        <f>IF($A55="","",SUMIFS([2]weekly_demand!$D:$D,[2]weekly_demand!$A:$A,E$1,[2]weekly_demand!$C:$C,$A55))</f>
        <v/>
      </c>
      <c r="F55" s="43" t="str">
        <f>IF($A55="","",SUMIFS([2]weekly_demand!$D:$D,[2]weekly_demand!$A:$A,F$1,[2]weekly_demand!$C:$C,$A55))</f>
        <v/>
      </c>
      <c r="G55" s="43" t="str">
        <f>IF($A55="","",SUMIFS([2]weekly_demand!$D:$D,[2]weekly_demand!$A:$A,G$1,[2]weekly_demand!$C:$C,$A55))</f>
        <v/>
      </c>
      <c r="H55" s="43" t="str">
        <f t="shared" si="5"/>
        <v/>
      </c>
      <c r="I55" s="43" t="str">
        <f t="shared" si="5"/>
        <v/>
      </c>
      <c r="J55" s="43" t="str">
        <f t="shared" si="5"/>
        <v/>
      </c>
      <c r="K55" s="43" t="str">
        <f t="shared" si="5"/>
        <v/>
      </c>
      <c r="L55" s="43" t="str">
        <f t="shared" si="5"/>
        <v/>
      </c>
      <c r="M55" s="43" t="str">
        <f t="shared" si="5"/>
        <v/>
      </c>
      <c r="N55" s="43" t="str">
        <f t="shared" si="5"/>
        <v/>
      </c>
      <c r="O55" s="43" t="str">
        <f t="shared" si="5"/>
        <v/>
      </c>
      <c r="P55" s="43" t="str">
        <f t="shared" si="5"/>
        <v/>
      </c>
      <c r="Q55" s="43" t="str">
        <f t="shared" si="5"/>
        <v/>
      </c>
      <c r="R55" s="43" t="str">
        <f t="shared" si="5"/>
        <v/>
      </c>
      <c r="S55" s="43" t="str">
        <f t="shared" si="5"/>
        <v/>
      </c>
      <c r="T55" s="43" t="str">
        <f t="shared" si="5"/>
        <v/>
      </c>
      <c r="U55" s="43" t="str">
        <f t="shared" si="5"/>
        <v/>
      </c>
      <c r="V55" s="43" t="str">
        <f t="shared" si="5"/>
        <v/>
      </c>
    </row>
    <row r="56" spans="1:22" x14ac:dyDescent="0.3">
      <c r="A56" s="42"/>
      <c r="B56" s="43" t="str">
        <f>IF($A56="","",SUMIFS([2]weekly_demand!$D:$D,[2]weekly_demand!$A:$A,B$1,[2]weekly_demand!$C:$C,$A56))</f>
        <v/>
      </c>
      <c r="C56" s="43" t="str">
        <f>IF($A56="","",SUMIFS([2]weekly_demand!$D:$D,[2]weekly_demand!$A:$A,C$1,[2]weekly_demand!$C:$C,$A56))</f>
        <v/>
      </c>
      <c r="D56" s="43" t="str">
        <f>IF($A56="","",SUMIFS([2]weekly_demand!$D:$D,[2]weekly_demand!$A:$A,D$1,[2]weekly_demand!$C:$C,$A56))</f>
        <v/>
      </c>
      <c r="E56" s="43" t="str">
        <f>IF($A56="","",SUMIFS([2]weekly_demand!$D:$D,[2]weekly_demand!$A:$A,E$1,[2]weekly_demand!$C:$C,$A56))</f>
        <v/>
      </c>
      <c r="F56" s="43" t="str">
        <f>IF($A56="","",SUMIFS([2]weekly_demand!$D:$D,[2]weekly_demand!$A:$A,F$1,[2]weekly_demand!$C:$C,$A56))</f>
        <v/>
      </c>
      <c r="G56" s="43" t="str">
        <f>IF($A56="","",SUMIFS([2]weekly_demand!$D:$D,[2]weekly_demand!$A:$A,G$1,[2]weekly_demand!$C:$C,$A56))</f>
        <v/>
      </c>
      <c r="H56" s="43" t="str">
        <f t="shared" si="5"/>
        <v/>
      </c>
      <c r="I56" s="43" t="str">
        <f t="shared" si="5"/>
        <v/>
      </c>
      <c r="J56" s="43" t="str">
        <f t="shared" si="5"/>
        <v/>
      </c>
      <c r="K56" s="43" t="str">
        <f t="shared" si="5"/>
        <v/>
      </c>
      <c r="L56" s="43" t="str">
        <f t="shared" si="5"/>
        <v/>
      </c>
      <c r="M56" s="43" t="str">
        <f t="shared" si="5"/>
        <v/>
      </c>
      <c r="N56" s="43" t="str">
        <f t="shared" si="5"/>
        <v/>
      </c>
      <c r="O56" s="43" t="str">
        <f t="shared" si="5"/>
        <v/>
      </c>
      <c r="P56" s="43" t="str">
        <f t="shared" si="5"/>
        <v/>
      </c>
      <c r="Q56" s="43" t="str">
        <f t="shared" si="5"/>
        <v/>
      </c>
      <c r="R56" s="43" t="str">
        <f t="shared" si="5"/>
        <v/>
      </c>
      <c r="S56" s="43" t="str">
        <f t="shared" si="5"/>
        <v/>
      </c>
      <c r="T56" s="43" t="str">
        <f t="shared" si="5"/>
        <v/>
      </c>
      <c r="U56" s="43" t="str">
        <f t="shared" si="5"/>
        <v/>
      </c>
      <c r="V56" s="43" t="str">
        <f t="shared" si="5"/>
        <v/>
      </c>
    </row>
    <row r="57" spans="1:22" x14ac:dyDescent="0.3">
      <c r="A57" s="42"/>
      <c r="B57" s="43" t="str">
        <f>IF($A57="","",SUMIFS([2]weekly_demand!$D:$D,[2]weekly_demand!$A:$A,B$1,[2]weekly_demand!$C:$C,$A57))</f>
        <v/>
      </c>
      <c r="C57" s="43" t="str">
        <f>IF($A57="","",SUMIFS([2]weekly_demand!$D:$D,[2]weekly_demand!$A:$A,C$1,[2]weekly_demand!$C:$C,$A57))</f>
        <v/>
      </c>
      <c r="D57" s="43" t="str">
        <f>IF($A57="","",SUMIFS([2]weekly_demand!$D:$D,[2]weekly_demand!$A:$A,D$1,[2]weekly_demand!$C:$C,$A57))</f>
        <v/>
      </c>
      <c r="E57" s="43" t="str">
        <f>IF($A57="","",SUMIFS([2]weekly_demand!$D:$D,[2]weekly_demand!$A:$A,E$1,[2]weekly_demand!$C:$C,$A57))</f>
        <v/>
      </c>
      <c r="F57" s="43" t="str">
        <f>IF($A57="","",SUMIFS([2]weekly_demand!$D:$D,[2]weekly_demand!$A:$A,F$1,[2]weekly_demand!$C:$C,$A57))</f>
        <v/>
      </c>
      <c r="G57" s="43" t="str">
        <f>IF($A57="","",SUMIFS([2]weekly_demand!$D:$D,[2]weekly_demand!$A:$A,G$1,[2]weekly_demand!$C:$C,$A57))</f>
        <v/>
      </c>
      <c r="H57" s="43" t="str">
        <f t="shared" si="5"/>
        <v/>
      </c>
      <c r="I57" s="43" t="str">
        <f t="shared" si="5"/>
        <v/>
      </c>
      <c r="J57" s="43" t="str">
        <f t="shared" si="5"/>
        <v/>
      </c>
      <c r="K57" s="43" t="str">
        <f t="shared" si="5"/>
        <v/>
      </c>
      <c r="L57" s="43" t="str">
        <f t="shared" si="5"/>
        <v/>
      </c>
      <c r="M57" s="43" t="str">
        <f t="shared" si="5"/>
        <v/>
      </c>
      <c r="N57" s="43" t="str">
        <f t="shared" si="5"/>
        <v/>
      </c>
      <c r="O57" s="43" t="str">
        <f t="shared" si="5"/>
        <v/>
      </c>
      <c r="P57" s="43" t="str">
        <f t="shared" si="5"/>
        <v/>
      </c>
      <c r="Q57" s="43" t="str">
        <f t="shared" si="5"/>
        <v/>
      </c>
      <c r="R57" s="43" t="str">
        <f t="shared" si="5"/>
        <v/>
      </c>
      <c r="S57" s="43" t="str">
        <f t="shared" si="5"/>
        <v/>
      </c>
      <c r="T57" s="43" t="str">
        <f t="shared" si="5"/>
        <v/>
      </c>
      <c r="U57" s="43" t="str">
        <f t="shared" si="5"/>
        <v/>
      </c>
      <c r="V57" s="43" t="str">
        <f t="shared" si="5"/>
        <v/>
      </c>
    </row>
    <row r="58" spans="1:22" x14ac:dyDescent="0.3">
      <c r="A58" s="42"/>
      <c r="B58" s="43" t="str">
        <f>IF($A58="","",SUMIFS([2]weekly_demand!$D:$D,[2]weekly_demand!$A:$A,B$1,[2]weekly_demand!$C:$C,$A58))</f>
        <v/>
      </c>
      <c r="C58" s="43" t="str">
        <f>IF($A58="","",SUMIFS([2]weekly_demand!$D:$D,[2]weekly_demand!$A:$A,C$1,[2]weekly_demand!$C:$C,$A58))</f>
        <v/>
      </c>
      <c r="D58" s="43" t="str">
        <f>IF($A58="","",SUMIFS([2]weekly_demand!$D:$D,[2]weekly_demand!$A:$A,D$1,[2]weekly_demand!$C:$C,$A58))</f>
        <v/>
      </c>
      <c r="E58" s="43" t="str">
        <f>IF($A58="","",SUMIFS([2]weekly_demand!$D:$D,[2]weekly_demand!$A:$A,E$1,[2]weekly_demand!$C:$C,$A58))</f>
        <v/>
      </c>
      <c r="F58" s="43" t="str">
        <f>IF($A58="","",SUMIFS([2]weekly_demand!$D:$D,[2]weekly_demand!$A:$A,F$1,[2]weekly_demand!$C:$C,$A58))</f>
        <v/>
      </c>
      <c r="G58" s="43" t="str">
        <f>IF($A58="","",SUMIFS([2]weekly_demand!$D:$D,[2]weekly_demand!$A:$A,G$1,[2]weekly_demand!$C:$C,$A58))</f>
        <v/>
      </c>
      <c r="H58" s="43" t="str">
        <f t="shared" si="5"/>
        <v/>
      </c>
      <c r="I58" s="43" t="str">
        <f t="shared" si="5"/>
        <v/>
      </c>
      <c r="J58" s="43" t="str">
        <f t="shared" si="5"/>
        <v/>
      </c>
      <c r="K58" s="43" t="str">
        <f t="shared" si="5"/>
        <v/>
      </c>
      <c r="L58" s="43" t="str">
        <f t="shared" si="5"/>
        <v/>
      </c>
      <c r="M58" s="43" t="str">
        <f t="shared" si="5"/>
        <v/>
      </c>
      <c r="N58" s="43" t="str">
        <f t="shared" si="5"/>
        <v/>
      </c>
      <c r="O58" s="43" t="str">
        <f t="shared" si="5"/>
        <v/>
      </c>
      <c r="P58" s="43" t="str">
        <f t="shared" si="5"/>
        <v/>
      </c>
      <c r="Q58" s="43" t="str">
        <f t="shared" si="5"/>
        <v/>
      </c>
      <c r="R58" s="43" t="str">
        <f t="shared" si="5"/>
        <v/>
      </c>
      <c r="S58" s="43" t="str">
        <f t="shared" si="5"/>
        <v/>
      </c>
      <c r="T58" s="43" t="str">
        <f t="shared" si="5"/>
        <v/>
      </c>
      <c r="U58" s="43" t="str">
        <f t="shared" si="5"/>
        <v/>
      </c>
      <c r="V58" s="43" t="str">
        <f t="shared" si="5"/>
        <v/>
      </c>
    </row>
    <row r="59" spans="1:22" x14ac:dyDescent="0.3">
      <c r="A59" s="42"/>
      <c r="B59" s="43" t="str">
        <f>IF($A59="","",SUMIFS([2]weekly_demand!$D:$D,[2]weekly_demand!$A:$A,B$1,[2]weekly_demand!$C:$C,$A59))</f>
        <v/>
      </c>
      <c r="C59" s="43" t="str">
        <f>IF($A59="","",SUMIFS([2]weekly_demand!$D:$D,[2]weekly_demand!$A:$A,C$1,[2]weekly_demand!$C:$C,$A59))</f>
        <v/>
      </c>
      <c r="D59" s="43" t="str">
        <f>IF($A59="","",SUMIFS([2]weekly_demand!$D:$D,[2]weekly_demand!$A:$A,D$1,[2]weekly_demand!$C:$C,$A59))</f>
        <v/>
      </c>
      <c r="E59" s="43" t="str">
        <f>IF($A59="","",SUMIFS([2]weekly_demand!$D:$D,[2]weekly_demand!$A:$A,E$1,[2]weekly_demand!$C:$C,$A59))</f>
        <v/>
      </c>
      <c r="F59" s="43" t="str">
        <f>IF($A59="","",SUMIFS([2]weekly_demand!$D:$D,[2]weekly_demand!$A:$A,F$1,[2]weekly_demand!$C:$C,$A59))</f>
        <v/>
      </c>
      <c r="G59" s="43" t="str">
        <f>IF($A59="","",SUMIFS([2]weekly_demand!$D:$D,[2]weekly_demand!$A:$A,G$1,[2]weekly_demand!$C:$C,$A59))</f>
        <v/>
      </c>
      <c r="H59" s="43" t="str">
        <f t="shared" si="5"/>
        <v/>
      </c>
      <c r="I59" s="43" t="str">
        <f t="shared" si="5"/>
        <v/>
      </c>
      <c r="J59" s="43" t="str">
        <f t="shared" si="5"/>
        <v/>
      </c>
      <c r="K59" s="43" t="str">
        <f t="shared" si="5"/>
        <v/>
      </c>
      <c r="L59" s="43" t="str">
        <f t="shared" si="5"/>
        <v/>
      </c>
      <c r="M59" s="43" t="str">
        <f t="shared" si="5"/>
        <v/>
      </c>
      <c r="N59" s="43" t="str">
        <f t="shared" si="5"/>
        <v/>
      </c>
      <c r="O59" s="43" t="str">
        <f t="shared" si="5"/>
        <v/>
      </c>
      <c r="P59" s="43" t="str">
        <f t="shared" si="5"/>
        <v/>
      </c>
      <c r="Q59" s="43" t="str">
        <f t="shared" si="5"/>
        <v/>
      </c>
      <c r="R59" s="43" t="str">
        <f t="shared" si="5"/>
        <v/>
      </c>
      <c r="S59" s="43" t="str">
        <f t="shared" si="5"/>
        <v/>
      </c>
      <c r="T59" s="43" t="str">
        <f t="shared" si="5"/>
        <v/>
      </c>
      <c r="U59" s="43" t="str">
        <f t="shared" si="5"/>
        <v/>
      </c>
      <c r="V59" s="43" t="str">
        <f t="shared" si="5"/>
        <v/>
      </c>
    </row>
    <row r="60" spans="1:22" x14ac:dyDescent="0.3">
      <c r="A60" s="42"/>
      <c r="B60" s="43" t="str">
        <f>IF($A60="","",SUMIFS([2]weekly_demand!$D:$D,[2]weekly_demand!$A:$A,B$1,[2]weekly_demand!$C:$C,$A60))</f>
        <v/>
      </c>
      <c r="C60" s="43" t="str">
        <f>IF($A60="","",SUMIFS([2]weekly_demand!$D:$D,[2]weekly_demand!$A:$A,C$1,[2]weekly_demand!$C:$C,$A60))</f>
        <v/>
      </c>
      <c r="D60" s="43" t="str">
        <f>IF($A60="","",SUMIFS([2]weekly_demand!$D:$D,[2]weekly_demand!$A:$A,D$1,[2]weekly_demand!$C:$C,$A60))</f>
        <v/>
      </c>
      <c r="E60" s="43" t="str">
        <f>IF($A60="","",SUMIFS([2]weekly_demand!$D:$D,[2]weekly_demand!$A:$A,E$1,[2]weekly_demand!$C:$C,$A60))</f>
        <v/>
      </c>
      <c r="F60" s="43" t="str">
        <f>IF($A60="","",SUMIFS([2]weekly_demand!$D:$D,[2]weekly_demand!$A:$A,F$1,[2]weekly_demand!$C:$C,$A60))</f>
        <v/>
      </c>
      <c r="G60" s="43" t="str">
        <f>IF($A60="","",SUMIFS([2]weekly_demand!$D:$D,[2]weekly_demand!$A:$A,G$1,[2]weekly_demand!$C:$C,$A60))</f>
        <v/>
      </c>
      <c r="H60" s="43" t="str">
        <f t="shared" si="5"/>
        <v/>
      </c>
      <c r="I60" s="43" t="str">
        <f t="shared" si="5"/>
        <v/>
      </c>
      <c r="J60" s="43" t="str">
        <f t="shared" si="5"/>
        <v/>
      </c>
      <c r="K60" s="43" t="str">
        <f t="shared" si="5"/>
        <v/>
      </c>
      <c r="L60" s="43" t="str">
        <f t="shared" si="5"/>
        <v/>
      </c>
      <c r="M60" s="43" t="str">
        <f t="shared" si="5"/>
        <v/>
      </c>
      <c r="N60" s="43" t="str">
        <f t="shared" si="5"/>
        <v/>
      </c>
      <c r="O60" s="43" t="str">
        <f t="shared" si="5"/>
        <v/>
      </c>
      <c r="P60" s="43" t="str">
        <f t="shared" si="5"/>
        <v/>
      </c>
      <c r="Q60" s="43" t="str">
        <f t="shared" si="5"/>
        <v/>
      </c>
      <c r="R60" s="43" t="str">
        <f t="shared" si="5"/>
        <v/>
      </c>
      <c r="S60" s="43" t="str">
        <f t="shared" si="5"/>
        <v/>
      </c>
      <c r="T60" s="43" t="str">
        <f t="shared" si="5"/>
        <v/>
      </c>
      <c r="U60" s="43" t="str">
        <f t="shared" si="5"/>
        <v/>
      </c>
      <c r="V60" s="43" t="str">
        <f t="shared" si="5"/>
        <v/>
      </c>
    </row>
    <row r="61" spans="1:22" x14ac:dyDescent="0.3">
      <c r="A61" s="42"/>
      <c r="B61" s="43" t="str">
        <f>IF($A61="","",SUMIFS([2]weekly_demand!$D:$D,[2]weekly_demand!$A:$A,B$1,[2]weekly_demand!$C:$C,$A61))</f>
        <v/>
      </c>
      <c r="C61" s="43" t="str">
        <f>IF($A61="","",SUMIFS([2]weekly_demand!$D:$D,[2]weekly_demand!$A:$A,C$1,[2]weekly_demand!$C:$C,$A61))</f>
        <v/>
      </c>
      <c r="D61" s="43" t="str">
        <f>IF($A61="","",SUMIFS([2]weekly_demand!$D:$D,[2]weekly_demand!$A:$A,D$1,[2]weekly_demand!$C:$C,$A61))</f>
        <v/>
      </c>
      <c r="E61" s="43" t="str">
        <f>IF($A61="","",SUMIFS([2]weekly_demand!$D:$D,[2]weekly_demand!$A:$A,E$1,[2]weekly_demand!$C:$C,$A61))</f>
        <v/>
      </c>
      <c r="F61" s="43" t="str">
        <f>IF($A61="","",SUMIFS([2]weekly_demand!$D:$D,[2]weekly_demand!$A:$A,F$1,[2]weekly_demand!$C:$C,$A61))</f>
        <v/>
      </c>
      <c r="G61" s="43" t="str">
        <f>IF($A61="","",SUMIFS([2]weekly_demand!$D:$D,[2]weekly_demand!$A:$A,G$1,[2]weekly_demand!$C:$C,$A61))</f>
        <v/>
      </c>
      <c r="H61" s="43" t="str">
        <f t="shared" si="5"/>
        <v/>
      </c>
      <c r="I61" s="43" t="str">
        <f t="shared" si="5"/>
        <v/>
      </c>
      <c r="J61" s="43" t="str">
        <f t="shared" si="5"/>
        <v/>
      </c>
      <c r="K61" s="43" t="str">
        <f t="shared" si="5"/>
        <v/>
      </c>
      <c r="L61" s="43" t="str">
        <f t="shared" si="5"/>
        <v/>
      </c>
      <c r="M61" s="43" t="str">
        <f t="shared" si="5"/>
        <v/>
      </c>
      <c r="N61" s="43" t="str">
        <f t="shared" si="5"/>
        <v/>
      </c>
      <c r="O61" s="43" t="str">
        <f t="shared" si="5"/>
        <v/>
      </c>
      <c r="P61" s="43" t="str">
        <f t="shared" si="5"/>
        <v/>
      </c>
      <c r="Q61" s="43" t="str">
        <f t="shared" si="5"/>
        <v/>
      </c>
      <c r="R61" s="43" t="str">
        <f t="shared" si="5"/>
        <v/>
      </c>
      <c r="S61" s="43" t="str">
        <f t="shared" si="5"/>
        <v/>
      </c>
      <c r="T61" s="43" t="str">
        <f t="shared" si="5"/>
        <v/>
      </c>
      <c r="U61" s="43" t="str">
        <f t="shared" si="5"/>
        <v/>
      </c>
      <c r="V61" s="43" t="str">
        <f t="shared" si="5"/>
        <v/>
      </c>
    </row>
    <row r="62" spans="1:22" x14ac:dyDescent="0.3">
      <c r="A62" s="42"/>
      <c r="B62" s="43" t="str">
        <f>IF($A62="","",SUMIFS([2]weekly_demand!$D:$D,[2]weekly_demand!$A:$A,B$1,[2]weekly_demand!$C:$C,$A62))</f>
        <v/>
      </c>
      <c r="C62" s="43" t="str">
        <f>IF($A62="","",SUMIFS([2]weekly_demand!$D:$D,[2]weekly_demand!$A:$A,C$1,[2]weekly_demand!$C:$C,$A62))</f>
        <v/>
      </c>
      <c r="D62" s="43" t="str">
        <f>IF($A62="","",SUMIFS([2]weekly_demand!$D:$D,[2]weekly_demand!$A:$A,D$1,[2]weekly_demand!$C:$C,$A62))</f>
        <v/>
      </c>
      <c r="E62" s="43" t="str">
        <f>IF($A62="","",SUMIFS([2]weekly_demand!$D:$D,[2]weekly_demand!$A:$A,E$1,[2]weekly_demand!$C:$C,$A62))</f>
        <v/>
      </c>
      <c r="F62" s="43" t="str">
        <f>IF($A62="","",SUMIFS([2]weekly_demand!$D:$D,[2]weekly_demand!$A:$A,F$1,[2]weekly_demand!$C:$C,$A62))</f>
        <v/>
      </c>
      <c r="G62" s="43" t="str">
        <f>IF($A62="","",SUMIFS([2]weekly_demand!$D:$D,[2]weekly_demand!$A:$A,G$1,[2]weekly_demand!$C:$C,$A62))</f>
        <v/>
      </c>
      <c r="H62" s="43" t="str">
        <f t="shared" ref="H62:V71" si="6">IF($A62="","",SUMPRODUCT($B62:$G62,INDEX($Y$2:$AD$16,MATCH(H$1,$X$2:$X$16,0),0)))</f>
        <v/>
      </c>
      <c r="I62" s="43" t="str">
        <f t="shared" si="6"/>
        <v/>
      </c>
      <c r="J62" s="43" t="str">
        <f t="shared" si="6"/>
        <v/>
      </c>
      <c r="K62" s="43" t="str">
        <f t="shared" si="6"/>
        <v/>
      </c>
      <c r="L62" s="43" t="str">
        <f t="shared" si="6"/>
        <v/>
      </c>
      <c r="M62" s="43" t="str">
        <f t="shared" si="6"/>
        <v/>
      </c>
      <c r="N62" s="43" t="str">
        <f t="shared" si="6"/>
        <v/>
      </c>
      <c r="O62" s="43" t="str">
        <f t="shared" si="6"/>
        <v/>
      </c>
      <c r="P62" s="43" t="str">
        <f t="shared" si="6"/>
        <v/>
      </c>
      <c r="Q62" s="43" t="str">
        <f t="shared" si="6"/>
        <v/>
      </c>
      <c r="R62" s="43" t="str">
        <f t="shared" si="6"/>
        <v/>
      </c>
      <c r="S62" s="43" t="str">
        <f t="shared" si="6"/>
        <v/>
      </c>
      <c r="T62" s="43" t="str">
        <f t="shared" si="6"/>
        <v/>
      </c>
      <c r="U62" s="43" t="str">
        <f t="shared" si="6"/>
        <v/>
      </c>
      <c r="V62" s="43" t="str">
        <f t="shared" si="6"/>
        <v/>
      </c>
    </row>
    <row r="63" spans="1:22" x14ac:dyDescent="0.3">
      <c r="A63" s="42"/>
      <c r="B63" s="43" t="str">
        <f>IF($A63="","",SUMIFS([2]weekly_demand!$D:$D,[2]weekly_demand!$A:$A,B$1,[2]weekly_demand!$C:$C,$A63))</f>
        <v/>
      </c>
      <c r="C63" s="43" t="str">
        <f>IF($A63="","",SUMIFS([2]weekly_demand!$D:$D,[2]weekly_demand!$A:$A,C$1,[2]weekly_demand!$C:$C,$A63))</f>
        <v/>
      </c>
      <c r="D63" s="43" t="str">
        <f>IF($A63="","",SUMIFS([2]weekly_demand!$D:$D,[2]weekly_demand!$A:$A,D$1,[2]weekly_demand!$C:$C,$A63))</f>
        <v/>
      </c>
      <c r="E63" s="43" t="str">
        <f>IF($A63="","",SUMIFS([2]weekly_demand!$D:$D,[2]weekly_demand!$A:$A,E$1,[2]weekly_demand!$C:$C,$A63))</f>
        <v/>
      </c>
      <c r="F63" s="43" t="str">
        <f>IF($A63="","",SUMIFS([2]weekly_demand!$D:$D,[2]weekly_demand!$A:$A,F$1,[2]weekly_demand!$C:$C,$A63))</f>
        <v/>
      </c>
      <c r="G63" s="43" t="str">
        <f>IF($A63="","",SUMIFS([2]weekly_demand!$D:$D,[2]weekly_demand!$A:$A,G$1,[2]weekly_demand!$C:$C,$A63))</f>
        <v/>
      </c>
      <c r="H63" s="43" t="str">
        <f t="shared" si="6"/>
        <v/>
      </c>
      <c r="I63" s="43" t="str">
        <f t="shared" si="6"/>
        <v/>
      </c>
      <c r="J63" s="43" t="str">
        <f t="shared" si="6"/>
        <v/>
      </c>
      <c r="K63" s="43" t="str">
        <f t="shared" si="6"/>
        <v/>
      </c>
      <c r="L63" s="43" t="str">
        <f t="shared" si="6"/>
        <v/>
      </c>
      <c r="M63" s="43" t="str">
        <f t="shared" si="6"/>
        <v/>
      </c>
      <c r="N63" s="43" t="str">
        <f t="shared" si="6"/>
        <v/>
      </c>
      <c r="O63" s="43" t="str">
        <f t="shared" si="6"/>
        <v/>
      </c>
      <c r="P63" s="43" t="str">
        <f t="shared" si="6"/>
        <v/>
      </c>
      <c r="Q63" s="43" t="str">
        <f t="shared" si="6"/>
        <v/>
      </c>
      <c r="R63" s="43" t="str">
        <f t="shared" si="6"/>
        <v/>
      </c>
      <c r="S63" s="43" t="str">
        <f t="shared" si="6"/>
        <v/>
      </c>
      <c r="T63" s="43" t="str">
        <f t="shared" si="6"/>
        <v/>
      </c>
      <c r="U63" s="43" t="str">
        <f t="shared" si="6"/>
        <v/>
      </c>
      <c r="V63" s="43" t="str">
        <f t="shared" si="6"/>
        <v/>
      </c>
    </row>
    <row r="64" spans="1:22" x14ac:dyDescent="0.3">
      <c r="A64" s="42"/>
      <c r="B64" s="43" t="str">
        <f>IF($A64="","",SUMIFS([2]weekly_demand!$D:$D,[2]weekly_demand!$A:$A,B$1,[2]weekly_demand!$C:$C,$A64))</f>
        <v/>
      </c>
      <c r="C64" s="43" t="str">
        <f>IF($A64="","",SUMIFS([2]weekly_demand!$D:$D,[2]weekly_demand!$A:$A,C$1,[2]weekly_demand!$C:$C,$A64))</f>
        <v/>
      </c>
      <c r="D64" s="43" t="str">
        <f>IF($A64="","",SUMIFS([2]weekly_demand!$D:$D,[2]weekly_demand!$A:$A,D$1,[2]weekly_demand!$C:$C,$A64))</f>
        <v/>
      </c>
      <c r="E64" s="43" t="str">
        <f>IF($A64="","",SUMIFS([2]weekly_demand!$D:$D,[2]weekly_demand!$A:$A,E$1,[2]weekly_demand!$C:$C,$A64))</f>
        <v/>
      </c>
      <c r="F64" s="43" t="str">
        <f>IF($A64="","",SUMIFS([2]weekly_demand!$D:$D,[2]weekly_demand!$A:$A,F$1,[2]weekly_demand!$C:$C,$A64))</f>
        <v/>
      </c>
      <c r="G64" s="43" t="str">
        <f>IF($A64="","",SUMIFS([2]weekly_demand!$D:$D,[2]weekly_demand!$A:$A,G$1,[2]weekly_demand!$C:$C,$A64))</f>
        <v/>
      </c>
      <c r="H64" s="43" t="str">
        <f t="shared" si="6"/>
        <v/>
      </c>
      <c r="I64" s="43" t="str">
        <f t="shared" si="6"/>
        <v/>
      </c>
      <c r="J64" s="43" t="str">
        <f t="shared" si="6"/>
        <v/>
      </c>
      <c r="K64" s="43" t="str">
        <f t="shared" si="6"/>
        <v/>
      </c>
      <c r="L64" s="43" t="str">
        <f t="shared" si="6"/>
        <v/>
      </c>
      <c r="M64" s="43" t="str">
        <f t="shared" si="6"/>
        <v/>
      </c>
      <c r="N64" s="43" t="str">
        <f t="shared" si="6"/>
        <v/>
      </c>
      <c r="O64" s="43" t="str">
        <f t="shared" si="6"/>
        <v/>
      </c>
      <c r="P64" s="43" t="str">
        <f t="shared" si="6"/>
        <v/>
      </c>
      <c r="Q64" s="43" t="str">
        <f t="shared" si="6"/>
        <v/>
      </c>
      <c r="R64" s="43" t="str">
        <f t="shared" si="6"/>
        <v/>
      </c>
      <c r="S64" s="43" t="str">
        <f t="shared" si="6"/>
        <v/>
      </c>
      <c r="T64" s="43" t="str">
        <f t="shared" si="6"/>
        <v/>
      </c>
      <c r="U64" s="43" t="str">
        <f t="shared" si="6"/>
        <v/>
      </c>
      <c r="V64" s="43" t="str">
        <f t="shared" si="6"/>
        <v/>
      </c>
    </row>
    <row r="65" spans="1:22" x14ac:dyDescent="0.3">
      <c r="A65" s="42"/>
      <c r="B65" s="43" t="str">
        <f>IF($A65="","",SUMIFS([2]weekly_demand!$D:$D,[2]weekly_demand!$A:$A,B$1,[2]weekly_demand!$C:$C,$A65))</f>
        <v/>
      </c>
      <c r="C65" s="43" t="str">
        <f>IF($A65="","",SUMIFS([2]weekly_demand!$D:$D,[2]weekly_demand!$A:$A,C$1,[2]weekly_demand!$C:$C,$A65))</f>
        <v/>
      </c>
      <c r="D65" s="43" t="str">
        <f>IF($A65="","",SUMIFS([2]weekly_demand!$D:$D,[2]weekly_demand!$A:$A,D$1,[2]weekly_demand!$C:$C,$A65))</f>
        <v/>
      </c>
      <c r="E65" s="43" t="str">
        <f>IF($A65="","",SUMIFS([2]weekly_demand!$D:$D,[2]weekly_demand!$A:$A,E$1,[2]weekly_demand!$C:$C,$A65))</f>
        <v/>
      </c>
      <c r="F65" s="43" t="str">
        <f>IF($A65="","",SUMIFS([2]weekly_demand!$D:$D,[2]weekly_demand!$A:$A,F$1,[2]weekly_demand!$C:$C,$A65))</f>
        <v/>
      </c>
      <c r="G65" s="43" t="str">
        <f>IF($A65="","",SUMIFS([2]weekly_demand!$D:$D,[2]weekly_demand!$A:$A,G$1,[2]weekly_demand!$C:$C,$A65))</f>
        <v/>
      </c>
      <c r="H65" s="43" t="str">
        <f t="shared" si="6"/>
        <v/>
      </c>
      <c r="I65" s="43" t="str">
        <f t="shared" si="6"/>
        <v/>
      </c>
      <c r="J65" s="43" t="str">
        <f t="shared" si="6"/>
        <v/>
      </c>
      <c r="K65" s="43" t="str">
        <f t="shared" si="6"/>
        <v/>
      </c>
      <c r="L65" s="43" t="str">
        <f t="shared" si="6"/>
        <v/>
      </c>
      <c r="M65" s="43" t="str">
        <f t="shared" si="6"/>
        <v/>
      </c>
      <c r="N65" s="43" t="str">
        <f t="shared" si="6"/>
        <v/>
      </c>
      <c r="O65" s="43" t="str">
        <f t="shared" si="6"/>
        <v/>
      </c>
      <c r="P65" s="43" t="str">
        <f t="shared" si="6"/>
        <v/>
      </c>
      <c r="Q65" s="43" t="str">
        <f t="shared" si="6"/>
        <v/>
      </c>
      <c r="R65" s="43" t="str">
        <f t="shared" si="6"/>
        <v/>
      </c>
      <c r="S65" s="43" t="str">
        <f t="shared" si="6"/>
        <v/>
      </c>
      <c r="T65" s="43" t="str">
        <f t="shared" si="6"/>
        <v/>
      </c>
      <c r="U65" s="43" t="str">
        <f t="shared" si="6"/>
        <v/>
      </c>
      <c r="V65" s="43" t="str">
        <f t="shared" si="6"/>
        <v/>
      </c>
    </row>
    <row r="66" spans="1:22" x14ac:dyDescent="0.3">
      <c r="A66" s="42"/>
      <c r="B66" s="43" t="str">
        <f>IF($A66="","",SUMIFS([2]weekly_demand!$D:$D,[2]weekly_demand!$A:$A,B$1,[2]weekly_demand!$C:$C,$A66))</f>
        <v/>
      </c>
      <c r="C66" s="43" t="str">
        <f>IF($A66="","",SUMIFS([2]weekly_demand!$D:$D,[2]weekly_demand!$A:$A,C$1,[2]weekly_demand!$C:$C,$A66))</f>
        <v/>
      </c>
      <c r="D66" s="43" t="str">
        <f>IF($A66="","",SUMIFS([2]weekly_demand!$D:$D,[2]weekly_demand!$A:$A,D$1,[2]weekly_demand!$C:$C,$A66))</f>
        <v/>
      </c>
      <c r="E66" s="43" t="str">
        <f>IF($A66="","",SUMIFS([2]weekly_demand!$D:$D,[2]weekly_demand!$A:$A,E$1,[2]weekly_demand!$C:$C,$A66))</f>
        <v/>
      </c>
      <c r="F66" s="43" t="str">
        <f>IF($A66="","",SUMIFS([2]weekly_demand!$D:$D,[2]weekly_demand!$A:$A,F$1,[2]weekly_demand!$C:$C,$A66))</f>
        <v/>
      </c>
      <c r="G66" s="43" t="str">
        <f>IF($A66="","",SUMIFS([2]weekly_demand!$D:$D,[2]weekly_demand!$A:$A,G$1,[2]weekly_demand!$C:$C,$A66))</f>
        <v/>
      </c>
      <c r="H66" s="43" t="str">
        <f t="shared" si="6"/>
        <v/>
      </c>
      <c r="I66" s="43" t="str">
        <f t="shared" si="6"/>
        <v/>
      </c>
      <c r="J66" s="43" t="str">
        <f t="shared" si="6"/>
        <v/>
      </c>
      <c r="K66" s="43" t="str">
        <f t="shared" si="6"/>
        <v/>
      </c>
      <c r="L66" s="43" t="str">
        <f t="shared" si="6"/>
        <v/>
      </c>
      <c r="M66" s="43" t="str">
        <f t="shared" si="6"/>
        <v/>
      </c>
      <c r="N66" s="43" t="str">
        <f t="shared" si="6"/>
        <v/>
      </c>
      <c r="O66" s="43" t="str">
        <f t="shared" si="6"/>
        <v/>
      </c>
      <c r="P66" s="43" t="str">
        <f t="shared" si="6"/>
        <v/>
      </c>
      <c r="Q66" s="43" t="str">
        <f t="shared" si="6"/>
        <v/>
      </c>
      <c r="R66" s="43" t="str">
        <f t="shared" si="6"/>
        <v/>
      </c>
      <c r="S66" s="43" t="str">
        <f t="shared" si="6"/>
        <v/>
      </c>
      <c r="T66" s="43" t="str">
        <f t="shared" si="6"/>
        <v/>
      </c>
      <c r="U66" s="43" t="str">
        <f t="shared" si="6"/>
        <v/>
      </c>
      <c r="V66" s="43" t="str">
        <f t="shared" si="6"/>
        <v/>
      </c>
    </row>
    <row r="67" spans="1:22" x14ac:dyDescent="0.3">
      <c r="A67" s="42"/>
      <c r="B67" s="43" t="str">
        <f>IF($A67="","",SUMIFS([2]weekly_demand!$D:$D,[2]weekly_demand!$A:$A,B$1,[2]weekly_demand!$C:$C,$A67))</f>
        <v/>
      </c>
      <c r="C67" s="43" t="str">
        <f>IF($A67="","",SUMIFS([2]weekly_demand!$D:$D,[2]weekly_demand!$A:$A,C$1,[2]weekly_demand!$C:$C,$A67))</f>
        <v/>
      </c>
      <c r="D67" s="43" t="str">
        <f>IF($A67="","",SUMIFS([2]weekly_demand!$D:$D,[2]weekly_demand!$A:$A,D$1,[2]weekly_demand!$C:$C,$A67))</f>
        <v/>
      </c>
      <c r="E67" s="43" t="str">
        <f>IF($A67="","",SUMIFS([2]weekly_demand!$D:$D,[2]weekly_demand!$A:$A,E$1,[2]weekly_demand!$C:$C,$A67))</f>
        <v/>
      </c>
      <c r="F67" s="43" t="str">
        <f>IF($A67="","",SUMIFS([2]weekly_demand!$D:$D,[2]weekly_demand!$A:$A,F$1,[2]weekly_demand!$C:$C,$A67))</f>
        <v/>
      </c>
      <c r="G67" s="43" t="str">
        <f>IF($A67="","",SUMIFS([2]weekly_demand!$D:$D,[2]weekly_demand!$A:$A,G$1,[2]weekly_demand!$C:$C,$A67))</f>
        <v/>
      </c>
      <c r="H67" s="43" t="str">
        <f t="shared" si="6"/>
        <v/>
      </c>
      <c r="I67" s="43" t="str">
        <f t="shared" si="6"/>
        <v/>
      </c>
      <c r="J67" s="43" t="str">
        <f t="shared" si="6"/>
        <v/>
      </c>
      <c r="K67" s="43" t="str">
        <f t="shared" si="6"/>
        <v/>
      </c>
      <c r="L67" s="43" t="str">
        <f t="shared" si="6"/>
        <v/>
      </c>
      <c r="M67" s="43" t="str">
        <f t="shared" si="6"/>
        <v/>
      </c>
      <c r="N67" s="43" t="str">
        <f t="shared" si="6"/>
        <v/>
      </c>
      <c r="O67" s="43" t="str">
        <f t="shared" si="6"/>
        <v/>
      </c>
      <c r="P67" s="43" t="str">
        <f t="shared" si="6"/>
        <v/>
      </c>
      <c r="Q67" s="43" t="str">
        <f t="shared" si="6"/>
        <v/>
      </c>
      <c r="R67" s="43" t="str">
        <f t="shared" si="6"/>
        <v/>
      </c>
      <c r="S67" s="43" t="str">
        <f t="shared" si="6"/>
        <v/>
      </c>
      <c r="T67" s="43" t="str">
        <f t="shared" si="6"/>
        <v/>
      </c>
      <c r="U67" s="43" t="str">
        <f t="shared" si="6"/>
        <v/>
      </c>
      <c r="V67" s="43" t="str">
        <f t="shared" si="6"/>
        <v/>
      </c>
    </row>
    <row r="68" spans="1:22" x14ac:dyDescent="0.3">
      <c r="A68" s="42"/>
      <c r="B68" s="43" t="str">
        <f>IF($A68="","",SUMIFS([2]weekly_demand!$D:$D,[2]weekly_demand!$A:$A,B$1,[2]weekly_demand!$C:$C,$A68))</f>
        <v/>
      </c>
      <c r="C68" s="43" t="str">
        <f>IF($A68="","",SUMIFS([2]weekly_demand!$D:$D,[2]weekly_demand!$A:$A,C$1,[2]weekly_demand!$C:$C,$A68))</f>
        <v/>
      </c>
      <c r="D68" s="43" t="str">
        <f>IF($A68="","",SUMIFS([2]weekly_demand!$D:$D,[2]weekly_demand!$A:$A,D$1,[2]weekly_demand!$C:$C,$A68))</f>
        <v/>
      </c>
      <c r="E68" s="43" t="str">
        <f>IF($A68="","",SUMIFS([2]weekly_demand!$D:$D,[2]weekly_demand!$A:$A,E$1,[2]weekly_demand!$C:$C,$A68))</f>
        <v/>
      </c>
      <c r="F68" s="43" t="str">
        <f>IF($A68="","",SUMIFS([2]weekly_demand!$D:$D,[2]weekly_demand!$A:$A,F$1,[2]weekly_demand!$C:$C,$A68))</f>
        <v/>
      </c>
      <c r="G68" s="43" t="str">
        <f>IF($A68="","",SUMIFS([2]weekly_demand!$D:$D,[2]weekly_demand!$A:$A,G$1,[2]weekly_demand!$C:$C,$A68))</f>
        <v/>
      </c>
      <c r="H68" s="43" t="str">
        <f t="shared" si="6"/>
        <v/>
      </c>
      <c r="I68" s="43" t="str">
        <f t="shared" si="6"/>
        <v/>
      </c>
      <c r="J68" s="43" t="str">
        <f t="shared" si="6"/>
        <v/>
      </c>
      <c r="K68" s="43" t="str">
        <f t="shared" si="6"/>
        <v/>
      </c>
      <c r="L68" s="43" t="str">
        <f t="shared" si="6"/>
        <v/>
      </c>
      <c r="M68" s="43" t="str">
        <f t="shared" si="6"/>
        <v/>
      </c>
      <c r="N68" s="43" t="str">
        <f t="shared" si="6"/>
        <v/>
      </c>
      <c r="O68" s="43" t="str">
        <f t="shared" si="6"/>
        <v/>
      </c>
      <c r="P68" s="43" t="str">
        <f t="shared" si="6"/>
        <v/>
      </c>
      <c r="Q68" s="43" t="str">
        <f t="shared" si="6"/>
        <v/>
      </c>
      <c r="R68" s="43" t="str">
        <f t="shared" si="6"/>
        <v/>
      </c>
      <c r="S68" s="43" t="str">
        <f t="shared" si="6"/>
        <v/>
      </c>
      <c r="T68" s="43" t="str">
        <f t="shared" si="6"/>
        <v/>
      </c>
      <c r="U68" s="43" t="str">
        <f t="shared" si="6"/>
        <v/>
      </c>
      <c r="V68" s="43" t="str">
        <f t="shared" si="6"/>
        <v/>
      </c>
    </row>
    <row r="69" spans="1:22" x14ac:dyDescent="0.3">
      <c r="A69" s="42"/>
      <c r="B69" s="43" t="str">
        <f>IF($A69="","",SUMIFS([2]weekly_demand!$D:$D,[2]weekly_demand!$A:$A,B$1,[2]weekly_demand!$C:$C,$A69))</f>
        <v/>
      </c>
      <c r="C69" s="43" t="str">
        <f>IF($A69="","",SUMIFS([2]weekly_demand!$D:$D,[2]weekly_demand!$A:$A,C$1,[2]weekly_demand!$C:$C,$A69))</f>
        <v/>
      </c>
      <c r="D69" s="43" t="str">
        <f>IF($A69="","",SUMIFS([2]weekly_demand!$D:$D,[2]weekly_demand!$A:$A,D$1,[2]weekly_demand!$C:$C,$A69))</f>
        <v/>
      </c>
      <c r="E69" s="43" t="str">
        <f>IF($A69="","",SUMIFS([2]weekly_demand!$D:$D,[2]weekly_demand!$A:$A,E$1,[2]weekly_demand!$C:$C,$A69))</f>
        <v/>
      </c>
      <c r="F69" s="43" t="str">
        <f>IF($A69="","",SUMIFS([2]weekly_demand!$D:$D,[2]weekly_demand!$A:$A,F$1,[2]weekly_demand!$C:$C,$A69))</f>
        <v/>
      </c>
      <c r="G69" s="43" t="str">
        <f>IF($A69="","",SUMIFS([2]weekly_demand!$D:$D,[2]weekly_demand!$A:$A,G$1,[2]weekly_demand!$C:$C,$A69))</f>
        <v/>
      </c>
      <c r="H69" s="43" t="str">
        <f t="shared" si="6"/>
        <v/>
      </c>
      <c r="I69" s="43" t="str">
        <f t="shared" si="6"/>
        <v/>
      </c>
      <c r="J69" s="43" t="str">
        <f t="shared" si="6"/>
        <v/>
      </c>
      <c r="K69" s="43" t="str">
        <f t="shared" si="6"/>
        <v/>
      </c>
      <c r="L69" s="43" t="str">
        <f t="shared" si="6"/>
        <v/>
      </c>
      <c r="M69" s="43" t="str">
        <f t="shared" si="6"/>
        <v/>
      </c>
      <c r="N69" s="43" t="str">
        <f t="shared" si="6"/>
        <v/>
      </c>
      <c r="O69" s="43" t="str">
        <f t="shared" si="6"/>
        <v/>
      </c>
      <c r="P69" s="43" t="str">
        <f t="shared" si="6"/>
        <v/>
      </c>
      <c r="Q69" s="43" t="str">
        <f t="shared" si="6"/>
        <v/>
      </c>
      <c r="R69" s="43" t="str">
        <f t="shared" si="6"/>
        <v/>
      </c>
      <c r="S69" s="43" t="str">
        <f t="shared" si="6"/>
        <v/>
      </c>
      <c r="T69" s="43" t="str">
        <f t="shared" si="6"/>
        <v/>
      </c>
      <c r="U69" s="43" t="str">
        <f t="shared" si="6"/>
        <v/>
      </c>
      <c r="V69" s="43" t="str">
        <f t="shared" si="6"/>
        <v/>
      </c>
    </row>
    <row r="70" spans="1:22" x14ac:dyDescent="0.3">
      <c r="A70" s="42"/>
      <c r="B70" s="43" t="str">
        <f>IF($A70="","",SUMIFS([2]weekly_demand!$D:$D,[2]weekly_demand!$A:$A,B$1,[2]weekly_demand!$C:$C,$A70))</f>
        <v/>
      </c>
      <c r="C70" s="43" t="str">
        <f>IF($A70="","",SUMIFS([2]weekly_demand!$D:$D,[2]weekly_demand!$A:$A,C$1,[2]weekly_demand!$C:$C,$A70))</f>
        <v/>
      </c>
      <c r="D70" s="43" t="str">
        <f>IF($A70="","",SUMIFS([2]weekly_demand!$D:$D,[2]weekly_demand!$A:$A,D$1,[2]weekly_demand!$C:$C,$A70))</f>
        <v/>
      </c>
      <c r="E70" s="43" t="str">
        <f>IF($A70="","",SUMIFS([2]weekly_demand!$D:$D,[2]weekly_demand!$A:$A,E$1,[2]weekly_demand!$C:$C,$A70))</f>
        <v/>
      </c>
      <c r="F70" s="43" t="str">
        <f>IF($A70="","",SUMIFS([2]weekly_demand!$D:$D,[2]weekly_demand!$A:$A,F$1,[2]weekly_demand!$C:$C,$A70))</f>
        <v/>
      </c>
      <c r="G70" s="43" t="str">
        <f>IF($A70="","",SUMIFS([2]weekly_demand!$D:$D,[2]weekly_demand!$A:$A,G$1,[2]weekly_demand!$C:$C,$A70))</f>
        <v/>
      </c>
      <c r="H70" s="43" t="str">
        <f t="shared" si="6"/>
        <v/>
      </c>
      <c r="I70" s="43" t="str">
        <f t="shared" si="6"/>
        <v/>
      </c>
      <c r="J70" s="43" t="str">
        <f t="shared" si="6"/>
        <v/>
      </c>
      <c r="K70" s="43" t="str">
        <f t="shared" si="6"/>
        <v/>
      </c>
      <c r="L70" s="43" t="str">
        <f t="shared" si="6"/>
        <v/>
      </c>
      <c r="M70" s="43" t="str">
        <f t="shared" si="6"/>
        <v/>
      </c>
      <c r="N70" s="43" t="str">
        <f t="shared" si="6"/>
        <v/>
      </c>
      <c r="O70" s="43" t="str">
        <f t="shared" si="6"/>
        <v/>
      </c>
      <c r="P70" s="43" t="str">
        <f t="shared" si="6"/>
        <v/>
      </c>
      <c r="Q70" s="43" t="str">
        <f t="shared" si="6"/>
        <v/>
      </c>
      <c r="R70" s="43" t="str">
        <f t="shared" si="6"/>
        <v/>
      </c>
      <c r="S70" s="43" t="str">
        <f t="shared" si="6"/>
        <v/>
      </c>
      <c r="T70" s="43" t="str">
        <f t="shared" si="6"/>
        <v/>
      </c>
      <c r="U70" s="43" t="str">
        <f t="shared" si="6"/>
        <v/>
      </c>
      <c r="V70" s="43" t="str">
        <f t="shared" si="6"/>
        <v/>
      </c>
    </row>
    <row r="71" spans="1:22" x14ac:dyDescent="0.3">
      <c r="A71" s="42"/>
      <c r="B71" s="43" t="str">
        <f>IF($A71="","",SUMIFS([2]weekly_demand!$D:$D,[2]weekly_demand!$A:$A,B$1,[2]weekly_demand!$C:$C,$A71))</f>
        <v/>
      </c>
      <c r="C71" s="43" t="str">
        <f>IF($A71="","",SUMIFS([2]weekly_demand!$D:$D,[2]weekly_demand!$A:$A,C$1,[2]weekly_demand!$C:$C,$A71))</f>
        <v/>
      </c>
      <c r="D71" s="43" t="str">
        <f>IF($A71="","",SUMIFS([2]weekly_demand!$D:$D,[2]weekly_demand!$A:$A,D$1,[2]weekly_demand!$C:$C,$A71))</f>
        <v/>
      </c>
      <c r="E71" s="43" t="str">
        <f>IF($A71="","",SUMIFS([2]weekly_demand!$D:$D,[2]weekly_demand!$A:$A,E$1,[2]weekly_demand!$C:$C,$A71))</f>
        <v/>
      </c>
      <c r="F71" s="43" t="str">
        <f>IF($A71="","",SUMIFS([2]weekly_demand!$D:$D,[2]weekly_demand!$A:$A,F$1,[2]weekly_demand!$C:$C,$A71))</f>
        <v/>
      </c>
      <c r="G71" s="43" t="str">
        <f>IF($A71="","",SUMIFS([2]weekly_demand!$D:$D,[2]weekly_demand!$A:$A,G$1,[2]weekly_demand!$C:$C,$A71))</f>
        <v/>
      </c>
      <c r="H71" s="43" t="str">
        <f t="shared" si="6"/>
        <v/>
      </c>
      <c r="I71" s="43" t="str">
        <f t="shared" si="6"/>
        <v/>
      </c>
      <c r="J71" s="43" t="str">
        <f t="shared" si="6"/>
        <v/>
      </c>
      <c r="K71" s="43" t="str">
        <f t="shared" si="6"/>
        <v/>
      </c>
      <c r="L71" s="43" t="str">
        <f t="shared" si="6"/>
        <v/>
      </c>
      <c r="M71" s="43" t="str">
        <f t="shared" si="6"/>
        <v/>
      </c>
      <c r="N71" s="43" t="str">
        <f t="shared" si="6"/>
        <v/>
      </c>
      <c r="O71" s="43" t="str">
        <f t="shared" si="6"/>
        <v/>
      </c>
      <c r="P71" s="43" t="str">
        <f t="shared" si="6"/>
        <v/>
      </c>
      <c r="Q71" s="43" t="str">
        <f t="shared" si="6"/>
        <v/>
      </c>
      <c r="R71" s="43" t="str">
        <f t="shared" si="6"/>
        <v/>
      </c>
      <c r="S71" s="43" t="str">
        <f t="shared" si="6"/>
        <v/>
      </c>
      <c r="T71" s="43" t="str">
        <f t="shared" si="6"/>
        <v/>
      </c>
      <c r="U71" s="43" t="str">
        <f t="shared" si="6"/>
        <v/>
      </c>
      <c r="V71" s="43" t="str">
        <f t="shared" si="6"/>
        <v/>
      </c>
    </row>
    <row r="72" spans="1:22" x14ac:dyDescent="0.3">
      <c r="A72" s="42"/>
      <c r="B72" s="43" t="str">
        <f>IF($A72="","",SUMIFS([2]weekly_demand!$D:$D,[2]weekly_demand!$A:$A,B$1,[2]weekly_demand!$C:$C,$A72))</f>
        <v/>
      </c>
      <c r="C72" s="43" t="str">
        <f>IF($A72="","",SUMIFS([2]weekly_demand!$D:$D,[2]weekly_demand!$A:$A,C$1,[2]weekly_demand!$C:$C,$A72))</f>
        <v/>
      </c>
      <c r="D72" s="43" t="str">
        <f>IF($A72="","",SUMIFS([2]weekly_demand!$D:$D,[2]weekly_demand!$A:$A,D$1,[2]weekly_demand!$C:$C,$A72))</f>
        <v/>
      </c>
      <c r="E72" s="43" t="str">
        <f>IF($A72="","",SUMIFS([2]weekly_demand!$D:$D,[2]weekly_demand!$A:$A,E$1,[2]weekly_demand!$C:$C,$A72))</f>
        <v/>
      </c>
      <c r="F72" s="43" t="str">
        <f>IF($A72="","",SUMIFS([2]weekly_demand!$D:$D,[2]weekly_demand!$A:$A,F$1,[2]weekly_demand!$C:$C,$A72))</f>
        <v/>
      </c>
      <c r="G72" s="43" t="str">
        <f>IF($A72="","",SUMIFS([2]weekly_demand!$D:$D,[2]weekly_demand!$A:$A,G$1,[2]weekly_demand!$C:$C,$A72))</f>
        <v/>
      </c>
      <c r="H72" s="43" t="str">
        <f t="shared" ref="H72:V81" si="7">IF($A72="","",SUMPRODUCT($B72:$G72,INDEX($Y$2:$AD$16,MATCH(H$1,$X$2:$X$16,0),0)))</f>
        <v/>
      </c>
      <c r="I72" s="43" t="str">
        <f t="shared" si="7"/>
        <v/>
      </c>
      <c r="J72" s="43" t="str">
        <f t="shared" si="7"/>
        <v/>
      </c>
      <c r="K72" s="43" t="str">
        <f t="shared" si="7"/>
        <v/>
      </c>
      <c r="L72" s="43" t="str">
        <f t="shared" si="7"/>
        <v/>
      </c>
      <c r="M72" s="43" t="str">
        <f t="shared" si="7"/>
        <v/>
      </c>
      <c r="N72" s="43" t="str">
        <f t="shared" si="7"/>
        <v/>
      </c>
      <c r="O72" s="43" t="str">
        <f t="shared" si="7"/>
        <v/>
      </c>
      <c r="P72" s="43" t="str">
        <f t="shared" si="7"/>
        <v/>
      </c>
      <c r="Q72" s="43" t="str">
        <f t="shared" si="7"/>
        <v/>
      </c>
      <c r="R72" s="43" t="str">
        <f t="shared" si="7"/>
        <v/>
      </c>
      <c r="S72" s="43" t="str">
        <f t="shared" si="7"/>
        <v/>
      </c>
      <c r="T72" s="43" t="str">
        <f t="shared" si="7"/>
        <v/>
      </c>
      <c r="U72" s="43" t="str">
        <f t="shared" si="7"/>
        <v/>
      </c>
      <c r="V72" s="43" t="str">
        <f t="shared" si="7"/>
        <v/>
      </c>
    </row>
    <row r="73" spans="1:22" x14ac:dyDescent="0.3">
      <c r="A73" s="42"/>
      <c r="B73" s="43" t="str">
        <f>IF($A73="","",SUMIFS([2]weekly_demand!$D:$D,[2]weekly_demand!$A:$A,B$1,[2]weekly_demand!$C:$C,$A73))</f>
        <v/>
      </c>
      <c r="C73" s="43" t="str">
        <f>IF($A73="","",SUMIFS([2]weekly_demand!$D:$D,[2]weekly_demand!$A:$A,C$1,[2]weekly_demand!$C:$C,$A73))</f>
        <v/>
      </c>
      <c r="D73" s="43" t="str">
        <f>IF($A73="","",SUMIFS([2]weekly_demand!$D:$D,[2]weekly_demand!$A:$A,D$1,[2]weekly_demand!$C:$C,$A73))</f>
        <v/>
      </c>
      <c r="E73" s="43" t="str">
        <f>IF($A73="","",SUMIFS([2]weekly_demand!$D:$D,[2]weekly_demand!$A:$A,E$1,[2]weekly_demand!$C:$C,$A73))</f>
        <v/>
      </c>
      <c r="F73" s="43" t="str">
        <f>IF($A73="","",SUMIFS([2]weekly_demand!$D:$D,[2]weekly_demand!$A:$A,F$1,[2]weekly_demand!$C:$C,$A73))</f>
        <v/>
      </c>
      <c r="G73" s="43" t="str">
        <f>IF($A73="","",SUMIFS([2]weekly_demand!$D:$D,[2]weekly_demand!$A:$A,G$1,[2]weekly_demand!$C:$C,$A73))</f>
        <v/>
      </c>
      <c r="H73" s="43" t="str">
        <f t="shared" si="7"/>
        <v/>
      </c>
      <c r="I73" s="43" t="str">
        <f t="shared" si="7"/>
        <v/>
      </c>
      <c r="J73" s="43" t="str">
        <f t="shared" si="7"/>
        <v/>
      </c>
      <c r="K73" s="43" t="str">
        <f t="shared" si="7"/>
        <v/>
      </c>
      <c r="L73" s="43" t="str">
        <f t="shared" si="7"/>
        <v/>
      </c>
      <c r="M73" s="43" t="str">
        <f t="shared" si="7"/>
        <v/>
      </c>
      <c r="N73" s="43" t="str">
        <f t="shared" si="7"/>
        <v/>
      </c>
      <c r="O73" s="43" t="str">
        <f t="shared" si="7"/>
        <v/>
      </c>
      <c r="P73" s="43" t="str">
        <f t="shared" si="7"/>
        <v/>
      </c>
      <c r="Q73" s="43" t="str">
        <f t="shared" si="7"/>
        <v/>
      </c>
      <c r="R73" s="43" t="str">
        <f t="shared" si="7"/>
        <v/>
      </c>
      <c r="S73" s="43" t="str">
        <f t="shared" si="7"/>
        <v/>
      </c>
      <c r="T73" s="43" t="str">
        <f t="shared" si="7"/>
        <v/>
      </c>
      <c r="U73" s="43" t="str">
        <f t="shared" si="7"/>
        <v/>
      </c>
      <c r="V73" s="43" t="str">
        <f t="shared" si="7"/>
        <v/>
      </c>
    </row>
    <row r="74" spans="1:22" x14ac:dyDescent="0.3">
      <c r="A74" s="42"/>
      <c r="B74" s="43" t="str">
        <f>IF($A74="","",SUMIFS([2]weekly_demand!$D:$D,[2]weekly_demand!$A:$A,B$1,[2]weekly_demand!$C:$C,$A74))</f>
        <v/>
      </c>
      <c r="C74" s="43" t="str">
        <f>IF($A74="","",SUMIFS([2]weekly_demand!$D:$D,[2]weekly_demand!$A:$A,C$1,[2]weekly_demand!$C:$C,$A74))</f>
        <v/>
      </c>
      <c r="D74" s="43" t="str">
        <f>IF($A74="","",SUMIFS([2]weekly_demand!$D:$D,[2]weekly_demand!$A:$A,D$1,[2]weekly_demand!$C:$C,$A74))</f>
        <v/>
      </c>
      <c r="E74" s="43" t="str">
        <f>IF($A74="","",SUMIFS([2]weekly_demand!$D:$D,[2]weekly_demand!$A:$A,E$1,[2]weekly_demand!$C:$C,$A74))</f>
        <v/>
      </c>
      <c r="F74" s="43" t="str">
        <f>IF($A74="","",SUMIFS([2]weekly_demand!$D:$D,[2]weekly_demand!$A:$A,F$1,[2]weekly_demand!$C:$C,$A74))</f>
        <v/>
      </c>
      <c r="G74" s="43" t="str">
        <f>IF($A74="","",SUMIFS([2]weekly_demand!$D:$D,[2]weekly_demand!$A:$A,G$1,[2]weekly_demand!$C:$C,$A74))</f>
        <v/>
      </c>
      <c r="H74" s="43" t="str">
        <f t="shared" si="7"/>
        <v/>
      </c>
      <c r="I74" s="43" t="str">
        <f t="shared" si="7"/>
        <v/>
      </c>
      <c r="J74" s="43" t="str">
        <f t="shared" si="7"/>
        <v/>
      </c>
      <c r="K74" s="43" t="str">
        <f t="shared" si="7"/>
        <v/>
      </c>
      <c r="L74" s="43" t="str">
        <f t="shared" si="7"/>
        <v/>
      </c>
      <c r="M74" s="43" t="str">
        <f t="shared" si="7"/>
        <v/>
      </c>
      <c r="N74" s="43" t="str">
        <f t="shared" si="7"/>
        <v/>
      </c>
      <c r="O74" s="43" t="str">
        <f t="shared" si="7"/>
        <v/>
      </c>
      <c r="P74" s="43" t="str">
        <f t="shared" si="7"/>
        <v/>
      </c>
      <c r="Q74" s="43" t="str">
        <f t="shared" si="7"/>
        <v/>
      </c>
      <c r="R74" s="43" t="str">
        <f t="shared" si="7"/>
        <v/>
      </c>
      <c r="S74" s="43" t="str">
        <f t="shared" si="7"/>
        <v/>
      </c>
      <c r="T74" s="43" t="str">
        <f t="shared" si="7"/>
        <v/>
      </c>
      <c r="U74" s="43" t="str">
        <f t="shared" si="7"/>
        <v/>
      </c>
      <c r="V74" s="43" t="str">
        <f t="shared" si="7"/>
        <v/>
      </c>
    </row>
    <row r="75" spans="1:22" x14ac:dyDescent="0.3">
      <c r="A75" s="42"/>
      <c r="B75" s="43" t="str">
        <f>IF($A75="","",SUMIFS([2]weekly_demand!$D:$D,[2]weekly_demand!$A:$A,B$1,[2]weekly_demand!$C:$C,$A75))</f>
        <v/>
      </c>
      <c r="C75" s="43" t="str">
        <f>IF($A75="","",SUMIFS([2]weekly_demand!$D:$D,[2]weekly_demand!$A:$A,C$1,[2]weekly_demand!$C:$C,$A75))</f>
        <v/>
      </c>
      <c r="D75" s="43" t="str">
        <f>IF($A75="","",SUMIFS([2]weekly_demand!$D:$D,[2]weekly_demand!$A:$A,D$1,[2]weekly_demand!$C:$C,$A75))</f>
        <v/>
      </c>
      <c r="E75" s="43" t="str">
        <f>IF($A75="","",SUMIFS([2]weekly_demand!$D:$D,[2]weekly_demand!$A:$A,E$1,[2]weekly_demand!$C:$C,$A75))</f>
        <v/>
      </c>
      <c r="F75" s="43" t="str">
        <f>IF($A75="","",SUMIFS([2]weekly_demand!$D:$D,[2]weekly_demand!$A:$A,F$1,[2]weekly_demand!$C:$C,$A75))</f>
        <v/>
      </c>
      <c r="G75" s="43" t="str">
        <f>IF($A75="","",SUMIFS([2]weekly_demand!$D:$D,[2]weekly_demand!$A:$A,G$1,[2]weekly_demand!$C:$C,$A75))</f>
        <v/>
      </c>
      <c r="H75" s="43" t="str">
        <f t="shared" si="7"/>
        <v/>
      </c>
      <c r="I75" s="43" t="str">
        <f t="shared" si="7"/>
        <v/>
      </c>
      <c r="J75" s="43" t="str">
        <f t="shared" si="7"/>
        <v/>
      </c>
      <c r="K75" s="43" t="str">
        <f t="shared" si="7"/>
        <v/>
      </c>
      <c r="L75" s="43" t="str">
        <f t="shared" si="7"/>
        <v/>
      </c>
      <c r="M75" s="43" t="str">
        <f t="shared" si="7"/>
        <v/>
      </c>
      <c r="N75" s="43" t="str">
        <f t="shared" si="7"/>
        <v/>
      </c>
      <c r="O75" s="43" t="str">
        <f t="shared" si="7"/>
        <v/>
      </c>
      <c r="P75" s="43" t="str">
        <f t="shared" si="7"/>
        <v/>
      </c>
      <c r="Q75" s="43" t="str">
        <f t="shared" si="7"/>
        <v/>
      </c>
      <c r="R75" s="43" t="str">
        <f t="shared" si="7"/>
        <v/>
      </c>
      <c r="S75" s="43" t="str">
        <f t="shared" si="7"/>
        <v/>
      </c>
      <c r="T75" s="43" t="str">
        <f t="shared" si="7"/>
        <v/>
      </c>
      <c r="U75" s="43" t="str">
        <f t="shared" si="7"/>
        <v/>
      </c>
      <c r="V75" s="43" t="str">
        <f t="shared" si="7"/>
        <v/>
      </c>
    </row>
    <row r="76" spans="1:22" x14ac:dyDescent="0.3">
      <c r="A76" s="42"/>
      <c r="B76" s="43" t="str">
        <f>IF($A76="","",SUMIFS([2]weekly_demand!$D:$D,[2]weekly_demand!$A:$A,B$1,[2]weekly_demand!$C:$C,$A76))</f>
        <v/>
      </c>
      <c r="C76" s="43" t="str">
        <f>IF($A76="","",SUMIFS([2]weekly_demand!$D:$D,[2]weekly_demand!$A:$A,C$1,[2]weekly_demand!$C:$C,$A76))</f>
        <v/>
      </c>
      <c r="D76" s="43" t="str">
        <f>IF($A76="","",SUMIFS([2]weekly_demand!$D:$D,[2]weekly_demand!$A:$A,D$1,[2]weekly_demand!$C:$C,$A76))</f>
        <v/>
      </c>
      <c r="E76" s="43" t="str">
        <f>IF($A76="","",SUMIFS([2]weekly_demand!$D:$D,[2]weekly_demand!$A:$A,E$1,[2]weekly_demand!$C:$C,$A76))</f>
        <v/>
      </c>
      <c r="F76" s="43" t="str">
        <f>IF($A76="","",SUMIFS([2]weekly_demand!$D:$D,[2]weekly_demand!$A:$A,F$1,[2]weekly_demand!$C:$C,$A76))</f>
        <v/>
      </c>
      <c r="G76" s="43" t="str">
        <f>IF($A76="","",SUMIFS([2]weekly_demand!$D:$D,[2]weekly_demand!$A:$A,G$1,[2]weekly_demand!$C:$C,$A76))</f>
        <v/>
      </c>
      <c r="H76" s="43" t="str">
        <f t="shared" si="7"/>
        <v/>
      </c>
      <c r="I76" s="43" t="str">
        <f t="shared" si="7"/>
        <v/>
      </c>
      <c r="J76" s="43" t="str">
        <f t="shared" si="7"/>
        <v/>
      </c>
      <c r="K76" s="43" t="str">
        <f t="shared" si="7"/>
        <v/>
      </c>
      <c r="L76" s="43" t="str">
        <f t="shared" si="7"/>
        <v/>
      </c>
      <c r="M76" s="43" t="str">
        <f t="shared" si="7"/>
        <v/>
      </c>
      <c r="N76" s="43" t="str">
        <f t="shared" si="7"/>
        <v/>
      </c>
      <c r="O76" s="43" t="str">
        <f t="shared" si="7"/>
        <v/>
      </c>
      <c r="P76" s="43" t="str">
        <f t="shared" si="7"/>
        <v/>
      </c>
      <c r="Q76" s="43" t="str">
        <f t="shared" si="7"/>
        <v/>
      </c>
      <c r="R76" s="43" t="str">
        <f t="shared" si="7"/>
        <v/>
      </c>
      <c r="S76" s="43" t="str">
        <f t="shared" si="7"/>
        <v/>
      </c>
      <c r="T76" s="43" t="str">
        <f t="shared" si="7"/>
        <v/>
      </c>
      <c r="U76" s="43" t="str">
        <f t="shared" si="7"/>
        <v/>
      </c>
      <c r="V76" s="43" t="str">
        <f t="shared" si="7"/>
        <v/>
      </c>
    </row>
    <row r="77" spans="1:22" x14ac:dyDescent="0.3">
      <c r="A77" s="42"/>
      <c r="B77" s="43" t="str">
        <f>IF($A77="","",SUMIFS([2]weekly_demand!$D:$D,[2]weekly_demand!$A:$A,B$1,[2]weekly_demand!$C:$C,$A77))</f>
        <v/>
      </c>
      <c r="C77" s="43" t="str">
        <f>IF($A77="","",SUMIFS([2]weekly_demand!$D:$D,[2]weekly_demand!$A:$A,C$1,[2]weekly_demand!$C:$C,$A77))</f>
        <v/>
      </c>
      <c r="D77" s="43" t="str">
        <f>IF($A77="","",SUMIFS([2]weekly_demand!$D:$D,[2]weekly_demand!$A:$A,D$1,[2]weekly_demand!$C:$C,$A77))</f>
        <v/>
      </c>
      <c r="E77" s="43" t="str">
        <f>IF($A77="","",SUMIFS([2]weekly_demand!$D:$D,[2]weekly_demand!$A:$A,E$1,[2]weekly_demand!$C:$C,$A77))</f>
        <v/>
      </c>
      <c r="F77" s="43" t="str">
        <f>IF($A77="","",SUMIFS([2]weekly_demand!$D:$D,[2]weekly_demand!$A:$A,F$1,[2]weekly_demand!$C:$C,$A77))</f>
        <v/>
      </c>
      <c r="G77" s="43" t="str">
        <f>IF($A77="","",SUMIFS([2]weekly_demand!$D:$D,[2]weekly_demand!$A:$A,G$1,[2]weekly_demand!$C:$C,$A77))</f>
        <v/>
      </c>
      <c r="H77" s="43" t="str">
        <f t="shared" si="7"/>
        <v/>
      </c>
      <c r="I77" s="43" t="str">
        <f t="shared" si="7"/>
        <v/>
      </c>
      <c r="J77" s="43" t="str">
        <f t="shared" si="7"/>
        <v/>
      </c>
      <c r="K77" s="43" t="str">
        <f t="shared" si="7"/>
        <v/>
      </c>
      <c r="L77" s="43" t="str">
        <f t="shared" si="7"/>
        <v/>
      </c>
      <c r="M77" s="43" t="str">
        <f t="shared" si="7"/>
        <v/>
      </c>
      <c r="N77" s="43" t="str">
        <f t="shared" si="7"/>
        <v/>
      </c>
      <c r="O77" s="43" t="str">
        <f t="shared" si="7"/>
        <v/>
      </c>
      <c r="P77" s="43" t="str">
        <f t="shared" si="7"/>
        <v/>
      </c>
      <c r="Q77" s="43" t="str">
        <f t="shared" si="7"/>
        <v/>
      </c>
      <c r="R77" s="43" t="str">
        <f t="shared" si="7"/>
        <v/>
      </c>
      <c r="S77" s="43" t="str">
        <f t="shared" si="7"/>
        <v/>
      </c>
      <c r="T77" s="43" t="str">
        <f t="shared" si="7"/>
        <v/>
      </c>
      <c r="U77" s="43" t="str">
        <f t="shared" si="7"/>
        <v/>
      </c>
      <c r="V77" s="43" t="str">
        <f t="shared" si="7"/>
        <v/>
      </c>
    </row>
    <row r="78" spans="1:22" x14ac:dyDescent="0.3">
      <c r="A78" s="42"/>
      <c r="B78" s="43" t="str">
        <f>IF($A78="","",SUMIFS([2]weekly_demand!$D:$D,[2]weekly_demand!$A:$A,B$1,[2]weekly_demand!$C:$C,$A78))</f>
        <v/>
      </c>
      <c r="C78" s="43" t="str">
        <f>IF($A78="","",SUMIFS([2]weekly_demand!$D:$D,[2]weekly_demand!$A:$A,C$1,[2]weekly_demand!$C:$C,$A78))</f>
        <v/>
      </c>
      <c r="D78" s="43" t="str">
        <f>IF($A78="","",SUMIFS([2]weekly_demand!$D:$D,[2]weekly_demand!$A:$A,D$1,[2]weekly_demand!$C:$C,$A78))</f>
        <v/>
      </c>
      <c r="E78" s="43" t="str">
        <f>IF($A78="","",SUMIFS([2]weekly_demand!$D:$D,[2]weekly_demand!$A:$A,E$1,[2]weekly_demand!$C:$C,$A78))</f>
        <v/>
      </c>
      <c r="F78" s="43" t="str">
        <f>IF($A78="","",SUMIFS([2]weekly_demand!$D:$D,[2]weekly_demand!$A:$A,F$1,[2]weekly_demand!$C:$C,$A78))</f>
        <v/>
      </c>
      <c r="G78" s="43" t="str">
        <f>IF($A78="","",SUMIFS([2]weekly_demand!$D:$D,[2]weekly_demand!$A:$A,G$1,[2]weekly_demand!$C:$C,$A78))</f>
        <v/>
      </c>
      <c r="H78" s="43" t="str">
        <f t="shared" si="7"/>
        <v/>
      </c>
      <c r="I78" s="43" t="str">
        <f t="shared" si="7"/>
        <v/>
      </c>
      <c r="J78" s="43" t="str">
        <f t="shared" si="7"/>
        <v/>
      </c>
      <c r="K78" s="43" t="str">
        <f t="shared" si="7"/>
        <v/>
      </c>
      <c r="L78" s="43" t="str">
        <f t="shared" si="7"/>
        <v/>
      </c>
      <c r="M78" s="43" t="str">
        <f t="shared" si="7"/>
        <v/>
      </c>
      <c r="N78" s="43" t="str">
        <f t="shared" si="7"/>
        <v/>
      </c>
      <c r="O78" s="43" t="str">
        <f t="shared" si="7"/>
        <v/>
      </c>
      <c r="P78" s="43" t="str">
        <f t="shared" si="7"/>
        <v/>
      </c>
      <c r="Q78" s="43" t="str">
        <f t="shared" si="7"/>
        <v/>
      </c>
      <c r="R78" s="43" t="str">
        <f t="shared" si="7"/>
        <v/>
      </c>
      <c r="S78" s="43" t="str">
        <f t="shared" si="7"/>
        <v/>
      </c>
      <c r="T78" s="43" t="str">
        <f t="shared" si="7"/>
        <v/>
      </c>
      <c r="U78" s="43" t="str">
        <f t="shared" si="7"/>
        <v/>
      </c>
      <c r="V78" s="43" t="str">
        <f t="shared" si="7"/>
        <v/>
      </c>
    </row>
    <row r="79" spans="1:22" x14ac:dyDescent="0.3">
      <c r="A79" s="42"/>
      <c r="B79" s="43" t="str">
        <f>IF($A79="","",SUMIFS([2]weekly_demand!$D:$D,[2]weekly_demand!$A:$A,B$1,[2]weekly_demand!$C:$C,$A79))</f>
        <v/>
      </c>
      <c r="C79" s="43" t="str">
        <f>IF($A79="","",SUMIFS([2]weekly_demand!$D:$D,[2]weekly_demand!$A:$A,C$1,[2]weekly_demand!$C:$C,$A79))</f>
        <v/>
      </c>
      <c r="D79" s="43" t="str">
        <f>IF($A79="","",SUMIFS([2]weekly_demand!$D:$D,[2]weekly_demand!$A:$A,D$1,[2]weekly_demand!$C:$C,$A79))</f>
        <v/>
      </c>
      <c r="E79" s="43" t="str">
        <f>IF($A79="","",SUMIFS([2]weekly_demand!$D:$D,[2]weekly_demand!$A:$A,E$1,[2]weekly_demand!$C:$C,$A79))</f>
        <v/>
      </c>
      <c r="F79" s="43" t="str">
        <f>IF($A79="","",SUMIFS([2]weekly_demand!$D:$D,[2]weekly_demand!$A:$A,F$1,[2]weekly_demand!$C:$C,$A79))</f>
        <v/>
      </c>
      <c r="G79" s="43" t="str">
        <f>IF($A79="","",SUMIFS([2]weekly_demand!$D:$D,[2]weekly_demand!$A:$A,G$1,[2]weekly_demand!$C:$C,$A79))</f>
        <v/>
      </c>
      <c r="H79" s="43" t="str">
        <f t="shared" si="7"/>
        <v/>
      </c>
      <c r="I79" s="43" t="str">
        <f t="shared" si="7"/>
        <v/>
      </c>
      <c r="J79" s="43" t="str">
        <f t="shared" si="7"/>
        <v/>
      </c>
      <c r="K79" s="43" t="str">
        <f t="shared" si="7"/>
        <v/>
      </c>
      <c r="L79" s="43" t="str">
        <f t="shared" si="7"/>
        <v/>
      </c>
      <c r="M79" s="43" t="str">
        <f t="shared" si="7"/>
        <v/>
      </c>
      <c r="N79" s="43" t="str">
        <f t="shared" si="7"/>
        <v/>
      </c>
      <c r="O79" s="43" t="str">
        <f t="shared" si="7"/>
        <v/>
      </c>
      <c r="P79" s="43" t="str">
        <f t="shared" si="7"/>
        <v/>
      </c>
      <c r="Q79" s="43" t="str">
        <f t="shared" si="7"/>
        <v/>
      </c>
      <c r="R79" s="43" t="str">
        <f t="shared" si="7"/>
        <v/>
      </c>
      <c r="S79" s="43" t="str">
        <f t="shared" si="7"/>
        <v/>
      </c>
      <c r="T79" s="43" t="str">
        <f t="shared" si="7"/>
        <v/>
      </c>
      <c r="U79" s="43" t="str">
        <f t="shared" si="7"/>
        <v/>
      </c>
      <c r="V79" s="43" t="str">
        <f t="shared" si="7"/>
        <v/>
      </c>
    </row>
    <row r="80" spans="1:22" x14ac:dyDescent="0.3">
      <c r="A80" s="42"/>
      <c r="B80" s="43" t="str">
        <f>IF($A80="","",SUMIFS([2]weekly_demand!$D:$D,[2]weekly_demand!$A:$A,B$1,[2]weekly_demand!$C:$C,$A80))</f>
        <v/>
      </c>
      <c r="C80" s="43" t="str">
        <f>IF($A80="","",SUMIFS([2]weekly_demand!$D:$D,[2]weekly_demand!$A:$A,C$1,[2]weekly_demand!$C:$C,$A80))</f>
        <v/>
      </c>
      <c r="D80" s="43" t="str">
        <f>IF($A80="","",SUMIFS([2]weekly_demand!$D:$D,[2]weekly_demand!$A:$A,D$1,[2]weekly_demand!$C:$C,$A80))</f>
        <v/>
      </c>
      <c r="E80" s="43" t="str">
        <f>IF($A80="","",SUMIFS([2]weekly_demand!$D:$D,[2]weekly_demand!$A:$A,E$1,[2]weekly_demand!$C:$C,$A80))</f>
        <v/>
      </c>
      <c r="F80" s="43" t="str">
        <f>IF($A80="","",SUMIFS([2]weekly_demand!$D:$D,[2]weekly_demand!$A:$A,F$1,[2]weekly_demand!$C:$C,$A80))</f>
        <v/>
      </c>
      <c r="G80" s="43" t="str">
        <f>IF($A80="","",SUMIFS([2]weekly_demand!$D:$D,[2]weekly_demand!$A:$A,G$1,[2]weekly_demand!$C:$C,$A80))</f>
        <v/>
      </c>
      <c r="H80" s="43" t="str">
        <f t="shared" si="7"/>
        <v/>
      </c>
      <c r="I80" s="43" t="str">
        <f t="shared" si="7"/>
        <v/>
      </c>
      <c r="J80" s="43" t="str">
        <f t="shared" si="7"/>
        <v/>
      </c>
      <c r="K80" s="43" t="str">
        <f t="shared" si="7"/>
        <v/>
      </c>
      <c r="L80" s="43" t="str">
        <f t="shared" si="7"/>
        <v/>
      </c>
      <c r="M80" s="43" t="str">
        <f t="shared" si="7"/>
        <v/>
      </c>
      <c r="N80" s="43" t="str">
        <f t="shared" si="7"/>
        <v/>
      </c>
      <c r="O80" s="43" t="str">
        <f t="shared" si="7"/>
        <v/>
      </c>
      <c r="P80" s="43" t="str">
        <f t="shared" si="7"/>
        <v/>
      </c>
      <c r="Q80" s="43" t="str">
        <f t="shared" si="7"/>
        <v/>
      </c>
      <c r="R80" s="43" t="str">
        <f t="shared" si="7"/>
        <v/>
      </c>
      <c r="S80" s="43" t="str">
        <f t="shared" si="7"/>
        <v/>
      </c>
      <c r="T80" s="43" t="str">
        <f t="shared" si="7"/>
        <v/>
      </c>
      <c r="U80" s="43" t="str">
        <f t="shared" si="7"/>
        <v/>
      </c>
      <c r="V80" s="43" t="str">
        <f t="shared" si="7"/>
        <v/>
      </c>
    </row>
    <row r="81" spans="1:22" x14ac:dyDescent="0.3">
      <c r="A81" s="42"/>
      <c r="B81" s="43" t="str">
        <f>IF($A81="","",SUMIFS([2]weekly_demand!$D:$D,[2]weekly_demand!$A:$A,B$1,[2]weekly_demand!$C:$C,$A81))</f>
        <v/>
      </c>
      <c r="C81" s="43" t="str">
        <f>IF($A81="","",SUMIFS([2]weekly_demand!$D:$D,[2]weekly_demand!$A:$A,C$1,[2]weekly_demand!$C:$C,$A81))</f>
        <v/>
      </c>
      <c r="D81" s="43" t="str">
        <f>IF($A81="","",SUMIFS([2]weekly_demand!$D:$D,[2]weekly_demand!$A:$A,D$1,[2]weekly_demand!$C:$C,$A81))</f>
        <v/>
      </c>
      <c r="E81" s="43" t="str">
        <f>IF($A81="","",SUMIFS([2]weekly_demand!$D:$D,[2]weekly_demand!$A:$A,E$1,[2]weekly_demand!$C:$C,$A81))</f>
        <v/>
      </c>
      <c r="F81" s="43" t="str">
        <f>IF($A81="","",SUMIFS([2]weekly_demand!$D:$D,[2]weekly_demand!$A:$A,F$1,[2]weekly_demand!$C:$C,$A81))</f>
        <v/>
      </c>
      <c r="G81" s="43" t="str">
        <f>IF($A81="","",SUMIFS([2]weekly_demand!$D:$D,[2]weekly_demand!$A:$A,G$1,[2]weekly_demand!$C:$C,$A81))</f>
        <v/>
      </c>
      <c r="H81" s="43" t="str">
        <f t="shared" si="7"/>
        <v/>
      </c>
      <c r="I81" s="43" t="str">
        <f t="shared" si="7"/>
        <v/>
      </c>
      <c r="J81" s="43" t="str">
        <f t="shared" si="7"/>
        <v/>
      </c>
      <c r="K81" s="43" t="str">
        <f t="shared" si="7"/>
        <v/>
      </c>
      <c r="L81" s="43" t="str">
        <f t="shared" si="7"/>
        <v/>
      </c>
      <c r="M81" s="43" t="str">
        <f t="shared" si="7"/>
        <v/>
      </c>
      <c r="N81" s="43" t="str">
        <f t="shared" si="7"/>
        <v/>
      </c>
      <c r="O81" s="43" t="str">
        <f t="shared" si="7"/>
        <v/>
      </c>
      <c r="P81" s="43" t="str">
        <f t="shared" si="7"/>
        <v/>
      </c>
      <c r="Q81" s="43" t="str">
        <f t="shared" si="7"/>
        <v/>
      </c>
      <c r="R81" s="43" t="str">
        <f t="shared" si="7"/>
        <v/>
      </c>
      <c r="S81" s="43" t="str">
        <f t="shared" si="7"/>
        <v/>
      </c>
      <c r="T81" s="43" t="str">
        <f t="shared" si="7"/>
        <v/>
      </c>
      <c r="U81" s="43" t="str">
        <f t="shared" si="7"/>
        <v/>
      </c>
      <c r="V81" s="43" t="str">
        <f t="shared" si="7"/>
        <v/>
      </c>
    </row>
    <row r="82" spans="1:22" x14ac:dyDescent="0.3">
      <c r="A82" s="42"/>
      <c r="B82" s="43" t="str">
        <f>IF($A82="","",SUMIFS([2]weekly_demand!$D:$D,[2]weekly_demand!$A:$A,B$1,[2]weekly_demand!$C:$C,$A82))</f>
        <v/>
      </c>
      <c r="C82" s="43" t="str">
        <f>IF($A82="","",SUMIFS([2]weekly_demand!$D:$D,[2]weekly_demand!$A:$A,C$1,[2]weekly_demand!$C:$C,$A82))</f>
        <v/>
      </c>
      <c r="D82" s="43" t="str">
        <f>IF($A82="","",SUMIFS([2]weekly_demand!$D:$D,[2]weekly_demand!$A:$A,D$1,[2]weekly_demand!$C:$C,$A82))</f>
        <v/>
      </c>
      <c r="E82" s="43" t="str">
        <f>IF($A82="","",SUMIFS([2]weekly_demand!$D:$D,[2]weekly_demand!$A:$A,E$1,[2]weekly_demand!$C:$C,$A82))</f>
        <v/>
      </c>
      <c r="F82" s="43" t="str">
        <f>IF($A82="","",SUMIFS([2]weekly_demand!$D:$D,[2]weekly_demand!$A:$A,F$1,[2]weekly_demand!$C:$C,$A82))</f>
        <v/>
      </c>
      <c r="G82" s="43" t="str">
        <f>IF($A82="","",SUMIFS([2]weekly_demand!$D:$D,[2]weekly_demand!$A:$A,G$1,[2]weekly_demand!$C:$C,$A82))</f>
        <v/>
      </c>
      <c r="H82" s="43" t="str">
        <f t="shared" ref="H82:V91" si="8">IF($A82="","",SUMPRODUCT($B82:$G82,INDEX($Y$2:$AD$16,MATCH(H$1,$X$2:$X$16,0),0)))</f>
        <v/>
      </c>
      <c r="I82" s="43" t="str">
        <f t="shared" si="8"/>
        <v/>
      </c>
      <c r="J82" s="43" t="str">
        <f t="shared" si="8"/>
        <v/>
      </c>
      <c r="K82" s="43" t="str">
        <f t="shared" si="8"/>
        <v/>
      </c>
      <c r="L82" s="43" t="str">
        <f t="shared" si="8"/>
        <v/>
      </c>
      <c r="M82" s="43" t="str">
        <f t="shared" si="8"/>
        <v/>
      </c>
      <c r="N82" s="43" t="str">
        <f t="shared" si="8"/>
        <v/>
      </c>
      <c r="O82" s="43" t="str">
        <f t="shared" si="8"/>
        <v/>
      </c>
      <c r="P82" s="43" t="str">
        <f t="shared" si="8"/>
        <v/>
      </c>
      <c r="Q82" s="43" t="str">
        <f t="shared" si="8"/>
        <v/>
      </c>
      <c r="R82" s="43" t="str">
        <f t="shared" si="8"/>
        <v/>
      </c>
      <c r="S82" s="43" t="str">
        <f t="shared" si="8"/>
        <v/>
      </c>
      <c r="T82" s="43" t="str">
        <f t="shared" si="8"/>
        <v/>
      </c>
      <c r="U82" s="43" t="str">
        <f t="shared" si="8"/>
        <v/>
      </c>
      <c r="V82" s="43" t="str">
        <f t="shared" si="8"/>
        <v/>
      </c>
    </row>
    <row r="83" spans="1:22" x14ac:dyDescent="0.3">
      <c r="A83" s="42"/>
      <c r="B83" s="43" t="str">
        <f>IF($A83="","",SUMIFS([2]weekly_demand!$D:$D,[2]weekly_demand!$A:$A,B$1,[2]weekly_demand!$C:$C,$A83))</f>
        <v/>
      </c>
      <c r="C83" s="43" t="str">
        <f>IF($A83="","",SUMIFS([2]weekly_demand!$D:$D,[2]weekly_demand!$A:$A,C$1,[2]weekly_demand!$C:$C,$A83))</f>
        <v/>
      </c>
      <c r="D83" s="43" t="str">
        <f>IF($A83="","",SUMIFS([2]weekly_demand!$D:$D,[2]weekly_demand!$A:$A,D$1,[2]weekly_demand!$C:$C,$A83))</f>
        <v/>
      </c>
      <c r="E83" s="43" t="str">
        <f>IF($A83="","",SUMIFS([2]weekly_demand!$D:$D,[2]weekly_demand!$A:$A,E$1,[2]weekly_demand!$C:$C,$A83))</f>
        <v/>
      </c>
      <c r="F83" s="43" t="str">
        <f>IF($A83="","",SUMIFS([2]weekly_demand!$D:$D,[2]weekly_demand!$A:$A,F$1,[2]weekly_demand!$C:$C,$A83))</f>
        <v/>
      </c>
      <c r="G83" s="43" t="str">
        <f>IF($A83="","",SUMIFS([2]weekly_demand!$D:$D,[2]weekly_demand!$A:$A,G$1,[2]weekly_demand!$C:$C,$A83))</f>
        <v/>
      </c>
      <c r="H83" s="43" t="str">
        <f t="shared" si="8"/>
        <v/>
      </c>
      <c r="I83" s="43" t="str">
        <f t="shared" si="8"/>
        <v/>
      </c>
      <c r="J83" s="43" t="str">
        <f t="shared" si="8"/>
        <v/>
      </c>
      <c r="K83" s="43" t="str">
        <f t="shared" si="8"/>
        <v/>
      </c>
      <c r="L83" s="43" t="str">
        <f t="shared" si="8"/>
        <v/>
      </c>
      <c r="M83" s="43" t="str">
        <f t="shared" si="8"/>
        <v/>
      </c>
      <c r="N83" s="43" t="str">
        <f t="shared" si="8"/>
        <v/>
      </c>
      <c r="O83" s="43" t="str">
        <f t="shared" si="8"/>
        <v/>
      </c>
      <c r="P83" s="43" t="str">
        <f t="shared" si="8"/>
        <v/>
      </c>
      <c r="Q83" s="43" t="str">
        <f t="shared" si="8"/>
        <v/>
      </c>
      <c r="R83" s="43" t="str">
        <f t="shared" si="8"/>
        <v/>
      </c>
      <c r="S83" s="43" t="str">
        <f t="shared" si="8"/>
        <v/>
      </c>
      <c r="T83" s="43" t="str">
        <f t="shared" si="8"/>
        <v/>
      </c>
      <c r="U83" s="43" t="str">
        <f t="shared" si="8"/>
        <v/>
      </c>
      <c r="V83" s="43" t="str">
        <f t="shared" si="8"/>
        <v/>
      </c>
    </row>
    <row r="84" spans="1:22" x14ac:dyDescent="0.3">
      <c r="A84" s="42"/>
      <c r="B84" s="43" t="str">
        <f>IF($A84="","",SUMIFS([2]weekly_demand!$D:$D,[2]weekly_demand!$A:$A,B$1,[2]weekly_demand!$C:$C,$A84))</f>
        <v/>
      </c>
      <c r="C84" s="43" t="str">
        <f>IF($A84="","",SUMIFS([2]weekly_demand!$D:$D,[2]weekly_demand!$A:$A,C$1,[2]weekly_demand!$C:$C,$A84))</f>
        <v/>
      </c>
      <c r="D84" s="43" t="str">
        <f>IF($A84="","",SUMIFS([2]weekly_demand!$D:$D,[2]weekly_demand!$A:$A,D$1,[2]weekly_demand!$C:$C,$A84))</f>
        <v/>
      </c>
      <c r="E84" s="43" t="str">
        <f>IF($A84="","",SUMIFS([2]weekly_demand!$D:$D,[2]weekly_demand!$A:$A,E$1,[2]weekly_demand!$C:$C,$A84))</f>
        <v/>
      </c>
      <c r="F84" s="43" t="str">
        <f>IF($A84="","",SUMIFS([2]weekly_demand!$D:$D,[2]weekly_demand!$A:$A,F$1,[2]weekly_demand!$C:$C,$A84))</f>
        <v/>
      </c>
      <c r="G84" s="43" t="str">
        <f>IF($A84="","",SUMIFS([2]weekly_demand!$D:$D,[2]weekly_demand!$A:$A,G$1,[2]weekly_demand!$C:$C,$A84))</f>
        <v/>
      </c>
      <c r="H84" s="43" t="str">
        <f t="shared" si="8"/>
        <v/>
      </c>
      <c r="I84" s="43" t="str">
        <f t="shared" si="8"/>
        <v/>
      </c>
      <c r="J84" s="43" t="str">
        <f t="shared" si="8"/>
        <v/>
      </c>
      <c r="K84" s="43" t="str">
        <f t="shared" si="8"/>
        <v/>
      </c>
      <c r="L84" s="43" t="str">
        <f t="shared" si="8"/>
        <v/>
      </c>
      <c r="M84" s="43" t="str">
        <f t="shared" si="8"/>
        <v/>
      </c>
      <c r="N84" s="43" t="str">
        <f t="shared" si="8"/>
        <v/>
      </c>
      <c r="O84" s="43" t="str">
        <f t="shared" si="8"/>
        <v/>
      </c>
      <c r="P84" s="43" t="str">
        <f t="shared" si="8"/>
        <v/>
      </c>
      <c r="Q84" s="43" t="str">
        <f t="shared" si="8"/>
        <v/>
      </c>
      <c r="R84" s="43" t="str">
        <f t="shared" si="8"/>
        <v/>
      </c>
      <c r="S84" s="43" t="str">
        <f t="shared" si="8"/>
        <v/>
      </c>
      <c r="T84" s="43" t="str">
        <f t="shared" si="8"/>
        <v/>
      </c>
      <c r="U84" s="43" t="str">
        <f t="shared" si="8"/>
        <v/>
      </c>
      <c r="V84" s="43" t="str">
        <f t="shared" si="8"/>
        <v/>
      </c>
    </row>
    <row r="85" spans="1:22" x14ac:dyDescent="0.3">
      <c r="A85" s="42"/>
      <c r="B85" s="43" t="str">
        <f>IF($A85="","",SUMIFS([2]weekly_demand!$D:$D,[2]weekly_demand!$A:$A,B$1,[2]weekly_demand!$C:$C,$A85))</f>
        <v/>
      </c>
      <c r="C85" s="43" t="str">
        <f>IF($A85="","",SUMIFS([2]weekly_demand!$D:$D,[2]weekly_demand!$A:$A,C$1,[2]weekly_demand!$C:$C,$A85))</f>
        <v/>
      </c>
      <c r="D85" s="43" t="str">
        <f>IF($A85="","",SUMIFS([2]weekly_demand!$D:$D,[2]weekly_demand!$A:$A,D$1,[2]weekly_demand!$C:$C,$A85))</f>
        <v/>
      </c>
      <c r="E85" s="43" t="str">
        <f>IF($A85="","",SUMIFS([2]weekly_demand!$D:$D,[2]weekly_demand!$A:$A,E$1,[2]weekly_demand!$C:$C,$A85))</f>
        <v/>
      </c>
      <c r="F85" s="43" t="str">
        <f>IF($A85="","",SUMIFS([2]weekly_demand!$D:$D,[2]weekly_demand!$A:$A,F$1,[2]weekly_demand!$C:$C,$A85))</f>
        <v/>
      </c>
      <c r="G85" s="43" t="str">
        <f>IF($A85="","",SUMIFS([2]weekly_demand!$D:$D,[2]weekly_demand!$A:$A,G$1,[2]weekly_demand!$C:$C,$A85))</f>
        <v/>
      </c>
      <c r="H85" s="43" t="str">
        <f t="shared" si="8"/>
        <v/>
      </c>
      <c r="I85" s="43" t="str">
        <f t="shared" si="8"/>
        <v/>
      </c>
      <c r="J85" s="43" t="str">
        <f t="shared" si="8"/>
        <v/>
      </c>
      <c r="K85" s="43" t="str">
        <f t="shared" si="8"/>
        <v/>
      </c>
      <c r="L85" s="43" t="str">
        <f t="shared" si="8"/>
        <v/>
      </c>
      <c r="M85" s="43" t="str">
        <f t="shared" si="8"/>
        <v/>
      </c>
      <c r="N85" s="43" t="str">
        <f t="shared" si="8"/>
        <v/>
      </c>
      <c r="O85" s="43" t="str">
        <f t="shared" si="8"/>
        <v/>
      </c>
      <c r="P85" s="43" t="str">
        <f t="shared" si="8"/>
        <v/>
      </c>
      <c r="Q85" s="43" t="str">
        <f t="shared" si="8"/>
        <v/>
      </c>
      <c r="R85" s="43" t="str">
        <f t="shared" si="8"/>
        <v/>
      </c>
      <c r="S85" s="43" t="str">
        <f t="shared" si="8"/>
        <v/>
      </c>
      <c r="T85" s="43" t="str">
        <f t="shared" si="8"/>
        <v/>
      </c>
      <c r="U85" s="43" t="str">
        <f t="shared" si="8"/>
        <v/>
      </c>
      <c r="V85" s="43" t="str">
        <f t="shared" si="8"/>
        <v/>
      </c>
    </row>
    <row r="86" spans="1:22" x14ac:dyDescent="0.3">
      <c r="A86" s="42"/>
      <c r="B86" s="43" t="str">
        <f>IF($A86="","",SUMIFS([2]weekly_demand!$D:$D,[2]weekly_demand!$A:$A,B$1,[2]weekly_demand!$C:$C,$A86))</f>
        <v/>
      </c>
      <c r="C86" s="43" t="str">
        <f>IF($A86="","",SUMIFS([2]weekly_demand!$D:$D,[2]weekly_demand!$A:$A,C$1,[2]weekly_demand!$C:$C,$A86))</f>
        <v/>
      </c>
      <c r="D86" s="43" t="str">
        <f>IF($A86="","",SUMIFS([2]weekly_demand!$D:$D,[2]weekly_demand!$A:$A,D$1,[2]weekly_demand!$C:$C,$A86))</f>
        <v/>
      </c>
      <c r="E86" s="43" t="str">
        <f>IF($A86="","",SUMIFS([2]weekly_demand!$D:$D,[2]weekly_demand!$A:$A,E$1,[2]weekly_demand!$C:$C,$A86))</f>
        <v/>
      </c>
      <c r="F86" s="43" t="str">
        <f>IF($A86="","",SUMIFS([2]weekly_demand!$D:$D,[2]weekly_demand!$A:$A,F$1,[2]weekly_demand!$C:$C,$A86))</f>
        <v/>
      </c>
      <c r="G86" s="43" t="str">
        <f>IF($A86="","",SUMIFS([2]weekly_demand!$D:$D,[2]weekly_demand!$A:$A,G$1,[2]weekly_demand!$C:$C,$A86))</f>
        <v/>
      </c>
      <c r="H86" s="43" t="str">
        <f t="shared" si="8"/>
        <v/>
      </c>
      <c r="I86" s="43" t="str">
        <f t="shared" si="8"/>
        <v/>
      </c>
      <c r="J86" s="43" t="str">
        <f t="shared" si="8"/>
        <v/>
      </c>
      <c r="K86" s="43" t="str">
        <f t="shared" si="8"/>
        <v/>
      </c>
      <c r="L86" s="43" t="str">
        <f t="shared" si="8"/>
        <v/>
      </c>
      <c r="M86" s="43" t="str">
        <f t="shared" si="8"/>
        <v/>
      </c>
      <c r="N86" s="43" t="str">
        <f t="shared" si="8"/>
        <v/>
      </c>
      <c r="O86" s="43" t="str">
        <f t="shared" si="8"/>
        <v/>
      </c>
      <c r="P86" s="43" t="str">
        <f t="shared" si="8"/>
        <v/>
      </c>
      <c r="Q86" s="43" t="str">
        <f t="shared" si="8"/>
        <v/>
      </c>
      <c r="R86" s="43" t="str">
        <f t="shared" si="8"/>
        <v/>
      </c>
      <c r="S86" s="43" t="str">
        <f t="shared" si="8"/>
        <v/>
      </c>
      <c r="T86" s="43" t="str">
        <f t="shared" si="8"/>
        <v/>
      </c>
      <c r="U86" s="43" t="str">
        <f t="shared" si="8"/>
        <v/>
      </c>
      <c r="V86" s="43" t="str">
        <f t="shared" si="8"/>
        <v/>
      </c>
    </row>
    <row r="87" spans="1:22" x14ac:dyDescent="0.3">
      <c r="A87" s="42"/>
      <c r="B87" s="43" t="str">
        <f>IF($A87="","",SUMIFS([2]weekly_demand!$D:$D,[2]weekly_demand!$A:$A,B$1,[2]weekly_demand!$C:$C,$A87))</f>
        <v/>
      </c>
      <c r="C87" s="43" t="str">
        <f>IF($A87="","",SUMIFS([2]weekly_demand!$D:$D,[2]weekly_demand!$A:$A,C$1,[2]weekly_demand!$C:$C,$A87))</f>
        <v/>
      </c>
      <c r="D87" s="43" t="str">
        <f>IF($A87="","",SUMIFS([2]weekly_demand!$D:$D,[2]weekly_demand!$A:$A,D$1,[2]weekly_demand!$C:$C,$A87))</f>
        <v/>
      </c>
      <c r="E87" s="43" t="str">
        <f>IF($A87="","",SUMIFS([2]weekly_demand!$D:$D,[2]weekly_demand!$A:$A,E$1,[2]weekly_demand!$C:$C,$A87))</f>
        <v/>
      </c>
      <c r="F87" s="43" t="str">
        <f>IF($A87="","",SUMIFS([2]weekly_demand!$D:$D,[2]weekly_demand!$A:$A,F$1,[2]weekly_demand!$C:$C,$A87))</f>
        <v/>
      </c>
      <c r="G87" s="43" t="str">
        <f>IF($A87="","",SUMIFS([2]weekly_demand!$D:$D,[2]weekly_demand!$A:$A,G$1,[2]weekly_demand!$C:$C,$A87))</f>
        <v/>
      </c>
      <c r="H87" s="43" t="str">
        <f t="shared" si="8"/>
        <v/>
      </c>
      <c r="I87" s="43" t="str">
        <f t="shared" si="8"/>
        <v/>
      </c>
      <c r="J87" s="43" t="str">
        <f t="shared" si="8"/>
        <v/>
      </c>
      <c r="K87" s="43" t="str">
        <f t="shared" si="8"/>
        <v/>
      </c>
      <c r="L87" s="43" t="str">
        <f t="shared" si="8"/>
        <v/>
      </c>
      <c r="M87" s="43" t="str">
        <f t="shared" si="8"/>
        <v/>
      </c>
      <c r="N87" s="43" t="str">
        <f t="shared" si="8"/>
        <v/>
      </c>
      <c r="O87" s="43" t="str">
        <f t="shared" si="8"/>
        <v/>
      </c>
      <c r="P87" s="43" t="str">
        <f t="shared" si="8"/>
        <v/>
      </c>
      <c r="Q87" s="43" t="str">
        <f t="shared" si="8"/>
        <v/>
      </c>
      <c r="R87" s="43" t="str">
        <f t="shared" si="8"/>
        <v/>
      </c>
      <c r="S87" s="43" t="str">
        <f t="shared" si="8"/>
        <v/>
      </c>
      <c r="T87" s="43" t="str">
        <f t="shared" si="8"/>
        <v/>
      </c>
      <c r="U87" s="43" t="str">
        <f t="shared" si="8"/>
        <v/>
      </c>
      <c r="V87" s="43" t="str">
        <f t="shared" si="8"/>
        <v/>
      </c>
    </row>
    <row r="88" spans="1:22" x14ac:dyDescent="0.3">
      <c r="A88" s="42"/>
      <c r="B88" s="43" t="str">
        <f>IF($A88="","",SUMIFS([2]weekly_demand!$D:$D,[2]weekly_demand!$A:$A,B$1,[2]weekly_demand!$C:$C,$A88))</f>
        <v/>
      </c>
      <c r="C88" s="43" t="str">
        <f>IF($A88="","",SUMIFS([2]weekly_demand!$D:$D,[2]weekly_demand!$A:$A,C$1,[2]weekly_demand!$C:$C,$A88))</f>
        <v/>
      </c>
      <c r="D88" s="43" t="str">
        <f>IF($A88="","",SUMIFS([2]weekly_demand!$D:$D,[2]weekly_demand!$A:$A,D$1,[2]weekly_demand!$C:$C,$A88))</f>
        <v/>
      </c>
      <c r="E88" s="43" t="str">
        <f>IF($A88="","",SUMIFS([2]weekly_demand!$D:$D,[2]weekly_demand!$A:$A,E$1,[2]weekly_demand!$C:$C,$A88))</f>
        <v/>
      </c>
      <c r="F88" s="43" t="str">
        <f>IF($A88="","",SUMIFS([2]weekly_demand!$D:$D,[2]weekly_demand!$A:$A,F$1,[2]weekly_demand!$C:$C,$A88))</f>
        <v/>
      </c>
      <c r="G88" s="43" t="str">
        <f>IF($A88="","",SUMIFS([2]weekly_demand!$D:$D,[2]weekly_demand!$A:$A,G$1,[2]weekly_demand!$C:$C,$A88))</f>
        <v/>
      </c>
      <c r="H88" s="43" t="str">
        <f t="shared" si="8"/>
        <v/>
      </c>
      <c r="I88" s="43" t="str">
        <f t="shared" si="8"/>
        <v/>
      </c>
      <c r="J88" s="43" t="str">
        <f t="shared" si="8"/>
        <v/>
      </c>
      <c r="K88" s="43" t="str">
        <f t="shared" si="8"/>
        <v/>
      </c>
      <c r="L88" s="43" t="str">
        <f t="shared" si="8"/>
        <v/>
      </c>
      <c r="M88" s="43" t="str">
        <f t="shared" si="8"/>
        <v/>
      </c>
      <c r="N88" s="43" t="str">
        <f t="shared" si="8"/>
        <v/>
      </c>
      <c r="O88" s="43" t="str">
        <f t="shared" si="8"/>
        <v/>
      </c>
      <c r="P88" s="43" t="str">
        <f t="shared" si="8"/>
        <v/>
      </c>
      <c r="Q88" s="43" t="str">
        <f t="shared" si="8"/>
        <v/>
      </c>
      <c r="R88" s="43" t="str">
        <f t="shared" si="8"/>
        <v/>
      </c>
      <c r="S88" s="43" t="str">
        <f t="shared" si="8"/>
        <v/>
      </c>
      <c r="T88" s="43" t="str">
        <f t="shared" si="8"/>
        <v/>
      </c>
      <c r="U88" s="43" t="str">
        <f t="shared" si="8"/>
        <v/>
      </c>
      <c r="V88" s="43" t="str">
        <f t="shared" si="8"/>
        <v/>
      </c>
    </row>
    <row r="89" spans="1:22" x14ac:dyDescent="0.3">
      <c r="A89" s="42"/>
      <c r="B89" s="43" t="str">
        <f>IF($A89="","",SUMIFS([2]weekly_demand!$D:$D,[2]weekly_demand!$A:$A,B$1,[2]weekly_demand!$C:$C,$A89))</f>
        <v/>
      </c>
      <c r="C89" s="43" t="str">
        <f>IF($A89="","",SUMIFS([2]weekly_demand!$D:$D,[2]weekly_demand!$A:$A,C$1,[2]weekly_demand!$C:$C,$A89))</f>
        <v/>
      </c>
      <c r="D89" s="43" t="str">
        <f>IF($A89="","",SUMIFS([2]weekly_demand!$D:$D,[2]weekly_demand!$A:$A,D$1,[2]weekly_demand!$C:$C,$A89))</f>
        <v/>
      </c>
      <c r="E89" s="43" t="str">
        <f>IF($A89="","",SUMIFS([2]weekly_demand!$D:$D,[2]weekly_demand!$A:$A,E$1,[2]weekly_demand!$C:$C,$A89))</f>
        <v/>
      </c>
      <c r="F89" s="43" t="str">
        <f>IF($A89="","",SUMIFS([2]weekly_demand!$D:$D,[2]weekly_demand!$A:$A,F$1,[2]weekly_demand!$C:$C,$A89))</f>
        <v/>
      </c>
      <c r="G89" s="43" t="str">
        <f>IF($A89="","",SUMIFS([2]weekly_demand!$D:$D,[2]weekly_demand!$A:$A,G$1,[2]weekly_demand!$C:$C,$A89))</f>
        <v/>
      </c>
      <c r="H89" s="43" t="str">
        <f t="shared" si="8"/>
        <v/>
      </c>
      <c r="I89" s="43" t="str">
        <f t="shared" si="8"/>
        <v/>
      </c>
      <c r="J89" s="43" t="str">
        <f t="shared" si="8"/>
        <v/>
      </c>
      <c r="K89" s="43" t="str">
        <f t="shared" si="8"/>
        <v/>
      </c>
      <c r="L89" s="43" t="str">
        <f t="shared" si="8"/>
        <v/>
      </c>
      <c r="M89" s="43" t="str">
        <f t="shared" si="8"/>
        <v/>
      </c>
      <c r="N89" s="43" t="str">
        <f t="shared" si="8"/>
        <v/>
      </c>
      <c r="O89" s="43" t="str">
        <f t="shared" si="8"/>
        <v/>
      </c>
      <c r="P89" s="43" t="str">
        <f t="shared" si="8"/>
        <v/>
      </c>
      <c r="Q89" s="43" t="str">
        <f t="shared" si="8"/>
        <v/>
      </c>
      <c r="R89" s="43" t="str">
        <f t="shared" si="8"/>
        <v/>
      </c>
      <c r="S89" s="43" t="str">
        <f t="shared" si="8"/>
        <v/>
      </c>
      <c r="T89" s="43" t="str">
        <f t="shared" si="8"/>
        <v/>
      </c>
      <c r="U89" s="43" t="str">
        <f t="shared" si="8"/>
        <v/>
      </c>
      <c r="V89" s="43" t="str">
        <f t="shared" si="8"/>
        <v/>
      </c>
    </row>
    <row r="90" spans="1:22" x14ac:dyDescent="0.3">
      <c r="A90" s="42"/>
      <c r="B90" s="43" t="str">
        <f>IF($A90="","",SUMIFS([2]weekly_demand!$D:$D,[2]weekly_demand!$A:$A,B$1,[2]weekly_demand!$C:$C,$A90))</f>
        <v/>
      </c>
      <c r="C90" s="43" t="str">
        <f>IF($A90="","",SUMIFS([2]weekly_demand!$D:$D,[2]weekly_demand!$A:$A,C$1,[2]weekly_demand!$C:$C,$A90))</f>
        <v/>
      </c>
      <c r="D90" s="43" t="str">
        <f>IF($A90="","",SUMIFS([2]weekly_demand!$D:$D,[2]weekly_demand!$A:$A,D$1,[2]weekly_demand!$C:$C,$A90))</f>
        <v/>
      </c>
      <c r="E90" s="43" t="str">
        <f>IF($A90="","",SUMIFS([2]weekly_demand!$D:$D,[2]weekly_demand!$A:$A,E$1,[2]weekly_demand!$C:$C,$A90))</f>
        <v/>
      </c>
      <c r="F90" s="43" t="str">
        <f>IF($A90="","",SUMIFS([2]weekly_demand!$D:$D,[2]weekly_demand!$A:$A,F$1,[2]weekly_demand!$C:$C,$A90))</f>
        <v/>
      </c>
      <c r="G90" s="43" t="str">
        <f>IF($A90="","",SUMIFS([2]weekly_demand!$D:$D,[2]weekly_demand!$A:$A,G$1,[2]weekly_demand!$C:$C,$A90))</f>
        <v/>
      </c>
      <c r="H90" s="43" t="str">
        <f t="shared" si="8"/>
        <v/>
      </c>
      <c r="I90" s="43" t="str">
        <f t="shared" si="8"/>
        <v/>
      </c>
      <c r="J90" s="43" t="str">
        <f t="shared" si="8"/>
        <v/>
      </c>
      <c r="K90" s="43" t="str">
        <f t="shared" si="8"/>
        <v/>
      </c>
      <c r="L90" s="43" t="str">
        <f t="shared" si="8"/>
        <v/>
      </c>
      <c r="M90" s="43" t="str">
        <f t="shared" si="8"/>
        <v/>
      </c>
      <c r="N90" s="43" t="str">
        <f t="shared" si="8"/>
        <v/>
      </c>
      <c r="O90" s="43" t="str">
        <f t="shared" si="8"/>
        <v/>
      </c>
      <c r="P90" s="43" t="str">
        <f t="shared" si="8"/>
        <v/>
      </c>
      <c r="Q90" s="43" t="str">
        <f t="shared" si="8"/>
        <v/>
      </c>
      <c r="R90" s="43" t="str">
        <f t="shared" si="8"/>
        <v/>
      </c>
      <c r="S90" s="43" t="str">
        <f t="shared" si="8"/>
        <v/>
      </c>
      <c r="T90" s="43" t="str">
        <f t="shared" si="8"/>
        <v/>
      </c>
      <c r="U90" s="43" t="str">
        <f t="shared" si="8"/>
        <v/>
      </c>
      <c r="V90" s="43" t="str">
        <f t="shared" si="8"/>
        <v/>
      </c>
    </row>
    <row r="91" spans="1:22" x14ac:dyDescent="0.3">
      <c r="A91" s="42"/>
      <c r="B91" s="43" t="str">
        <f>IF($A91="","",SUMIFS([2]weekly_demand!$D:$D,[2]weekly_demand!$A:$A,B$1,[2]weekly_demand!$C:$C,$A91))</f>
        <v/>
      </c>
      <c r="C91" s="43" t="str">
        <f>IF($A91="","",SUMIFS([2]weekly_demand!$D:$D,[2]weekly_demand!$A:$A,C$1,[2]weekly_demand!$C:$C,$A91))</f>
        <v/>
      </c>
      <c r="D91" s="43" t="str">
        <f>IF($A91="","",SUMIFS([2]weekly_demand!$D:$D,[2]weekly_demand!$A:$A,D$1,[2]weekly_demand!$C:$C,$A91))</f>
        <v/>
      </c>
      <c r="E91" s="43" t="str">
        <f>IF($A91="","",SUMIFS([2]weekly_demand!$D:$D,[2]weekly_demand!$A:$A,E$1,[2]weekly_demand!$C:$C,$A91))</f>
        <v/>
      </c>
      <c r="F91" s="43" t="str">
        <f>IF($A91="","",SUMIFS([2]weekly_demand!$D:$D,[2]weekly_demand!$A:$A,F$1,[2]weekly_demand!$C:$C,$A91))</f>
        <v/>
      </c>
      <c r="G91" s="43" t="str">
        <f>IF($A91="","",SUMIFS([2]weekly_demand!$D:$D,[2]weekly_demand!$A:$A,G$1,[2]weekly_demand!$C:$C,$A91))</f>
        <v/>
      </c>
      <c r="H91" s="43" t="str">
        <f t="shared" si="8"/>
        <v/>
      </c>
      <c r="I91" s="43" t="str">
        <f t="shared" si="8"/>
        <v/>
      </c>
      <c r="J91" s="43" t="str">
        <f t="shared" si="8"/>
        <v/>
      </c>
      <c r="K91" s="43" t="str">
        <f t="shared" si="8"/>
        <v/>
      </c>
      <c r="L91" s="43" t="str">
        <f t="shared" si="8"/>
        <v/>
      </c>
      <c r="M91" s="43" t="str">
        <f t="shared" si="8"/>
        <v/>
      </c>
      <c r="N91" s="43" t="str">
        <f t="shared" si="8"/>
        <v/>
      </c>
      <c r="O91" s="43" t="str">
        <f t="shared" si="8"/>
        <v/>
      </c>
      <c r="P91" s="43" t="str">
        <f t="shared" si="8"/>
        <v/>
      </c>
      <c r="Q91" s="43" t="str">
        <f t="shared" si="8"/>
        <v/>
      </c>
      <c r="R91" s="43" t="str">
        <f t="shared" si="8"/>
        <v/>
      </c>
      <c r="S91" s="43" t="str">
        <f t="shared" si="8"/>
        <v/>
      </c>
      <c r="T91" s="43" t="str">
        <f t="shared" si="8"/>
        <v/>
      </c>
      <c r="U91" s="43" t="str">
        <f t="shared" si="8"/>
        <v/>
      </c>
      <c r="V91" s="43" t="str">
        <f t="shared" si="8"/>
        <v/>
      </c>
    </row>
    <row r="92" spans="1:22" x14ac:dyDescent="0.3">
      <c r="A92" s="42"/>
      <c r="B92" s="43" t="str">
        <f>IF($A92="","",SUMIFS([2]weekly_demand!$D:$D,[2]weekly_demand!$A:$A,B$1,[2]weekly_demand!$C:$C,$A92))</f>
        <v/>
      </c>
      <c r="C92" s="43" t="str">
        <f>IF($A92="","",SUMIFS([2]weekly_demand!$D:$D,[2]weekly_demand!$A:$A,C$1,[2]weekly_demand!$C:$C,$A92))</f>
        <v/>
      </c>
      <c r="D92" s="43" t="str">
        <f>IF($A92="","",SUMIFS([2]weekly_demand!$D:$D,[2]weekly_demand!$A:$A,D$1,[2]weekly_demand!$C:$C,$A92))</f>
        <v/>
      </c>
      <c r="E92" s="43" t="str">
        <f>IF($A92="","",SUMIFS([2]weekly_demand!$D:$D,[2]weekly_demand!$A:$A,E$1,[2]weekly_demand!$C:$C,$A92))</f>
        <v/>
      </c>
      <c r="F92" s="43" t="str">
        <f>IF($A92="","",SUMIFS([2]weekly_demand!$D:$D,[2]weekly_demand!$A:$A,F$1,[2]weekly_demand!$C:$C,$A92))</f>
        <v/>
      </c>
      <c r="G92" s="43" t="str">
        <f>IF($A92="","",SUMIFS([2]weekly_demand!$D:$D,[2]weekly_demand!$A:$A,G$1,[2]weekly_demand!$C:$C,$A92))</f>
        <v/>
      </c>
      <c r="H92" s="43" t="str">
        <f t="shared" ref="H92:V101" si="9">IF($A92="","",SUMPRODUCT($B92:$G92,INDEX($Y$2:$AD$16,MATCH(H$1,$X$2:$X$16,0),0)))</f>
        <v/>
      </c>
      <c r="I92" s="43" t="str">
        <f t="shared" si="9"/>
        <v/>
      </c>
      <c r="J92" s="43" t="str">
        <f t="shared" si="9"/>
        <v/>
      </c>
      <c r="K92" s="43" t="str">
        <f t="shared" si="9"/>
        <v/>
      </c>
      <c r="L92" s="43" t="str">
        <f t="shared" si="9"/>
        <v/>
      </c>
      <c r="M92" s="43" t="str">
        <f t="shared" si="9"/>
        <v/>
      </c>
      <c r="N92" s="43" t="str">
        <f t="shared" si="9"/>
        <v/>
      </c>
      <c r="O92" s="43" t="str">
        <f t="shared" si="9"/>
        <v/>
      </c>
      <c r="P92" s="43" t="str">
        <f t="shared" si="9"/>
        <v/>
      </c>
      <c r="Q92" s="43" t="str">
        <f t="shared" si="9"/>
        <v/>
      </c>
      <c r="R92" s="43" t="str">
        <f t="shared" si="9"/>
        <v/>
      </c>
      <c r="S92" s="43" t="str">
        <f t="shared" si="9"/>
        <v/>
      </c>
      <c r="T92" s="43" t="str">
        <f t="shared" si="9"/>
        <v/>
      </c>
      <c r="U92" s="43" t="str">
        <f t="shared" si="9"/>
        <v/>
      </c>
      <c r="V92" s="43" t="str">
        <f t="shared" si="9"/>
        <v/>
      </c>
    </row>
    <row r="93" spans="1:22" x14ac:dyDescent="0.3">
      <c r="A93" s="42"/>
      <c r="B93" s="43" t="str">
        <f>IF($A93="","",SUMIFS([2]weekly_demand!$D:$D,[2]weekly_demand!$A:$A,B$1,[2]weekly_demand!$C:$C,$A93))</f>
        <v/>
      </c>
      <c r="C93" s="43" t="str">
        <f>IF($A93="","",SUMIFS([2]weekly_demand!$D:$D,[2]weekly_demand!$A:$A,C$1,[2]weekly_demand!$C:$C,$A93))</f>
        <v/>
      </c>
      <c r="D93" s="43" t="str">
        <f>IF($A93="","",SUMIFS([2]weekly_demand!$D:$D,[2]weekly_demand!$A:$A,D$1,[2]weekly_demand!$C:$C,$A93))</f>
        <v/>
      </c>
      <c r="E93" s="43" t="str">
        <f>IF($A93="","",SUMIFS([2]weekly_demand!$D:$D,[2]weekly_demand!$A:$A,E$1,[2]weekly_demand!$C:$C,$A93))</f>
        <v/>
      </c>
      <c r="F93" s="43" t="str">
        <f>IF($A93="","",SUMIFS([2]weekly_demand!$D:$D,[2]weekly_demand!$A:$A,F$1,[2]weekly_demand!$C:$C,$A93))</f>
        <v/>
      </c>
      <c r="G93" s="43" t="str">
        <f>IF($A93="","",SUMIFS([2]weekly_demand!$D:$D,[2]weekly_demand!$A:$A,G$1,[2]weekly_demand!$C:$C,$A93))</f>
        <v/>
      </c>
      <c r="H93" s="43" t="str">
        <f t="shared" si="9"/>
        <v/>
      </c>
      <c r="I93" s="43" t="str">
        <f t="shared" si="9"/>
        <v/>
      </c>
      <c r="J93" s="43" t="str">
        <f t="shared" si="9"/>
        <v/>
      </c>
      <c r="K93" s="43" t="str">
        <f t="shared" si="9"/>
        <v/>
      </c>
      <c r="L93" s="43" t="str">
        <f t="shared" si="9"/>
        <v/>
      </c>
      <c r="M93" s="43" t="str">
        <f t="shared" si="9"/>
        <v/>
      </c>
      <c r="N93" s="43" t="str">
        <f t="shared" si="9"/>
        <v/>
      </c>
      <c r="O93" s="43" t="str">
        <f t="shared" si="9"/>
        <v/>
      </c>
      <c r="P93" s="43" t="str">
        <f t="shared" si="9"/>
        <v/>
      </c>
      <c r="Q93" s="43" t="str">
        <f t="shared" si="9"/>
        <v/>
      </c>
      <c r="R93" s="43" t="str">
        <f t="shared" si="9"/>
        <v/>
      </c>
      <c r="S93" s="43" t="str">
        <f t="shared" si="9"/>
        <v/>
      </c>
      <c r="T93" s="43" t="str">
        <f t="shared" si="9"/>
        <v/>
      </c>
      <c r="U93" s="43" t="str">
        <f t="shared" si="9"/>
        <v/>
      </c>
      <c r="V93" s="43" t="str">
        <f t="shared" si="9"/>
        <v/>
      </c>
    </row>
    <row r="94" spans="1:22" x14ac:dyDescent="0.3">
      <c r="A94" s="42"/>
      <c r="B94" s="43" t="str">
        <f>IF($A94="","",SUMIFS([2]weekly_demand!$D:$D,[2]weekly_demand!$A:$A,B$1,[2]weekly_demand!$C:$C,$A94))</f>
        <v/>
      </c>
      <c r="C94" s="43" t="str">
        <f>IF($A94="","",SUMIFS([2]weekly_demand!$D:$D,[2]weekly_demand!$A:$A,C$1,[2]weekly_demand!$C:$C,$A94))</f>
        <v/>
      </c>
      <c r="D94" s="43" t="str">
        <f>IF($A94="","",SUMIFS([2]weekly_demand!$D:$D,[2]weekly_demand!$A:$A,D$1,[2]weekly_demand!$C:$C,$A94))</f>
        <v/>
      </c>
      <c r="E94" s="43" t="str">
        <f>IF($A94="","",SUMIFS([2]weekly_demand!$D:$D,[2]weekly_demand!$A:$A,E$1,[2]weekly_demand!$C:$C,$A94))</f>
        <v/>
      </c>
      <c r="F94" s="43" t="str">
        <f>IF($A94="","",SUMIFS([2]weekly_demand!$D:$D,[2]weekly_demand!$A:$A,F$1,[2]weekly_demand!$C:$C,$A94))</f>
        <v/>
      </c>
      <c r="G94" s="43" t="str">
        <f>IF($A94="","",SUMIFS([2]weekly_demand!$D:$D,[2]weekly_demand!$A:$A,G$1,[2]weekly_demand!$C:$C,$A94))</f>
        <v/>
      </c>
      <c r="H94" s="43" t="str">
        <f t="shared" si="9"/>
        <v/>
      </c>
      <c r="I94" s="43" t="str">
        <f t="shared" si="9"/>
        <v/>
      </c>
      <c r="J94" s="43" t="str">
        <f t="shared" si="9"/>
        <v/>
      </c>
      <c r="K94" s="43" t="str">
        <f t="shared" si="9"/>
        <v/>
      </c>
      <c r="L94" s="43" t="str">
        <f t="shared" si="9"/>
        <v/>
      </c>
      <c r="M94" s="43" t="str">
        <f t="shared" si="9"/>
        <v/>
      </c>
      <c r="N94" s="43" t="str">
        <f t="shared" si="9"/>
        <v/>
      </c>
      <c r="O94" s="43" t="str">
        <f t="shared" si="9"/>
        <v/>
      </c>
      <c r="P94" s="43" t="str">
        <f t="shared" si="9"/>
        <v/>
      </c>
      <c r="Q94" s="43" t="str">
        <f t="shared" si="9"/>
        <v/>
      </c>
      <c r="R94" s="43" t="str">
        <f t="shared" si="9"/>
        <v/>
      </c>
      <c r="S94" s="43" t="str">
        <f t="shared" si="9"/>
        <v/>
      </c>
      <c r="T94" s="43" t="str">
        <f t="shared" si="9"/>
        <v/>
      </c>
      <c r="U94" s="43" t="str">
        <f t="shared" si="9"/>
        <v/>
      </c>
      <c r="V94" s="43" t="str">
        <f t="shared" si="9"/>
        <v/>
      </c>
    </row>
    <row r="95" spans="1:22" x14ac:dyDescent="0.3">
      <c r="A95" s="42"/>
      <c r="B95" s="43" t="str">
        <f>IF($A95="","",SUMIFS([2]weekly_demand!$D:$D,[2]weekly_demand!$A:$A,B$1,[2]weekly_demand!$C:$C,$A95))</f>
        <v/>
      </c>
      <c r="C95" s="43" t="str">
        <f>IF($A95="","",SUMIFS([2]weekly_demand!$D:$D,[2]weekly_demand!$A:$A,C$1,[2]weekly_demand!$C:$C,$A95))</f>
        <v/>
      </c>
      <c r="D95" s="43" t="str">
        <f>IF($A95="","",SUMIFS([2]weekly_demand!$D:$D,[2]weekly_demand!$A:$A,D$1,[2]weekly_demand!$C:$C,$A95))</f>
        <v/>
      </c>
      <c r="E95" s="43" t="str">
        <f>IF($A95="","",SUMIFS([2]weekly_demand!$D:$D,[2]weekly_demand!$A:$A,E$1,[2]weekly_demand!$C:$C,$A95))</f>
        <v/>
      </c>
      <c r="F95" s="43" t="str">
        <f>IF($A95="","",SUMIFS([2]weekly_demand!$D:$D,[2]weekly_demand!$A:$A,F$1,[2]weekly_demand!$C:$C,$A95))</f>
        <v/>
      </c>
      <c r="G95" s="43" t="str">
        <f>IF($A95="","",SUMIFS([2]weekly_demand!$D:$D,[2]weekly_demand!$A:$A,G$1,[2]weekly_demand!$C:$C,$A95))</f>
        <v/>
      </c>
      <c r="H95" s="43" t="str">
        <f t="shared" si="9"/>
        <v/>
      </c>
      <c r="I95" s="43" t="str">
        <f t="shared" si="9"/>
        <v/>
      </c>
      <c r="J95" s="43" t="str">
        <f t="shared" si="9"/>
        <v/>
      </c>
      <c r="K95" s="43" t="str">
        <f t="shared" si="9"/>
        <v/>
      </c>
      <c r="L95" s="43" t="str">
        <f t="shared" si="9"/>
        <v/>
      </c>
      <c r="M95" s="43" t="str">
        <f t="shared" si="9"/>
        <v/>
      </c>
      <c r="N95" s="43" t="str">
        <f t="shared" si="9"/>
        <v/>
      </c>
      <c r="O95" s="43" t="str">
        <f t="shared" si="9"/>
        <v/>
      </c>
      <c r="P95" s="43" t="str">
        <f t="shared" si="9"/>
        <v/>
      </c>
      <c r="Q95" s="43" t="str">
        <f t="shared" si="9"/>
        <v/>
      </c>
      <c r="R95" s="43" t="str">
        <f t="shared" si="9"/>
        <v/>
      </c>
      <c r="S95" s="43" t="str">
        <f t="shared" si="9"/>
        <v/>
      </c>
      <c r="T95" s="43" t="str">
        <f t="shared" si="9"/>
        <v/>
      </c>
      <c r="U95" s="43" t="str">
        <f t="shared" si="9"/>
        <v/>
      </c>
      <c r="V95" s="43" t="str">
        <f t="shared" si="9"/>
        <v/>
      </c>
    </row>
    <row r="96" spans="1:22" x14ac:dyDescent="0.3">
      <c r="A96" s="42"/>
      <c r="B96" s="43" t="str">
        <f>IF($A96="","",SUMIFS([2]weekly_demand!$D:$D,[2]weekly_demand!$A:$A,B$1,[2]weekly_demand!$C:$C,$A96))</f>
        <v/>
      </c>
      <c r="C96" s="43" t="str">
        <f>IF($A96="","",SUMIFS([2]weekly_demand!$D:$D,[2]weekly_demand!$A:$A,C$1,[2]weekly_demand!$C:$C,$A96))</f>
        <v/>
      </c>
      <c r="D96" s="43" t="str">
        <f>IF($A96="","",SUMIFS([2]weekly_demand!$D:$D,[2]weekly_demand!$A:$A,D$1,[2]weekly_demand!$C:$C,$A96))</f>
        <v/>
      </c>
      <c r="E96" s="43" t="str">
        <f>IF($A96="","",SUMIFS([2]weekly_demand!$D:$D,[2]weekly_demand!$A:$A,E$1,[2]weekly_demand!$C:$C,$A96))</f>
        <v/>
      </c>
      <c r="F96" s="43" t="str">
        <f>IF($A96="","",SUMIFS([2]weekly_demand!$D:$D,[2]weekly_demand!$A:$A,F$1,[2]weekly_demand!$C:$C,$A96))</f>
        <v/>
      </c>
      <c r="G96" s="43" t="str">
        <f>IF($A96="","",SUMIFS([2]weekly_demand!$D:$D,[2]weekly_demand!$A:$A,G$1,[2]weekly_demand!$C:$C,$A96))</f>
        <v/>
      </c>
      <c r="H96" s="43" t="str">
        <f t="shared" si="9"/>
        <v/>
      </c>
      <c r="I96" s="43" t="str">
        <f t="shared" si="9"/>
        <v/>
      </c>
      <c r="J96" s="43" t="str">
        <f t="shared" si="9"/>
        <v/>
      </c>
      <c r="K96" s="43" t="str">
        <f t="shared" si="9"/>
        <v/>
      </c>
      <c r="L96" s="43" t="str">
        <f t="shared" si="9"/>
        <v/>
      </c>
      <c r="M96" s="43" t="str">
        <f t="shared" si="9"/>
        <v/>
      </c>
      <c r="N96" s="43" t="str">
        <f t="shared" si="9"/>
        <v/>
      </c>
      <c r="O96" s="43" t="str">
        <f t="shared" si="9"/>
        <v/>
      </c>
      <c r="P96" s="43" t="str">
        <f t="shared" si="9"/>
        <v/>
      </c>
      <c r="Q96" s="43" t="str">
        <f t="shared" si="9"/>
        <v/>
      </c>
      <c r="R96" s="43" t="str">
        <f t="shared" si="9"/>
        <v/>
      </c>
      <c r="S96" s="43" t="str">
        <f t="shared" si="9"/>
        <v/>
      </c>
      <c r="T96" s="43" t="str">
        <f t="shared" si="9"/>
        <v/>
      </c>
      <c r="U96" s="43" t="str">
        <f t="shared" si="9"/>
        <v/>
      </c>
      <c r="V96" s="43" t="str">
        <f t="shared" si="9"/>
        <v/>
      </c>
    </row>
    <row r="97" spans="1:22" x14ac:dyDescent="0.3">
      <c r="A97" s="42"/>
      <c r="B97" s="43" t="str">
        <f>IF($A97="","",SUMIFS([2]weekly_demand!$D:$D,[2]weekly_demand!$A:$A,B$1,[2]weekly_demand!$C:$C,$A97))</f>
        <v/>
      </c>
      <c r="C97" s="43" t="str">
        <f>IF($A97="","",SUMIFS([2]weekly_demand!$D:$D,[2]weekly_demand!$A:$A,C$1,[2]weekly_demand!$C:$C,$A97))</f>
        <v/>
      </c>
      <c r="D97" s="43" t="str">
        <f>IF($A97="","",SUMIFS([2]weekly_demand!$D:$D,[2]weekly_demand!$A:$A,D$1,[2]weekly_demand!$C:$C,$A97))</f>
        <v/>
      </c>
      <c r="E97" s="43" t="str">
        <f>IF($A97="","",SUMIFS([2]weekly_demand!$D:$D,[2]weekly_demand!$A:$A,E$1,[2]weekly_demand!$C:$C,$A97))</f>
        <v/>
      </c>
      <c r="F97" s="43" t="str">
        <f>IF($A97="","",SUMIFS([2]weekly_demand!$D:$D,[2]weekly_demand!$A:$A,F$1,[2]weekly_demand!$C:$C,$A97))</f>
        <v/>
      </c>
      <c r="G97" s="43" t="str">
        <f>IF($A97="","",SUMIFS([2]weekly_demand!$D:$D,[2]weekly_demand!$A:$A,G$1,[2]weekly_demand!$C:$C,$A97))</f>
        <v/>
      </c>
      <c r="H97" s="43" t="str">
        <f t="shared" si="9"/>
        <v/>
      </c>
      <c r="I97" s="43" t="str">
        <f t="shared" si="9"/>
        <v/>
      </c>
      <c r="J97" s="43" t="str">
        <f t="shared" si="9"/>
        <v/>
      </c>
      <c r="K97" s="43" t="str">
        <f t="shared" si="9"/>
        <v/>
      </c>
      <c r="L97" s="43" t="str">
        <f t="shared" si="9"/>
        <v/>
      </c>
      <c r="M97" s="43" t="str">
        <f t="shared" si="9"/>
        <v/>
      </c>
      <c r="N97" s="43" t="str">
        <f t="shared" si="9"/>
        <v/>
      </c>
      <c r="O97" s="43" t="str">
        <f t="shared" si="9"/>
        <v/>
      </c>
      <c r="P97" s="43" t="str">
        <f t="shared" si="9"/>
        <v/>
      </c>
      <c r="Q97" s="43" t="str">
        <f t="shared" si="9"/>
        <v/>
      </c>
      <c r="R97" s="43" t="str">
        <f t="shared" si="9"/>
        <v/>
      </c>
      <c r="S97" s="43" t="str">
        <f t="shared" si="9"/>
        <v/>
      </c>
      <c r="T97" s="43" t="str">
        <f t="shared" si="9"/>
        <v/>
      </c>
      <c r="U97" s="43" t="str">
        <f t="shared" si="9"/>
        <v/>
      </c>
      <c r="V97" s="43" t="str">
        <f t="shared" si="9"/>
        <v/>
      </c>
    </row>
    <row r="98" spans="1:22" x14ac:dyDescent="0.3">
      <c r="A98" s="42"/>
      <c r="B98" s="43" t="str">
        <f>IF($A98="","",SUMIFS([2]weekly_demand!$D:$D,[2]weekly_demand!$A:$A,B$1,[2]weekly_demand!$C:$C,$A98))</f>
        <v/>
      </c>
      <c r="C98" s="43" t="str">
        <f>IF($A98="","",SUMIFS([2]weekly_demand!$D:$D,[2]weekly_demand!$A:$A,C$1,[2]weekly_demand!$C:$C,$A98))</f>
        <v/>
      </c>
      <c r="D98" s="43" t="str">
        <f>IF($A98="","",SUMIFS([2]weekly_demand!$D:$D,[2]weekly_demand!$A:$A,D$1,[2]weekly_demand!$C:$C,$A98))</f>
        <v/>
      </c>
      <c r="E98" s="43" t="str">
        <f>IF($A98="","",SUMIFS([2]weekly_demand!$D:$D,[2]weekly_demand!$A:$A,E$1,[2]weekly_demand!$C:$C,$A98))</f>
        <v/>
      </c>
      <c r="F98" s="43" t="str">
        <f>IF($A98="","",SUMIFS([2]weekly_demand!$D:$D,[2]weekly_demand!$A:$A,F$1,[2]weekly_demand!$C:$C,$A98))</f>
        <v/>
      </c>
      <c r="G98" s="43" t="str">
        <f>IF($A98="","",SUMIFS([2]weekly_demand!$D:$D,[2]weekly_demand!$A:$A,G$1,[2]weekly_demand!$C:$C,$A98))</f>
        <v/>
      </c>
      <c r="H98" s="43" t="str">
        <f t="shared" si="9"/>
        <v/>
      </c>
      <c r="I98" s="43" t="str">
        <f t="shared" si="9"/>
        <v/>
      </c>
      <c r="J98" s="43" t="str">
        <f t="shared" si="9"/>
        <v/>
      </c>
      <c r="K98" s="43" t="str">
        <f t="shared" si="9"/>
        <v/>
      </c>
      <c r="L98" s="43" t="str">
        <f t="shared" si="9"/>
        <v/>
      </c>
      <c r="M98" s="43" t="str">
        <f t="shared" si="9"/>
        <v/>
      </c>
      <c r="N98" s="43" t="str">
        <f t="shared" si="9"/>
        <v/>
      </c>
      <c r="O98" s="43" t="str">
        <f t="shared" si="9"/>
        <v/>
      </c>
      <c r="P98" s="43" t="str">
        <f t="shared" si="9"/>
        <v/>
      </c>
      <c r="Q98" s="43" t="str">
        <f t="shared" si="9"/>
        <v/>
      </c>
      <c r="R98" s="43" t="str">
        <f t="shared" si="9"/>
        <v/>
      </c>
      <c r="S98" s="43" t="str">
        <f t="shared" si="9"/>
        <v/>
      </c>
      <c r="T98" s="43" t="str">
        <f t="shared" si="9"/>
        <v/>
      </c>
      <c r="U98" s="43" t="str">
        <f t="shared" si="9"/>
        <v/>
      </c>
      <c r="V98" s="43" t="str">
        <f t="shared" si="9"/>
        <v/>
      </c>
    </row>
    <row r="99" spans="1:22" x14ac:dyDescent="0.3">
      <c r="A99" s="42"/>
      <c r="B99" s="43" t="str">
        <f>IF($A99="","",SUMIFS([2]weekly_demand!$D:$D,[2]weekly_demand!$A:$A,B$1,[2]weekly_demand!$C:$C,$A99))</f>
        <v/>
      </c>
      <c r="C99" s="43" t="str">
        <f>IF($A99="","",SUMIFS([2]weekly_demand!$D:$D,[2]weekly_demand!$A:$A,C$1,[2]weekly_demand!$C:$C,$A99))</f>
        <v/>
      </c>
      <c r="D99" s="43" t="str">
        <f>IF($A99="","",SUMIFS([2]weekly_demand!$D:$D,[2]weekly_demand!$A:$A,D$1,[2]weekly_demand!$C:$C,$A99))</f>
        <v/>
      </c>
      <c r="E99" s="43" t="str">
        <f>IF($A99="","",SUMIFS([2]weekly_demand!$D:$D,[2]weekly_demand!$A:$A,E$1,[2]weekly_demand!$C:$C,$A99))</f>
        <v/>
      </c>
      <c r="F99" s="43" t="str">
        <f>IF($A99="","",SUMIFS([2]weekly_demand!$D:$D,[2]weekly_demand!$A:$A,F$1,[2]weekly_demand!$C:$C,$A99))</f>
        <v/>
      </c>
      <c r="G99" s="43" t="str">
        <f>IF($A99="","",SUMIFS([2]weekly_demand!$D:$D,[2]weekly_demand!$A:$A,G$1,[2]weekly_demand!$C:$C,$A99))</f>
        <v/>
      </c>
      <c r="H99" s="43" t="str">
        <f t="shared" si="9"/>
        <v/>
      </c>
      <c r="I99" s="43" t="str">
        <f t="shared" si="9"/>
        <v/>
      </c>
      <c r="J99" s="43" t="str">
        <f t="shared" si="9"/>
        <v/>
      </c>
      <c r="K99" s="43" t="str">
        <f t="shared" si="9"/>
        <v/>
      </c>
      <c r="L99" s="43" t="str">
        <f t="shared" si="9"/>
        <v/>
      </c>
      <c r="M99" s="43" t="str">
        <f t="shared" si="9"/>
        <v/>
      </c>
      <c r="N99" s="43" t="str">
        <f t="shared" si="9"/>
        <v/>
      </c>
      <c r="O99" s="43" t="str">
        <f t="shared" si="9"/>
        <v/>
      </c>
      <c r="P99" s="43" t="str">
        <f t="shared" si="9"/>
        <v/>
      </c>
      <c r="Q99" s="43" t="str">
        <f t="shared" si="9"/>
        <v/>
      </c>
      <c r="R99" s="43" t="str">
        <f t="shared" si="9"/>
        <v/>
      </c>
      <c r="S99" s="43" t="str">
        <f t="shared" si="9"/>
        <v/>
      </c>
      <c r="T99" s="43" t="str">
        <f t="shared" si="9"/>
        <v/>
      </c>
      <c r="U99" s="43" t="str">
        <f t="shared" si="9"/>
        <v/>
      </c>
      <c r="V99" s="43" t="str">
        <f t="shared" si="9"/>
        <v/>
      </c>
    </row>
    <row r="100" spans="1:22" x14ac:dyDescent="0.3">
      <c r="A100" s="42"/>
      <c r="B100" s="43" t="str">
        <f>IF($A100="","",SUMIFS([2]weekly_demand!$D:$D,[2]weekly_demand!$A:$A,B$1,[2]weekly_demand!$C:$C,$A100))</f>
        <v/>
      </c>
      <c r="C100" s="43" t="str">
        <f>IF($A100="","",SUMIFS([2]weekly_demand!$D:$D,[2]weekly_demand!$A:$A,C$1,[2]weekly_demand!$C:$C,$A100))</f>
        <v/>
      </c>
      <c r="D100" s="43" t="str">
        <f>IF($A100="","",SUMIFS([2]weekly_demand!$D:$D,[2]weekly_demand!$A:$A,D$1,[2]weekly_demand!$C:$C,$A100))</f>
        <v/>
      </c>
      <c r="E100" s="43" t="str">
        <f>IF($A100="","",SUMIFS([2]weekly_demand!$D:$D,[2]weekly_demand!$A:$A,E$1,[2]weekly_demand!$C:$C,$A100))</f>
        <v/>
      </c>
      <c r="F100" s="43" t="str">
        <f>IF($A100="","",SUMIFS([2]weekly_demand!$D:$D,[2]weekly_demand!$A:$A,F$1,[2]weekly_demand!$C:$C,$A100))</f>
        <v/>
      </c>
      <c r="G100" s="43" t="str">
        <f>IF($A100="","",SUMIFS([2]weekly_demand!$D:$D,[2]weekly_demand!$A:$A,G$1,[2]weekly_demand!$C:$C,$A100))</f>
        <v/>
      </c>
      <c r="H100" s="43" t="str">
        <f t="shared" si="9"/>
        <v/>
      </c>
      <c r="I100" s="43" t="str">
        <f t="shared" si="9"/>
        <v/>
      </c>
      <c r="J100" s="43" t="str">
        <f t="shared" si="9"/>
        <v/>
      </c>
      <c r="K100" s="43" t="str">
        <f t="shared" si="9"/>
        <v/>
      </c>
      <c r="L100" s="43" t="str">
        <f t="shared" si="9"/>
        <v/>
      </c>
      <c r="M100" s="43" t="str">
        <f t="shared" si="9"/>
        <v/>
      </c>
      <c r="N100" s="43" t="str">
        <f t="shared" si="9"/>
        <v/>
      </c>
      <c r="O100" s="43" t="str">
        <f t="shared" si="9"/>
        <v/>
      </c>
      <c r="P100" s="43" t="str">
        <f t="shared" si="9"/>
        <v/>
      </c>
      <c r="Q100" s="43" t="str">
        <f t="shared" si="9"/>
        <v/>
      </c>
      <c r="R100" s="43" t="str">
        <f t="shared" si="9"/>
        <v/>
      </c>
      <c r="S100" s="43" t="str">
        <f t="shared" si="9"/>
        <v/>
      </c>
      <c r="T100" s="43" t="str">
        <f t="shared" si="9"/>
        <v/>
      </c>
      <c r="U100" s="43" t="str">
        <f t="shared" si="9"/>
        <v/>
      </c>
      <c r="V100" s="43" t="str">
        <f t="shared" si="9"/>
        <v/>
      </c>
    </row>
    <row r="101" spans="1:22" x14ac:dyDescent="0.3">
      <c r="A101" s="42"/>
      <c r="B101" s="43" t="str">
        <f>IF($A101="","",SUMIFS([2]weekly_demand!$D:$D,[2]weekly_demand!$A:$A,B$1,[2]weekly_demand!$C:$C,$A101))</f>
        <v/>
      </c>
      <c r="C101" s="43" t="str">
        <f>IF($A101="","",SUMIFS([2]weekly_demand!$D:$D,[2]weekly_demand!$A:$A,C$1,[2]weekly_demand!$C:$C,$A101))</f>
        <v/>
      </c>
      <c r="D101" s="43" t="str">
        <f>IF($A101="","",SUMIFS([2]weekly_demand!$D:$D,[2]weekly_demand!$A:$A,D$1,[2]weekly_demand!$C:$C,$A101))</f>
        <v/>
      </c>
      <c r="E101" s="43" t="str">
        <f>IF($A101="","",SUMIFS([2]weekly_demand!$D:$D,[2]weekly_demand!$A:$A,E$1,[2]weekly_demand!$C:$C,$A101))</f>
        <v/>
      </c>
      <c r="F101" s="43" t="str">
        <f>IF($A101="","",SUMIFS([2]weekly_demand!$D:$D,[2]weekly_demand!$A:$A,F$1,[2]weekly_demand!$C:$C,$A101))</f>
        <v/>
      </c>
      <c r="G101" s="43" t="str">
        <f>IF($A101="","",SUMIFS([2]weekly_demand!$D:$D,[2]weekly_demand!$A:$A,G$1,[2]weekly_demand!$C:$C,$A101))</f>
        <v/>
      </c>
      <c r="H101" s="43" t="str">
        <f t="shared" si="9"/>
        <v/>
      </c>
      <c r="I101" s="43" t="str">
        <f t="shared" si="9"/>
        <v/>
      </c>
      <c r="J101" s="43" t="str">
        <f t="shared" si="9"/>
        <v/>
      </c>
      <c r="K101" s="43" t="str">
        <f t="shared" si="9"/>
        <v/>
      </c>
      <c r="L101" s="43" t="str">
        <f t="shared" si="9"/>
        <v/>
      </c>
      <c r="M101" s="43" t="str">
        <f t="shared" si="9"/>
        <v/>
      </c>
      <c r="N101" s="43" t="str">
        <f t="shared" si="9"/>
        <v/>
      </c>
      <c r="O101" s="43" t="str">
        <f t="shared" si="9"/>
        <v/>
      </c>
      <c r="P101" s="43" t="str">
        <f t="shared" si="9"/>
        <v/>
      </c>
      <c r="Q101" s="43" t="str">
        <f t="shared" si="9"/>
        <v/>
      </c>
      <c r="R101" s="43" t="str">
        <f t="shared" si="9"/>
        <v/>
      </c>
      <c r="S101" s="43" t="str">
        <f t="shared" si="9"/>
        <v/>
      </c>
      <c r="T101" s="43" t="str">
        <f t="shared" si="9"/>
        <v/>
      </c>
      <c r="U101" s="43" t="str">
        <f t="shared" si="9"/>
        <v/>
      </c>
      <c r="V101" s="43" t="str">
        <f t="shared" si="9"/>
        <v/>
      </c>
    </row>
    <row r="102" spans="1:22" x14ac:dyDescent="0.3">
      <c r="A102" s="42"/>
      <c r="B102" s="43" t="str">
        <f>IF($A102="","",SUMIFS([2]weekly_demand!$D:$D,[2]weekly_demand!$A:$A,B$1,[2]weekly_demand!$C:$C,$A102))</f>
        <v/>
      </c>
      <c r="C102" s="43" t="str">
        <f>IF($A102="","",SUMIFS([2]weekly_demand!$D:$D,[2]weekly_demand!$A:$A,C$1,[2]weekly_demand!$C:$C,$A102))</f>
        <v/>
      </c>
      <c r="D102" s="43" t="str">
        <f>IF($A102="","",SUMIFS([2]weekly_demand!$D:$D,[2]weekly_demand!$A:$A,D$1,[2]weekly_demand!$C:$C,$A102))</f>
        <v/>
      </c>
      <c r="E102" s="43" t="str">
        <f>IF($A102="","",SUMIFS([2]weekly_demand!$D:$D,[2]weekly_demand!$A:$A,E$1,[2]weekly_demand!$C:$C,$A102))</f>
        <v/>
      </c>
      <c r="F102" s="43" t="str">
        <f>IF($A102="","",SUMIFS([2]weekly_demand!$D:$D,[2]weekly_demand!$A:$A,F$1,[2]weekly_demand!$C:$C,$A102))</f>
        <v/>
      </c>
      <c r="G102" s="43" t="str">
        <f>IF($A102="","",SUMIFS([2]weekly_demand!$D:$D,[2]weekly_demand!$A:$A,G$1,[2]weekly_demand!$C:$C,$A102))</f>
        <v/>
      </c>
      <c r="H102" s="43" t="str">
        <f t="shared" ref="H102:V111" si="10">IF($A102="","",SUMPRODUCT($B102:$G102,INDEX($Y$2:$AD$16,MATCH(H$1,$X$2:$X$16,0),0)))</f>
        <v/>
      </c>
      <c r="I102" s="43" t="str">
        <f t="shared" si="10"/>
        <v/>
      </c>
      <c r="J102" s="43" t="str">
        <f t="shared" si="10"/>
        <v/>
      </c>
      <c r="K102" s="43" t="str">
        <f t="shared" si="10"/>
        <v/>
      </c>
      <c r="L102" s="43" t="str">
        <f t="shared" si="10"/>
        <v/>
      </c>
      <c r="M102" s="43" t="str">
        <f t="shared" si="10"/>
        <v/>
      </c>
      <c r="N102" s="43" t="str">
        <f t="shared" si="10"/>
        <v/>
      </c>
      <c r="O102" s="43" t="str">
        <f t="shared" si="10"/>
        <v/>
      </c>
      <c r="P102" s="43" t="str">
        <f t="shared" si="10"/>
        <v/>
      </c>
      <c r="Q102" s="43" t="str">
        <f t="shared" si="10"/>
        <v/>
      </c>
      <c r="R102" s="43" t="str">
        <f t="shared" si="10"/>
        <v/>
      </c>
      <c r="S102" s="43" t="str">
        <f t="shared" si="10"/>
        <v/>
      </c>
      <c r="T102" s="43" t="str">
        <f t="shared" si="10"/>
        <v/>
      </c>
      <c r="U102" s="43" t="str">
        <f t="shared" si="10"/>
        <v/>
      </c>
      <c r="V102" s="43" t="str">
        <f t="shared" si="10"/>
        <v/>
      </c>
    </row>
    <row r="103" spans="1:22" x14ac:dyDescent="0.3">
      <c r="A103" s="42"/>
      <c r="B103" s="43" t="str">
        <f>IF($A103="","",SUMIFS([2]weekly_demand!$D:$D,[2]weekly_demand!$A:$A,B$1,[2]weekly_demand!$C:$C,$A103))</f>
        <v/>
      </c>
      <c r="C103" s="43" t="str">
        <f>IF($A103="","",SUMIFS([2]weekly_demand!$D:$D,[2]weekly_demand!$A:$A,C$1,[2]weekly_demand!$C:$C,$A103))</f>
        <v/>
      </c>
      <c r="D103" s="43" t="str">
        <f>IF($A103="","",SUMIFS([2]weekly_demand!$D:$D,[2]weekly_demand!$A:$A,D$1,[2]weekly_demand!$C:$C,$A103))</f>
        <v/>
      </c>
      <c r="E103" s="43" t="str">
        <f>IF($A103="","",SUMIFS([2]weekly_demand!$D:$D,[2]weekly_demand!$A:$A,E$1,[2]weekly_demand!$C:$C,$A103))</f>
        <v/>
      </c>
      <c r="F103" s="43" t="str">
        <f>IF($A103="","",SUMIFS([2]weekly_demand!$D:$D,[2]weekly_demand!$A:$A,F$1,[2]weekly_demand!$C:$C,$A103))</f>
        <v/>
      </c>
      <c r="G103" s="43" t="str">
        <f>IF($A103="","",SUMIFS([2]weekly_demand!$D:$D,[2]weekly_demand!$A:$A,G$1,[2]weekly_demand!$C:$C,$A103))</f>
        <v/>
      </c>
      <c r="H103" s="43" t="str">
        <f t="shared" si="10"/>
        <v/>
      </c>
      <c r="I103" s="43" t="str">
        <f t="shared" si="10"/>
        <v/>
      </c>
      <c r="J103" s="43" t="str">
        <f t="shared" si="10"/>
        <v/>
      </c>
      <c r="K103" s="43" t="str">
        <f t="shared" si="10"/>
        <v/>
      </c>
      <c r="L103" s="43" t="str">
        <f t="shared" si="10"/>
        <v/>
      </c>
      <c r="M103" s="43" t="str">
        <f t="shared" si="10"/>
        <v/>
      </c>
      <c r="N103" s="43" t="str">
        <f t="shared" si="10"/>
        <v/>
      </c>
      <c r="O103" s="43" t="str">
        <f t="shared" si="10"/>
        <v/>
      </c>
      <c r="P103" s="43" t="str">
        <f t="shared" si="10"/>
        <v/>
      </c>
      <c r="Q103" s="43" t="str">
        <f t="shared" si="10"/>
        <v/>
      </c>
      <c r="R103" s="43" t="str">
        <f t="shared" si="10"/>
        <v/>
      </c>
      <c r="S103" s="43" t="str">
        <f t="shared" si="10"/>
        <v/>
      </c>
      <c r="T103" s="43" t="str">
        <f t="shared" si="10"/>
        <v/>
      </c>
      <c r="U103" s="43" t="str">
        <f t="shared" si="10"/>
        <v/>
      </c>
      <c r="V103" s="43" t="str">
        <f t="shared" si="10"/>
        <v/>
      </c>
    </row>
    <row r="104" spans="1:22" x14ac:dyDescent="0.3">
      <c r="A104" s="42"/>
      <c r="B104" s="43" t="str">
        <f>IF($A104="","",SUMIFS([2]weekly_demand!$D:$D,[2]weekly_demand!$A:$A,B$1,[2]weekly_demand!$C:$C,$A104))</f>
        <v/>
      </c>
      <c r="C104" s="43" t="str">
        <f>IF($A104="","",SUMIFS([2]weekly_demand!$D:$D,[2]weekly_demand!$A:$A,C$1,[2]weekly_demand!$C:$C,$A104))</f>
        <v/>
      </c>
      <c r="D104" s="43" t="str">
        <f>IF($A104="","",SUMIFS([2]weekly_demand!$D:$D,[2]weekly_demand!$A:$A,D$1,[2]weekly_demand!$C:$C,$A104))</f>
        <v/>
      </c>
      <c r="E104" s="43" t="str">
        <f>IF($A104="","",SUMIFS([2]weekly_demand!$D:$D,[2]weekly_demand!$A:$A,E$1,[2]weekly_demand!$C:$C,$A104))</f>
        <v/>
      </c>
      <c r="F104" s="43" t="str">
        <f>IF($A104="","",SUMIFS([2]weekly_demand!$D:$D,[2]weekly_demand!$A:$A,F$1,[2]weekly_demand!$C:$C,$A104))</f>
        <v/>
      </c>
      <c r="G104" s="43" t="str">
        <f>IF($A104="","",SUMIFS([2]weekly_demand!$D:$D,[2]weekly_demand!$A:$A,G$1,[2]weekly_demand!$C:$C,$A104))</f>
        <v/>
      </c>
      <c r="H104" s="43" t="str">
        <f t="shared" si="10"/>
        <v/>
      </c>
      <c r="I104" s="43" t="str">
        <f t="shared" si="10"/>
        <v/>
      </c>
      <c r="J104" s="43" t="str">
        <f t="shared" si="10"/>
        <v/>
      </c>
      <c r="K104" s="43" t="str">
        <f t="shared" si="10"/>
        <v/>
      </c>
      <c r="L104" s="43" t="str">
        <f t="shared" si="10"/>
        <v/>
      </c>
      <c r="M104" s="43" t="str">
        <f t="shared" si="10"/>
        <v/>
      </c>
      <c r="N104" s="43" t="str">
        <f t="shared" si="10"/>
        <v/>
      </c>
      <c r="O104" s="43" t="str">
        <f t="shared" si="10"/>
        <v/>
      </c>
      <c r="P104" s="43" t="str">
        <f t="shared" si="10"/>
        <v/>
      </c>
      <c r="Q104" s="43" t="str">
        <f t="shared" si="10"/>
        <v/>
      </c>
      <c r="R104" s="43" t="str">
        <f t="shared" si="10"/>
        <v/>
      </c>
      <c r="S104" s="43" t="str">
        <f t="shared" si="10"/>
        <v/>
      </c>
      <c r="T104" s="43" t="str">
        <f t="shared" si="10"/>
        <v/>
      </c>
      <c r="U104" s="43" t="str">
        <f t="shared" si="10"/>
        <v/>
      </c>
      <c r="V104" s="43" t="str">
        <f t="shared" si="10"/>
        <v/>
      </c>
    </row>
    <row r="105" spans="1:22" x14ac:dyDescent="0.3">
      <c r="A105" s="42"/>
      <c r="B105" s="43" t="str">
        <f>IF($A105="","",SUMIFS([2]weekly_demand!$D:$D,[2]weekly_demand!$A:$A,B$1,[2]weekly_demand!$C:$C,$A105))</f>
        <v/>
      </c>
      <c r="C105" s="43" t="str">
        <f>IF($A105="","",SUMIFS([2]weekly_demand!$D:$D,[2]weekly_demand!$A:$A,C$1,[2]weekly_demand!$C:$C,$A105))</f>
        <v/>
      </c>
      <c r="D105" s="43" t="str">
        <f>IF($A105="","",SUMIFS([2]weekly_demand!$D:$D,[2]weekly_demand!$A:$A,D$1,[2]weekly_demand!$C:$C,$A105))</f>
        <v/>
      </c>
      <c r="E105" s="43" t="str">
        <f>IF($A105="","",SUMIFS([2]weekly_demand!$D:$D,[2]weekly_demand!$A:$A,E$1,[2]weekly_demand!$C:$C,$A105))</f>
        <v/>
      </c>
      <c r="F105" s="43" t="str">
        <f>IF($A105="","",SUMIFS([2]weekly_demand!$D:$D,[2]weekly_demand!$A:$A,F$1,[2]weekly_demand!$C:$C,$A105))</f>
        <v/>
      </c>
      <c r="G105" s="43" t="str">
        <f>IF($A105="","",SUMIFS([2]weekly_demand!$D:$D,[2]weekly_demand!$A:$A,G$1,[2]weekly_demand!$C:$C,$A105))</f>
        <v/>
      </c>
      <c r="H105" s="43" t="str">
        <f t="shared" si="10"/>
        <v/>
      </c>
      <c r="I105" s="43" t="str">
        <f t="shared" si="10"/>
        <v/>
      </c>
      <c r="J105" s="43" t="str">
        <f t="shared" si="10"/>
        <v/>
      </c>
      <c r="K105" s="43" t="str">
        <f t="shared" si="10"/>
        <v/>
      </c>
      <c r="L105" s="43" t="str">
        <f t="shared" si="10"/>
        <v/>
      </c>
      <c r="M105" s="43" t="str">
        <f t="shared" si="10"/>
        <v/>
      </c>
      <c r="N105" s="43" t="str">
        <f t="shared" si="10"/>
        <v/>
      </c>
      <c r="O105" s="43" t="str">
        <f t="shared" si="10"/>
        <v/>
      </c>
      <c r="P105" s="43" t="str">
        <f t="shared" si="10"/>
        <v/>
      </c>
      <c r="Q105" s="43" t="str">
        <f t="shared" si="10"/>
        <v/>
      </c>
      <c r="R105" s="43" t="str">
        <f t="shared" si="10"/>
        <v/>
      </c>
      <c r="S105" s="43" t="str">
        <f t="shared" si="10"/>
        <v/>
      </c>
      <c r="T105" s="43" t="str">
        <f t="shared" si="10"/>
        <v/>
      </c>
      <c r="U105" s="43" t="str">
        <f t="shared" si="10"/>
        <v/>
      </c>
      <c r="V105" s="43" t="str">
        <f t="shared" si="10"/>
        <v/>
      </c>
    </row>
    <row r="106" spans="1:22" x14ac:dyDescent="0.3">
      <c r="A106" s="42"/>
      <c r="B106" s="43" t="str">
        <f>IF($A106="","",SUMIFS([2]weekly_demand!$D:$D,[2]weekly_demand!$A:$A,B$1,[2]weekly_demand!$C:$C,$A106))</f>
        <v/>
      </c>
      <c r="C106" s="43" t="str">
        <f>IF($A106="","",SUMIFS([2]weekly_demand!$D:$D,[2]weekly_demand!$A:$A,C$1,[2]weekly_demand!$C:$C,$A106))</f>
        <v/>
      </c>
      <c r="D106" s="43" t="str">
        <f>IF($A106="","",SUMIFS([2]weekly_demand!$D:$D,[2]weekly_demand!$A:$A,D$1,[2]weekly_demand!$C:$C,$A106))</f>
        <v/>
      </c>
      <c r="E106" s="43" t="str">
        <f>IF($A106="","",SUMIFS([2]weekly_demand!$D:$D,[2]weekly_demand!$A:$A,E$1,[2]weekly_demand!$C:$C,$A106))</f>
        <v/>
      </c>
      <c r="F106" s="43" t="str">
        <f>IF($A106="","",SUMIFS([2]weekly_demand!$D:$D,[2]weekly_demand!$A:$A,F$1,[2]weekly_demand!$C:$C,$A106))</f>
        <v/>
      </c>
      <c r="G106" s="43" t="str">
        <f>IF($A106="","",SUMIFS([2]weekly_demand!$D:$D,[2]weekly_demand!$A:$A,G$1,[2]weekly_demand!$C:$C,$A106))</f>
        <v/>
      </c>
      <c r="H106" s="43" t="str">
        <f t="shared" si="10"/>
        <v/>
      </c>
      <c r="I106" s="43" t="str">
        <f t="shared" si="10"/>
        <v/>
      </c>
      <c r="J106" s="43" t="str">
        <f t="shared" si="10"/>
        <v/>
      </c>
      <c r="K106" s="43" t="str">
        <f t="shared" si="10"/>
        <v/>
      </c>
      <c r="L106" s="43" t="str">
        <f t="shared" si="10"/>
        <v/>
      </c>
      <c r="M106" s="43" t="str">
        <f t="shared" si="10"/>
        <v/>
      </c>
      <c r="N106" s="43" t="str">
        <f t="shared" si="10"/>
        <v/>
      </c>
      <c r="O106" s="43" t="str">
        <f t="shared" si="10"/>
        <v/>
      </c>
      <c r="P106" s="43" t="str">
        <f t="shared" si="10"/>
        <v/>
      </c>
      <c r="Q106" s="43" t="str">
        <f t="shared" si="10"/>
        <v/>
      </c>
      <c r="R106" s="43" t="str">
        <f t="shared" si="10"/>
        <v/>
      </c>
      <c r="S106" s="43" t="str">
        <f t="shared" si="10"/>
        <v/>
      </c>
      <c r="T106" s="43" t="str">
        <f t="shared" si="10"/>
        <v/>
      </c>
      <c r="U106" s="43" t="str">
        <f t="shared" si="10"/>
        <v/>
      </c>
      <c r="V106" s="43" t="str">
        <f t="shared" si="10"/>
        <v/>
      </c>
    </row>
    <row r="107" spans="1:22" x14ac:dyDescent="0.3">
      <c r="A107" s="42"/>
      <c r="B107" s="43" t="str">
        <f>IF($A107="","",SUMIFS([2]weekly_demand!$D:$D,[2]weekly_demand!$A:$A,B$1,[2]weekly_demand!$C:$C,$A107))</f>
        <v/>
      </c>
      <c r="C107" s="43" t="str">
        <f>IF($A107="","",SUMIFS([2]weekly_demand!$D:$D,[2]weekly_demand!$A:$A,C$1,[2]weekly_demand!$C:$C,$A107))</f>
        <v/>
      </c>
      <c r="D107" s="43" t="str">
        <f>IF($A107="","",SUMIFS([2]weekly_demand!$D:$D,[2]weekly_demand!$A:$A,D$1,[2]weekly_demand!$C:$C,$A107))</f>
        <v/>
      </c>
      <c r="E107" s="43" t="str">
        <f>IF($A107="","",SUMIFS([2]weekly_demand!$D:$D,[2]weekly_demand!$A:$A,E$1,[2]weekly_demand!$C:$C,$A107))</f>
        <v/>
      </c>
      <c r="F107" s="43" t="str">
        <f>IF($A107="","",SUMIFS([2]weekly_demand!$D:$D,[2]weekly_demand!$A:$A,F$1,[2]weekly_demand!$C:$C,$A107))</f>
        <v/>
      </c>
      <c r="G107" s="43" t="str">
        <f>IF($A107="","",SUMIFS([2]weekly_demand!$D:$D,[2]weekly_demand!$A:$A,G$1,[2]weekly_demand!$C:$C,$A107))</f>
        <v/>
      </c>
      <c r="H107" s="43" t="str">
        <f t="shared" si="10"/>
        <v/>
      </c>
      <c r="I107" s="43" t="str">
        <f t="shared" si="10"/>
        <v/>
      </c>
      <c r="J107" s="43" t="str">
        <f t="shared" si="10"/>
        <v/>
      </c>
      <c r="K107" s="43" t="str">
        <f t="shared" si="10"/>
        <v/>
      </c>
      <c r="L107" s="43" t="str">
        <f t="shared" si="10"/>
        <v/>
      </c>
      <c r="M107" s="43" t="str">
        <f t="shared" si="10"/>
        <v/>
      </c>
      <c r="N107" s="43" t="str">
        <f t="shared" si="10"/>
        <v/>
      </c>
      <c r="O107" s="43" t="str">
        <f t="shared" si="10"/>
        <v/>
      </c>
      <c r="P107" s="43" t="str">
        <f t="shared" si="10"/>
        <v/>
      </c>
      <c r="Q107" s="43" t="str">
        <f t="shared" si="10"/>
        <v/>
      </c>
      <c r="R107" s="43" t="str">
        <f t="shared" si="10"/>
        <v/>
      </c>
      <c r="S107" s="43" t="str">
        <f t="shared" si="10"/>
        <v/>
      </c>
      <c r="T107" s="43" t="str">
        <f t="shared" si="10"/>
        <v/>
      </c>
      <c r="U107" s="43" t="str">
        <f t="shared" si="10"/>
        <v/>
      </c>
      <c r="V107" s="43" t="str">
        <f t="shared" si="10"/>
        <v/>
      </c>
    </row>
    <row r="108" spans="1:22" x14ac:dyDescent="0.3">
      <c r="A108" s="42"/>
      <c r="B108" s="43" t="str">
        <f>IF($A108="","",SUMIFS([2]weekly_demand!$D:$D,[2]weekly_demand!$A:$A,B$1,[2]weekly_demand!$C:$C,$A108))</f>
        <v/>
      </c>
      <c r="C108" s="43" t="str">
        <f>IF($A108="","",SUMIFS([2]weekly_demand!$D:$D,[2]weekly_demand!$A:$A,C$1,[2]weekly_demand!$C:$C,$A108))</f>
        <v/>
      </c>
      <c r="D108" s="43" t="str">
        <f>IF($A108="","",SUMIFS([2]weekly_demand!$D:$D,[2]weekly_demand!$A:$A,D$1,[2]weekly_demand!$C:$C,$A108))</f>
        <v/>
      </c>
      <c r="E108" s="43" t="str">
        <f>IF($A108="","",SUMIFS([2]weekly_demand!$D:$D,[2]weekly_demand!$A:$A,E$1,[2]weekly_demand!$C:$C,$A108))</f>
        <v/>
      </c>
      <c r="F108" s="43" t="str">
        <f>IF($A108="","",SUMIFS([2]weekly_demand!$D:$D,[2]weekly_demand!$A:$A,F$1,[2]weekly_demand!$C:$C,$A108))</f>
        <v/>
      </c>
      <c r="G108" s="43" t="str">
        <f>IF($A108="","",SUMIFS([2]weekly_demand!$D:$D,[2]weekly_demand!$A:$A,G$1,[2]weekly_demand!$C:$C,$A108))</f>
        <v/>
      </c>
      <c r="H108" s="43" t="str">
        <f t="shared" si="10"/>
        <v/>
      </c>
      <c r="I108" s="43" t="str">
        <f t="shared" si="10"/>
        <v/>
      </c>
      <c r="J108" s="43" t="str">
        <f t="shared" si="10"/>
        <v/>
      </c>
      <c r="K108" s="43" t="str">
        <f t="shared" si="10"/>
        <v/>
      </c>
      <c r="L108" s="43" t="str">
        <f t="shared" si="10"/>
        <v/>
      </c>
      <c r="M108" s="43" t="str">
        <f t="shared" si="10"/>
        <v/>
      </c>
      <c r="N108" s="43" t="str">
        <f t="shared" si="10"/>
        <v/>
      </c>
      <c r="O108" s="43" t="str">
        <f t="shared" si="10"/>
        <v/>
      </c>
      <c r="P108" s="43" t="str">
        <f t="shared" si="10"/>
        <v/>
      </c>
      <c r="Q108" s="43" t="str">
        <f t="shared" si="10"/>
        <v/>
      </c>
      <c r="R108" s="43" t="str">
        <f t="shared" si="10"/>
        <v/>
      </c>
      <c r="S108" s="43" t="str">
        <f t="shared" si="10"/>
        <v/>
      </c>
      <c r="T108" s="43" t="str">
        <f t="shared" si="10"/>
        <v/>
      </c>
      <c r="U108" s="43" t="str">
        <f t="shared" si="10"/>
        <v/>
      </c>
      <c r="V108" s="43" t="str">
        <f t="shared" si="10"/>
        <v/>
      </c>
    </row>
    <row r="109" spans="1:22" x14ac:dyDescent="0.3">
      <c r="A109" s="42"/>
      <c r="B109" s="43" t="str">
        <f>IF($A109="","",SUMIFS([2]weekly_demand!$D:$D,[2]weekly_demand!$A:$A,B$1,[2]weekly_demand!$C:$C,$A109))</f>
        <v/>
      </c>
      <c r="C109" s="43" t="str">
        <f>IF($A109="","",SUMIFS([2]weekly_demand!$D:$D,[2]weekly_demand!$A:$A,C$1,[2]weekly_demand!$C:$C,$A109))</f>
        <v/>
      </c>
      <c r="D109" s="43" t="str">
        <f>IF($A109="","",SUMIFS([2]weekly_demand!$D:$D,[2]weekly_demand!$A:$A,D$1,[2]weekly_demand!$C:$C,$A109))</f>
        <v/>
      </c>
      <c r="E109" s="43" t="str">
        <f>IF($A109="","",SUMIFS([2]weekly_demand!$D:$D,[2]weekly_demand!$A:$A,E$1,[2]weekly_demand!$C:$C,$A109))</f>
        <v/>
      </c>
      <c r="F109" s="43" t="str">
        <f>IF($A109="","",SUMIFS([2]weekly_demand!$D:$D,[2]weekly_demand!$A:$A,F$1,[2]weekly_demand!$C:$C,$A109))</f>
        <v/>
      </c>
      <c r="G109" s="43" t="str">
        <f>IF($A109="","",SUMIFS([2]weekly_demand!$D:$D,[2]weekly_demand!$A:$A,G$1,[2]weekly_demand!$C:$C,$A109))</f>
        <v/>
      </c>
      <c r="H109" s="43" t="str">
        <f t="shared" si="10"/>
        <v/>
      </c>
      <c r="I109" s="43" t="str">
        <f t="shared" si="10"/>
        <v/>
      </c>
      <c r="J109" s="43" t="str">
        <f t="shared" si="10"/>
        <v/>
      </c>
      <c r="K109" s="43" t="str">
        <f t="shared" si="10"/>
        <v/>
      </c>
      <c r="L109" s="43" t="str">
        <f t="shared" si="10"/>
        <v/>
      </c>
      <c r="M109" s="43" t="str">
        <f t="shared" si="10"/>
        <v/>
      </c>
      <c r="N109" s="43" t="str">
        <f t="shared" si="10"/>
        <v/>
      </c>
      <c r="O109" s="43" t="str">
        <f t="shared" si="10"/>
        <v/>
      </c>
      <c r="P109" s="43" t="str">
        <f t="shared" si="10"/>
        <v/>
      </c>
      <c r="Q109" s="43" t="str">
        <f t="shared" si="10"/>
        <v/>
      </c>
      <c r="R109" s="43" t="str">
        <f t="shared" si="10"/>
        <v/>
      </c>
      <c r="S109" s="43" t="str">
        <f t="shared" si="10"/>
        <v/>
      </c>
      <c r="T109" s="43" t="str">
        <f t="shared" si="10"/>
        <v/>
      </c>
      <c r="U109" s="43" t="str">
        <f t="shared" si="10"/>
        <v/>
      </c>
      <c r="V109" s="43" t="str">
        <f t="shared" si="10"/>
        <v/>
      </c>
    </row>
    <row r="110" spans="1:22" x14ac:dyDescent="0.3">
      <c r="A110" s="42"/>
      <c r="B110" s="43" t="str">
        <f>IF($A110="","",SUMIFS([2]weekly_demand!$D:$D,[2]weekly_demand!$A:$A,B$1,[2]weekly_demand!$C:$C,$A110))</f>
        <v/>
      </c>
      <c r="C110" s="43" t="str">
        <f>IF($A110="","",SUMIFS([2]weekly_demand!$D:$D,[2]weekly_demand!$A:$A,C$1,[2]weekly_demand!$C:$C,$A110))</f>
        <v/>
      </c>
      <c r="D110" s="43" t="str">
        <f>IF($A110="","",SUMIFS([2]weekly_demand!$D:$D,[2]weekly_demand!$A:$A,D$1,[2]weekly_demand!$C:$C,$A110))</f>
        <v/>
      </c>
      <c r="E110" s="43" t="str">
        <f>IF($A110="","",SUMIFS([2]weekly_demand!$D:$D,[2]weekly_demand!$A:$A,E$1,[2]weekly_demand!$C:$C,$A110))</f>
        <v/>
      </c>
      <c r="F110" s="43" t="str">
        <f>IF($A110="","",SUMIFS([2]weekly_demand!$D:$D,[2]weekly_demand!$A:$A,F$1,[2]weekly_demand!$C:$C,$A110))</f>
        <v/>
      </c>
      <c r="G110" s="43" t="str">
        <f>IF($A110="","",SUMIFS([2]weekly_demand!$D:$D,[2]weekly_demand!$A:$A,G$1,[2]weekly_demand!$C:$C,$A110))</f>
        <v/>
      </c>
      <c r="H110" s="43" t="str">
        <f t="shared" si="10"/>
        <v/>
      </c>
      <c r="I110" s="43" t="str">
        <f t="shared" si="10"/>
        <v/>
      </c>
      <c r="J110" s="43" t="str">
        <f t="shared" si="10"/>
        <v/>
      </c>
      <c r="K110" s="43" t="str">
        <f t="shared" si="10"/>
        <v/>
      </c>
      <c r="L110" s="43" t="str">
        <f t="shared" si="10"/>
        <v/>
      </c>
      <c r="M110" s="43" t="str">
        <f t="shared" si="10"/>
        <v/>
      </c>
      <c r="N110" s="43" t="str">
        <f t="shared" si="10"/>
        <v/>
      </c>
      <c r="O110" s="43" t="str">
        <f t="shared" si="10"/>
        <v/>
      </c>
      <c r="P110" s="43" t="str">
        <f t="shared" si="10"/>
        <v/>
      </c>
      <c r="Q110" s="43" t="str">
        <f t="shared" si="10"/>
        <v/>
      </c>
      <c r="R110" s="43" t="str">
        <f t="shared" si="10"/>
        <v/>
      </c>
      <c r="S110" s="43" t="str">
        <f t="shared" si="10"/>
        <v/>
      </c>
      <c r="T110" s="43" t="str">
        <f t="shared" si="10"/>
        <v/>
      </c>
      <c r="U110" s="43" t="str">
        <f t="shared" si="10"/>
        <v/>
      </c>
      <c r="V110" s="43" t="str">
        <f t="shared" si="10"/>
        <v/>
      </c>
    </row>
    <row r="111" spans="1:22" x14ac:dyDescent="0.3">
      <c r="A111" s="42"/>
      <c r="B111" s="43" t="str">
        <f>IF($A111="","",SUMIFS([2]weekly_demand!$D:$D,[2]weekly_demand!$A:$A,B$1,[2]weekly_demand!$C:$C,$A111))</f>
        <v/>
      </c>
      <c r="C111" s="43" t="str">
        <f>IF($A111="","",SUMIFS([2]weekly_demand!$D:$D,[2]weekly_demand!$A:$A,C$1,[2]weekly_demand!$C:$C,$A111))</f>
        <v/>
      </c>
      <c r="D111" s="43" t="str">
        <f>IF($A111="","",SUMIFS([2]weekly_demand!$D:$D,[2]weekly_demand!$A:$A,D$1,[2]weekly_demand!$C:$C,$A111))</f>
        <v/>
      </c>
      <c r="E111" s="43" t="str">
        <f>IF($A111="","",SUMIFS([2]weekly_demand!$D:$D,[2]weekly_demand!$A:$A,E$1,[2]weekly_demand!$C:$C,$A111))</f>
        <v/>
      </c>
      <c r="F111" s="43" t="str">
        <f>IF($A111="","",SUMIFS([2]weekly_demand!$D:$D,[2]weekly_demand!$A:$A,F$1,[2]weekly_demand!$C:$C,$A111))</f>
        <v/>
      </c>
      <c r="G111" s="43" t="str">
        <f>IF($A111="","",SUMIFS([2]weekly_demand!$D:$D,[2]weekly_demand!$A:$A,G$1,[2]weekly_demand!$C:$C,$A111))</f>
        <v/>
      </c>
      <c r="H111" s="43" t="str">
        <f t="shared" si="10"/>
        <v/>
      </c>
      <c r="I111" s="43" t="str">
        <f t="shared" si="10"/>
        <v/>
      </c>
      <c r="J111" s="43" t="str">
        <f t="shared" si="10"/>
        <v/>
      </c>
      <c r="K111" s="43" t="str">
        <f t="shared" si="10"/>
        <v/>
      </c>
      <c r="L111" s="43" t="str">
        <f t="shared" si="10"/>
        <v/>
      </c>
      <c r="M111" s="43" t="str">
        <f t="shared" si="10"/>
        <v/>
      </c>
      <c r="N111" s="43" t="str">
        <f t="shared" si="10"/>
        <v/>
      </c>
      <c r="O111" s="43" t="str">
        <f t="shared" si="10"/>
        <v/>
      </c>
      <c r="P111" s="43" t="str">
        <f t="shared" si="10"/>
        <v/>
      </c>
      <c r="Q111" s="43" t="str">
        <f t="shared" si="10"/>
        <v/>
      </c>
      <c r="R111" s="43" t="str">
        <f t="shared" si="10"/>
        <v/>
      </c>
      <c r="S111" s="43" t="str">
        <f t="shared" si="10"/>
        <v/>
      </c>
      <c r="T111" s="43" t="str">
        <f t="shared" si="10"/>
        <v/>
      </c>
      <c r="U111" s="43" t="str">
        <f t="shared" si="10"/>
        <v/>
      </c>
      <c r="V111" s="43" t="str">
        <f t="shared" si="10"/>
        <v/>
      </c>
    </row>
    <row r="112" spans="1:22" x14ac:dyDescent="0.3">
      <c r="A112" s="42"/>
      <c r="B112" s="43" t="str">
        <f>IF($A112="","",SUMIFS([2]weekly_demand!$D:$D,[2]weekly_demand!$A:$A,B$1,[2]weekly_demand!$C:$C,$A112))</f>
        <v/>
      </c>
      <c r="C112" s="43" t="str">
        <f>IF($A112="","",SUMIFS([2]weekly_demand!$D:$D,[2]weekly_demand!$A:$A,C$1,[2]weekly_demand!$C:$C,$A112))</f>
        <v/>
      </c>
      <c r="D112" s="43" t="str">
        <f>IF($A112="","",SUMIFS([2]weekly_demand!$D:$D,[2]weekly_demand!$A:$A,D$1,[2]weekly_demand!$C:$C,$A112))</f>
        <v/>
      </c>
      <c r="E112" s="43" t="str">
        <f>IF($A112="","",SUMIFS([2]weekly_demand!$D:$D,[2]weekly_demand!$A:$A,E$1,[2]weekly_demand!$C:$C,$A112))</f>
        <v/>
      </c>
      <c r="F112" s="43" t="str">
        <f>IF($A112="","",SUMIFS([2]weekly_demand!$D:$D,[2]weekly_demand!$A:$A,F$1,[2]weekly_demand!$C:$C,$A112))</f>
        <v/>
      </c>
      <c r="G112" s="43" t="str">
        <f>IF($A112="","",SUMIFS([2]weekly_demand!$D:$D,[2]weekly_demand!$A:$A,G$1,[2]weekly_demand!$C:$C,$A112))</f>
        <v/>
      </c>
      <c r="H112" s="43" t="str">
        <f t="shared" ref="H112:V121" si="11">IF($A112="","",SUMPRODUCT($B112:$G112,INDEX($Y$2:$AD$16,MATCH(H$1,$X$2:$X$16,0),0)))</f>
        <v/>
      </c>
      <c r="I112" s="43" t="str">
        <f t="shared" si="11"/>
        <v/>
      </c>
      <c r="J112" s="43" t="str">
        <f t="shared" si="11"/>
        <v/>
      </c>
      <c r="K112" s="43" t="str">
        <f t="shared" si="11"/>
        <v/>
      </c>
      <c r="L112" s="43" t="str">
        <f t="shared" si="11"/>
        <v/>
      </c>
      <c r="M112" s="43" t="str">
        <f t="shared" si="11"/>
        <v/>
      </c>
      <c r="N112" s="43" t="str">
        <f t="shared" si="11"/>
        <v/>
      </c>
      <c r="O112" s="43" t="str">
        <f t="shared" si="11"/>
        <v/>
      </c>
      <c r="P112" s="43" t="str">
        <f t="shared" si="11"/>
        <v/>
      </c>
      <c r="Q112" s="43" t="str">
        <f t="shared" si="11"/>
        <v/>
      </c>
      <c r="R112" s="43" t="str">
        <f t="shared" si="11"/>
        <v/>
      </c>
      <c r="S112" s="43" t="str">
        <f t="shared" si="11"/>
        <v/>
      </c>
      <c r="T112" s="43" t="str">
        <f t="shared" si="11"/>
        <v/>
      </c>
      <c r="U112" s="43" t="str">
        <f t="shared" si="11"/>
        <v/>
      </c>
      <c r="V112" s="43" t="str">
        <f t="shared" si="11"/>
        <v/>
      </c>
    </row>
    <row r="113" spans="1:22" x14ac:dyDescent="0.3">
      <c r="A113" s="42"/>
      <c r="B113" s="43" t="str">
        <f>IF($A113="","",SUMIFS([2]weekly_demand!$D:$D,[2]weekly_demand!$A:$A,B$1,[2]weekly_demand!$C:$C,$A113))</f>
        <v/>
      </c>
      <c r="C113" s="43" t="str">
        <f>IF($A113="","",SUMIFS([2]weekly_demand!$D:$D,[2]weekly_demand!$A:$A,C$1,[2]weekly_demand!$C:$C,$A113))</f>
        <v/>
      </c>
      <c r="D113" s="43" t="str">
        <f>IF($A113="","",SUMIFS([2]weekly_demand!$D:$D,[2]weekly_demand!$A:$A,D$1,[2]weekly_demand!$C:$C,$A113))</f>
        <v/>
      </c>
      <c r="E113" s="43" t="str">
        <f>IF($A113="","",SUMIFS([2]weekly_demand!$D:$D,[2]weekly_demand!$A:$A,E$1,[2]weekly_demand!$C:$C,$A113))</f>
        <v/>
      </c>
      <c r="F113" s="43" t="str">
        <f>IF($A113="","",SUMIFS([2]weekly_demand!$D:$D,[2]weekly_demand!$A:$A,F$1,[2]weekly_demand!$C:$C,$A113))</f>
        <v/>
      </c>
      <c r="G113" s="43" t="str">
        <f>IF($A113="","",SUMIFS([2]weekly_demand!$D:$D,[2]weekly_demand!$A:$A,G$1,[2]weekly_demand!$C:$C,$A113))</f>
        <v/>
      </c>
      <c r="H113" s="43" t="str">
        <f t="shared" si="11"/>
        <v/>
      </c>
      <c r="I113" s="43" t="str">
        <f t="shared" si="11"/>
        <v/>
      </c>
      <c r="J113" s="43" t="str">
        <f t="shared" si="11"/>
        <v/>
      </c>
      <c r="K113" s="43" t="str">
        <f t="shared" si="11"/>
        <v/>
      </c>
      <c r="L113" s="43" t="str">
        <f t="shared" si="11"/>
        <v/>
      </c>
      <c r="M113" s="43" t="str">
        <f t="shared" si="11"/>
        <v/>
      </c>
      <c r="N113" s="43" t="str">
        <f t="shared" si="11"/>
        <v/>
      </c>
      <c r="O113" s="43" t="str">
        <f t="shared" si="11"/>
        <v/>
      </c>
      <c r="P113" s="43" t="str">
        <f t="shared" si="11"/>
        <v/>
      </c>
      <c r="Q113" s="43" t="str">
        <f t="shared" si="11"/>
        <v/>
      </c>
      <c r="R113" s="43" t="str">
        <f t="shared" si="11"/>
        <v/>
      </c>
      <c r="S113" s="43" t="str">
        <f t="shared" si="11"/>
        <v/>
      </c>
      <c r="T113" s="43" t="str">
        <f t="shared" si="11"/>
        <v/>
      </c>
      <c r="U113" s="43" t="str">
        <f t="shared" si="11"/>
        <v/>
      </c>
      <c r="V113" s="43" t="str">
        <f t="shared" si="11"/>
        <v/>
      </c>
    </row>
    <row r="114" spans="1:22" x14ac:dyDescent="0.3">
      <c r="A114" s="42"/>
      <c r="B114" s="43" t="str">
        <f>IF($A114="","",SUMIFS([2]weekly_demand!$D:$D,[2]weekly_demand!$A:$A,B$1,[2]weekly_demand!$C:$C,$A114))</f>
        <v/>
      </c>
      <c r="C114" s="43" t="str">
        <f>IF($A114="","",SUMIFS([2]weekly_demand!$D:$D,[2]weekly_demand!$A:$A,C$1,[2]weekly_demand!$C:$C,$A114))</f>
        <v/>
      </c>
      <c r="D114" s="43" t="str">
        <f>IF($A114="","",SUMIFS([2]weekly_demand!$D:$D,[2]weekly_demand!$A:$A,D$1,[2]weekly_demand!$C:$C,$A114))</f>
        <v/>
      </c>
      <c r="E114" s="43" t="str">
        <f>IF($A114="","",SUMIFS([2]weekly_demand!$D:$D,[2]weekly_demand!$A:$A,E$1,[2]weekly_demand!$C:$C,$A114))</f>
        <v/>
      </c>
      <c r="F114" s="43" t="str">
        <f>IF($A114="","",SUMIFS([2]weekly_demand!$D:$D,[2]weekly_demand!$A:$A,F$1,[2]weekly_demand!$C:$C,$A114))</f>
        <v/>
      </c>
      <c r="G114" s="43" t="str">
        <f>IF($A114="","",SUMIFS([2]weekly_demand!$D:$D,[2]weekly_demand!$A:$A,G$1,[2]weekly_demand!$C:$C,$A114))</f>
        <v/>
      </c>
      <c r="H114" s="43" t="str">
        <f t="shared" si="11"/>
        <v/>
      </c>
      <c r="I114" s="43" t="str">
        <f t="shared" si="11"/>
        <v/>
      </c>
      <c r="J114" s="43" t="str">
        <f t="shared" si="11"/>
        <v/>
      </c>
      <c r="K114" s="43" t="str">
        <f t="shared" si="11"/>
        <v/>
      </c>
      <c r="L114" s="43" t="str">
        <f t="shared" si="11"/>
        <v/>
      </c>
      <c r="M114" s="43" t="str">
        <f t="shared" si="11"/>
        <v/>
      </c>
      <c r="N114" s="43" t="str">
        <f t="shared" si="11"/>
        <v/>
      </c>
      <c r="O114" s="43" t="str">
        <f t="shared" si="11"/>
        <v/>
      </c>
      <c r="P114" s="43" t="str">
        <f t="shared" si="11"/>
        <v/>
      </c>
      <c r="Q114" s="43" t="str">
        <f t="shared" si="11"/>
        <v/>
      </c>
      <c r="R114" s="43" t="str">
        <f t="shared" si="11"/>
        <v/>
      </c>
      <c r="S114" s="43" t="str">
        <f t="shared" si="11"/>
        <v/>
      </c>
      <c r="T114" s="43" t="str">
        <f t="shared" si="11"/>
        <v/>
      </c>
      <c r="U114" s="43" t="str">
        <f t="shared" si="11"/>
        <v/>
      </c>
      <c r="V114" s="43" t="str">
        <f t="shared" si="11"/>
        <v/>
      </c>
    </row>
    <row r="115" spans="1:22" x14ac:dyDescent="0.3">
      <c r="A115" s="42"/>
      <c r="B115" s="43" t="str">
        <f>IF($A115="","",SUMIFS([2]weekly_demand!$D:$D,[2]weekly_demand!$A:$A,B$1,[2]weekly_demand!$C:$C,$A115))</f>
        <v/>
      </c>
      <c r="C115" s="43" t="str">
        <f>IF($A115="","",SUMIFS([2]weekly_demand!$D:$D,[2]weekly_demand!$A:$A,C$1,[2]weekly_demand!$C:$C,$A115))</f>
        <v/>
      </c>
      <c r="D115" s="43" t="str">
        <f>IF($A115="","",SUMIFS([2]weekly_demand!$D:$D,[2]weekly_demand!$A:$A,D$1,[2]weekly_demand!$C:$C,$A115))</f>
        <v/>
      </c>
      <c r="E115" s="43" t="str">
        <f>IF($A115="","",SUMIFS([2]weekly_demand!$D:$D,[2]weekly_demand!$A:$A,E$1,[2]weekly_demand!$C:$C,$A115))</f>
        <v/>
      </c>
      <c r="F115" s="43" t="str">
        <f>IF($A115="","",SUMIFS([2]weekly_demand!$D:$D,[2]weekly_demand!$A:$A,F$1,[2]weekly_demand!$C:$C,$A115))</f>
        <v/>
      </c>
      <c r="G115" s="43" t="str">
        <f>IF($A115="","",SUMIFS([2]weekly_demand!$D:$D,[2]weekly_demand!$A:$A,G$1,[2]weekly_demand!$C:$C,$A115))</f>
        <v/>
      </c>
      <c r="H115" s="43" t="str">
        <f t="shared" si="11"/>
        <v/>
      </c>
      <c r="I115" s="43" t="str">
        <f t="shared" si="11"/>
        <v/>
      </c>
      <c r="J115" s="43" t="str">
        <f t="shared" si="11"/>
        <v/>
      </c>
      <c r="K115" s="43" t="str">
        <f t="shared" si="11"/>
        <v/>
      </c>
      <c r="L115" s="43" t="str">
        <f t="shared" si="11"/>
        <v/>
      </c>
      <c r="M115" s="43" t="str">
        <f t="shared" si="11"/>
        <v/>
      </c>
      <c r="N115" s="43" t="str">
        <f t="shared" si="11"/>
        <v/>
      </c>
      <c r="O115" s="43" t="str">
        <f t="shared" si="11"/>
        <v/>
      </c>
      <c r="P115" s="43" t="str">
        <f t="shared" si="11"/>
        <v/>
      </c>
      <c r="Q115" s="43" t="str">
        <f t="shared" si="11"/>
        <v/>
      </c>
      <c r="R115" s="43" t="str">
        <f t="shared" si="11"/>
        <v/>
      </c>
      <c r="S115" s="43" t="str">
        <f t="shared" si="11"/>
        <v/>
      </c>
      <c r="T115" s="43" t="str">
        <f t="shared" si="11"/>
        <v/>
      </c>
      <c r="U115" s="43" t="str">
        <f t="shared" si="11"/>
        <v/>
      </c>
      <c r="V115" s="43" t="str">
        <f t="shared" si="11"/>
        <v/>
      </c>
    </row>
    <row r="116" spans="1:22" x14ac:dyDescent="0.3">
      <c r="A116" s="42"/>
      <c r="B116" s="43" t="str">
        <f>IF($A116="","",SUMIFS([2]weekly_demand!$D:$D,[2]weekly_demand!$A:$A,B$1,[2]weekly_demand!$C:$C,$A116))</f>
        <v/>
      </c>
      <c r="C116" s="43" t="str">
        <f>IF($A116="","",SUMIFS([2]weekly_demand!$D:$D,[2]weekly_demand!$A:$A,C$1,[2]weekly_demand!$C:$C,$A116))</f>
        <v/>
      </c>
      <c r="D116" s="43" t="str">
        <f>IF($A116="","",SUMIFS([2]weekly_demand!$D:$D,[2]weekly_demand!$A:$A,D$1,[2]weekly_demand!$C:$C,$A116))</f>
        <v/>
      </c>
      <c r="E116" s="43" t="str">
        <f>IF($A116="","",SUMIFS([2]weekly_demand!$D:$D,[2]weekly_demand!$A:$A,E$1,[2]weekly_demand!$C:$C,$A116))</f>
        <v/>
      </c>
      <c r="F116" s="43" t="str">
        <f>IF($A116="","",SUMIFS([2]weekly_demand!$D:$D,[2]weekly_demand!$A:$A,F$1,[2]weekly_demand!$C:$C,$A116))</f>
        <v/>
      </c>
      <c r="G116" s="43" t="str">
        <f>IF($A116="","",SUMIFS([2]weekly_demand!$D:$D,[2]weekly_demand!$A:$A,G$1,[2]weekly_demand!$C:$C,$A116))</f>
        <v/>
      </c>
      <c r="H116" s="43" t="str">
        <f t="shared" si="11"/>
        <v/>
      </c>
      <c r="I116" s="43" t="str">
        <f t="shared" si="11"/>
        <v/>
      </c>
      <c r="J116" s="43" t="str">
        <f t="shared" si="11"/>
        <v/>
      </c>
      <c r="K116" s="43" t="str">
        <f t="shared" si="11"/>
        <v/>
      </c>
      <c r="L116" s="43" t="str">
        <f t="shared" si="11"/>
        <v/>
      </c>
      <c r="M116" s="43" t="str">
        <f t="shared" si="11"/>
        <v/>
      </c>
      <c r="N116" s="43" t="str">
        <f t="shared" si="11"/>
        <v/>
      </c>
      <c r="O116" s="43" t="str">
        <f t="shared" si="11"/>
        <v/>
      </c>
      <c r="P116" s="43" t="str">
        <f t="shared" si="11"/>
        <v/>
      </c>
      <c r="Q116" s="43" t="str">
        <f t="shared" si="11"/>
        <v/>
      </c>
      <c r="R116" s="43" t="str">
        <f t="shared" si="11"/>
        <v/>
      </c>
      <c r="S116" s="43" t="str">
        <f t="shared" si="11"/>
        <v/>
      </c>
      <c r="T116" s="43" t="str">
        <f t="shared" si="11"/>
        <v/>
      </c>
      <c r="U116" s="43" t="str">
        <f t="shared" si="11"/>
        <v/>
      </c>
      <c r="V116" s="43" t="str">
        <f t="shared" si="11"/>
        <v/>
      </c>
    </row>
    <row r="117" spans="1:22" x14ac:dyDescent="0.3">
      <c r="A117" s="42"/>
      <c r="B117" s="43" t="str">
        <f>IF($A117="","",SUMIFS([2]weekly_demand!$D:$D,[2]weekly_demand!$A:$A,B$1,[2]weekly_demand!$C:$C,$A117))</f>
        <v/>
      </c>
      <c r="C117" s="43" t="str">
        <f>IF($A117="","",SUMIFS([2]weekly_demand!$D:$D,[2]weekly_demand!$A:$A,C$1,[2]weekly_demand!$C:$C,$A117))</f>
        <v/>
      </c>
      <c r="D117" s="43" t="str">
        <f>IF($A117="","",SUMIFS([2]weekly_demand!$D:$D,[2]weekly_demand!$A:$A,D$1,[2]weekly_demand!$C:$C,$A117))</f>
        <v/>
      </c>
      <c r="E117" s="43" t="str">
        <f>IF($A117="","",SUMIFS([2]weekly_demand!$D:$D,[2]weekly_demand!$A:$A,E$1,[2]weekly_demand!$C:$C,$A117))</f>
        <v/>
      </c>
      <c r="F117" s="43" t="str">
        <f>IF($A117="","",SUMIFS([2]weekly_demand!$D:$D,[2]weekly_demand!$A:$A,F$1,[2]weekly_demand!$C:$C,$A117))</f>
        <v/>
      </c>
      <c r="G117" s="43" t="str">
        <f>IF($A117="","",SUMIFS([2]weekly_demand!$D:$D,[2]weekly_demand!$A:$A,G$1,[2]weekly_demand!$C:$C,$A117))</f>
        <v/>
      </c>
      <c r="H117" s="43" t="str">
        <f t="shared" si="11"/>
        <v/>
      </c>
      <c r="I117" s="43" t="str">
        <f t="shared" si="11"/>
        <v/>
      </c>
      <c r="J117" s="43" t="str">
        <f t="shared" si="11"/>
        <v/>
      </c>
      <c r="K117" s="43" t="str">
        <f t="shared" si="11"/>
        <v/>
      </c>
      <c r="L117" s="43" t="str">
        <f t="shared" si="11"/>
        <v/>
      </c>
      <c r="M117" s="43" t="str">
        <f t="shared" si="11"/>
        <v/>
      </c>
      <c r="N117" s="43" t="str">
        <f t="shared" si="11"/>
        <v/>
      </c>
      <c r="O117" s="43" t="str">
        <f t="shared" si="11"/>
        <v/>
      </c>
      <c r="P117" s="43" t="str">
        <f t="shared" si="11"/>
        <v/>
      </c>
      <c r="Q117" s="43" t="str">
        <f t="shared" si="11"/>
        <v/>
      </c>
      <c r="R117" s="43" t="str">
        <f t="shared" si="11"/>
        <v/>
      </c>
      <c r="S117" s="43" t="str">
        <f t="shared" si="11"/>
        <v/>
      </c>
      <c r="T117" s="43" t="str">
        <f t="shared" si="11"/>
        <v/>
      </c>
      <c r="U117" s="43" t="str">
        <f t="shared" si="11"/>
        <v/>
      </c>
      <c r="V117" s="43" t="str">
        <f t="shared" si="11"/>
        <v/>
      </c>
    </row>
    <row r="118" spans="1:22" x14ac:dyDescent="0.3">
      <c r="A118" s="42"/>
      <c r="B118" s="43" t="str">
        <f>IF($A118="","",SUMIFS([2]weekly_demand!$D:$D,[2]weekly_demand!$A:$A,B$1,[2]weekly_demand!$C:$C,$A118))</f>
        <v/>
      </c>
      <c r="C118" s="43" t="str">
        <f>IF($A118="","",SUMIFS([2]weekly_demand!$D:$D,[2]weekly_demand!$A:$A,C$1,[2]weekly_demand!$C:$C,$A118))</f>
        <v/>
      </c>
      <c r="D118" s="43" t="str">
        <f>IF($A118="","",SUMIFS([2]weekly_demand!$D:$D,[2]weekly_demand!$A:$A,D$1,[2]weekly_demand!$C:$C,$A118))</f>
        <v/>
      </c>
      <c r="E118" s="43" t="str">
        <f>IF($A118="","",SUMIFS([2]weekly_demand!$D:$D,[2]weekly_demand!$A:$A,E$1,[2]weekly_demand!$C:$C,$A118))</f>
        <v/>
      </c>
      <c r="F118" s="43" t="str">
        <f>IF($A118="","",SUMIFS([2]weekly_demand!$D:$D,[2]weekly_demand!$A:$A,F$1,[2]weekly_demand!$C:$C,$A118))</f>
        <v/>
      </c>
      <c r="G118" s="43" t="str">
        <f>IF($A118="","",SUMIFS([2]weekly_demand!$D:$D,[2]weekly_demand!$A:$A,G$1,[2]weekly_demand!$C:$C,$A118))</f>
        <v/>
      </c>
      <c r="H118" s="43" t="str">
        <f t="shared" si="11"/>
        <v/>
      </c>
      <c r="I118" s="43" t="str">
        <f t="shared" si="11"/>
        <v/>
      </c>
      <c r="J118" s="43" t="str">
        <f t="shared" si="11"/>
        <v/>
      </c>
      <c r="K118" s="43" t="str">
        <f t="shared" si="11"/>
        <v/>
      </c>
      <c r="L118" s="43" t="str">
        <f t="shared" si="11"/>
        <v/>
      </c>
      <c r="M118" s="43" t="str">
        <f t="shared" si="11"/>
        <v/>
      </c>
      <c r="N118" s="43" t="str">
        <f t="shared" si="11"/>
        <v/>
      </c>
      <c r="O118" s="43" t="str">
        <f t="shared" si="11"/>
        <v/>
      </c>
      <c r="P118" s="43" t="str">
        <f t="shared" si="11"/>
        <v/>
      </c>
      <c r="Q118" s="43" t="str">
        <f t="shared" si="11"/>
        <v/>
      </c>
      <c r="R118" s="43" t="str">
        <f t="shared" si="11"/>
        <v/>
      </c>
      <c r="S118" s="43" t="str">
        <f t="shared" si="11"/>
        <v/>
      </c>
      <c r="T118" s="43" t="str">
        <f t="shared" si="11"/>
        <v/>
      </c>
      <c r="U118" s="43" t="str">
        <f t="shared" si="11"/>
        <v/>
      </c>
      <c r="V118" s="43" t="str">
        <f t="shared" si="11"/>
        <v/>
      </c>
    </row>
    <row r="119" spans="1:22" x14ac:dyDescent="0.3">
      <c r="A119" s="42"/>
      <c r="B119" s="43" t="str">
        <f>IF($A119="","",SUMIFS([2]weekly_demand!$D:$D,[2]weekly_demand!$A:$A,B$1,[2]weekly_demand!$C:$C,$A119))</f>
        <v/>
      </c>
      <c r="C119" s="43" t="str">
        <f>IF($A119="","",SUMIFS([2]weekly_demand!$D:$D,[2]weekly_demand!$A:$A,C$1,[2]weekly_demand!$C:$C,$A119))</f>
        <v/>
      </c>
      <c r="D119" s="43" t="str">
        <f>IF($A119="","",SUMIFS([2]weekly_demand!$D:$D,[2]weekly_demand!$A:$A,D$1,[2]weekly_demand!$C:$C,$A119))</f>
        <v/>
      </c>
      <c r="E119" s="43" t="str">
        <f>IF($A119="","",SUMIFS([2]weekly_demand!$D:$D,[2]weekly_demand!$A:$A,E$1,[2]weekly_demand!$C:$C,$A119))</f>
        <v/>
      </c>
      <c r="F119" s="43" t="str">
        <f>IF($A119="","",SUMIFS([2]weekly_demand!$D:$D,[2]weekly_demand!$A:$A,F$1,[2]weekly_demand!$C:$C,$A119))</f>
        <v/>
      </c>
      <c r="G119" s="43" t="str">
        <f>IF($A119="","",SUMIFS([2]weekly_demand!$D:$D,[2]weekly_demand!$A:$A,G$1,[2]weekly_demand!$C:$C,$A119))</f>
        <v/>
      </c>
      <c r="H119" s="43" t="str">
        <f t="shared" si="11"/>
        <v/>
      </c>
      <c r="I119" s="43" t="str">
        <f t="shared" si="11"/>
        <v/>
      </c>
      <c r="J119" s="43" t="str">
        <f t="shared" si="11"/>
        <v/>
      </c>
      <c r="K119" s="43" t="str">
        <f t="shared" si="11"/>
        <v/>
      </c>
      <c r="L119" s="43" t="str">
        <f t="shared" si="11"/>
        <v/>
      </c>
      <c r="M119" s="43" t="str">
        <f t="shared" si="11"/>
        <v/>
      </c>
      <c r="N119" s="43" t="str">
        <f t="shared" si="11"/>
        <v/>
      </c>
      <c r="O119" s="43" t="str">
        <f t="shared" si="11"/>
        <v/>
      </c>
      <c r="P119" s="43" t="str">
        <f t="shared" si="11"/>
        <v/>
      </c>
      <c r="Q119" s="43" t="str">
        <f t="shared" si="11"/>
        <v/>
      </c>
      <c r="R119" s="43" t="str">
        <f t="shared" si="11"/>
        <v/>
      </c>
      <c r="S119" s="43" t="str">
        <f t="shared" si="11"/>
        <v/>
      </c>
      <c r="T119" s="43" t="str">
        <f t="shared" si="11"/>
        <v/>
      </c>
      <c r="U119" s="43" t="str">
        <f t="shared" si="11"/>
        <v/>
      </c>
      <c r="V119" s="43" t="str">
        <f t="shared" si="11"/>
        <v/>
      </c>
    </row>
    <row r="120" spans="1:22" x14ac:dyDescent="0.3">
      <c r="A120" s="42"/>
      <c r="B120" s="43" t="str">
        <f>IF($A120="","",SUMIFS([2]weekly_demand!$D:$D,[2]weekly_demand!$A:$A,B$1,[2]weekly_demand!$C:$C,$A120))</f>
        <v/>
      </c>
      <c r="C120" s="43" t="str">
        <f>IF($A120="","",SUMIFS([2]weekly_demand!$D:$D,[2]weekly_demand!$A:$A,C$1,[2]weekly_demand!$C:$C,$A120))</f>
        <v/>
      </c>
      <c r="D120" s="43" t="str">
        <f>IF($A120="","",SUMIFS([2]weekly_demand!$D:$D,[2]weekly_demand!$A:$A,D$1,[2]weekly_demand!$C:$C,$A120))</f>
        <v/>
      </c>
      <c r="E120" s="43" t="str">
        <f>IF($A120="","",SUMIFS([2]weekly_demand!$D:$D,[2]weekly_demand!$A:$A,E$1,[2]weekly_demand!$C:$C,$A120))</f>
        <v/>
      </c>
      <c r="F120" s="43" t="str">
        <f>IF($A120="","",SUMIFS([2]weekly_demand!$D:$D,[2]weekly_demand!$A:$A,F$1,[2]weekly_demand!$C:$C,$A120))</f>
        <v/>
      </c>
      <c r="G120" s="43" t="str">
        <f>IF($A120="","",SUMIFS([2]weekly_demand!$D:$D,[2]weekly_demand!$A:$A,G$1,[2]weekly_demand!$C:$C,$A120))</f>
        <v/>
      </c>
      <c r="H120" s="43" t="str">
        <f t="shared" si="11"/>
        <v/>
      </c>
      <c r="I120" s="43" t="str">
        <f t="shared" si="11"/>
        <v/>
      </c>
      <c r="J120" s="43" t="str">
        <f t="shared" si="11"/>
        <v/>
      </c>
      <c r="K120" s="43" t="str">
        <f t="shared" si="11"/>
        <v/>
      </c>
      <c r="L120" s="43" t="str">
        <f t="shared" si="11"/>
        <v/>
      </c>
      <c r="M120" s="43" t="str">
        <f t="shared" si="11"/>
        <v/>
      </c>
      <c r="N120" s="43" t="str">
        <f t="shared" si="11"/>
        <v/>
      </c>
      <c r="O120" s="43" t="str">
        <f t="shared" si="11"/>
        <v/>
      </c>
      <c r="P120" s="43" t="str">
        <f t="shared" si="11"/>
        <v/>
      </c>
      <c r="Q120" s="43" t="str">
        <f t="shared" si="11"/>
        <v/>
      </c>
      <c r="R120" s="43" t="str">
        <f t="shared" si="11"/>
        <v/>
      </c>
      <c r="S120" s="43" t="str">
        <f t="shared" si="11"/>
        <v/>
      </c>
      <c r="T120" s="43" t="str">
        <f t="shared" si="11"/>
        <v/>
      </c>
      <c r="U120" s="43" t="str">
        <f t="shared" si="11"/>
        <v/>
      </c>
      <c r="V120" s="43" t="str">
        <f t="shared" si="11"/>
        <v/>
      </c>
    </row>
    <row r="121" spans="1:22" x14ac:dyDescent="0.3">
      <c r="A121" s="42"/>
      <c r="B121" s="43" t="str">
        <f>IF($A121="","",SUMIFS([2]weekly_demand!$D:$D,[2]weekly_demand!$A:$A,B$1,[2]weekly_demand!$C:$C,$A121))</f>
        <v/>
      </c>
      <c r="C121" s="43" t="str">
        <f>IF($A121="","",SUMIFS([2]weekly_demand!$D:$D,[2]weekly_demand!$A:$A,C$1,[2]weekly_demand!$C:$C,$A121))</f>
        <v/>
      </c>
      <c r="D121" s="43" t="str">
        <f>IF($A121="","",SUMIFS([2]weekly_demand!$D:$D,[2]weekly_demand!$A:$A,D$1,[2]weekly_demand!$C:$C,$A121))</f>
        <v/>
      </c>
      <c r="E121" s="43" t="str">
        <f>IF($A121="","",SUMIFS([2]weekly_demand!$D:$D,[2]weekly_demand!$A:$A,E$1,[2]weekly_demand!$C:$C,$A121))</f>
        <v/>
      </c>
      <c r="F121" s="43" t="str">
        <f>IF($A121="","",SUMIFS([2]weekly_demand!$D:$D,[2]weekly_demand!$A:$A,F$1,[2]weekly_demand!$C:$C,$A121))</f>
        <v/>
      </c>
      <c r="G121" s="43" t="str">
        <f>IF($A121="","",SUMIFS([2]weekly_demand!$D:$D,[2]weekly_demand!$A:$A,G$1,[2]weekly_demand!$C:$C,$A121))</f>
        <v/>
      </c>
      <c r="H121" s="43" t="str">
        <f t="shared" si="11"/>
        <v/>
      </c>
      <c r="I121" s="43" t="str">
        <f t="shared" si="11"/>
        <v/>
      </c>
      <c r="J121" s="43" t="str">
        <f t="shared" si="11"/>
        <v/>
      </c>
      <c r="K121" s="43" t="str">
        <f t="shared" si="11"/>
        <v/>
      </c>
      <c r="L121" s="43" t="str">
        <f t="shared" si="11"/>
        <v/>
      </c>
      <c r="M121" s="43" t="str">
        <f t="shared" si="11"/>
        <v/>
      </c>
      <c r="N121" s="43" t="str">
        <f t="shared" si="11"/>
        <v/>
      </c>
      <c r="O121" s="43" t="str">
        <f t="shared" si="11"/>
        <v/>
      </c>
      <c r="P121" s="43" t="str">
        <f t="shared" si="11"/>
        <v/>
      </c>
      <c r="Q121" s="43" t="str">
        <f t="shared" si="11"/>
        <v/>
      </c>
      <c r="R121" s="43" t="str">
        <f t="shared" si="11"/>
        <v/>
      </c>
      <c r="S121" s="43" t="str">
        <f t="shared" si="11"/>
        <v/>
      </c>
      <c r="T121" s="43" t="str">
        <f t="shared" si="11"/>
        <v/>
      </c>
      <c r="U121" s="43" t="str">
        <f t="shared" si="11"/>
        <v/>
      </c>
      <c r="V121" s="43" t="str">
        <f t="shared" si="11"/>
        <v/>
      </c>
    </row>
    <row r="122" spans="1:22" x14ac:dyDescent="0.3">
      <c r="A122" s="42"/>
      <c r="B122" s="43" t="str">
        <f>IF($A122="","",SUMIFS([2]weekly_demand!$D:$D,[2]weekly_demand!$A:$A,B$1,[2]weekly_demand!$C:$C,$A122))</f>
        <v/>
      </c>
      <c r="C122" s="43" t="str">
        <f>IF($A122="","",SUMIFS([2]weekly_demand!$D:$D,[2]weekly_demand!$A:$A,C$1,[2]weekly_demand!$C:$C,$A122))</f>
        <v/>
      </c>
      <c r="D122" s="43" t="str">
        <f>IF($A122="","",SUMIFS([2]weekly_demand!$D:$D,[2]weekly_demand!$A:$A,D$1,[2]weekly_demand!$C:$C,$A122))</f>
        <v/>
      </c>
      <c r="E122" s="43" t="str">
        <f>IF($A122="","",SUMIFS([2]weekly_demand!$D:$D,[2]weekly_demand!$A:$A,E$1,[2]weekly_demand!$C:$C,$A122))</f>
        <v/>
      </c>
      <c r="F122" s="43" t="str">
        <f>IF($A122="","",SUMIFS([2]weekly_demand!$D:$D,[2]weekly_demand!$A:$A,F$1,[2]weekly_demand!$C:$C,$A122))</f>
        <v/>
      </c>
      <c r="G122" s="43" t="str">
        <f>IF($A122="","",SUMIFS([2]weekly_demand!$D:$D,[2]weekly_demand!$A:$A,G$1,[2]weekly_demand!$C:$C,$A122))</f>
        <v/>
      </c>
      <c r="H122" s="43" t="str">
        <f t="shared" ref="H122:V131" si="12">IF($A122="","",SUMPRODUCT($B122:$G122,INDEX($Y$2:$AD$16,MATCH(H$1,$X$2:$X$16,0),0)))</f>
        <v/>
      </c>
      <c r="I122" s="43" t="str">
        <f t="shared" si="12"/>
        <v/>
      </c>
      <c r="J122" s="43" t="str">
        <f t="shared" si="12"/>
        <v/>
      </c>
      <c r="K122" s="43" t="str">
        <f t="shared" si="12"/>
        <v/>
      </c>
      <c r="L122" s="43" t="str">
        <f t="shared" si="12"/>
        <v/>
      </c>
      <c r="M122" s="43" t="str">
        <f t="shared" si="12"/>
        <v/>
      </c>
      <c r="N122" s="43" t="str">
        <f t="shared" si="12"/>
        <v/>
      </c>
      <c r="O122" s="43" t="str">
        <f t="shared" si="12"/>
        <v/>
      </c>
      <c r="P122" s="43" t="str">
        <f t="shared" si="12"/>
        <v/>
      </c>
      <c r="Q122" s="43" t="str">
        <f t="shared" si="12"/>
        <v/>
      </c>
      <c r="R122" s="43" t="str">
        <f t="shared" si="12"/>
        <v/>
      </c>
      <c r="S122" s="43" t="str">
        <f t="shared" si="12"/>
        <v/>
      </c>
      <c r="T122" s="43" t="str">
        <f t="shared" si="12"/>
        <v/>
      </c>
      <c r="U122" s="43" t="str">
        <f t="shared" si="12"/>
        <v/>
      </c>
      <c r="V122" s="43" t="str">
        <f t="shared" si="12"/>
        <v/>
      </c>
    </row>
    <row r="123" spans="1:22" x14ac:dyDescent="0.3">
      <c r="A123" s="42"/>
      <c r="B123" s="43" t="str">
        <f>IF($A123="","",SUMIFS([2]weekly_demand!$D:$D,[2]weekly_demand!$A:$A,B$1,[2]weekly_demand!$C:$C,$A123))</f>
        <v/>
      </c>
      <c r="C123" s="43" t="str">
        <f>IF($A123="","",SUMIFS([2]weekly_demand!$D:$D,[2]weekly_demand!$A:$A,C$1,[2]weekly_demand!$C:$C,$A123))</f>
        <v/>
      </c>
      <c r="D123" s="43" t="str">
        <f>IF($A123="","",SUMIFS([2]weekly_demand!$D:$D,[2]weekly_demand!$A:$A,D$1,[2]weekly_demand!$C:$C,$A123))</f>
        <v/>
      </c>
      <c r="E123" s="43" t="str">
        <f>IF($A123="","",SUMIFS([2]weekly_demand!$D:$D,[2]weekly_demand!$A:$A,E$1,[2]weekly_demand!$C:$C,$A123))</f>
        <v/>
      </c>
      <c r="F123" s="43" t="str">
        <f>IF($A123="","",SUMIFS([2]weekly_demand!$D:$D,[2]weekly_demand!$A:$A,F$1,[2]weekly_demand!$C:$C,$A123))</f>
        <v/>
      </c>
      <c r="G123" s="43" t="str">
        <f>IF($A123="","",SUMIFS([2]weekly_demand!$D:$D,[2]weekly_demand!$A:$A,G$1,[2]weekly_demand!$C:$C,$A123))</f>
        <v/>
      </c>
      <c r="H123" s="43" t="str">
        <f t="shared" si="12"/>
        <v/>
      </c>
      <c r="I123" s="43" t="str">
        <f t="shared" si="12"/>
        <v/>
      </c>
      <c r="J123" s="43" t="str">
        <f t="shared" si="12"/>
        <v/>
      </c>
      <c r="K123" s="43" t="str">
        <f t="shared" si="12"/>
        <v/>
      </c>
      <c r="L123" s="43" t="str">
        <f t="shared" si="12"/>
        <v/>
      </c>
      <c r="M123" s="43" t="str">
        <f t="shared" si="12"/>
        <v/>
      </c>
      <c r="N123" s="43" t="str">
        <f t="shared" si="12"/>
        <v/>
      </c>
      <c r="O123" s="43" t="str">
        <f t="shared" si="12"/>
        <v/>
      </c>
      <c r="P123" s="43" t="str">
        <f t="shared" si="12"/>
        <v/>
      </c>
      <c r="Q123" s="43" t="str">
        <f t="shared" si="12"/>
        <v/>
      </c>
      <c r="R123" s="43" t="str">
        <f t="shared" si="12"/>
        <v/>
      </c>
      <c r="S123" s="43" t="str">
        <f t="shared" si="12"/>
        <v/>
      </c>
      <c r="T123" s="43" t="str">
        <f t="shared" si="12"/>
        <v/>
      </c>
      <c r="U123" s="43" t="str">
        <f t="shared" si="12"/>
        <v/>
      </c>
      <c r="V123" s="43" t="str">
        <f t="shared" si="12"/>
        <v/>
      </c>
    </row>
    <row r="124" spans="1:22" x14ac:dyDescent="0.3">
      <c r="A124" s="42"/>
      <c r="B124" s="43" t="str">
        <f>IF($A124="","",SUMIFS([2]weekly_demand!$D:$D,[2]weekly_demand!$A:$A,B$1,[2]weekly_demand!$C:$C,$A124))</f>
        <v/>
      </c>
      <c r="C124" s="43" t="str">
        <f>IF($A124="","",SUMIFS([2]weekly_demand!$D:$D,[2]weekly_demand!$A:$A,C$1,[2]weekly_demand!$C:$C,$A124))</f>
        <v/>
      </c>
      <c r="D124" s="43" t="str">
        <f>IF($A124="","",SUMIFS([2]weekly_demand!$D:$D,[2]weekly_demand!$A:$A,D$1,[2]weekly_demand!$C:$C,$A124))</f>
        <v/>
      </c>
      <c r="E124" s="43" t="str">
        <f>IF($A124="","",SUMIFS([2]weekly_demand!$D:$D,[2]weekly_demand!$A:$A,E$1,[2]weekly_demand!$C:$C,$A124))</f>
        <v/>
      </c>
      <c r="F124" s="43" t="str">
        <f>IF($A124="","",SUMIFS([2]weekly_demand!$D:$D,[2]weekly_demand!$A:$A,F$1,[2]weekly_demand!$C:$C,$A124))</f>
        <v/>
      </c>
      <c r="G124" s="43" t="str">
        <f>IF($A124="","",SUMIFS([2]weekly_demand!$D:$D,[2]weekly_demand!$A:$A,G$1,[2]weekly_demand!$C:$C,$A124))</f>
        <v/>
      </c>
      <c r="H124" s="43" t="str">
        <f t="shared" si="12"/>
        <v/>
      </c>
      <c r="I124" s="43" t="str">
        <f t="shared" si="12"/>
        <v/>
      </c>
      <c r="J124" s="43" t="str">
        <f t="shared" si="12"/>
        <v/>
      </c>
      <c r="K124" s="43" t="str">
        <f t="shared" si="12"/>
        <v/>
      </c>
      <c r="L124" s="43" t="str">
        <f t="shared" si="12"/>
        <v/>
      </c>
      <c r="M124" s="43" t="str">
        <f t="shared" si="12"/>
        <v/>
      </c>
      <c r="N124" s="43" t="str">
        <f t="shared" si="12"/>
        <v/>
      </c>
      <c r="O124" s="43" t="str">
        <f t="shared" si="12"/>
        <v/>
      </c>
      <c r="P124" s="43" t="str">
        <f t="shared" si="12"/>
        <v/>
      </c>
      <c r="Q124" s="43" t="str">
        <f t="shared" si="12"/>
        <v/>
      </c>
      <c r="R124" s="43" t="str">
        <f t="shared" si="12"/>
        <v/>
      </c>
      <c r="S124" s="43" t="str">
        <f t="shared" si="12"/>
        <v/>
      </c>
      <c r="T124" s="43" t="str">
        <f t="shared" si="12"/>
        <v/>
      </c>
      <c r="U124" s="43" t="str">
        <f t="shared" si="12"/>
        <v/>
      </c>
      <c r="V124" s="43" t="str">
        <f t="shared" si="12"/>
        <v/>
      </c>
    </row>
    <row r="125" spans="1:22" x14ac:dyDescent="0.3">
      <c r="A125" s="42"/>
      <c r="B125" s="43" t="str">
        <f>IF($A125="","",SUMIFS([2]weekly_demand!$D:$D,[2]weekly_demand!$A:$A,B$1,[2]weekly_demand!$C:$C,$A125))</f>
        <v/>
      </c>
      <c r="C125" s="43" t="str">
        <f>IF($A125="","",SUMIFS([2]weekly_demand!$D:$D,[2]weekly_demand!$A:$A,C$1,[2]weekly_demand!$C:$C,$A125))</f>
        <v/>
      </c>
      <c r="D125" s="43" t="str">
        <f>IF($A125="","",SUMIFS([2]weekly_demand!$D:$D,[2]weekly_demand!$A:$A,D$1,[2]weekly_demand!$C:$C,$A125))</f>
        <v/>
      </c>
      <c r="E125" s="43" t="str">
        <f>IF($A125="","",SUMIFS([2]weekly_demand!$D:$D,[2]weekly_demand!$A:$A,E$1,[2]weekly_demand!$C:$C,$A125))</f>
        <v/>
      </c>
      <c r="F125" s="43" t="str">
        <f>IF($A125="","",SUMIFS([2]weekly_demand!$D:$D,[2]weekly_demand!$A:$A,F$1,[2]weekly_demand!$C:$C,$A125))</f>
        <v/>
      </c>
      <c r="G125" s="43" t="str">
        <f>IF($A125="","",SUMIFS([2]weekly_demand!$D:$D,[2]weekly_demand!$A:$A,G$1,[2]weekly_demand!$C:$C,$A125))</f>
        <v/>
      </c>
      <c r="H125" s="43" t="str">
        <f t="shared" si="12"/>
        <v/>
      </c>
      <c r="I125" s="43" t="str">
        <f t="shared" si="12"/>
        <v/>
      </c>
      <c r="J125" s="43" t="str">
        <f t="shared" si="12"/>
        <v/>
      </c>
      <c r="K125" s="43" t="str">
        <f t="shared" si="12"/>
        <v/>
      </c>
      <c r="L125" s="43" t="str">
        <f t="shared" si="12"/>
        <v/>
      </c>
      <c r="M125" s="43" t="str">
        <f t="shared" si="12"/>
        <v/>
      </c>
      <c r="N125" s="43" t="str">
        <f t="shared" si="12"/>
        <v/>
      </c>
      <c r="O125" s="43" t="str">
        <f t="shared" si="12"/>
        <v/>
      </c>
      <c r="P125" s="43" t="str">
        <f t="shared" si="12"/>
        <v/>
      </c>
      <c r="Q125" s="43" t="str">
        <f t="shared" si="12"/>
        <v/>
      </c>
      <c r="R125" s="43" t="str">
        <f t="shared" si="12"/>
        <v/>
      </c>
      <c r="S125" s="43" t="str">
        <f t="shared" si="12"/>
        <v/>
      </c>
      <c r="T125" s="43" t="str">
        <f t="shared" si="12"/>
        <v/>
      </c>
      <c r="U125" s="43" t="str">
        <f t="shared" si="12"/>
        <v/>
      </c>
      <c r="V125" s="43" t="str">
        <f t="shared" si="12"/>
        <v/>
      </c>
    </row>
    <row r="126" spans="1:22" x14ac:dyDescent="0.3">
      <c r="A126" s="42"/>
      <c r="B126" s="43" t="str">
        <f>IF($A126="","",SUMIFS([2]weekly_demand!$D:$D,[2]weekly_demand!$A:$A,B$1,[2]weekly_demand!$C:$C,$A126))</f>
        <v/>
      </c>
      <c r="C126" s="43" t="str">
        <f>IF($A126="","",SUMIFS([2]weekly_demand!$D:$D,[2]weekly_demand!$A:$A,C$1,[2]weekly_demand!$C:$C,$A126))</f>
        <v/>
      </c>
      <c r="D126" s="43" t="str">
        <f>IF($A126="","",SUMIFS([2]weekly_demand!$D:$D,[2]weekly_demand!$A:$A,D$1,[2]weekly_demand!$C:$C,$A126))</f>
        <v/>
      </c>
      <c r="E126" s="43" t="str">
        <f>IF($A126="","",SUMIFS([2]weekly_demand!$D:$D,[2]weekly_demand!$A:$A,E$1,[2]weekly_demand!$C:$C,$A126))</f>
        <v/>
      </c>
      <c r="F126" s="43" t="str">
        <f>IF($A126="","",SUMIFS([2]weekly_demand!$D:$D,[2]weekly_demand!$A:$A,F$1,[2]weekly_demand!$C:$C,$A126))</f>
        <v/>
      </c>
      <c r="G126" s="43" t="str">
        <f>IF($A126="","",SUMIFS([2]weekly_demand!$D:$D,[2]weekly_demand!$A:$A,G$1,[2]weekly_demand!$C:$C,$A126))</f>
        <v/>
      </c>
      <c r="H126" s="43" t="str">
        <f t="shared" si="12"/>
        <v/>
      </c>
      <c r="I126" s="43" t="str">
        <f t="shared" si="12"/>
        <v/>
      </c>
      <c r="J126" s="43" t="str">
        <f t="shared" si="12"/>
        <v/>
      </c>
      <c r="K126" s="43" t="str">
        <f t="shared" si="12"/>
        <v/>
      </c>
      <c r="L126" s="43" t="str">
        <f t="shared" si="12"/>
        <v/>
      </c>
      <c r="M126" s="43" t="str">
        <f t="shared" si="12"/>
        <v/>
      </c>
      <c r="N126" s="43" t="str">
        <f t="shared" si="12"/>
        <v/>
      </c>
      <c r="O126" s="43" t="str">
        <f t="shared" si="12"/>
        <v/>
      </c>
      <c r="P126" s="43" t="str">
        <f t="shared" si="12"/>
        <v/>
      </c>
      <c r="Q126" s="43" t="str">
        <f t="shared" si="12"/>
        <v/>
      </c>
      <c r="R126" s="43" t="str">
        <f t="shared" si="12"/>
        <v/>
      </c>
      <c r="S126" s="43" t="str">
        <f t="shared" si="12"/>
        <v/>
      </c>
      <c r="T126" s="43" t="str">
        <f t="shared" si="12"/>
        <v/>
      </c>
      <c r="U126" s="43" t="str">
        <f t="shared" si="12"/>
        <v/>
      </c>
      <c r="V126" s="43" t="str">
        <f t="shared" si="12"/>
        <v/>
      </c>
    </row>
    <row r="127" spans="1:22" x14ac:dyDescent="0.3">
      <c r="A127" s="42"/>
      <c r="B127" s="43" t="str">
        <f>IF($A127="","",SUMIFS([2]weekly_demand!$D:$D,[2]weekly_demand!$A:$A,B$1,[2]weekly_demand!$C:$C,$A127))</f>
        <v/>
      </c>
      <c r="C127" s="43" t="str">
        <f>IF($A127="","",SUMIFS([2]weekly_demand!$D:$D,[2]weekly_demand!$A:$A,C$1,[2]weekly_demand!$C:$C,$A127))</f>
        <v/>
      </c>
      <c r="D127" s="43" t="str">
        <f>IF($A127="","",SUMIFS([2]weekly_demand!$D:$D,[2]weekly_demand!$A:$A,D$1,[2]weekly_demand!$C:$C,$A127))</f>
        <v/>
      </c>
      <c r="E127" s="43" t="str">
        <f>IF($A127="","",SUMIFS([2]weekly_demand!$D:$D,[2]weekly_demand!$A:$A,E$1,[2]weekly_demand!$C:$C,$A127))</f>
        <v/>
      </c>
      <c r="F127" s="43" t="str">
        <f>IF($A127="","",SUMIFS([2]weekly_demand!$D:$D,[2]weekly_demand!$A:$A,F$1,[2]weekly_demand!$C:$C,$A127))</f>
        <v/>
      </c>
      <c r="G127" s="43" t="str">
        <f>IF($A127="","",SUMIFS([2]weekly_demand!$D:$D,[2]weekly_demand!$A:$A,G$1,[2]weekly_demand!$C:$C,$A127))</f>
        <v/>
      </c>
      <c r="H127" s="43" t="str">
        <f t="shared" si="12"/>
        <v/>
      </c>
      <c r="I127" s="43" t="str">
        <f t="shared" si="12"/>
        <v/>
      </c>
      <c r="J127" s="43" t="str">
        <f t="shared" si="12"/>
        <v/>
      </c>
      <c r="K127" s="43" t="str">
        <f t="shared" si="12"/>
        <v/>
      </c>
      <c r="L127" s="43" t="str">
        <f t="shared" si="12"/>
        <v/>
      </c>
      <c r="M127" s="43" t="str">
        <f t="shared" si="12"/>
        <v/>
      </c>
      <c r="N127" s="43" t="str">
        <f t="shared" si="12"/>
        <v/>
      </c>
      <c r="O127" s="43" t="str">
        <f t="shared" si="12"/>
        <v/>
      </c>
      <c r="P127" s="43" t="str">
        <f t="shared" si="12"/>
        <v/>
      </c>
      <c r="Q127" s="43" t="str">
        <f t="shared" si="12"/>
        <v/>
      </c>
      <c r="R127" s="43" t="str">
        <f t="shared" si="12"/>
        <v/>
      </c>
      <c r="S127" s="43" t="str">
        <f t="shared" si="12"/>
        <v/>
      </c>
      <c r="T127" s="43" t="str">
        <f t="shared" si="12"/>
        <v/>
      </c>
      <c r="U127" s="43" t="str">
        <f t="shared" si="12"/>
        <v/>
      </c>
      <c r="V127" s="43" t="str">
        <f t="shared" si="12"/>
        <v/>
      </c>
    </row>
    <row r="128" spans="1:22" x14ac:dyDescent="0.3">
      <c r="A128" s="42"/>
      <c r="B128" s="43" t="str">
        <f>IF($A128="","",SUMIFS([2]weekly_demand!$D:$D,[2]weekly_demand!$A:$A,B$1,[2]weekly_demand!$C:$C,$A128))</f>
        <v/>
      </c>
      <c r="C128" s="43" t="str">
        <f>IF($A128="","",SUMIFS([2]weekly_demand!$D:$D,[2]weekly_demand!$A:$A,C$1,[2]weekly_demand!$C:$C,$A128))</f>
        <v/>
      </c>
      <c r="D128" s="43" t="str">
        <f>IF($A128="","",SUMIFS([2]weekly_demand!$D:$D,[2]weekly_demand!$A:$A,D$1,[2]weekly_demand!$C:$C,$A128))</f>
        <v/>
      </c>
      <c r="E128" s="43" t="str">
        <f>IF($A128="","",SUMIFS([2]weekly_demand!$D:$D,[2]weekly_demand!$A:$A,E$1,[2]weekly_demand!$C:$C,$A128))</f>
        <v/>
      </c>
      <c r="F128" s="43" t="str">
        <f>IF($A128="","",SUMIFS([2]weekly_demand!$D:$D,[2]weekly_demand!$A:$A,F$1,[2]weekly_demand!$C:$C,$A128))</f>
        <v/>
      </c>
      <c r="G128" s="43" t="str">
        <f>IF($A128="","",SUMIFS([2]weekly_demand!$D:$D,[2]weekly_demand!$A:$A,G$1,[2]weekly_demand!$C:$C,$A128))</f>
        <v/>
      </c>
      <c r="H128" s="43" t="str">
        <f t="shared" si="12"/>
        <v/>
      </c>
      <c r="I128" s="43" t="str">
        <f t="shared" si="12"/>
        <v/>
      </c>
      <c r="J128" s="43" t="str">
        <f t="shared" si="12"/>
        <v/>
      </c>
      <c r="K128" s="43" t="str">
        <f t="shared" si="12"/>
        <v/>
      </c>
      <c r="L128" s="43" t="str">
        <f t="shared" si="12"/>
        <v/>
      </c>
      <c r="M128" s="43" t="str">
        <f t="shared" si="12"/>
        <v/>
      </c>
      <c r="N128" s="43" t="str">
        <f t="shared" si="12"/>
        <v/>
      </c>
      <c r="O128" s="43" t="str">
        <f t="shared" si="12"/>
        <v/>
      </c>
      <c r="P128" s="43" t="str">
        <f t="shared" si="12"/>
        <v/>
      </c>
      <c r="Q128" s="43" t="str">
        <f t="shared" si="12"/>
        <v/>
      </c>
      <c r="R128" s="43" t="str">
        <f t="shared" si="12"/>
        <v/>
      </c>
      <c r="S128" s="43" t="str">
        <f t="shared" si="12"/>
        <v/>
      </c>
      <c r="T128" s="43" t="str">
        <f t="shared" si="12"/>
        <v/>
      </c>
      <c r="U128" s="43" t="str">
        <f t="shared" si="12"/>
        <v/>
      </c>
      <c r="V128" s="43" t="str">
        <f t="shared" si="12"/>
        <v/>
      </c>
    </row>
    <row r="129" spans="1:22" x14ac:dyDescent="0.3">
      <c r="A129" s="42"/>
      <c r="B129" s="43" t="str">
        <f>IF($A129="","",SUMIFS([2]weekly_demand!$D:$D,[2]weekly_demand!$A:$A,B$1,[2]weekly_demand!$C:$C,$A129))</f>
        <v/>
      </c>
      <c r="C129" s="43" t="str">
        <f>IF($A129="","",SUMIFS([2]weekly_demand!$D:$D,[2]weekly_demand!$A:$A,C$1,[2]weekly_demand!$C:$C,$A129))</f>
        <v/>
      </c>
      <c r="D129" s="43" t="str">
        <f>IF($A129="","",SUMIFS([2]weekly_demand!$D:$D,[2]weekly_demand!$A:$A,D$1,[2]weekly_demand!$C:$C,$A129))</f>
        <v/>
      </c>
      <c r="E129" s="43" t="str">
        <f>IF($A129="","",SUMIFS([2]weekly_demand!$D:$D,[2]weekly_demand!$A:$A,E$1,[2]weekly_demand!$C:$C,$A129))</f>
        <v/>
      </c>
      <c r="F129" s="43" t="str">
        <f>IF($A129="","",SUMIFS([2]weekly_demand!$D:$D,[2]weekly_demand!$A:$A,F$1,[2]weekly_demand!$C:$C,$A129))</f>
        <v/>
      </c>
      <c r="G129" s="43" t="str">
        <f>IF($A129="","",SUMIFS([2]weekly_demand!$D:$D,[2]weekly_demand!$A:$A,G$1,[2]weekly_demand!$C:$C,$A129))</f>
        <v/>
      </c>
      <c r="H129" s="43" t="str">
        <f t="shared" si="12"/>
        <v/>
      </c>
      <c r="I129" s="43" t="str">
        <f t="shared" si="12"/>
        <v/>
      </c>
      <c r="J129" s="43" t="str">
        <f t="shared" si="12"/>
        <v/>
      </c>
      <c r="K129" s="43" t="str">
        <f t="shared" si="12"/>
        <v/>
      </c>
      <c r="L129" s="43" t="str">
        <f t="shared" si="12"/>
        <v/>
      </c>
      <c r="M129" s="43" t="str">
        <f t="shared" si="12"/>
        <v/>
      </c>
      <c r="N129" s="43" t="str">
        <f t="shared" si="12"/>
        <v/>
      </c>
      <c r="O129" s="43" t="str">
        <f t="shared" si="12"/>
        <v/>
      </c>
      <c r="P129" s="43" t="str">
        <f t="shared" si="12"/>
        <v/>
      </c>
      <c r="Q129" s="43" t="str">
        <f t="shared" si="12"/>
        <v/>
      </c>
      <c r="R129" s="43" t="str">
        <f t="shared" si="12"/>
        <v/>
      </c>
      <c r="S129" s="43" t="str">
        <f t="shared" si="12"/>
        <v/>
      </c>
      <c r="T129" s="43" t="str">
        <f t="shared" si="12"/>
        <v/>
      </c>
      <c r="U129" s="43" t="str">
        <f t="shared" si="12"/>
        <v/>
      </c>
      <c r="V129" s="43" t="str">
        <f t="shared" si="12"/>
        <v/>
      </c>
    </row>
    <row r="130" spans="1:22" x14ac:dyDescent="0.3">
      <c r="A130" s="42"/>
      <c r="B130" s="43" t="str">
        <f>IF($A130="","",SUMIFS([2]weekly_demand!$D:$D,[2]weekly_demand!$A:$A,B$1,[2]weekly_demand!$C:$C,$A130))</f>
        <v/>
      </c>
      <c r="C130" s="43" t="str">
        <f>IF($A130="","",SUMIFS([2]weekly_demand!$D:$D,[2]weekly_demand!$A:$A,C$1,[2]weekly_demand!$C:$C,$A130))</f>
        <v/>
      </c>
      <c r="D130" s="43" t="str">
        <f>IF($A130="","",SUMIFS([2]weekly_demand!$D:$D,[2]weekly_demand!$A:$A,D$1,[2]weekly_demand!$C:$C,$A130))</f>
        <v/>
      </c>
      <c r="E130" s="43" t="str">
        <f>IF($A130="","",SUMIFS([2]weekly_demand!$D:$D,[2]weekly_demand!$A:$A,E$1,[2]weekly_demand!$C:$C,$A130))</f>
        <v/>
      </c>
      <c r="F130" s="43" t="str">
        <f>IF($A130="","",SUMIFS([2]weekly_demand!$D:$D,[2]weekly_demand!$A:$A,F$1,[2]weekly_demand!$C:$C,$A130))</f>
        <v/>
      </c>
      <c r="G130" s="43" t="str">
        <f>IF($A130="","",SUMIFS([2]weekly_demand!$D:$D,[2]weekly_demand!$A:$A,G$1,[2]weekly_demand!$C:$C,$A130))</f>
        <v/>
      </c>
      <c r="H130" s="43" t="str">
        <f t="shared" si="12"/>
        <v/>
      </c>
      <c r="I130" s="43" t="str">
        <f t="shared" si="12"/>
        <v/>
      </c>
      <c r="J130" s="43" t="str">
        <f t="shared" si="12"/>
        <v/>
      </c>
      <c r="K130" s="43" t="str">
        <f t="shared" si="12"/>
        <v/>
      </c>
      <c r="L130" s="43" t="str">
        <f t="shared" si="12"/>
        <v/>
      </c>
      <c r="M130" s="43" t="str">
        <f t="shared" si="12"/>
        <v/>
      </c>
      <c r="N130" s="43" t="str">
        <f t="shared" si="12"/>
        <v/>
      </c>
      <c r="O130" s="43" t="str">
        <f t="shared" si="12"/>
        <v/>
      </c>
      <c r="P130" s="43" t="str">
        <f t="shared" si="12"/>
        <v/>
      </c>
      <c r="Q130" s="43" t="str">
        <f t="shared" si="12"/>
        <v/>
      </c>
      <c r="R130" s="43" t="str">
        <f t="shared" si="12"/>
        <v/>
      </c>
      <c r="S130" s="43" t="str">
        <f t="shared" si="12"/>
        <v/>
      </c>
      <c r="T130" s="43" t="str">
        <f t="shared" si="12"/>
        <v/>
      </c>
      <c r="U130" s="43" t="str">
        <f t="shared" si="12"/>
        <v/>
      </c>
      <c r="V130" s="43" t="str">
        <f t="shared" si="12"/>
        <v/>
      </c>
    </row>
    <row r="131" spans="1:22" x14ac:dyDescent="0.3">
      <c r="A131" s="42"/>
      <c r="B131" s="43" t="str">
        <f>IF($A131="","",SUMIFS([2]weekly_demand!$D:$D,[2]weekly_demand!$A:$A,B$1,[2]weekly_demand!$C:$C,$A131))</f>
        <v/>
      </c>
      <c r="C131" s="43" t="str">
        <f>IF($A131="","",SUMIFS([2]weekly_demand!$D:$D,[2]weekly_demand!$A:$A,C$1,[2]weekly_demand!$C:$C,$A131))</f>
        <v/>
      </c>
      <c r="D131" s="43" t="str">
        <f>IF($A131="","",SUMIFS([2]weekly_demand!$D:$D,[2]weekly_demand!$A:$A,D$1,[2]weekly_demand!$C:$C,$A131))</f>
        <v/>
      </c>
      <c r="E131" s="43" t="str">
        <f>IF($A131="","",SUMIFS([2]weekly_demand!$D:$D,[2]weekly_demand!$A:$A,E$1,[2]weekly_demand!$C:$C,$A131))</f>
        <v/>
      </c>
      <c r="F131" s="43" t="str">
        <f>IF($A131="","",SUMIFS([2]weekly_demand!$D:$D,[2]weekly_demand!$A:$A,F$1,[2]weekly_demand!$C:$C,$A131))</f>
        <v/>
      </c>
      <c r="G131" s="43" t="str">
        <f>IF($A131="","",SUMIFS([2]weekly_demand!$D:$D,[2]weekly_demand!$A:$A,G$1,[2]weekly_demand!$C:$C,$A131))</f>
        <v/>
      </c>
      <c r="H131" s="43" t="str">
        <f t="shared" si="12"/>
        <v/>
      </c>
      <c r="I131" s="43" t="str">
        <f t="shared" si="12"/>
        <v/>
      </c>
      <c r="J131" s="43" t="str">
        <f t="shared" si="12"/>
        <v/>
      </c>
      <c r="K131" s="43" t="str">
        <f t="shared" si="12"/>
        <v/>
      </c>
      <c r="L131" s="43" t="str">
        <f t="shared" si="12"/>
        <v/>
      </c>
      <c r="M131" s="43" t="str">
        <f t="shared" si="12"/>
        <v/>
      </c>
      <c r="N131" s="43" t="str">
        <f t="shared" si="12"/>
        <v/>
      </c>
      <c r="O131" s="43" t="str">
        <f t="shared" si="12"/>
        <v/>
      </c>
      <c r="P131" s="43" t="str">
        <f t="shared" si="12"/>
        <v/>
      </c>
      <c r="Q131" s="43" t="str">
        <f t="shared" si="12"/>
        <v/>
      </c>
      <c r="R131" s="43" t="str">
        <f t="shared" si="12"/>
        <v/>
      </c>
      <c r="S131" s="43" t="str">
        <f t="shared" si="12"/>
        <v/>
      </c>
      <c r="T131" s="43" t="str">
        <f t="shared" si="12"/>
        <v/>
      </c>
      <c r="U131" s="43" t="str">
        <f t="shared" si="12"/>
        <v/>
      </c>
      <c r="V131" s="43" t="str">
        <f t="shared" si="12"/>
        <v/>
      </c>
    </row>
    <row r="132" spans="1:22" x14ac:dyDescent="0.3">
      <c r="A132" s="42"/>
      <c r="B132" s="43" t="str">
        <f>IF($A132="","",SUMIFS([2]weekly_demand!$D:$D,[2]weekly_demand!$A:$A,B$1,[2]weekly_demand!$C:$C,$A132))</f>
        <v/>
      </c>
      <c r="C132" s="43" t="str">
        <f>IF($A132="","",SUMIFS([2]weekly_demand!$D:$D,[2]weekly_demand!$A:$A,C$1,[2]weekly_demand!$C:$C,$A132))</f>
        <v/>
      </c>
      <c r="D132" s="43" t="str">
        <f>IF($A132="","",SUMIFS([2]weekly_demand!$D:$D,[2]weekly_demand!$A:$A,D$1,[2]weekly_demand!$C:$C,$A132))</f>
        <v/>
      </c>
      <c r="E132" s="43" t="str">
        <f>IF($A132="","",SUMIFS([2]weekly_demand!$D:$D,[2]weekly_demand!$A:$A,E$1,[2]weekly_demand!$C:$C,$A132))</f>
        <v/>
      </c>
      <c r="F132" s="43" t="str">
        <f>IF($A132="","",SUMIFS([2]weekly_demand!$D:$D,[2]weekly_demand!$A:$A,F$1,[2]weekly_demand!$C:$C,$A132))</f>
        <v/>
      </c>
      <c r="G132" s="43" t="str">
        <f>IF($A132="","",SUMIFS([2]weekly_demand!$D:$D,[2]weekly_demand!$A:$A,G$1,[2]weekly_demand!$C:$C,$A132))</f>
        <v/>
      </c>
      <c r="H132" s="43" t="str">
        <f t="shared" ref="H132:V141" si="13">IF($A132="","",SUMPRODUCT($B132:$G132,INDEX($Y$2:$AD$16,MATCH(H$1,$X$2:$X$16,0),0)))</f>
        <v/>
      </c>
      <c r="I132" s="43" t="str">
        <f t="shared" si="13"/>
        <v/>
      </c>
      <c r="J132" s="43" t="str">
        <f t="shared" si="13"/>
        <v/>
      </c>
      <c r="K132" s="43" t="str">
        <f t="shared" si="13"/>
        <v/>
      </c>
      <c r="L132" s="43" t="str">
        <f t="shared" si="13"/>
        <v/>
      </c>
      <c r="M132" s="43" t="str">
        <f t="shared" si="13"/>
        <v/>
      </c>
      <c r="N132" s="43" t="str">
        <f t="shared" si="13"/>
        <v/>
      </c>
      <c r="O132" s="43" t="str">
        <f t="shared" si="13"/>
        <v/>
      </c>
      <c r="P132" s="43" t="str">
        <f t="shared" si="13"/>
        <v/>
      </c>
      <c r="Q132" s="43" t="str">
        <f t="shared" si="13"/>
        <v/>
      </c>
      <c r="R132" s="43" t="str">
        <f t="shared" si="13"/>
        <v/>
      </c>
      <c r="S132" s="43" t="str">
        <f t="shared" si="13"/>
        <v/>
      </c>
      <c r="T132" s="43" t="str">
        <f t="shared" si="13"/>
        <v/>
      </c>
      <c r="U132" s="43" t="str">
        <f t="shared" si="13"/>
        <v/>
      </c>
      <c r="V132" s="43" t="str">
        <f t="shared" si="13"/>
        <v/>
      </c>
    </row>
    <row r="133" spans="1:22" x14ac:dyDescent="0.3">
      <c r="A133" s="42"/>
      <c r="B133" s="43" t="str">
        <f>IF($A133="","",SUMIFS([2]weekly_demand!$D:$D,[2]weekly_demand!$A:$A,B$1,[2]weekly_demand!$C:$C,$A133))</f>
        <v/>
      </c>
      <c r="C133" s="43" t="str">
        <f>IF($A133="","",SUMIFS([2]weekly_demand!$D:$D,[2]weekly_demand!$A:$A,C$1,[2]weekly_demand!$C:$C,$A133))</f>
        <v/>
      </c>
      <c r="D133" s="43" t="str">
        <f>IF($A133="","",SUMIFS([2]weekly_demand!$D:$D,[2]weekly_demand!$A:$A,D$1,[2]weekly_demand!$C:$C,$A133))</f>
        <v/>
      </c>
      <c r="E133" s="43" t="str">
        <f>IF($A133="","",SUMIFS([2]weekly_demand!$D:$D,[2]weekly_demand!$A:$A,E$1,[2]weekly_demand!$C:$C,$A133))</f>
        <v/>
      </c>
      <c r="F133" s="43" t="str">
        <f>IF($A133="","",SUMIFS([2]weekly_demand!$D:$D,[2]weekly_demand!$A:$A,F$1,[2]weekly_demand!$C:$C,$A133))</f>
        <v/>
      </c>
      <c r="G133" s="43" t="str">
        <f>IF($A133="","",SUMIFS([2]weekly_demand!$D:$D,[2]weekly_demand!$A:$A,G$1,[2]weekly_demand!$C:$C,$A133))</f>
        <v/>
      </c>
      <c r="H133" s="43" t="str">
        <f t="shared" si="13"/>
        <v/>
      </c>
      <c r="I133" s="43" t="str">
        <f t="shared" si="13"/>
        <v/>
      </c>
      <c r="J133" s="43" t="str">
        <f t="shared" si="13"/>
        <v/>
      </c>
      <c r="K133" s="43" t="str">
        <f t="shared" si="13"/>
        <v/>
      </c>
      <c r="L133" s="43" t="str">
        <f t="shared" si="13"/>
        <v/>
      </c>
      <c r="M133" s="43" t="str">
        <f t="shared" si="13"/>
        <v/>
      </c>
      <c r="N133" s="43" t="str">
        <f t="shared" si="13"/>
        <v/>
      </c>
      <c r="O133" s="43" t="str">
        <f t="shared" si="13"/>
        <v/>
      </c>
      <c r="P133" s="43" t="str">
        <f t="shared" si="13"/>
        <v/>
      </c>
      <c r="Q133" s="43" t="str">
        <f t="shared" si="13"/>
        <v/>
      </c>
      <c r="R133" s="43" t="str">
        <f t="shared" si="13"/>
        <v/>
      </c>
      <c r="S133" s="43" t="str">
        <f t="shared" si="13"/>
        <v/>
      </c>
      <c r="T133" s="43" t="str">
        <f t="shared" si="13"/>
        <v/>
      </c>
      <c r="U133" s="43" t="str">
        <f t="shared" si="13"/>
        <v/>
      </c>
      <c r="V133" s="43" t="str">
        <f t="shared" si="13"/>
        <v/>
      </c>
    </row>
    <row r="134" spans="1:22" x14ac:dyDescent="0.3">
      <c r="A134" s="42"/>
      <c r="B134" s="43" t="str">
        <f>IF($A134="","",SUMIFS([2]weekly_demand!$D:$D,[2]weekly_demand!$A:$A,B$1,[2]weekly_demand!$C:$C,$A134))</f>
        <v/>
      </c>
      <c r="C134" s="43" t="str">
        <f>IF($A134="","",SUMIFS([2]weekly_demand!$D:$D,[2]weekly_demand!$A:$A,C$1,[2]weekly_demand!$C:$C,$A134))</f>
        <v/>
      </c>
      <c r="D134" s="43" t="str">
        <f>IF($A134="","",SUMIFS([2]weekly_demand!$D:$D,[2]weekly_demand!$A:$A,D$1,[2]weekly_demand!$C:$C,$A134))</f>
        <v/>
      </c>
      <c r="E134" s="43" t="str">
        <f>IF($A134="","",SUMIFS([2]weekly_demand!$D:$D,[2]weekly_demand!$A:$A,E$1,[2]weekly_demand!$C:$C,$A134))</f>
        <v/>
      </c>
      <c r="F134" s="43" t="str">
        <f>IF($A134="","",SUMIFS([2]weekly_demand!$D:$D,[2]weekly_demand!$A:$A,F$1,[2]weekly_demand!$C:$C,$A134))</f>
        <v/>
      </c>
      <c r="G134" s="43" t="str">
        <f>IF($A134="","",SUMIFS([2]weekly_demand!$D:$D,[2]weekly_demand!$A:$A,G$1,[2]weekly_demand!$C:$C,$A134))</f>
        <v/>
      </c>
      <c r="H134" s="43" t="str">
        <f t="shared" si="13"/>
        <v/>
      </c>
      <c r="I134" s="43" t="str">
        <f t="shared" si="13"/>
        <v/>
      </c>
      <c r="J134" s="43" t="str">
        <f t="shared" si="13"/>
        <v/>
      </c>
      <c r="K134" s="43" t="str">
        <f t="shared" si="13"/>
        <v/>
      </c>
      <c r="L134" s="43" t="str">
        <f t="shared" si="13"/>
        <v/>
      </c>
      <c r="M134" s="43" t="str">
        <f t="shared" si="13"/>
        <v/>
      </c>
      <c r="N134" s="43" t="str">
        <f t="shared" si="13"/>
        <v/>
      </c>
      <c r="O134" s="43" t="str">
        <f t="shared" si="13"/>
        <v/>
      </c>
      <c r="P134" s="43" t="str">
        <f t="shared" si="13"/>
        <v/>
      </c>
      <c r="Q134" s="43" t="str">
        <f t="shared" si="13"/>
        <v/>
      </c>
      <c r="R134" s="43" t="str">
        <f t="shared" si="13"/>
        <v/>
      </c>
      <c r="S134" s="43" t="str">
        <f t="shared" si="13"/>
        <v/>
      </c>
      <c r="T134" s="43" t="str">
        <f t="shared" si="13"/>
        <v/>
      </c>
      <c r="U134" s="43" t="str">
        <f t="shared" si="13"/>
        <v/>
      </c>
      <c r="V134" s="43" t="str">
        <f t="shared" si="13"/>
        <v/>
      </c>
    </row>
    <row r="135" spans="1:22" x14ac:dyDescent="0.3">
      <c r="A135" s="42"/>
      <c r="B135" s="43" t="str">
        <f>IF($A135="","",SUMIFS([2]weekly_demand!$D:$D,[2]weekly_demand!$A:$A,B$1,[2]weekly_demand!$C:$C,$A135))</f>
        <v/>
      </c>
      <c r="C135" s="43" t="str">
        <f>IF($A135="","",SUMIFS([2]weekly_demand!$D:$D,[2]weekly_demand!$A:$A,C$1,[2]weekly_demand!$C:$C,$A135))</f>
        <v/>
      </c>
      <c r="D135" s="43" t="str">
        <f>IF($A135="","",SUMIFS([2]weekly_demand!$D:$D,[2]weekly_demand!$A:$A,D$1,[2]weekly_demand!$C:$C,$A135))</f>
        <v/>
      </c>
      <c r="E135" s="43" t="str">
        <f>IF($A135="","",SUMIFS([2]weekly_demand!$D:$D,[2]weekly_demand!$A:$A,E$1,[2]weekly_demand!$C:$C,$A135))</f>
        <v/>
      </c>
      <c r="F135" s="43" t="str">
        <f>IF($A135="","",SUMIFS([2]weekly_demand!$D:$D,[2]weekly_demand!$A:$A,F$1,[2]weekly_demand!$C:$C,$A135))</f>
        <v/>
      </c>
      <c r="G135" s="43" t="str">
        <f>IF($A135="","",SUMIFS([2]weekly_demand!$D:$D,[2]weekly_demand!$A:$A,G$1,[2]weekly_demand!$C:$C,$A135))</f>
        <v/>
      </c>
      <c r="H135" s="43" t="str">
        <f t="shared" si="13"/>
        <v/>
      </c>
      <c r="I135" s="43" t="str">
        <f t="shared" si="13"/>
        <v/>
      </c>
      <c r="J135" s="43" t="str">
        <f t="shared" si="13"/>
        <v/>
      </c>
      <c r="K135" s="43" t="str">
        <f t="shared" si="13"/>
        <v/>
      </c>
      <c r="L135" s="43" t="str">
        <f t="shared" si="13"/>
        <v/>
      </c>
      <c r="M135" s="43" t="str">
        <f t="shared" si="13"/>
        <v/>
      </c>
      <c r="N135" s="43" t="str">
        <f t="shared" si="13"/>
        <v/>
      </c>
      <c r="O135" s="43" t="str">
        <f t="shared" si="13"/>
        <v/>
      </c>
      <c r="P135" s="43" t="str">
        <f t="shared" si="13"/>
        <v/>
      </c>
      <c r="Q135" s="43" t="str">
        <f t="shared" si="13"/>
        <v/>
      </c>
      <c r="R135" s="43" t="str">
        <f t="shared" si="13"/>
        <v/>
      </c>
      <c r="S135" s="43" t="str">
        <f t="shared" si="13"/>
        <v/>
      </c>
      <c r="T135" s="43" t="str">
        <f t="shared" si="13"/>
        <v/>
      </c>
      <c r="U135" s="43" t="str">
        <f t="shared" si="13"/>
        <v/>
      </c>
      <c r="V135" s="43" t="str">
        <f t="shared" si="13"/>
        <v/>
      </c>
    </row>
    <row r="136" spans="1:22" x14ac:dyDescent="0.3">
      <c r="A136" s="42"/>
      <c r="B136" s="43" t="str">
        <f>IF($A136="","",SUMIFS([2]weekly_demand!$D:$D,[2]weekly_demand!$A:$A,B$1,[2]weekly_demand!$C:$C,$A136))</f>
        <v/>
      </c>
      <c r="C136" s="43" t="str">
        <f>IF($A136="","",SUMIFS([2]weekly_demand!$D:$D,[2]weekly_demand!$A:$A,C$1,[2]weekly_demand!$C:$C,$A136))</f>
        <v/>
      </c>
      <c r="D136" s="43" t="str">
        <f>IF($A136="","",SUMIFS([2]weekly_demand!$D:$D,[2]weekly_demand!$A:$A,D$1,[2]weekly_demand!$C:$C,$A136))</f>
        <v/>
      </c>
      <c r="E136" s="43" t="str">
        <f>IF($A136="","",SUMIFS([2]weekly_demand!$D:$D,[2]weekly_demand!$A:$A,E$1,[2]weekly_demand!$C:$C,$A136))</f>
        <v/>
      </c>
      <c r="F136" s="43" t="str">
        <f>IF($A136="","",SUMIFS([2]weekly_demand!$D:$D,[2]weekly_demand!$A:$A,F$1,[2]weekly_demand!$C:$C,$A136))</f>
        <v/>
      </c>
      <c r="G136" s="43" t="str">
        <f>IF($A136="","",SUMIFS([2]weekly_demand!$D:$D,[2]weekly_demand!$A:$A,G$1,[2]weekly_demand!$C:$C,$A136))</f>
        <v/>
      </c>
      <c r="H136" s="43" t="str">
        <f t="shared" si="13"/>
        <v/>
      </c>
      <c r="I136" s="43" t="str">
        <f t="shared" si="13"/>
        <v/>
      </c>
      <c r="J136" s="43" t="str">
        <f t="shared" si="13"/>
        <v/>
      </c>
      <c r="K136" s="43" t="str">
        <f t="shared" si="13"/>
        <v/>
      </c>
      <c r="L136" s="43" t="str">
        <f t="shared" si="13"/>
        <v/>
      </c>
      <c r="M136" s="43" t="str">
        <f t="shared" si="13"/>
        <v/>
      </c>
      <c r="N136" s="43" t="str">
        <f t="shared" si="13"/>
        <v/>
      </c>
      <c r="O136" s="43" t="str">
        <f t="shared" si="13"/>
        <v/>
      </c>
      <c r="P136" s="43" t="str">
        <f t="shared" si="13"/>
        <v/>
      </c>
      <c r="Q136" s="43" t="str">
        <f t="shared" si="13"/>
        <v/>
      </c>
      <c r="R136" s="43" t="str">
        <f t="shared" si="13"/>
        <v/>
      </c>
      <c r="S136" s="43" t="str">
        <f t="shared" si="13"/>
        <v/>
      </c>
      <c r="T136" s="43" t="str">
        <f t="shared" si="13"/>
        <v/>
      </c>
      <c r="U136" s="43" t="str">
        <f t="shared" si="13"/>
        <v/>
      </c>
      <c r="V136" s="43" t="str">
        <f t="shared" si="13"/>
        <v/>
      </c>
    </row>
    <row r="137" spans="1:22" x14ac:dyDescent="0.3">
      <c r="A137" s="42"/>
      <c r="B137" s="43" t="str">
        <f>IF($A137="","",SUMIFS([2]weekly_demand!$D:$D,[2]weekly_demand!$A:$A,B$1,[2]weekly_demand!$C:$C,$A137))</f>
        <v/>
      </c>
      <c r="C137" s="43" t="str">
        <f>IF($A137="","",SUMIFS([2]weekly_demand!$D:$D,[2]weekly_demand!$A:$A,C$1,[2]weekly_demand!$C:$C,$A137))</f>
        <v/>
      </c>
      <c r="D137" s="43" t="str">
        <f>IF($A137="","",SUMIFS([2]weekly_demand!$D:$D,[2]weekly_demand!$A:$A,D$1,[2]weekly_demand!$C:$C,$A137))</f>
        <v/>
      </c>
      <c r="E137" s="43" t="str">
        <f>IF($A137="","",SUMIFS([2]weekly_demand!$D:$D,[2]weekly_demand!$A:$A,E$1,[2]weekly_demand!$C:$C,$A137))</f>
        <v/>
      </c>
      <c r="F137" s="43" t="str">
        <f>IF($A137="","",SUMIFS([2]weekly_demand!$D:$D,[2]weekly_demand!$A:$A,F$1,[2]weekly_demand!$C:$C,$A137))</f>
        <v/>
      </c>
      <c r="G137" s="43" t="str">
        <f>IF($A137="","",SUMIFS([2]weekly_demand!$D:$D,[2]weekly_demand!$A:$A,G$1,[2]weekly_demand!$C:$C,$A137))</f>
        <v/>
      </c>
      <c r="H137" s="43" t="str">
        <f t="shared" si="13"/>
        <v/>
      </c>
      <c r="I137" s="43" t="str">
        <f t="shared" si="13"/>
        <v/>
      </c>
      <c r="J137" s="43" t="str">
        <f t="shared" si="13"/>
        <v/>
      </c>
      <c r="K137" s="43" t="str">
        <f t="shared" si="13"/>
        <v/>
      </c>
      <c r="L137" s="43" t="str">
        <f t="shared" si="13"/>
        <v/>
      </c>
      <c r="M137" s="43" t="str">
        <f t="shared" si="13"/>
        <v/>
      </c>
      <c r="N137" s="43" t="str">
        <f t="shared" si="13"/>
        <v/>
      </c>
      <c r="O137" s="43" t="str">
        <f t="shared" si="13"/>
        <v/>
      </c>
      <c r="P137" s="43" t="str">
        <f t="shared" si="13"/>
        <v/>
      </c>
      <c r="Q137" s="43" t="str">
        <f t="shared" si="13"/>
        <v/>
      </c>
      <c r="R137" s="43" t="str">
        <f t="shared" si="13"/>
        <v/>
      </c>
      <c r="S137" s="43" t="str">
        <f t="shared" si="13"/>
        <v/>
      </c>
      <c r="T137" s="43" t="str">
        <f t="shared" si="13"/>
        <v/>
      </c>
      <c r="U137" s="43" t="str">
        <f t="shared" si="13"/>
        <v/>
      </c>
      <c r="V137" s="43" t="str">
        <f t="shared" si="13"/>
        <v/>
      </c>
    </row>
    <row r="138" spans="1:22" x14ac:dyDescent="0.3">
      <c r="A138" s="42"/>
      <c r="B138" s="43" t="str">
        <f>IF($A138="","",SUMIFS([2]weekly_demand!$D:$D,[2]weekly_demand!$A:$A,B$1,[2]weekly_demand!$C:$C,$A138))</f>
        <v/>
      </c>
      <c r="C138" s="43" t="str">
        <f>IF($A138="","",SUMIFS([2]weekly_demand!$D:$D,[2]weekly_demand!$A:$A,C$1,[2]weekly_demand!$C:$C,$A138))</f>
        <v/>
      </c>
      <c r="D138" s="43" t="str">
        <f>IF($A138="","",SUMIFS([2]weekly_demand!$D:$D,[2]weekly_demand!$A:$A,D$1,[2]weekly_demand!$C:$C,$A138))</f>
        <v/>
      </c>
      <c r="E138" s="43" t="str">
        <f>IF($A138="","",SUMIFS([2]weekly_demand!$D:$D,[2]weekly_demand!$A:$A,E$1,[2]weekly_demand!$C:$C,$A138))</f>
        <v/>
      </c>
      <c r="F138" s="43" t="str">
        <f>IF($A138="","",SUMIFS([2]weekly_demand!$D:$D,[2]weekly_demand!$A:$A,F$1,[2]weekly_demand!$C:$C,$A138))</f>
        <v/>
      </c>
      <c r="G138" s="43" t="str">
        <f>IF($A138="","",SUMIFS([2]weekly_demand!$D:$D,[2]weekly_demand!$A:$A,G$1,[2]weekly_demand!$C:$C,$A138))</f>
        <v/>
      </c>
      <c r="H138" s="43" t="str">
        <f t="shared" si="13"/>
        <v/>
      </c>
      <c r="I138" s="43" t="str">
        <f t="shared" si="13"/>
        <v/>
      </c>
      <c r="J138" s="43" t="str">
        <f t="shared" si="13"/>
        <v/>
      </c>
      <c r="K138" s="43" t="str">
        <f t="shared" si="13"/>
        <v/>
      </c>
      <c r="L138" s="43" t="str">
        <f t="shared" si="13"/>
        <v/>
      </c>
      <c r="M138" s="43" t="str">
        <f t="shared" si="13"/>
        <v/>
      </c>
      <c r="N138" s="43" t="str">
        <f t="shared" si="13"/>
        <v/>
      </c>
      <c r="O138" s="43" t="str">
        <f t="shared" si="13"/>
        <v/>
      </c>
      <c r="P138" s="43" t="str">
        <f t="shared" si="13"/>
        <v/>
      </c>
      <c r="Q138" s="43" t="str">
        <f t="shared" si="13"/>
        <v/>
      </c>
      <c r="R138" s="43" t="str">
        <f t="shared" si="13"/>
        <v/>
      </c>
      <c r="S138" s="43" t="str">
        <f t="shared" si="13"/>
        <v/>
      </c>
      <c r="T138" s="43" t="str">
        <f t="shared" si="13"/>
        <v/>
      </c>
      <c r="U138" s="43" t="str">
        <f t="shared" si="13"/>
        <v/>
      </c>
      <c r="V138" s="43" t="str">
        <f t="shared" si="13"/>
        <v/>
      </c>
    </row>
    <row r="139" spans="1:22" x14ac:dyDescent="0.3">
      <c r="A139" s="42"/>
      <c r="B139" s="43" t="str">
        <f>IF($A139="","",SUMIFS([2]weekly_demand!$D:$D,[2]weekly_demand!$A:$A,B$1,[2]weekly_demand!$C:$C,$A139))</f>
        <v/>
      </c>
      <c r="C139" s="43" t="str">
        <f>IF($A139="","",SUMIFS([2]weekly_demand!$D:$D,[2]weekly_demand!$A:$A,C$1,[2]weekly_demand!$C:$C,$A139))</f>
        <v/>
      </c>
      <c r="D139" s="43" t="str">
        <f>IF($A139="","",SUMIFS([2]weekly_demand!$D:$D,[2]weekly_demand!$A:$A,D$1,[2]weekly_demand!$C:$C,$A139))</f>
        <v/>
      </c>
      <c r="E139" s="43" t="str">
        <f>IF($A139="","",SUMIFS([2]weekly_demand!$D:$D,[2]weekly_demand!$A:$A,E$1,[2]weekly_demand!$C:$C,$A139))</f>
        <v/>
      </c>
      <c r="F139" s="43" t="str">
        <f>IF($A139="","",SUMIFS([2]weekly_demand!$D:$D,[2]weekly_demand!$A:$A,F$1,[2]weekly_demand!$C:$C,$A139))</f>
        <v/>
      </c>
      <c r="G139" s="43" t="str">
        <f>IF($A139="","",SUMIFS([2]weekly_demand!$D:$D,[2]weekly_demand!$A:$A,G$1,[2]weekly_demand!$C:$C,$A139))</f>
        <v/>
      </c>
      <c r="H139" s="43" t="str">
        <f t="shared" si="13"/>
        <v/>
      </c>
      <c r="I139" s="43" t="str">
        <f t="shared" si="13"/>
        <v/>
      </c>
      <c r="J139" s="43" t="str">
        <f t="shared" si="13"/>
        <v/>
      </c>
      <c r="K139" s="43" t="str">
        <f t="shared" si="13"/>
        <v/>
      </c>
      <c r="L139" s="43" t="str">
        <f t="shared" si="13"/>
        <v/>
      </c>
      <c r="M139" s="43" t="str">
        <f t="shared" si="13"/>
        <v/>
      </c>
      <c r="N139" s="43" t="str">
        <f t="shared" si="13"/>
        <v/>
      </c>
      <c r="O139" s="43" t="str">
        <f t="shared" si="13"/>
        <v/>
      </c>
      <c r="P139" s="43" t="str">
        <f t="shared" si="13"/>
        <v/>
      </c>
      <c r="Q139" s="43" t="str">
        <f t="shared" si="13"/>
        <v/>
      </c>
      <c r="R139" s="43" t="str">
        <f t="shared" si="13"/>
        <v/>
      </c>
      <c r="S139" s="43" t="str">
        <f t="shared" si="13"/>
        <v/>
      </c>
      <c r="T139" s="43" t="str">
        <f t="shared" si="13"/>
        <v/>
      </c>
      <c r="U139" s="43" t="str">
        <f t="shared" si="13"/>
        <v/>
      </c>
      <c r="V139" s="43" t="str">
        <f t="shared" si="13"/>
        <v/>
      </c>
    </row>
    <row r="140" spans="1:22" x14ac:dyDescent="0.3">
      <c r="A140" s="42"/>
      <c r="B140" s="43" t="str">
        <f>IF($A140="","",SUMIFS([2]weekly_demand!$D:$D,[2]weekly_demand!$A:$A,B$1,[2]weekly_demand!$C:$C,$A140))</f>
        <v/>
      </c>
      <c r="C140" s="43" t="str">
        <f>IF($A140="","",SUMIFS([2]weekly_demand!$D:$D,[2]weekly_demand!$A:$A,C$1,[2]weekly_demand!$C:$C,$A140))</f>
        <v/>
      </c>
      <c r="D140" s="43" t="str">
        <f>IF($A140="","",SUMIFS([2]weekly_demand!$D:$D,[2]weekly_demand!$A:$A,D$1,[2]weekly_demand!$C:$C,$A140))</f>
        <v/>
      </c>
      <c r="E140" s="43" t="str">
        <f>IF($A140="","",SUMIFS([2]weekly_demand!$D:$D,[2]weekly_demand!$A:$A,E$1,[2]weekly_demand!$C:$C,$A140))</f>
        <v/>
      </c>
      <c r="F140" s="43" t="str">
        <f>IF($A140="","",SUMIFS([2]weekly_demand!$D:$D,[2]weekly_demand!$A:$A,F$1,[2]weekly_demand!$C:$C,$A140))</f>
        <v/>
      </c>
      <c r="G140" s="43" t="str">
        <f>IF($A140="","",SUMIFS([2]weekly_demand!$D:$D,[2]weekly_demand!$A:$A,G$1,[2]weekly_demand!$C:$C,$A140))</f>
        <v/>
      </c>
      <c r="H140" s="43" t="str">
        <f t="shared" si="13"/>
        <v/>
      </c>
      <c r="I140" s="43" t="str">
        <f t="shared" si="13"/>
        <v/>
      </c>
      <c r="J140" s="43" t="str">
        <f t="shared" si="13"/>
        <v/>
      </c>
      <c r="K140" s="43" t="str">
        <f t="shared" si="13"/>
        <v/>
      </c>
      <c r="L140" s="43" t="str">
        <f t="shared" si="13"/>
        <v/>
      </c>
      <c r="M140" s="43" t="str">
        <f t="shared" si="13"/>
        <v/>
      </c>
      <c r="N140" s="43" t="str">
        <f t="shared" si="13"/>
        <v/>
      </c>
      <c r="O140" s="43" t="str">
        <f t="shared" si="13"/>
        <v/>
      </c>
      <c r="P140" s="43" t="str">
        <f t="shared" si="13"/>
        <v/>
      </c>
      <c r="Q140" s="43" t="str">
        <f t="shared" si="13"/>
        <v/>
      </c>
      <c r="R140" s="43" t="str">
        <f t="shared" si="13"/>
        <v/>
      </c>
      <c r="S140" s="43" t="str">
        <f t="shared" si="13"/>
        <v/>
      </c>
      <c r="T140" s="43" t="str">
        <f t="shared" si="13"/>
        <v/>
      </c>
      <c r="U140" s="43" t="str">
        <f t="shared" si="13"/>
        <v/>
      </c>
      <c r="V140" s="43" t="str">
        <f t="shared" si="13"/>
        <v/>
      </c>
    </row>
    <row r="141" spans="1:22" x14ac:dyDescent="0.3">
      <c r="A141" s="42"/>
      <c r="B141" s="43" t="str">
        <f>IF($A141="","",SUMIFS([2]weekly_demand!$D:$D,[2]weekly_demand!$A:$A,B$1,[2]weekly_demand!$C:$C,$A141))</f>
        <v/>
      </c>
      <c r="C141" s="43" t="str">
        <f>IF($A141="","",SUMIFS([2]weekly_demand!$D:$D,[2]weekly_demand!$A:$A,C$1,[2]weekly_demand!$C:$C,$A141))</f>
        <v/>
      </c>
      <c r="D141" s="43" t="str">
        <f>IF($A141="","",SUMIFS([2]weekly_demand!$D:$D,[2]weekly_demand!$A:$A,D$1,[2]weekly_demand!$C:$C,$A141))</f>
        <v/>
      </c>
      <c r="E141" s="43" t="str">
        <f>IF($A141="","",SUMIFS([2]weekly_demand!$D:$D,[2]weekly_demand!$A:$A,E$1,[2]weekly_demand!$C:$C,$A141))</f>
        <v/>
      </c>
      <c r="F141" s="43" t="str">
        <f>IF($A141="","",SUMIFS([2]weekly_demand!$D:$D,[2]weekly_demand!$A:$A,F$1,[2]weekly_demand!$C:$C,$A141))</f>
        <v/>
      </c>
      <c r="G141" s="43" t="str">
        <f>IF($A141="","",SUMIFS([2]weekly_demand!$D:$D,[2]weekly_demand!$A:$A,G$1,[2]weekly_demand!$C:$C,$A141))</f>
        <v/>
      </c>
      <c r="H141" s="43" t="str">
        <f t="shared" si="13"/>
        <v/>
      </c>
      <c r="I141" s="43" t="str">
        <f t="shared" si="13"/>
        <v/>
      </c>
      <c r="J141" s="43" t="str">
        <f t="shared" si="13"/>
        <v/>
      </c>
      <c r="K141" s="43" t="str">
        <f t="shared" si="13"/>
        <v/>
      </c>
      <c r="L141" s="43" t="str">
        <f t="shared" si="13"/>
        <v/>
      </c>
      <c r="M141" s="43" t="str">
        <f t="shared" si="13"/>
        <v/>
      </c>
      <c r="N141" s="43" t="str">
        <f t="shared" si="13"/>
        <v/>
      </c>
      <c r="O141" s="43" t="str">
        <f t="shared" si="13"/>
        <v/>
      </c>
      <c r="P141" s="43" t="str">
        <f t="shared" si="13"/>
        <v/>
      </c>
      <c r="Q141" s="43" t="str">
        <f t="shared" si="13"/>
        <v/>
      </c>
      <c r="R141" s="43" t="str">
        <f t="shared" si="13"/>
        <v/>
      </c>
      <c r="S141" s="43" t="str">
        <f t="shared" si="13"/>
        <v/>
      </c>
      <c r="T141" s="43" t="str">
        <f t="shared" si="13"/>
        <v/>
      </c>
      <c r="U141" s="43" t="str">
        <f t="shared" si="13"/>
        <v/>
      </c>
      <c r="V141" s="43" t="str">
        <f t="shared" si="13"/>
        <v/>
      </c>
    </row>
    <row r="142" spans="1:22" x14ac:dyDescent="0.3">
      <c r="A142" s="42"/>
      <c r="B142" s="43" t="str">
        <f>IF($A142="","",SUMIFS([2]weekly_demand!$D:$D,[2]weekly_demand!$A:$A,B$1,[2]weekly_demand!$C:$C,$A142))</f>
        <v/>
      </c>
      <c r="C142" s="43" t="str">
        <f>IF($A142="","",SUMIFS([2]weekly_demand!$D:$D,[2]weekly_demand!$A:$A,C$1,[2]weekly_demand!$C:$C,$A142))</f>
        <v/>
      </c>
      <c r="D142" s="43" t="str">
        <f>IF($A142="","",SUMIFS([2]weekly_demand!$D:$D,[2]weekly_demand!$A:$A,D$1,[2]weekly_demand!$C:$C,$A142))</f>
        <v/>
      </c>
      <c r="E142" s="43" t="str">
        <f>IF($A142="","",SUMIFS([2]weekly_demand!$D:$D,[2]weekly_demand!$A:$A,E$1,[2]weekly_demand!$C:$C,$A142))</f>
        <v/>
      </c>
      <c r="F142" s="43" t="str">
        <f>IF($A142="","",SUMIFS([2]weekly_demand!$D:$D,[2]weekly_demand!$A:$A,F$1,[2]weekly_demand!$C:$C,$A142))</f>
        <v/>
      </c>
      <c r="G142" s="43" t="str">
        <f>IF($A142="","",SUMIFS([2]weekly_demand!$D:$D,[2]weekly_demand!$A:$A,G$1,[2]weekly_demand!$C:$C,$A142))</f>
        <v/>
      </c>
      <c r="H142" s="43" t="str">
        <f t="shared" ref="H142:V151" si="14">IF($A142="","",SUMPRODUCT($B142:$G142,INDEX($Y$2:$AD$16,MATCH(H$1,$X$2:$X$16,0),0)))</f>
        <v/>
      </c>
      <c r="I142" s="43" t="str">
        <f t="shared" si="14"/>
        <v/>
      </c>
      <c r="J142" s="43" t="str">
        <f t="shared" si="14"/>
        <v/>
      </c>
      <c r="K142" s="43" t="str">
        <f t="shared" si="14"/>
        <v/>
      </c>
      <c r="L142" s="43" t="str">
        <f t="shared" si="14"/>
        <v/>
      </c>
      <c r="M142" s="43" t="str">
        <f t="shared" si="14"/>
        <v/>
      </c>
      <c r="N142" s="43" t="str">
        <f t="shared" si="14"/>
        <v/>
      </c>
      <c r="O142" s="43" t="str">
        <f t="shared" si="14"/>
        <v/>
      </c>
      <c r="P142" s="43" t="str">
        <f t="shared" si="14"/>
        <v/>
      </c>
      <c r="Q142" s="43" t="str">
        <f t="shared" si="14"/>
        <v/>
      </c>
      <c r="R142" s="43" t="str">
        <f t="shared" si="14"/>
        <v/>
      </c>
      <c r="S142" s="43" t="str">
        <f t="shared" si="14"/>
        <v/>
      </c>
      <c r="T142" s="43" t="str">
        <f t="shared" si="14"/>
        <v/>
      </c>
      <c r="U142" s="43" t="str">
        <f t="shared" si="14"/>
        <v/>
      </c>
      <c r="V142" s="43" t="str">
        <f t="shared" si="14"/>
        <v/>
      </c>
    </row>
    <row r="143" spans="1:22" x14ac:dyDescent="0.3">
      <c r="A143" s="42"/>
      <c r="B143" s="43" t="str">
        <f>IF($A143="","",SUMIFS([2]weekly_demand!$D:$D,[2]weekly_demand!$A:$A,B$1,[2]weekly_demand!$C:$C,$A143))</f>
        <v/>
      </c>
      <c r="C143" s="43" t="str">
        <f>IF($A143="","",SUMIFS([2]weekly_demand!$D:$D,[2]weekly_demand!$A:$A,C$1,[2]weekly_demand!$C:$C,$A143))</f>
        <v/>
      </c>
      <c r="D143" s="43" t="str">
        <f>IF($A143="","",SUMIFS([2]weekly_demand!$D:$D,[2]weekly_demand!$A:$A,D$1,[2]weekly_demand!$C:$C,$A143))</f>
        <v/>
      </c>
      <c r="E143" s="43" t="str">
        <f>IF($A143="","",SUMIFS([2]weekly_demand!$D:$D,[2]weekly_demand!$A:$A,E$1,[2]weekly_demand!$C:$C,$A143))</f>
        <v/>
      </c>
      <c r="F143" s="43" t="str">
        <f>IF($A143="","",SUMIFS([2]weekly_demand!$D:$D,[2]weekly_demand!$A:$A,F$1,[2]weekly_demand!$C:$C,$A143))</f>
        <v/>
      </c>
      <c r="G143" s="43" t="str">
        <f>IF($A143="","",SUMIFS([2]weekly_demand!$D:$D,[2]weekly_demand!$A:$A,G$1,[2]weekly_demand!$C:$C,$A143))</f>
        <v/>
      </c>
      <c r="H143" s="43" t="str">
        <f t="shared" si="14"/>
        <v/>
      </c>
      <c r="I143" s="43" t="str">
        <f t="shared" si="14"/>
        <v/>
      </c>
      <c r="J143" s="43" t="str">
        <f t="shared" si="14"/>
        <v/>
      </c>
      <c r="K143" s="43" t="str">
        <f t="shared" si="14"/>
        <v/>
      </c>
      <c r="L143" s="43" t="str">
        <f t="shared" si="14"/>
        <v/>
      </c>
      <c r="M143" s="43" t="str">
        <f t="shared" si="14"/>
        <v/>
      </c>
      <c r="N143" s="43" t="str">
        <f t="shared" si="14"/>
        <v/>
      </c>
      <c r="O143" s="43" t="str">
        <f t="shared" si="14"/>
        <v/>
      </c>
      <c r="P143" s="43" t="str">
        <f t="shared" si="14"/>
        <v/>
      </c>
      <c r="Q143" s="43" t="str">
        <f t="shared" si="14"/>
        <v/>
      </c>
      <c r="R143" s="43" t="str">
        <f t="shared" si="14"/>
        <v/>
      </c>
      <c r="S143" s="43" t="str">
        <f t="shared" si="14"/>
        <v/>
      </c>
      <c r="T143" s="43" t="str">
        <f t="shared" si="14"/>
        <v/>
      </c>
      <c r="U143" s="43" t="str">
        <f t="shared" si="14"/>
        <v/>
      </c>
      <c r="V143" s="43" t="str">
        <f t="shared" si="14"/>
        <v/>
      </c>
    </row>
    <row r="144" spans="1:22" x14ac:dyDescent="0.3">
      <c r="A144" s="42"/>
      <c r="B144" s="43" t="str">
        <f>IF($A144="","",SUMIFS([2]weekly_demand!$D:$D,[2]weekly_demand!$A:$A,B$1,[2]weekly_demand!$C:$C,$A144))</f>
        <v/>
      </c>
      <c r="C144" s="43" t="str">
        <f>IF($A144="","",SUMIFS([2]weekly_demand!$D:$D,[2]weekly_demand!$A:$A,C$1,[2]weekly_demand!$C:$C,$A144))</f>
        <v/>
      </c>
      <c r="D144" s="43" t="str">
        <f>IF($A144="","",SUMIFS([2]weekly_demand!$D:$D,[2]weekly_demand!$A:$A,D$1,[2]weekly_demand!$C:$C,$A144))</f>
        <v/>
      </c>
      <c r="E144" s="43" t="str">
        <f>IF($A144="","",SUMIFS([2]weekly_demand!$D:$D,[2]weekly_demand!$A:$A,E$1,[2]weekly_demand!$C:$C,$A144))</f>
        <v/>
      </c>
      <c r="F144" s="43" t="str">
        <f>IF($A144="","",SUMIFS([2]weekly_demand!$D:$D,[2]weekly_demand!$A:$A,F$1,[2]weekly_demand!$C:$C,$A144))</f>
        <v/>
      </c>
      <c r="G144" s="43" t="str">
        <f>IF($A144="","",SUMIFS([2]weekly_demand!$D:$D,[2]weekly_demand!$A:$A,G$1,[2]weekly_demand!$C:$C,$A144))</f>
        <v/>
      </c>
      <c r="H144" s="43" t="str">
        <f t="shared" si="14"/>
        <v/>
      </c>
      <c r="I144" s="43" t="str">
        <f t="shared" si="14"/>
        <v/>
      </c>
      <c r="J144" s="43" t="str">
        <f t="shared" si="14"/>
        <v/>
      </c>
      <c r="K144" s="43" t="str">
        <f t="shared" si="14"/>
        <v/>
      </c>
      <c r="L144" s="43" t="str">
        <f t="shared" si="14"/>
        <v/>
      </c>
      <c r="M144" s="43" t="str">
        <f t="shared" si="14"/>
        <v/>
      </c>
      <c r="N144" s="43" t="str">
        <f t="shared" si="14"/>
        <v/>
      </c>
      <c r="O144" s="43" t="str">
        <f t="shared" si="14"/>
        <v/>
      </c>
      <c r="P144" s="43" t="str">
        <f t="shared" si="14"/>
        <v/>
      </c>
      <c r="Q144" s="43" t="str">
        <f t="shared" si="14"/>
        <v/>
      </c>
      <c r="R144" s="43" t="str">
        <f t="shared" si="14"/>
        <v/>
      </c>
      <c r="S144" s="43" t="str">
        <f t="shared" si="14"/>
        <v/>
      </c>
      <c r="T144" s="43" t="str">
        <f t="shared" si="14"/>
        <v/>
      </c>
      <c r="U144" s="43" t="str">
        <f t="shared" si="14"/>
        <v/>
      </c>
      <c r="V144" s="43" t="str">
        <f t="shared" si="14"/>
        <v/>
      </c>
    </row>
    <row r="145" spans="1:22" x14ac:dyDescent="0.3">
      <c r="A145" s="42"/>
      <c r="B145" s="43" t="str">
        <f>IF($A145="","",SUMIFS([2]weekly_demand!$D:$D,[2]weekly_demand!$A:$A,B$1,[2]weekly_demand!$C:$C,$A145))</f>
        <v/>
      </c>
      <c r="C145" s="43" t="str">
        <f>IF($A145="","",SUMIFS([2]weekly_demand!$D:$D,[2]weekly_demand!$A:$A,C$1,[2]weekly_demand!$C:$C,$A145))</f>
        <v/>
      </c>
      <c r="D145" s="43" t="str">
        <f>IF($A145="","",SUMIFS([2]weekly_demand!$D:$D,[2]weekly_demand!$A:$A,D$1,[2]weekly_demand!$C:$C,$A145))</f>
        <v/>
      </c>
      <c r="E145" s="43" t="str">
        <f>IF($A145="","",SUMIFS([2]weekly_demand!$D:$D,[2]weekly_demand!$A:$A,E$1,[2]weekly_demand!$C:$C,$A145))</f>
        <v/>
      </c>
      <c r="F145" s="43" t="str">
        <f>IF($A145="","",SUMIFS([2]weekly_demand!$D:$D,[2]weekly_demand!$A:$A,F$1,[2]weekly_demand!$C:$C,$A145))</f>
        <v/>
      </c>
      <c r="G145" s="43" t="str">
        <f>IF($A145="","",SUMIFS([2]weekly_demand!$D:$D,[2]weekly_demand!$A:$A,G$1,[2]weekly_demand!$C:$C,$A145))</f>
        <v/>
      </c>
      <c r="H145" s="43" t="str">
        <f t="shared" si="14"/>
        <v/>
      </c>
      <c r="I145" s="43" t="str">
        <f t="shared" si="14"/>
        <v/>
      </c>
      <c r="J145" s="43" t="str">
        <f t="shared" si="14"/>
        <v/>
      </c>
      <c r="K145" s="43" t="str">
        <f t="shared" si="14"/>
        <v/>
      </c>
      <c r="L145" s="43" t="str">
        <f t="shared" si="14"/>
        <v/>
      </c>
      <c r="M145" s="43" t="str">
        <f t="shared" si="14"/>
        <v/>
      </c>
      <c r="N145" s="43" t="str">
        <f t="shared" si="14"/>
        <v/>
      </c>
      <c r="O145" s="43" t="str">
        <f t="shared" si="14"/>
        <v/>
      </c>
      <c r="P145" s="43" t="str">
        <f t="shared" si="14"/>
        <v/>
      </c>
      <c r="Q145" s="43" t="str">
        <f t="shared" si="14"/>
        <v/>
      </c>
      <c r="R145" s="43" t="str">
        <f t="shared" si="14"/>
        <v/>
      </c>
      <c r="S145" s="43" t="str">
        <f t="shared" si="14"/>
        <v/>
      </c>
      <c r="T145" s="43" t="str">
        <f t="shared" si="14"/>
        <v/>
      </c>
      <c r="U145" s="43" t="str">
        <f t="shared" si="14"/>
        <v/>
      </c>
      <c r="V145" s="43" t="str">
        <f t="shared" si="14"/>
        <v/>
      </c>
    </row>
    <row r="146" spans="1:22" x14ac:dyDescent="0.3">
      <c r="A146" s="42"/>
      <c r="B146" s="43" t="str">
        <f>IF($A146="","",SUMIFS([2]weekly_demand!$D:$D,[2]weekly_demand!$A:$A,B$1,[2]weekly_demand!$C:$C,$A146))</f>
        <v/>
      </c>
      <c r="C146" s="43" t="str">
        <f>IF($A146="","",SUMIFS([2]weekly_demand!$D:$D,[2]weekly_demand!$A:$A,C$1,[2]weekly_demand!$C:$C,$A146))</f>
        <v/>
      </c>
      <c r="D146" s="43" t="str">
        <f>IF($A146="","",SUMIFS([2]weekly_demand!$D:$D,[2]weekly_demand!$A:$A,D$1,[2]weekly_demand!$C:$C,$A146))</f>
        <v/>
      </c>
      <c r="E146" s="43" t="str">
        <f>IF($A146="","",SUMIFS([2]weekly_demand!$D:$D,[2]weekly_demand!$A:$A,E$1,[2]weekly_demand!$C:$C,$A146))</f>
        <v/>
      </c>
      <c r="F146" s="43" t="str">
        <f>IF($A146="","",SUMIFS([2]weekly_demand!$D:$D,[2]weekly_demand!$A:$A,F$1,[2]weekly_demand!$C:$C,$A146))</f>
        <v/>
      </c>
      <c r="G146" s="43" t="str">
        <f>IF($A146="","",SUMIFS([2]weekly_demand!$D:$D,[2]weekly_demand!$A:$A,G$1,[2]weekly_demand!$C:$C,$A146))</f>
        <v/>
      </c>
      <c r="H146" s="43" t="str">
        <f t="shared" si="14"/>
        <v/>
      </c>
      <c r="I146" s="43" t="str">
        <f t="shared" si="14"/>
        <v/>
      </c>
      <c r="J146" s="43" t="str">
        <f t="shared" si="14"/>
        <v/>
      </c>
      <c r="K146" s="43" t="str">
        <f t="shared" si="14"/>
        <v/>
      </c>
      <c r="L146" s="43" t="str">
        <f t="shared" si="14"/>
        <v/>
      </c>
      <c r="M146" s="43" t="str">
        <f t="shared" si="14"/>
        <v/>
      </c>
      <c r="N146" s="43" t="str">
        <f t="shared" si="14"/>
        <v/>
      </c>
      <c r="O146" s="43" t="str">
        <f t="shared" si="14"/>
        <v/>
      </c>
      <c r="P146" s="43" t="str">
        <f t="shared" si="14"/>
        <v/>
      </c>
      <c r="Q146" s="43" t="str">
        <f t="shared" si="14"/>
        <v/>
      </c>
      <c r="R146" s="43" t="str">
        <f t="shared" si="14"/>
        <v/>
      </c>
      <c r="S146" s="43" t="str">
        <f t="shared" si="14"/>
        <v/>
      </c>
      <c r="T146" s="43" t="str">
        <f t="shared" si="14"/>
        <v/>
      </c>
      <c r="U146" s="43" t="str">
        <f t="shared" si="14"/>
        <v/>
      </c>
      <c r="V146" s="43" t="str">
        <f t="shared" si="14"/>
        <v/>
      </c>
    </row>
    <row r="147" spans="1:22" x14ac:dyDescent="0.3">
      <c r="A147" s="42"/>
      <c r="B147" s="43" t="str">
        <f>IF($A147="","",SUMIFS([2]weekly_demand!$D:$D,[2]weekly_demand!$A:$A,B$1,[2]weekly_demand!$C:$C,$A147))</f>
        <v/>
      </c>
      <c r="C147" s="43" t="str">
        <f>IF($A147="","",SUMIFS([2]weekly_demand!$D:$D,[2]weekly_demand!$A:$A,C$1,[2]weekly_demand!$C:$C,$A147))</f>
        <v/>
      </c>
      <c r="D147" s="43" t="str">
        <f>IF($A147="","",SUMIFS([2]weekly_demand!$D:$D,[2]weekly_demand!$A:$A,D$1,[2]weekly_demand!$C:$C,$A147))</f>
        <v/>
      </c>
      <c r="E147" s="43" t="str">
        <f>IF($A147="","",SUMIFS([2]weekly_demand!$D:$D,[2]weekly_demand!$A:$A,E$1,[2]weekly_demand!$C:$C,$A147))</f>
        <v/>
      </c>
      <c r="F147" s="43" t="str">
        <f>IF($A147="","",SUMIFS([2]weekly_demand!$D:$D,[2]weekly_demand!$A:$A,F$1,[2]weekly_demand!$C:$C,$A147))</f>
        <v/>
      </c>
      <c r="G147" s="43" t="str">
        <f>IF($A147="","",SUMIFS([2]weekly_demand!$D:$D,[2]weekly_demand!$A:$A,G$1,[2]weekly_demand!$C:$C,$A147))</f>
        <v/>
      </c>
      <c r="H147" s="43" t="str">
        <f t="shared" si="14"/>
        <v/>
      </c>
      <c r="I147" s="43" t="str">
        <f t="shared" si="14"/>
        <v/>
      </c>
      <c r="J147" s="43" t="str">
        <f t="shared" si="14"/>
        <v/>
      </c>
      <c r="K147" s="43" t="str">
        <f t="shared" si="14"/>
        <v/>
      </c>
      <c r="L147" s="43" t="str">
        <f t="shared" si="14"/>
        <v/>
      </c>
      <c r="M147" s="43" t="str">
        <f t="shared" si="14"/>
        <v/>
      </c>
      <c r="N147" s="43" t="str">
        <f t="shared" si="14"/>
        <v/>
      </c>
      <c r="O147" s="43" t="str">
        <f t="shared" si="14"/>
        <v/>
      </c>
      <c r="P147" s="43" t="str">
        <f t="shared" si="14"/>
        <v/>
      </c>
      <c r="Q147" s="43" t="str">
        <f t="shared" si="14"/>
        <v/>
      </c>
      <c r="R147" s="43" t="str">
        <f t="shared" si="14"/>
        <v/>
      </c>
      <c r="S147" s="43" t="str">
        <f t="shared" si="14"/>
        <v/>
      </c>
      <c r="T147" s="43" t="str">
        <f t="shared" si="14"/>
        <v/>
      </c>
      <c r="U147" s="43" t="str">
        <f t="shared" si="14"/>
        <v/>
      </c>
      <c r="V147" s="43" t="str">
        <f t="shared" si="14"/>
        <v/>
      </c>
    </row>
    <row r="148" spans="1:22" x14ac:dyDescent="0.3">
      <c r="A148" s="42"/>
      <c r="B148" s="43" t="str">
        <f>IF($A148="","",SUMIFS([2]weekly_demand!$D:$D,[2]weekly_demand!$A:$A,B$1,[2]weekly_demand!$C:$C,$A148))</f>
        <v/>
      </c>
      <c r="C148" s="43" t="str">
        <f>IF($A148="","",SUMIFS([2]weekly_demand!$D:$D,[2]weekly_demand!$A:$A,C$1,[2]weekly_demand!$C:$C,$A148))</f>
        <v/>
      </c>
      <c r="D148" s="43" t="str">
        <f>IF($A148="","",SUMIFS([2]weekly_demand!$D:$D,[2]weekly_demand!$A:$A,D$1,[2]weekly_demand!$C:$C,$A148))</f>
        <v/>
      </c>
      <c r="E148" s="43" t="str">
        <f>IF($A148="","",SUMIFS([2]weekly_demand!$D:$D,[2]weekly_demand!$A:$A,E$1,[2]weekly_demand!$C:$C,$A148))</f>
        <v/>
      </c>
      <c r="F148" s="43" t="str">
        <f>IF($A148="","",SUMIFS([2]weekly_demand!$D:$D,[2]weekly_demand!$A:$A,F$1,[2]weekly_demand!$C:$C,$A148))</f>
        <v/>
      </c>
      <c r="G148" s="43" t="str">
        <f>IF($A148="","",SUMIFS([2]weekly_demand!$D:$D,[2]weekly_demand!$A:$A,G$1,[2]weekly_demand!$C:$C,$A148))</f>
        <v/>
      </c>
      <c r="H148" s="43" t="str">
        <f t="shared" si="14"/>
        <v/>
      </c>
      <c r="I148" s="43" t="str">
        <f t="shared" si="14"/>
        <v/>
      </c>
      <c r="J148" s="43" t="str">
        <f t="shared" si="14"/>
        <v/>
      </c>
      <c r="K148" s="43" t="str">
        <f t="shared" si="14"/>
        <v/>
      </c>
      <c r="L148" s="43" t="str">
        <f t="shared" si="14"/>
        <v/>
      </c>
      <c r="M148" s="43" t="str">
        <f t="shared" si="14"/>
        <v/>
      </c>
      <c r="N148" s="43" t="str">
        <f t="shared" si="14"/>
        <v/>
      </c>
      <c r="O148" s="43" t="str">
        <f t="shared" si="14"/>
        <v/>
      </c>
      <c r="P148" s="43" t="str">
        <f t="shared" si="14"/>
        <v/>
      </c>
      <c r="Q148" s="43" t="str">
        <f t="shared" si="14"/>
        <v/>
      </c>
      <c r="R148" s="43" t="str">
        <f t="shared" si="14"/>
        <v/>
      </c>
      <c r="S148" s="43" t="str">
        <f t="shared" si="14"/>
        <v/>
      </c>
      <c r="T148" s="43" t="str">
        <f t="shared" si="14"/>
        <v/>
      </c>
      <c r="U148" s="43" t="str">
        <f t="shared" si="14"/>
        <v/>
      </c>
      <c r="V148" s="43" t="str">
        <f t="shared" si="14"/>
        <v/>
      </c>
    </row>
    <row r="149" spans="1:22" x14ac:dyDescent="0.3">
      <c r="A149" s="42"/>
      <c r="B149" s="43" t="str">
        <f>IF($A149="","",SUMIFS([2]weekly_demand!$D:$D,[2]weekly_demand!$A:$A,B$1,[2]weekly_demand!$C:$C,$A149))</f>
        <v/>
      </c>
      <c r="C149" s="43" t="str">
        <f>IF($A149="","",SUMIFS([2]weekly_demand!$D:$D,[2]weekly_demand!$A:$A,C$1,[2]weekly_demand!$C:$C,$A149))</f>
        <v/>
      </c>
      <c r="D149" s="43" t="str">
        <f>IF($A149="","",SUMIFS([2]weekly_demand!$D:$D,[2]weekly_demand!$A:$A,D$1,[2]weekly_demand!$C:$C,$A149))</f>
        <v/>
      </c>
      <c r="E149" s="43" t="str">
        <f>IF($A149="","",SUMIFS([2]weekly_demand!$D:$D,[2]weekly_demand!$A:$A,E$1,[2]weekly_demand!$C:$C,$A149))</f>
        <v/>
      </c>
      <c r="F149" s="43" t="str">
        <f>IF($A149="","",SUMIFS([2]weekly_demand!$D:$D,[2]weekly_demand!$A:$A,F$1,[2]weekly_demand!$C:$C,$A149))</f>
        <v/>
      </c>
      <c r="G149" s="43" t="str">
        <f>IF($A149="","",SUMIFS([2]weekly_demand!$D:$D,[2]weekly_demand!$A:$A,G$1,[2]weekly_demand!$C:$C,$A149))</f>
        <v/>
      </c>
      <c r="H149" s="43" t="str">
        <f t="shared" si="14"/>
        <v/>
      </c>
      <c r="I149" s="43" t="str">
        <f t="shared" si="14"/>
        <v/>
      </c>
      <c r="J149" s="43" t="str">
        <f t="shared" si="14"/>
        <v/>
      </c>
      <c r="K149" s="43" t="str">
        <f t="shared" si="14"/>
        <v/>
      </c>
      <c r="L149" s="43" t="str">
        <f t="shared" si="14"/>
        <v/>
      </c>
      <c r="M149" s="43" t="str">
        <f t="shared" si="14"/>
        <v/>
      </c>
      <c r="N149" s="43" t="str">
        <f t="shared" si="14"/>
        <v/>
      </c>
      <c r="O149" s="43" t="str">
        <f t="shared" si="14"/>
        <v/>
      </c>
      <c r="P149" s="43" t="str">
        <f t="shared" si="14"/>
        <v/>
      </c>
      <c r="Q149" s="43" t="str">
        <f t="shared" si="14"/>
        <v/>
      </c>
      <c r="R149" s="43" t="str">
        <f t="shared" si="14"/>
        <v/>
      </c>
      <c r="S149" s="43" t="str">
        <f t="shared" si="14"/>
        <v/>
      </c>
      <c r="T149" s="43" t="str">
        <f t="shared" si="14"/>
        <v/>
      </c>
      <c r="U149" s="43" t="str">
        <f t="shared" si="14"/>
        <v/>
      </c>
      <c r="V149" s="43" t="str">
        <f t="shared" si="14"/>
        <v/>
      </c>
    </row>
    <row r="150" spans="1:22" x14ac:dyDescent="0.3">
      <c r="A150" s="42"/>
      <c r="B150" s="43" t="str">
        <f>IF($A150="","",SUMIFS([2]weekly_demand!$D:$D,[2]weekly_demand!$A:$A,B$1,[2]weekly_demand!$C:$C,$A150))</f>
        <v/>
      </c>
      <c r="C150" s="43" t="str">
        <f>IF($A150="","",SUMIFS([2]weekly_demand!$D:$D,[2]weekly_demand!$A:$A,C$1,[2]weekly_demand!$C:$C,$A150))</f>
        <v/>
      </c>
      <c r="D150" s="43" t="str">
        <f>IF($A150="","",SUMIFS([2]weekly_demand!$D:$D,[2]weekly_demand!$A:$A,D$1,[2]weekly_demand!$C:$C,$A150))</f>
        <v/>
      </c>
      <c r="E150" s="43" t="str">
        <f>IF($A150="","",SUMIFS([2]weekly_demand!$D:$D,[2]weekly_demand!$A:$A,E$1,[2]weekly_demand!$C:$C,$A150))</f>
        <v/>
      </c>
      <c r="F150" s="43" t="str">
        <f>IF($A150="","",SUMIFS([2]weekly_demand!$D:$D,[2]weekly_demand!$A:$A,F$1,[2]weekly_demand!$C:$C,$A150))</f>
        <v/>
      </c>
      <c r="G150" s="43" t="str">
        <f>IF($A150="","",SUMIFS([2]weekly_demand!$D:$D,[2]weekly_demand!$A:$A,G$1,[2]weekly_demand!$C:$C,$A150))</f>
        <v/>
      </c>
      <c r="H150" s="43" t="str">
        <f t="shared" si="14"/>
        <v/>
      </c>
      <c r="I150" s="43" t="str">
        <f t="shared" si="14"/>
        <v/>
      </c>
      <c r="J150" s="43" t="str">
        <f t="shared" si="14"/>
        <v/>
      </c>
      <c r="K150" s="43" t="str">
        <f t="shared" si="14"/>
        <v/>
      </c>
      <c r="L150" s="43" t="str">
        <f t="shared" si="14"/>
        <v/>
      </c>
      <c r="M150" s="43" t="str">
        <f t="shared" si="14"/>
        <v/>
      </c>
      <c r="N150" s="43" t="str">
        <f t="shared" si="14"/>
        <v/>
      </c>
      <c r="O150" s="43" t="str">
        <f t="shared" si="14"/>
        <v/>
      </c>
      <c r="P150" s="43" t="str">
        <f t="shared" si="14"/>
        <v/>
      </c>
      <c r="Q150" s="43" t="str">
        <f t="shared" si="14"/>
        <v/>
      </c>
      <c r="R150" s="43" t="str">
        <f t="shared" si="14"/>
        <v/>
      </c>
      <c r="S150" s="43" t="str">
        <f t="shared" si="14"/>
        <v/>
      </c>
      <c r="T150" s="43" t="str">
        <f t="shared" si="14"/>
        <v/>
      </c>
      <c r="U150" s="43" t="str">
        <f t="shared" si="14"/>
        <v/>
      </c>
      <c r="V150" s="43" t="str">
        <f t="shared" si="14"/>
        <v/>
      </c>
    </row>
    <row r="151" spans="1:22" x14ac:dyDescent="0.3">
      <c r="A151" s="42"/>
      <c r="B151" s="43" t="str">
        <f>IF($A151="","",SUMIFS([2]weekly_demand!$D:$D,[2]weekly_demand!$A:$A,B$1,[2]weekly_demand!$C:$C,$A151))</f>
        <v/>
      </c>
      <c r="C151" s="43" t="str">
        <f>IF($A151="","",SUMIFS([2]weekly_demand!$D:$D,[2]weekly_demand!$A:$A,C$1,[2]weekly_demand!$C:$C,$A151))</f>
        <v/>
      </c>
      <c r="D151" s="43" t="str">
        <f>IF($A151="","",SUMIFS([2]weekly_demand!$D:$D,[2]weekly_demand!$A:$A,D$1,[2]weekly_demand!$C:$C,$A151))</f>
        <v/>
      </c>
      <c r="E151" s="43" t="str">
        <f>IF($A151="","",SUMIFS([2]weekly_demand!$D:$D,[2]weekly_demand!$A:$A,E$1,[2]weekly_demand!$C:$C,$A151))</f>
        <v/>
      </c>
      <c r="F151" s="43" t="str">
        <f>IF($A151="","",SUMIFS([2]weekly_demand!$D:$D,[2]weekly_demand!$A:$A,F$1,[2]weekly_demand!$C:$C,$A151))</f>
        <v/>
      </c>
      <c r="G151" s="43" t="str">
        <f>IF($A151="","",SUMIFS([2]weekly_demand!$D:$D,[2]weekly_demand!$A:$A,G$1,[2]weekly_demand!$C:$C,$A151))</f>
        <v/>
      </c>
      <c r="H151" s="43" t="str">
        <f t="shared" si="14"/>
        <v/>
      </c>
      <c r="I151" s="43" t="str">
        <f t="shared" si="14"/>
        <v/>
      </c>
      <c r="J151" s="43" t="str">
        <f t="shared" si="14"/>
        <v/>
      </c>
      <c r="K151" s="43" t="str">
        <f t="shared" si="14"/>
        <v/>
      </c>
      <c r="L151" s="43" t="str">
        <f t="shared" si="14"/>
        <v/>
      </c>
      <c r="M151" s="43" t="str">
        <f t="shared" si="14"/>
        <v/>
      </c>
      <c r="N151" s="43" t="str">
        <f t="shared" si="14"/>
        <v/>
      </c>
      <c r="O151" s="43" t="str">
        <f t="shared" si="14"/>
        <v/>
      </c>
      <c r="P151" s="43" t="str">
        <f t="shared" si="14"/>
        <v/>
      </c>
      <c r="Q151" s="43" t="str">
        <f t="shared" si="14"/>
        <v/>
      </c>
      <c r="R151" s="43" t="str">
        <f t="shared" si="14"/>
        <v/>
      </c>
      <c r="S151" s="43" t="str">
        <f t="shared" si="14"/>
        <v/>
      </c>
      <c r="T151" s="43" t="str">
        <f t="shared" si="14"/>
        <v/>
      </c>
      <c r="U151" s="43" t="str">
        <f t="shared" si="14"/>
        <v/>
      </c>
      <c r="V151" s="43" t="str">
        <f t="shared" si="14"/>
        <v/>
      </c>
    </row>
    <row r="152" spans="1:22" x14ac:dyDescent="0.3">
      <c r="A152" s="42"/>
      <c r="B152" s="43" t="str">
        <f>IF($A152="","",SUMIFS([2]weekly_demand!$D:$D,[2]weekly_demand!$A:$A,B$1,[2]weekly_demand!$C:$C,$A152))</f>
        <v/>
      </c>
      <c r="C152" s="43" t="str">
        <f>IF($A152="","",SUMIFS([2]weekly_demand!$D:$D,[2]weekly_demand!$A:$A,C$1,[2]weekly_demand!$C:$C,$A152))</f>
        <v/>
      </c>
      <c r="D152" s="43" t="str">
        <f>IF($A152="","",SUMIFS([2]weekly_demand!$D:$D,[2]weekly_demand!$A:$A,D$1,[2]weekly_demand!$C:$C,$A152))</f>
        <v/>
      </c>
      <c r="E152" s="43" t="str">
        <f>IF($A152="","",SUMIFS([2]weekly_demand!$D:$D,[2]weekly_demand!$A:$A,E$1,[2]weekly_demand!$C:$C,$A152))</f>
        <v/>
      </c>
      <c r="F152" s="43" t="str">
        <f>IF($A152="","",SUMIFS([2]weekly_demand!$D:$D,[2]weekly_demand!$A:$A,F$1,[2]weekly_demand!$C:$C,$A152))</f>
        <v/>
      </c>
      <c r="G152" s="43" t="str">
        <f>IF($A152="","",SUMIFS([2]weekly_demand!$D:$D,[2]weekly_demand!$A:$A,G$1,[2]weekly_demand!$C:$C,$A152))</f>
        <v/>
      </c>
      <c r="H152" s="43" t="str">
        <f t="shared" ref="H152:V161" si="15">IF($A152="","",SUMPRODUCT($B152:$G152,INDEX($Y$2:$AD$16,MATCH(H$1,$X$2:$X$16,0),0)))</f>
        <v/>
      </c>
      <c r="I152" s="43" t="str">
        <f t="shared" si="15"/>
        <v/>
      </c>
      <c r="J152" s="43" t="str">
        <f t="shared" si="15"/>
        <v/>
      </c>
      <c r="K152" s="43" t="str">
        <f t="shared" si="15"/>
        <v/>
      </c>
      <c r="L152" s="43" t="str">
        <f t="shared" si="15"/>
        <v/>
      </c>
      <c r="M152" s="43" t="str">
        <f t="shared" si="15"/>
        <v/>
      </c>
      <c r="N152" s="43" t="str">
        <f t="shared" si="15"/>
        <v/>
      </c>
      <c r="O152" s="43" t="str">
        <f t="shared" si="15"/>
        <v/>
      </c>
      <c r="P152" s="43" t="str">
        <f t="shared" si="15"/>
        <v/>
      </c>
      <c r="Q152" s="43" t="str">
        <f t="shared" si="15"/>
        <v/>
      </c>
      <c r="R152" s="43" t="str">
        <f t="shared" si="15"/>
        <v/>
      </c>
      <c r="S152" s="43" t="str">
        <f t="shared" si="15"/>
        <v/>
      </c>
      <c r="T152" s="43" t="str">
        <f t="shared" si="15"/>
        <v/>
      </c>
      <c r="U152" s="43" t="str">
        <f t="shared" si="15"/>
        <v/>
      </c>
      <c r="V152" s="43" t="str">
        <f t="shared" si="15"/>
        <v/>
      </c>
    </row>
    <row r="153" spans="1:22" x14ac:dyDescent="0.3">
      <c r="A153" s="42"/>
      <c r="B153" s="43" t="str">
        <f>IF($A153="","",SUMIFS([2]weekly_demand!$D:$D,[2]weekly_demand!$A:$A,B$1,[2]weekly_demand!$C:$C,$A153))</f>
        <v/>
      </c>
      <c r="C153" s="43" t="str">
        <f>IF($A153="","",SUMIFS([2]weekly_demand!$D:$D,[2]weekly_demand!$A:$A,C$1,[2]weekly_demand!$C:$C,$A153))</f>
        <v/>
      </c>
      <c r="D153" s="43" t="str">
        <f>IF($A153="","",SUMIFS([2]weekly_demand!$D:$D,[2]weekly_demand!$A:$A,D$1,[2]weekly_demand!$C:$C,$A153))</f>
        <v/>
      </c>
      <c r="E153" s="43" t="str">
        <f>IF($A153="","",SUMIFS([2]weekly_demand!$D:$D,[2]weekly_demand!$A:$A,E$1,[2]weekly_demand!$C:$C,$A153))</f>
        <v/>
      </c>
      <c r="F153" s="43" t="str">
        <f>IF($A153="","",SUMIFS([2]weekly_demand!$D:$D,[2]weekly_demand!$A:$A,F$1,[2]weekly_demand!$C:$C,$A153))</f>
        <v/>
      </c>
      <c r="G153" s="43" t="str">
        <f>IF($A153="","",SUMIFS([2]weekly_demand!$D:$D,[2]weekly_demand!$A:$A,G$1,[2]weekly_demand!$C:$C,$A153))</f>
        <v/>
      </c>
      <c r="H153" s="43" t="str">
        <f t="shared" si="15"/>
        <v/>
      </c>
      <c r="I153" s="43" t="str">
        <f t="shared" si="15"/>
        <v/>
      </c>
      <c r="J153" s="43" t="str">
        <f t="shared" si="15"/>
        <v/>
      </c>
      <c r="K153" s="43" t="str">
        <f t="shared" si="15"/>
        <v/>
      </c>
      <c r="L153" s="43" t="str">
        <f t="shared" si="15"/>
        <v/>
      </c>
      <c r="M153" s="43" t="str">
        <f t="shared" si="15"/>
        <v/>
      </c>
      <c r="N153" s="43" t="str">
        <f t="shared" si="15"/>
        <v/>
      </c>
      <c r="O153" s="43" t="str">
        <f t="shared" si="15"/>
        <v/>
      </c>
      <c r="P153" s="43" t="str">
        <f t="shared" si="15"/>
        <v/>
      </c>
      <c r="Q153" s="43" t="str">
        <f t="shared" si="15"/>
        <v/>
      </c>
      <c r="R153" s="43" t="str">
        <f t="shared" si="15"/>
        <v/>
      </c>
      <c r="S153" s="43" t="str">
        <f t="shared" si="15"/>
        <v/>
      </c>
      <c r="T153" s="43" t="str">
        <f t="shared" si="15"/>
        <v/>
      </c>
      <c r="U153" s="43" t="str">
        <f t="shared" si="15"/>
        <v/>
      </c>
      <c r="V153" s="43" t="str">
        <f t="shared" si="15"/>
        <v/>
      </c>
    </row>
    <row r="154" spans="1:22" x14ac:dyDescent="0.3">
      <c r="A154" s="42"/>
      <c r="B154" s="43" t="str">
        <f>IF($A154="","",SUMIFS([2]weekly_demand!$D:$D,[2]weekly_demand!$A:$A,B$1,[2]weekly_demand!$C:$C,$A154))</f>
        <v/>
      </c>
      <c r="C154" s="43" t="str">
        <f>IF($A154="","",SUMIFS([2]weekly_demand!$D:$D,[2]weekly_demand!$A:$A,C$1,[2]weekly_demand!$C:$C,$A154))</f>
        <v/>
      </c>
      <c r="D154" s="43" t="str">
        <f>IF($A154="","",SUMIFS([2]weekly_demand!$D:$D,[2]weekly_demand!$A:$A,D$1,[2]weekly_demand!$C:$C,$A154))</f>
        <v/>
      </c>
      <c r="E154" s="43" t="str">
        <f>IF($A154="","",SUMIFS([2]weekly_demand!$D:$D,[2]weekly_demand!$A:$A,E$1,[2]weekly_demand!$C:$C,$A154))</f>
        <v/>
      </c>
      <c r="F154" s="43" t="str">
        <f>IF($A154="","",SUMIFS([2]weekly_demand!$D:$D,[2]weekly_demand!$A:$A,F$1,[2]weekly_demand!$C:$C,$A154))</f>
        <v/>
      </c>
      <c r="G154" s="43" t="str">
        <f>IF($A154="","",SUMIFS([2]weekly_demand!$D:$D,[2]weekly_demand!$A:$A,G$1,[2]weekly_demand!$C:$C,$A154))</f>
        <v/>
      </c>
      <c r="H154" s="43" t="str">
        <f t="shared" si="15"/>
        <v/>
      </c>
      <c r="I154" s="43" t="str">
        <f t="shared" si="15"/>
        <v/>
      </c>
      <c r="J154" s="43" t="str">
        <f t="shared" si="15"/>
        <v/>
      </c>
      <c r="K154" s="43" t="str">
        <f t="shared" si="15"/>
        <v/>
      </c>
      <c r="L154" s="43" t="str">
        <f t="shared" si="15"/>
        <v/>
      </c>
      <c r="M154" s="43" t="str">
        <f t="shared" si="15"/>
        <v/>
      </c>
      <c r="N154" s="43" t="str">
        <f t="shared" si="15"/>
        <v/>
      </c>
      <c r="O154" s="43" t="str">
        <f t="shared" si="15"/>
        <v/>
      </c>
      <c r="P154" s="43" t="str">
        <f t="shared" si="15"/>
        <v/>
      </c>
      <c r="Q154" s="43" t="str">
        <f t="shared" si="15"/>
        <v/>
      </c>
      <c r="R154" s="43" t="str">
        <f t="shared" si="15"/>
        <v/>
      </c>
      <c r="S154" s="43" t="str">
        <f t="shared" si="15"/>
        <v/>
      </c>
      <c r="T154" s="43" t="str">
        <f t="shared" si="15"/>
        <v/>
      </c>
      <c r="U154" s="43" t="str">
        <f t="shared" si="15"/>
        <v/>
      </c>
      <c r="V154" s="43" t="str">
        <f t="shared" si="15"/>
        <v/>
      </c>
    </row>
    <row r="155" spans="1:22" x14ac:dyDescent="0.3">
      <c r="A155" s="42"/>
      <c r="B155" s="43" t="str">
        <f>IF($A155="","",SUMIFS([2]weekly_demand!$D:$D,[2]weekly_demand!$A:$A,B$1,[2]weekly_demand!$C:$C,$A155))</f>
        <v/>
      </c>
      <c r="C155" s="43" t="str">
        <f>IF($A155="","",SUMIFS([2]weekly_demand!$D:$D,[2]weekly_demand!$A:$A,C$1,[2]weekly_demand!$C:$C,$A155))</f>
        <v/>
      </c>
      <c r="D155" s="43" t="str">
        <f>IF($A155="","",SUMIFS([2]weekly_demand!$D:$D,[2]weekly_demand!$A:$A,D$1,[2]weekly_demand!$C:$C,$A155))</f>
        <v/>
      </c>
      <c r="E155" s="43" t="str">
        <f>IF($A155="","",SUMIFS([2]weekly_demand!$D:$D,[2]weekly_demand!$A:$A,E$1,[2]weekly_demand!$C:$C,$A155))</f>
        <v/>
      </c>
      <c r="F155" s="43" t="str">
        <f>IF($A155="","",SUMIFS([2]weekly_demand!$D:$D,[2]weekly_demand!$A:$A,F$1,[2]weekly_demand!$C:$C,$A155))</f>
        <v/>
      </c>
      <c r="G155" s="43" t="str">
        <f>IF($A155="","",SUMIFS([2]weekly_demand!$D:$D,[2]weekly_demand!$A:$A,G$1,[2]weekly_demand!$C:$C,$A155))</f>
        <v/>
      </c>
      <c r="H155" s="43" t="str">
        <f t="shared" si="15"/>
        <v/>
      </c>
      <c r="I155" s="43" t="str">
        <f t="shared" si="15"/>
        <v/>
      </c>
      <c r="J155" s="43" t="str">
        <f t="shared" si="15"/>
        <v/>
      </c>
      <c r="K155" s="43" t="str">
        <f t="shared" si="15"/>
        <v/>
      </c>
      <c r="L155" s="43" t="str">
        <f t="shared" si="15"/>
        <v/>
      </c>
      <c r="M155" s="43" t="str">
        <f t="shared" si="15"/>
        <v/>
      </c>
      <c r="N155" s="43" t="str">
        <f t="shared" si="15"/>
        <v/>
      </c>
      <c r="O155" s="43" t="str">
        <f t="shared" si="15"/>
        <v/>
      </c>
      <c r="P155" s="43" t="str">
        <f t="shared" si="15"/>
        <v/>
      </c>
      <c r="Q155" s="43" t="str">
        <f t="shared" si="15"/>
        <v/>
      </c>
      <c r="R155" s="43" t="str">
        <f t="shared" si="15"/>
        <v/>
      </c>
      <c r="S155" s="43" t="str">
        <f t="shared" si="15"/>
        <v/>
      </c>
      <c r="T155" s="43" t="str">
        <f t="shared" si="15"/>
        <v/>
      </c>
      <c r="U155" s="43" t="str">
        <f t="shared" si="15"/>
        <v/>
      </c>
      <c r="V155" s="43" t="str">
        <f t="shared" si="15"/>
        <v/>
      </c>
    </row>
    <row r="156" spans="1:22" x14ac:dyDescent="0.3">
      <c r="A156" s="42"/>
      <c r="B156" s="43" t="str">
        <f>IF($A156="","",SUMIFS([2]weekly_demand!$D:$D,[2]weekly_demand!$A:$A,B$1,[2]weekly_demand!$C:$C,$A156))</f>
        <v/>
      </c>
      <c r="C156" s="43" t="str">
        <f>IF($A156="","",SUMIFS([2]weekly_demand!$D:$D,[2]weekly_demand!$A:$A,C$1,[2]weekly_demand!$C:$C,$A156))</f>
        <v/>
      </c>
      <c r="D156" s="43" t="str">
        <f>IF($A156="","",SUMIFS([2]weekly_demand!$D:$D,[2]weekly_demand!$A:$A,D$1,[2]weekly_demand!$C:$C,$A156))</f>
        <v/>
      </c>
      <c r="E156" s="43" t="str">
        <f>IF($A156="","",SUMIFS([2]weekly_demand!$D:$D,[2]weekly_demand!$A:$A,E$1,[2]weekly_demand!$C:$C,$A156))</f>
        <v/>
      </c>
      <c r="F156" s="43" t="str">
        <f>IF($A156="","",SUMIFS([2]weekly_demand!$D:$D,[2]weekly_demand!$A:$A,F$1,[2]weekly_demand!$C:$C,$A156))</f>
        <v/>
      </c>
      <c r="G156" s="43" t="str">
        <f>IF($A156="","",SUMIFS([2]weekly_demand!$D:$D,[2]weekly_demand!$A:$A,G$1,[2]weekly_demand!$C:$C,$A156))</f>
        <v/>
      </c>
      <c r="H156" s="43" t="str">
        <f t="shared" si="15"/>
        <v/>
      </c>
      <c r="I156" s="43" t="str">
        <f t="shared" si="15"/>
        <v/>
      </c>
      <c r="J156" s="43" t="str">
        <f t="shared" si="15"/>
        <v/>
      </c>
      <c r="K156" s="43" t="str">
        <f t="shared" si="15"/>
        <v/>
      </c>
      <c r="L156" s="43" t="str">
        <f t="shared" si="15"/>
        <v/>
      </c>
      <c r="M156" s="43" t="str">
        <f t="shared" si="15"/>
        <v/>
      </c>
      <c r="N156" s="43" t="str">
        <f t="shared" si="15"/>
        <v/>
      </c>
      <c r="O156" s="43" t="str">
        <f t="shared" si="15"/>
        <v/>
      </c>
      <c r="P156" s="43" t="str">
        <f t="shared" si="15"/>
        <v/>
      </c>
      <c r="Q156" s="43" t="str">
        <f t="shared" si="15"/>
        <v/>
      </c>
      <c r="R156" s="43" t="str">
        <f t="shared" si="15"/>
        <v/>
      </c>
      <c r="S156" s="43" t="str">
        <f t="shared" si="15"/>
        <v/>
      </c>
      <c r="T156" s="43" t="str">
        <f t="shared" si="15"/>
        <v/>
      </c>
      <c r="U156" s="43" t="str">
        <f t="shared" si="15"/>
        <v/>
      </c>
      <c r="V156" s="43" t="str">
        <f t="shared" si="15"/>
        <v/>
      </c>
    </row>
    <row r="157" spans="1:22" x14ac:dyDescent="0.3">
      <c r="A157" s="42"/>
      <c r="B157" s="43" t="str">
        <f>IF($A157="","",SUMIFS([2]weekly_demand!$D:$D,[2]weekly_demand!$A:$A,B$1,[2]weekly_demand!$C:$C,$A157))</f>
        <v/>
      </c>
      <c r="C157" s="43" t="str">
        <f>IF($A157="","",SUMIFS([2]weekly_demand!$D:$D,[2]weekly_demand!$A:$A,C$1,[2]weekly_demand!$C:$C,$A157))</f>
        <v/>
      </c>
      <c r="D157" s="43" t="str">
        <f>IF($A157="","",SUMIFS([2]weekly_demand!$D:$D,[2]weekly_demand!$A:$A,D$1,[2]weekly_demand!$C:$C,$A157))</f>
        <v/>
      </c>
      <c r="E157" s="43" t="str">
        <f>IF($A157="","",SUMIFS([2]weekly_demand!$D:$D,[2]weekly_demand!$A:$A,E$1,[2]weekly_demand!$C:$C,$A157))</f>
        <v/>
      </c>
      <c r="F157" s="43" t="str">
        <f>IF($A157="","",SUMIFS([2]weekly_demand!$D:$D,[2]weekly_demand!$A:$A,F$1,[2]weekly_demand!$C:$C,$A157))</f>
        <v/>
      </c>
      <c r="G157" s="43" t="str">
        <f>IF($A157="","",SUMIFS([2]weekly_demand!$D:$D,[2]weekly_demand!$A:$A,G$1,[2]weekly_demand!$C:$C,$A157))</f>
        <v/>
      </c>
      <c r="H157" s="43" t="str">
        <f t="shared" si="15"/>
        <v/>
      </c>
      <c r="I157" s="43" t="str">
        <f t="shared" si="15"/>
        <v/>
      </c>
      <c r="J157" s="43" t="str">
        <f t="shared" si="15"/>
        <v/>
      </c>
      <c r="K157" s="43" t="str">
        <f t="shared" si="15"/>
        <v/>
      </c>
      <c r="L157" s="43" t="str">
        <f t="shared" si="15"/>
        <v/>
      </c>
      <c r="M157" s="43" t="str">
        <f t="shared" si="15"/>
        <v/>
      </c>
      <c r="N157" s="43" t="str">
        <f t="shared" si="15"/>
        <v/>
      </c>
      <c r="O157" s="43" t="str">
        <f t="shared" si="15"/>
        <v/>
      </c>
      <c r="P157" s="43" t="str">
        <f t="shared" si="15"/>
        <v/>
      </c>
      <c r="Q157" s="43" t="str">
        <f t="shared" si="15"/>
        <v/>
      </c>
      <c r="R157" s="43" t="str">
        <f t="shared" si="15"/>
        <v/>
      </c>
      <c r="S157" s="43" t="str">
        <f t="shared" si="15"/>
        <v/>
      </c>
      <c r="T157" s="43" t="str">
        <f t="shared" si="15"/>
        <v/>
      </c>
      <c r="U157" s="43" t="str">
        <f t="shared" si="15"/>
        <v/>
      </c>
      <c r="V157" s="43" t="str">
        <f t="shared" si="15"/>
        <v/>
      </c>
    </row>
    <row r="158" spans="1:22" x14ac:dyDescent="0.3">
      <c r="A158" s="42"/>
      <c r="B158" s="43" t="str">
        <f>IF($A158="","",SUMIFS([2]weekly_demand!$D:$D,[2]weekly_demand!$A:$A,B$1,[2]weekly_demand!$C:$C,$A158))</f>
        <v/>
      </c>
      <c r="C158" s="43" t="str">
        <f>IF($A158="","",SUMIFS([2]weekly_demand!$D:$D,[2]weekly_demand!$A:$A,C$1,[2]weekly_demand!$C:$C,$A158))</f>
        <v/>
      </c>
      <c r="D158" s="43" t="str">
        <f>IF($A158="","",SUMIFS([2]weekly_demand!$D:$D,[2]weekly_demand!$A:$A,D$1,[2]weekly_demand!$C:$C,$A158))</f>
        <v/>
      </c>
      <c r="E158" s="43" t="str">
        <f>IF($A158="","",SUMIFS([2]weekly_demand!$D:$D,[2]weekly_demand!$A:$A,E$1,[2]weekly_demand!$C:$C,$A158))</f>
        <v/>
      </c>
      <c r="F158" s="43" t="str">
        <f>IF($A158="","",SUMIFS([2]weekly_demand!$D:$D,[2]weekly_demand!$A:$A,F$1,[2]weekly_demand!$C:$C,$A158))</f>
        <v/>
      </c>
      <c r="G158" s="43" t="str">
        <f>IF($A158="","",SUMIFS([2]weekly_demand!$D:$D,[2]weekly_demand!$A:$A,G$1,[2]weekly_demand!$C:$C,$A158))</f>
        <v/>
      </c>
      <c r="H158" s="43" t="str">
        <f t="shared" si="15"/>
        <v/>
      </c>
      <c r="I158" s="43" t="str">
        <f t="shared" si="15"/>
        <v/>
      </c>
      <c r="J158" s="43" t="str">
        <f t="shared" si="15"/>
        <v/>
      </c>
      <c r="K158" s="43" t="str">
        <f t="shared" si="15"/>
        <v/>
      </c>
      <c r="L158" s="43" t="str">
        <f t="shared" si="15"/>
        <v/>
      </c>
      <c r="M158" s="43" t="str">
        <f t="shared" si="15"/>
        <v/>
      </c>
      <c r="N158" s="43" t="str">
        <f t="shared" si="15"/>
        <v/>
      </c>
      <c r="O158" s="43" t="str">
        <f t="shared" si="15"/>
        <v/>
      </c>
      <c r="P158" s="43" t="str">
        <f t="shared" si="15"/>
        <v/>
      </c>
      <c r="Q158" s="43" t="str">
        <f t="shared" si="15"/>
        <v/>
      </c>
      <c r="R158" s="43" t="str">
        <f t="shared" si="15"/>
        <v/>
      </c>
      <c r="S158" s="43" t="str">
        <f t="shared" si="15"/>
        <v/>
      </c>
      <c r="T158" s="43" t="str">
        <f t="shared" si="15"/>
        <v/>
      </c>
      <c r="U158" s="43" t="str">
        <f t="shared" si="15"/>
        <v/>
      </c>
      <c r="V158" s="43" t="str">
        <f t="shared" si="15"/>
        <v/>
      </c>
    </row>
    <row r="159" spans="1:22" x14ac:dyDescent="0.3">
      <c r="A159" s="42"/>
      <c r="B159" s="43" t="str">
        <f>IF($A159="","",SUMIFS([2]weekly_demand!$D:$D,[2]weekly_demand!$A:$A,B$1,[2]weekly_demand!$C:$C,$A159))</f>
        <v/>
      </c>
      <c r="C159" s="43" t="str">
        <f>IF($A159="","",SUMIFS([2]weekly_demand!$D:$D,[2]weekly_demand!$A:$A,C$1,[2]weekly_demand!$C:$C,$A159))</f>
        <v/>
      </c>
      <c r="D159" s="43" t="str">
        <f>IF($A159="","",SUMIFS([2]weekly_demand!$D:$D,[2]weekly_demand!$A:$A,D$1,[2]weekly_demand!$C:$C,$A159))</f>
        <v/>
      </c>
      <c r="E159" s="43" t="str">
        <f>IF($A159="","",SUMIFS([2]weekly_demand!$D:$D,[2]weekly_demand!$A:$A,E$1,[2]weekly_demand!$C:$C,$A159))</f>
        <v/>
      </c>
      <c r="F159" s="43" t="str">
        <f>IF($A159="","",SUMIFS([2]weekly_demand!$D:$D,[2]weekly_demand!$A:$A,F$1,[2]weekly_demand!$C:$C,$A159))</f>
        <v/>
      </c>
      <c r="G159" s="43" t="str">
        <f>IF($A159="","",SUMIFS([2]weekly_demand!$D:$D,[2]weekly_demand!$A:$A,G$1,[2]weekly_demand!$C:$C,$A159))</f>
        <v/>
      </c>
      <c r="H159" s="43" t="str">
        <f t="shared" si="15"/>
        <v/>
      </c>
      <c r="I159" s="43" t="str">
        <f t="shared" si="15"/>
        <v/>
      </c>
      <c r="J159" s="43" t="str">
        <f t="shared" si="15"/>
        <v/>
      </c>
      <c r="K159" s="43" t="str">
        <f t="shared" si="15"/>
        <v/>
      </c>
      <c r="L159" s="43" t="str">
        <f t="shared" si="15"/>
        <v/>
      </c>
      <c r="M159" s="43" t="str">
        <f t="shared" si="15"/>
        <v/>
      </c>
      <c r="N159" s="43" t="str">
        <f t="shared" si="15"/>
        <v/>
      </c>
      <c r="O159" s="43" t="str">
        <f t="shared" si="15"/>
        <v/>
      </c>
      <c r="P159" s="43" t="str">
        <f t="shared" si="15"/>
        <v/>
      </c>
      <c r="Q159" s="43" t="str">
        <f t="shared" si="15"/>
        <v/>
      </c>
      <c r="R159" s="43" t="str">
        <f t="shared" si="15"/>
        <v/>
      </c>
      <c r="S159" s="43" t="str">
        <f t="shared" si="15"/>
        <v/>
      </c>
      <c r="T159" s="43" t="str">
        <f t="shared" si="15"/>
        <v/>
      </c>
      <c r="U159" s="43" t="str">
        <f t="shared" si="15"/>
        <v/>
      </c>
      <c r="V159" s="43" t="str">
        <f t="shared" si="15"/>
        <v/>
      </c>
    </row>
    <row r="160" spans="1:22" x14ac:dyDescent="0.3">
      <c r="A160" s="42"/>
      <c r="B160" s="43" t="str">
        <f>IF($A160="","",SUMIFS([2]weekly_demand!$D:$D,[2]weekly_demand!$A:$A,B$1,[2]weekly_demand!$C:$C,$A160))</f>
        <v/>
      </c>
      <c r="C160" s="43" t="str">
        <f>IF($A160="","",SUMIFS([2]weekly_demand!$D:$D,[2]weekly_demand!$A:$A,C$1,[2]weekly_demand!$C:$C,$A160))</f>
        <v/>
      </c>
      <c r="D160" s="43" t="str">
        <f>IF($A160="","",SUMIFS([2]weekly_demand!$D:$D,[2]weekly_demand!$A:$A,D$1,[2]weekly_demand!$C:$C,$A160))</f>
        <v/>
      </c>
      <c r="E160" s="43" t="str">
        <f>IF($A160="","",SUMIFS([2]weekly_demand!$D:$D,[2]weekly_demand!$A:$A,E$1,[2]weekly_demand!$C:$C,$A160))</f>
        <v/>
      </c>
      <c r="F160" s="43" t="str">
        <f>IF($A160="","",SUMIFS([2]weekly_demand!$D:$D,[2]weekly_demand!$A:$A,F$1,[2]weekly_demand!$C:$C,$A160))</f>
        <v/>
      </c>
      <c r="G160" s="43" t="str">
        <f>IF($A160="","",SUMIFS([2]weekly_demand!$D:$D,[2]weekly_demand!$A:$A,G$1,[2]weekly_demand!$C:$C,$A160))</f>
        <v/>
      </c>
      <c r="H160" s="43" t="str">
        <f t="shared" si="15"/>
        <v/>
      </c>
      <c r="I160" s="43" t="str">
        <f t="shared" si="15"/>
        <v/>
      </c>
      <c r="J160" s="43" t="str">
        <f t="shared" si="15"/>
        <v/>
      </c>
      <c r="K160" s="43" t="str">
        <f t="shared" si="15"/>
        <v/>
      </c>
      <c r="L160" s="43" t="str">
        <f t="shared" si="15"/>
        <v/>
      </c>
      <c r="M160" s="43" t="str">
        <f t="shared" si="15"/>
        <v/>
      </c>
      <c r="N160" s="43" t="str">
        <f t="shared" si="15"/>
        <v/>
      </c>
      <c r="O160" s="43" t="str">
        <f t="shared" si="15"/>
        <v/>
      </c>
      <c r="P160" s="43" t="str">
        <f t="shared" si="15"/>
        <v/>
      </c>
      <c r="Q160" s="43" t="str">
        <f t="shared" si="15"/>
        <v/>
      </c>
      <c r="R160" s="43" t="str">
        <f t="shared" si="15"/>
        <v/>
      </c>
      <c r="S160" s="43" t="str">
        <f t="shared" si="15"/>
        <v/>
      </c>
      <c r="T160" s="43" t="str">
        <f t="shared" si="15"/>
        <v/>
      </c>
      <c r="U160" s="43" t="str">
        <f t="shared" si="15"/>
        <v/>
      </c>
      <c r="V160" s="43" t="str">
        <f t="shared" si="15"/>
        <v/>
      </c>
    </row>
    <row r="161" spans="1:22" x14ac:dyDescent="0.3">
      <c r="A161" s="42"/>
      <c r="B161" s="43" t="str">
        <f>IF($A161="","",SUMIFS([2]weekly_demand!$D:$D,[2]weekly_demand!$A:$A,B$1,[2]weekly_demand!$C:$C,$A161))</f>
        <v/>
      </c>
      <c r="C161" s="43" t="str">
        <f>IF($A161="","",SUMIFS([2]weekly_demand!$D:$D,[2]weekly_demand!$A:$A,C$1,[2]weekly_demand!$C:$C,$A161))</f>
        <v/>
      </c>
      <c r="D161" s="43" t="str">
        <f>IF($A161="","",SUMIFS([2]weekly_demand!$D:$D,[2]weekly_demand!$A:$A,D$1,[2]weekly_demand!$C:$C,$A161))</f>
        <v/>
      </c>
      <c r="E161" s="43" t="str">
        <f>IF($A161="","",SUMIFS([2]weekly_demand!$D:$D,[2]weekly_demand!$A:$A,E$1,[2]weekly_demand!$C:$C,$A161))</f>
        <v/>
      </c>
      <c r="F161" s="43" t="str">
        <f>IF($A161="","",SUMIFS([2]weekly_demand!$D:$D,[2]weekly_demand!$A:$A,F$1,[2]weekly_demand!$C:$C,$A161))</f>
        <v/>
      </c>
      <c r="G161" s="43" t="str">
        <f>IF($A161="","",SUMIFS([2]weekly_demand!$D:$D,[2]weekly_demand!$A:$A,G$1,[2]weekly_demand!$C:$C,$A161))</f>
        <v/>
      </c>
      <c r="H161" s="43" t="str">
        <f t="shared" si="15"/>
        <v/>
      </c>
      <c r="I161" s="43" t="str">
        <f t="shared" si="15"/>
        <v/>
      </c>
      <c r="J161" s="43" t="str">
        <f t="shared" si="15"/>
        <v/>
      </c>
      <c r="K161" s="43" t="str">
        <f t="shared" si="15"/>
        <v/>
      </c>
      <c r="L161" s="43" t="str">
        <f t="shared" si="15"/>
        <v/>
      </c>
      <c r="M161" s="43" t="str">
        <f t="shared" si="15"/>
        <v/>
      </c>
      <c r="N161" s="43" t="str">
        <f t="shared" si="15"/>
        <v/>
      </c>
      <c r="O161" s="43" t="str">
        <f t="shared" si="15"/>
        <v/>
      </c>
      <c r="P161" s="43" t="str">
        <f t="shared" si="15"/>
        <v/>
      </c>
      <c r="Q161" s="43" t="str">
        <f t="shared" si="15"/>
        <v/>
      </c>
      <c r="R161" s="43" t="str">
        <f t="shared" si="15"/>
        <v/>
      </c>
      <c r="S161" s="43" t="str">
        <f t="shared" si="15"/>
        <v/>
      </c>
      <c r="T161" s="43" t="str">
        <f t="shared" si="15"/>
        <v/>
      </c>
      <c r="U161" s="43" t="str">
        <f t="shared" si="15"/>
        <v/>
      </c>
      <c r="V161" s="43" t="str">
        <f t="shared" si="15"/>
        <v/>
      </c>
    </row>
    <row r="162" spans="1:22" x14ac:dyDescent="0.3">
      <c r="A162" s="42"/>
      <c r="B162" s="43" t="str">
        <f>IF($A162="","",SUMIFS([2]weekly_demand!$D:$D,[2]weekly_demand!$A:$A,B$1,[2]weekly_demand!$C:$C,$A162))</f>
        <v/>
      </c>
      <c r="C162" s="43" t="str">
        <f>IF($A162="","",SUMIFS([2]weekly_demand!$D:$D,[2]weekly_demand!$A:$A,C$1,[2]weekly_demand!$C:$C,$A162))</f>
        <v/>
      </c>
      <c r="D162" s="43" t="str">
        <f>IF($A162="","",SUMIFS([2]weekly_demand!$D:$D,[2]weekly_demand!$A:$A,D$1,[2]weekly_demand!$C:$C,$A162))</f>
        <v/>
      </c>
      <c r="E162" s="43" t="str">
        <f>IF($A162="","",SUMIFS([2]weekly_demand!$D:$D,[2]weekly_demand!$A:$A,E$1,[2]weekly_demand!$C:$C,$A162))</f>
        <v/>
      </c>
      <c r="F162" s="43" t="str">
        <f>IF($A162="","",SUMIFS([2]weekly_demand!$D:$D,[2]weekly_demand!$A:$A,F$1,[2]weekly_demand!$C:$C,$A162))</f>
        <v/>
      </c>
      <c r="G162" s="43" t="str">
        <f>IF($A162="","",SUMIFS([2]weekly_demand!$D:$D,[2]weekly_demand!$A:$A,G$1,[2]weekly_demand!$C:$C,$A162))</f>
        <v/>
      </c>
      <c r="H162" s="43" t="str">
        <f t="shared" ref="H162:V171" si="16">IF($A162="","",SUMPRODUCT($B162:$G162,INDEX($Y$2:$AD$16,MATCH(H$1,$X$2:$X$16,0),0)))</f>
        <v/>
      </c>
      <c r="I162" s="43" t="str">
        <f t="shared" si="16"/>
        <v/>
      </c>
      <c r="J162" s="43" t="str">
        <f t="shared" si="16"/>
        <v/>
      </c>
      <c r="K162" s="43" t="str">
        <f t="shared" si="16"/>
        <v/>
      </c>
      <c r="L162" s="43" t="str">
        <f t="shared" si="16"/>
        <v/>
      </c>
      <c r="M162" s="43" t="str">
        <f t="shared" si="16"/>
        <v/>
      </c>
      <c r="N162" s="43" t="str">
        <f t="shared" si="16"/>
        <v/>
      </c>
      <c r="O162" s="43" t="str">
        <f t="shared" si="16"/>
        <v/>
      </c>
      <c r="P162" s="43" t="str">
        <f t="shared" si="16"/>
        <v/>
      </c>
      <c r="Q162" s="43" t="str">
        <f t="shared" si="16"/>
        <v/>
      </c>
      <c r="R162" s="43" t="str">
        <f t="shared" si="16"/>
        <v/>
      </c>
      <c r="S162" s="43" t="str">
        <f t="shared" si="16"/>
        <v/>
      </c>
      <c r="T162" s="43" t="str">
        <f t="shared" si="16"/>
        <v/>
      </c>
      <c r="U162" s="43" t="str">
        <f t="shared" si="16"/>
        <v/>
      </c>
      <c r="V162" s="43" t="str">
        <f t="shared" si="16"/>
        <v/>
      </c>
    </row>
    <row r="163" spans="1:22" x14ac:dyDescent="0.3">
      <c r="A163" s="42"/>
      <c r="B163" s="43" t="str">
        <f>IF($A163="","",SUMIFS([2]weekly_demand!$D:$D,[2]weekly_demand!$A:$A,B$1,[2]weekly_demand!$C:$C,$A163))</f>
        <v/>
      </c>
      <c r="C163" s="43" t="str">
        <f>IF($A163="","",SUMIFS([2]weekly_demand!$D:$D,[2]weekly_demand!$A:$A,C$1,[2]weekly_demand!$C:$C,$A163))</f>
        <v/>
      </c>
      <c r="D163" s="43" t="str">
        <f>IF($A163="","",SUMIFS([2]weekly_demand!$D:$D,[2]weekly_demand!$A:$A,D$1,[2]weekly_demand!$C:$C,$A163))</f>
        <v/>
      </c>
      <c r="E163" s="43" t="str">
        <f>IF($A163="","",SUMIFS([2]weekly_demand!$D:$D,[2]weekly_demand!$A:$A,E$1,[2]weekly_demand!$C:$C,$A163))</f>
        <v/>
      </c>
      <c r="F163" s="43" t="str">
        <f>IF($A163="","",SUMIFS([2]weekly_demand!$D:$D,[2]weekly_demand!$A:$A,F$1,[2]weekly_demand!$C:$C,$A163))</f>
        <v/>
      </c>
      <c r="G163" s="43" t="str">
        <f>IF($A163="","",SUMIFS([2]weekly_demand!$D:$D,[2]weekly_demand!$A:$A,G$1,[2]weekly_demand!$C:$C,$A163))</f>
        <v/>
      </c>
      <c r="H163" s="43" t="str">
        <f t="shared" si="16"/>
        <v/>
      </c>
      <c r="I163" s="43" t="str">
        <f t="shared" si="16"/>
        <v/>
      </c>
      <c r="J163" s="43" t="str">
        <f t="shared" si="16"/>
        <v/>
      </c>
      <c r="K163" s="43" t="str">
        <f t="shared" si="16"/>
        <v/>
      </c>
      <c r="L163" s="43" t="str">
        <f t="shared" si="16"/>
        <v/>
      </c>
      <c r="M163" s="43" t="str">
        <f t="shared" si="16"/>
        <v/>
      </c>
      <c r="N163" s="43" t="str">
        <f t="shared" si="16"/>
        <v/>
      </c>
      <c r="O163" s="43" t="str">
        <f t="shared" si="16"/>
        <v/>
      </c>
      <c r="P163" s="43" t="str">
        <f t="shared" si="16"/>
        <v/>
      </c>
      <c r="Q163" s="43" t="str">
        <f t="shared" si="16"/>
        <v/>
      </c>
      <c r="R163" s="43" t="str">
        <f t="shared" si="16"/>
        <v/>
      </c>
      <c r="S163" s="43" t="str">
        <f t="shared" si="16"/>
        <v/>
      </c>
      <c r="T163" s="43" t="str">
        <f t="shared" si="16"/>
        <v/>
      </c>
      <c r="U163" s="43" t="str">
        <f t="shared" si="16"/>
        <v/>
      </c>
      <c r="V163" s="43" t="str">
        <f t="shared" si="16"/>
        <v/>
      </c>
    </row>
    <row r="164" spans="1:22" x14ac:dyDescent="0.3">
      <c r="A164" s="42"/>
      <c r="B164" s="43" t="str">
        <f>IF($A164="","",SUMIFS([2]weekly_demand!$D:$D,[2]weekly_demand!$A:$A,B$1,[2]weekly_demand!$C:$C,$A164))</f>
        <v/>
      </c>
      <c r="C164" s="43" t="str">
        <f>IF($A164="","",SUMIFS([2]weekly_demand!$D:$D,[2]weekly_demand!$A:$A,C$1,[2]weekly_demand!$C:$C,$A164))</f>
        <v/>
      </c>
      <c r="D164" s="43" t="str">
        <f>IF($A164="","",SUMIFS([2]weekly_demand!$D:$D,[2]weekly_demand!$A:$A,D$1,[2]weekly_demand!$C:$C,$A164))</f>
        <v/>
      </c>
      <c r="E164" s="43" t="str">
        <f>IF($A164="","",SUMIFS([2]weekly_demand!$D:$D,[2]weekly_demand!$A:$A,E$1,[2]weekly_demand!$C:$C,$A164))</f>
        <v/>
      </c>
      <c r="F164" s="43" t="str">
        <f>IF($A164="","",SUMIFS([2]weekly_demand!$D:$D,[2]weekly_demand!$A:$A,F$1,[2]weekly_demand!$C:$C,$A164))</f>
        <v/>
      </c>
      <c r="G164" s="43" t="str">
        <f>IF($A164="","",SUMIFS([2]weekly_demand!$D:$D,[2]weekly_demand!$A:$A,G$1,[2]weekly_demand!$C:$C,$A164))</f>
        <v/>
      </c>
      <c r="H164" s="43" t="str">
        <f t="shared" si="16"/>
        <v/>
      </c>
      <c r="I164" s="43" t="str">
        <f t="shared" si="16"/>
        <v/>
      </c>
      <c r="J164" s="43" t="str">
        <f t="shared" si="16"/>
        <v/>
      </c>
      <c r="K164" s="43" t="str">
        <f t="shared" si="16"/>
        <v/>
      </c>
      <c r="L164" s="43" t="str">
        <f t="shared" si="16"/>
        <v/>
      </c>
      <c r="M164" s="43" t="str">
        <f t="shared" si="16"/>
        <v/>
      </c>
      <c r="N164" s="43" t="str">
        <f t="shared" si="16"/>
        <v/>
      </c>
      <c r="O164" s="43" t="str">
        <f t="shared" si="16"/>
        <v/>
      </c>
      <c r="P164" s="43" t="str">
        <f t="shared" si="16"/>
        <v/>
      </c>
      <c r="Q164" s="43" t="str">
        <f t="shared" si="16"/>
        <v/>
      </c>
      <c r="R164" s="43" t="str">
        <f t="shared" si="16"/>
        <v/>
      </c>
      <c r="S164" s="43" t="str">
        <f t="shared" si="16"/>
        <v/>
      </c>
      <c r="T164" s="43" t="str">
        <f t="shared" si="16"/>
        <v/>
      </c>
      <c r="U164" s="43" t="str">
        <f t="shared" si="16"/>
        <v/>
      </c>
      <c r="V164" s="43" t="str">
        <f t="shared" si="16"/>
        <v/>
      </c>
    </row>
    <row r="165" spans="1:22" x14ac:dyDescent="0.3">
      <c r="A165" s="42"/>
      <c r="B165" s="43" t="str">
        <f>IF($A165="","",SUMIFS([2]weekly_demand!$D:$D,[2]weekly_demand!$A:$A,B$1,[2]weekly_demand!$C:$C,$A165))</f>
        <v/>
      </c>
      <c r="C165" s="43" t="str">
        <f>IF($A165="","",SUMIFS([2]weekly_demand!$D:$D,[2]weekly_demand!$A:$A,C$1,[2]weekly_demand!$C:$C,$A165))</f>
        <v/>
      </c>
      <c r="D165" s="43" t="str">
        <f>IF($A165="","",SUMIFS([2]weekly_demand!$D:$D,[2]weekly_demand!$A:$A,D$1,[2]weekly_demand!$C:$C,$A165))</f>
        <v/>
      </c>
      <c r="E165" s="43" t="str">
        <f>IF($A165="","",SUMIFS([2]weekly_demand!$D:$D,[2]weekly_demand!$A:$A,E$1,[2]weekly_demand!$C:$C,$A165))</f>
        <v/>
      </c>
      <c r="F165" s="43" t="str">
        <f>IF($A165="","",SUMIFS([2]weekly_demand!$D:$D,[2]weekly_demand!$A:$A,F$1,[2]weekly_demand!$C:$C,$A165))</f>
        <v/>
      </c>
      <c r="G165" s="43" t="str">
        <f>IF($A165="","",SUMIFS([2]weekly_demand!$D:$D,[2]weekly_demand!$A:$A,G$1,[2]weekly_demand!$C:$C,$A165))</f>
        <v/>
      </c>
      <c r="H165" s="43" t="str">
        <f t="shared" si="16"/>
        <v/>
      </c>
      <c r="I165" s="43" t="str">
        <f t="shared" si="16"/>
        <v/>
      </c>
      <c r="J165" s="43" t="str">
        <f t="shared" si="16"/>
        <v/>
      </c>
      <c r="K165" s="43" t="str">
        <f t="shared" si="16"/>
        <v/>
      </c>
      <c r="L165" s="43" t="str">
        <f t="shared" si="16"/>
        <v/>
      </c>
      <c r="M165" s="43" t="str">
        <f t="shared" si="16"/>
        <v/>
      </c>
      <c r="N165" s="43" t="str">
        <f t="shared" si="16"/>
        <v/>
      </c>
      <c r="O165" s="43" t="str">
        <f t="shared" si="16"/>
        <v/>
      </c>
      <c r="P165" s="43" t="str">
        <f t="shared" si="16"/>
        <v/>
      </c>
      <c r="Q165" s="43" t="str">
        <f t="shared" si="16"/>
        <v/>
      </c>
      <c r="R165" s="43" t="str">
        <f t="shared" si="16"/>
        <v/>
      </c>
      <c r="S165" s="43" t="str">
        <f t="shared" si="16"/>
        <v/>
      </c>
      <c r="T165" s="43" t="str">
        <f t="shared" si="16"/>
        <v/>
      </c>
      <c r="U165" s="43" t="str">
        <f t="shared" si="16"/>
        <v/>
      </c>
      <c r="V165" s="43" t="str">
        <f t="shared" si="16"/>
        <v/>
      </c>
    </row>
    <row r="166" spans="1:22" x14ac:dyDescent="0.3">
      <c r="A166" s="42"/>
      <c r="B166" s="43" t="str">
        <f>IF($A166="","",SUMIFS([2]weekly_demand!$D:$D,[2]weekly_demand!$A:$A,B$1,[2]weekly_demand!$C:$C,$A166))</f>
        <v/>
      </c>
      <c r="C166" s="43" t="str">
        <f>IF($A166="","",SUMIFS([2]weekly_demand!$D:$D,[2]weekly_demand!$A:$A,C$1,[2]weekly_demand!$C:$C,$A166))</f>
        <v/>
      </c>
      <c r="D166" s="43" t="str">
        <f>IF($A166="","",SUMIFS([2]weekly_demand!$D:$D,[2]weekly_demand!$A:$A,D$1,[2]weekly_demand!$C:$C,$A166))</f>
        <v/>
      </c>
      <c r="E166" s="43" t="str">
        <f>IF($A166="","",SUMIFS([2]weekly_demand!$D:$D,[2]weekly_demand!$A:$A,E$1,[2]weekly_demand!$C:$C,$A166))</f>
        <v/>
      </c>
      <c r="F166" s="43" t="str">
        <f>IF($A166="","",SUMIFS([2]weekly_demand!$D:$D,[2]weekly_demand!$A:$A,F$1,[2]weekly_demand!$C:$C,$A166))</f>
        <v/>
      </c>
      <c r="G166" s="43" t="str">
        <f>IF($A166="","",SUMIFS([2]weekly_demand!$D:$D,[2]weekly_demand!$A:$A,G$1,[2]weekly_demand!$C:$C,$A166))</f>
        <v/>
      </c>
      <c r="H166" s="43" t="str">
        <f t="shared" si="16"/>
        <v/>
      </c>
      <c r="I166" s="43" t="str">
        <f t="shared" si="16"/>
        <v/>
      </c>
      <c r="J166" s="43" t="str">
        <f t="shared" si="16"/>
        <v/>
      </c>
      <c r="K166" s="43" t="str">
        <f t="shared" si="16"/>
        <v/>
      </c>
      <c r="L166" s="43" t="str">
        <f t="shared" si="16"/>
        <v/>
      </c>
      <c r="M166" s="43" t="str">
        <f t="shared" si="16"/>
        <v/>
      </c>
      <c r="N166" s="43" t="str">
        <f t="shared" si="16"/>
        <v/>
      </c>
      <c r="O166" s="43" t="str">
        <f t="shared" si="16"/>
        <v/>
      </c>
      <c r="P166" s="43" t="str">
        <f t="shared" si="16"/>
        <v/>
      </c>
      <c r="Q166" s="43" t="str">
        <f t="shared" si="16"/>
        <v/>
      </c>
      <c r="R166" s="43" t="str">
        <f t="shared" si="16"/>
        <v/>
      </c>
      <c r="S166" s="43" t="str">
        <f t="shared" si="16"/>
        <v/>
      </c>
      <c r="T166" s="43" t="str">
        <f t="shared" si="16"/>
        <v/>
      </c>
      <c r="U166" s="43" t="str">
        <f t="shared" si="16"/>
        <v/>
      </c>
      <c r="V166" s="43" t="str">
        <f t="shared" si="16"/>
        <v/>
      </c>
    </row>
    <row r="167" spans="1:22" x14ac:dyDescent="0.3">
      <c r="A167" s="42"/>
      <c r="B167" s="43" t="str">
        <f>IF($A167="","",SUMIFS([2]weekly_demand!$D:$D,[2]weekly_demand!$A:$A,B$1,[2]weekly_demand!$C:$C,$A167))</f>
        <v/>
      </c>
      <c r="C167" s="43" t="str">
        <f>IF($A167="","",SUMIFS([2]weekly_demand!$D:$D,[2]weekly_demand!$A:$A,C$1,[2]weekly_demand!$C:$C,$A167))</f>
        <v/>
      </c>
      <c r="D167" s="43" t="str">
        <f>IF($A167="","",SUMIFS([2]weekly_demand!$D:$D,[2]weekly_demand!$A:$A,D$1,[2]weekly_demand!$C:$C,$A167))</f>
        <v/>
      </c>
      <c r="E167" s="43" t="str">
        <f>IF($A167="","",SUMIFS([2]weekly_demand!$D:$D,[2]weekly_demand!$A:$A,E$1,[2]weekly_demand!$C:$C,$A167))</f>
        <v/>
      </c>
      <c r="F167" s="43" t="str">
        <f>IF($A167="","",SUMIFS([2]weekly_demand!$D:$D,[2]weekly_demand!$A:$A,F$1,[2]weekly_demand!$C:$C,$A167))</f>
        <v/>
      </c>
      <c r="G167" s="43" t="str">
        <f>IF($A167="","",SUMIFS([2]weekly_demand!$D:$D,[2]weekly_demand!$A:$A,G$1,[2]weekly_demand!$C:$C,$A167))</f>
        <v/>
      </c>
      <c r="H167" s="43" t="str">
        <f t="shared" si="16"/>
        <v/>
      </c>
      <c r="I167" s="43" t="str">
        <f t="shared" si="16"/>
        <v/>
      </c>
      <c r="J167" s="43" t="str">
        <f t="shared" si="16"/>
        <v/>
      </c>
      <c r="K167" s="43" t="str">
        <f t="shared" si="16"/>
        <v/>
      </c>
      <c r="L167" s="43" t="str">
        <f t="shared" si="16"/>
        <v/>
      </c>
      <c r="M167" s="43" t="str">
        <f t="shared" si="16"/>
        <v/>
      </c>
      <c r="N167" s="43" t="str">
        <f t="shared" si="16"/>
        <v/>
      </c>
      <c r="O167" s="43" t="str">
        <f t="shared" si="16"/>
        <v/>
      </c>
      <c r="P167" s="43" t="str">
        <f t="shared" si="16"/>
        <v/>
      </c>
      <c r="Q167" s="43" t="str">
        <f t="shared" si="16"/>
        <v/>
      </c>
      <c r="R167" s="43" t="str">
        <f t="shared" si="16"/>
        <v/>
      </c>
      <c r="S167" s="43" t="str">
        <f t="shared" si="16"/>
        <v/>
      </c>
      <c r="T167" s="43" t="str">
        <f t="shared" si="16"/>
        <v/>
      </c>
      <c r="U167" s="43" t="str">
        <f t="shared" si="16"/>
        <v/>
      </c>
      <c r="V167" s="43" t="str">
        <f t="shared" si="16"/>
        <v/>
      </c>
    </row>
    <row r="168" spans="1:22" x14ac:dyDescent="0.3">
      <c r="A168" s="42"/>
      <c r="B168" s="43" t="str">
        <f>IF($A168="","",SUMIFS([2]weekly_demand!$D:$D,[2]weekly_demand!$A:$A,B$1,[2]weekly_demand!$C:$C,$A168))</f>
        <v/>
      </c>
      <c r="C168" s="43" t="str">
        <f>IF($A168="","",SUMIFS([2]weekly_demand!$D:$D,[2]weekly_demand!$A:$A,C$1,[2]weekly_demand!$C:$C,$A168))</f>
        <v/>
      </c>
      <c r="D168" s="43" t="str">
        <f>IF($A168="","",SUMIFS([2]weekly_demand!$D:$D,[2]weekly_demand!$A:$A,D$1,[2]weekly_demand!$C:$C,$A168))</f>
        <v/>
      </c>
      <c r="E168" s="43" t="str">
        <f>IF($A168="","",SUMIFS([2]weekly_demand!$D:$D,[2]weekly_demand!$A:$A,E$1,[2]weekly_demand!$C:$C,$A168))</f>
        <v/>
      </c>
      <c r="F168" s="43" t="str">
        <f>IF($A168="","",SUMIFS([2]weekly_demand!$D:$D,[2]weekly_demand!$A:$A,F$1,[2]weekly_demand!$C:$C,$A168))</f>
        <v/>
      </c>
      <c r="G168" s="43" t="str">
        <f>IF($A168="","",SUMIFS([2]weekly_demand!$D:$D,[2]weekly_demand!$A:$A,G$1,[2]weekly_demand!$C:$C,$A168))</f>
        <v/>
      </c>
      <c r="H168" s="43" t="str">
        <f t="shared" si="16"/>
        <v/>
      </c>
      <c r="I168" s="43" t="str">
        <f t="shared" si="16"/>
        <v/>
      </c>
      <c r="J168" s="43" t="str">
        <f t="shared" si="16"/>
        <v/>
      </c>
      <c r="K168" s="43" t="str">
        <f t="shared" si="16"/>
        <v/>
      </c>
      <c r="L168" s="43" t="str">
        <f t="shared" si="16"/>
        <v/>
      </c>
      <c r="M168" s="43" t="str">
        <f t="shared" si="16"/>
        <v/>
      </c>
      <c r="N168" s="43" t="str">
        <f t="shared" si="16"/>
        <v/>
      </c>
      <c r="O168" s="43" t="str">
        <f t="shared" si="16"/>
        <v/>
      </c>
      <c r="P168" s="43" t="str">
        <f t="shared" si="16"/>
        <v/>
      </c>
      <c r="Q168" s="43" t="str">
        <f t="shared" si="16"/>
        <v/>
      </c>
      <c r="R168" s="43" t="str">
        <f t="shared" si="16"/>
        <v/>
      </c>
      <c r="S168" s="43" t="str">
        <f t="shared" si="16"/>
        <v/>
      </c>
      <c r="T168" s="43" t="str">
        <f t="shared" si="16"/>
        <v/>
      </c>
      <c r="U168" s="43" t="str">
        <f t="shared" si="16"/>
        <v/>
      </c>
      <c r="V168" s="43" t="str">
        <f t="shared" si="16"/>
        <v/>
      </c>
    </row>
    <row r="169" spans="1:22" x14ac:dyDescent="0.3">
      <c r="A169" s="42"/>
      <c r="B169" s="43" t="str">
        <f>IF($A169="","",SUMIFS([2]weekly_demand!$D:$D,[2]weekly_demand!$A:$A,B$1,[2]weekly_demand!$C:$C,$A169))</f>
        <v/>
      </c>
      <c r="C169" s="43" t="str">
        <f>IF($A169="","",SUMIFS([2]weekly_demand!$D:$D,[2]weekly_demand!$A:$A,C$1,[2]weekly_demand!$C:$C,$A169))</f>
        <v/>
      </c>
      <c r="D169" s="43" t="str">
        <f>IF($A169="","",SUMIFS([2]weekly_demand!$D:$D,[2]weekly_demand!$A:$A,D$1,[2]weekly_demand!$C:$C,$A169))</f>
        <v/>
      </c>
      <c r="E169" s="43" t="str">
        <f>IF($A169="","",SUMIFS([2]weekly_demand!$D:$D,[2]weekly_demand!$A:$A,E$1,[2]weekly_demand!$C:$C,$A169))</f>
        <v/>
      </c>
      <c r="F169" s="43" t="str">
        <f>IF($A169="","",SUMIFS([2]weekly_demand!$D:$D,[2]weekly_demand!$A:$A,F$1,[2]weekly_demand!$C:$C,$A169))</f>
        <v/>
      </c>
      <c r="G169" s="43" t="str">
        <f>IF($A169="","",SUMIFS([2]weekly_demand!$D:$D,[2]weekly_demand!$A:$A,G$1,[2]weekly_demand!$C:$C,$A169))</f>
        <v/>
      </c>
      <c r="H169" s="43" t="str">
        <f t="shared" si="16"/>
        <v/>
      </c>
      <c r="I169" s="43" t="str">
        <f t="shared" si="16"/>
        <v/>
      </c>
      <c r="J169" s="43" t="str">
        <f t="shared" si="16"/>
        <v/>
      </c>
      <c r="K169" s="43" t="str">
        <f t="shared" si="16"/>
        <v/>
      </c>
      <c r="L169" s="43" t="str">
        <f t="shared" si="16"/>
        <v/>
      </c>
      <c r="M169" s="43" t="str">
        <f t="shared" si="16"/>
        <v/>
      </c>
      <c r="N169" s="43" t="str">
        <f t="shared" si="16"/>
        <v/>
      </c>
      <c r="O169" s="43" t="str">
        <f t="shared" si="16"/>
        <v/>
      </c>
      <c r="P169" s="43" t="str">
        <f t="shared" si="16"/>
        <v/>
      </c>
      <c r="Q169" s="43" t="str">
        <f t="shared" si="16"/>
        <v/>
      </c>
      <c r="R169" s="43" t="str">
        <f t="shared" si="16"/>
        <v/>
      </c>
      <c r="S169" s="43" t="str">
        <f t="shared" si="16"/>
        <v/>
      </c>
      <c r="T169" s="43" t="str">
        <f t="shared" si="16"/>
        <v/>
      </c>
      <c r="U169" s="43" t="str">
        <f t="shared" si="16"/>
        <v/>
      </c>
      <c r="V169" s="43" t="str">
        <f t="shared" si="16"/>
        <v/>
      </c>
    </row>
    <row r="170" spans="1:22" x14ac:dyDescent="0.3">
      <c r="A170" s="42"/>
      <c r="B170" s="43" t="str">
        <f>IF($A170="","",SUMIFS([2]weekly_demand!$D:$D,[2]weekly_demand!$A:$A,B$1,[2]weekly_demand!$C:$C,$A170))</f>
        <v/>
      </c>
      <c r="C170" s="43" t="str">
        <f>IF($A170="","",SUMIFS([2]weekly_demand!$D:$D,[2]weekly_demand!$A:$A,C$1,[2]weekly_demand!$C:$C,$A170))</f>
        <v/>
      </c>
      <c r="D170" s="43" t="str">
        <f>IF($A170="","",SUMIFS([2]weekly_demand!$D:$D,[2]weekly_demand!$A:$A,D$1,[2]weekly_demand!$C:$C,$A170))</f>
        <v/>
      </c>
      <c r="E170" s="43" t="str">
        <f>IF($A170="","",SUMIFS([2]weekly_demand!$D:$D,[2]weekly_demand!$A:$A,E$1,[2]weekly_demand!$C:$C,$A170))</f>
        <v/>
      </c>
      <c r="F170" s="43" t="str">
        <f>IF($A170="","",SUMIFS([2]weekly_demand!$D:$D,[2]weekly_demand!$A:$A,F$1,[2]weekly_demand!$C:$C,$A170))</f>
        <v/>
      </c>
      <c r="G170" s="43" t="str">
        <f>IF($A170="","",SUMIFS([2]weekly_demand!$D:$D,[2]weekly_demand!$A:$A,G$1,[2]weekly_demand!$C:$C,$A170))</f>
        <v/>
      </c>
      <c r="H170" s="43" t="str">
        <f t="shared" si="16"/>
        <v/>
      </c>
      <c r="I170" s="43" t="str">
        <f t="shared" si="16"/>
        <v/>
      </c>
      <c r="J170" s="43" t="str">
        <f t="shared" si="16"/>
        <v/>
      </c>
      <c r="K170" s="43" t="str">
        <f t="shared" si="16"/>
        <v/>
      </c>
      <c r="L170" s="43" t="str">
        <f t="shared" si="16"/>
        <v/>
      </c>
      <c r="M170" s="43" t="str">
        <f t="shared" si="16"/>
        <v/>
      </c>
      <c r="N170" s="43" t="str">
        <f t="shared" si="16"/>
        <v/>
      </c>
      <c r="O170" s="43" t="str">
        <f t="shared" si="16"/>
        <v/>
      </c>
      <c r="P170" s="43" t="str">
        <f t="shared" si="16"/>
        <v/>
      </c>
      <c r="Q170" s="43" t="str">
        <f t="shared" si="16"/>
        <v/>
      </c>
      <c r="R170" s="43" t="str">
        <f t="shared" si="16"/>
        <v/>
      </c>
      <c r="S170" s="43" t="str">
        <f t="shared" si="16"/>
        <v/>
      </c>
      <c r="T170" s="43" t="str">
        <f t="shared" si="16"/>
        <v/>
      </c>
      <c r="U170" s="43" t="str">
        <f t="shared" si="16"/>
        <v/>
      </c>
      <c r="V170" s="43" t="str">
        <f t="shared" si="16"/>
        <v/>
      </c>
    </row>
    <row r="171" spans="1:22" x14ac:dyDescent="0.3">
      <c r="A171" s="42"/>
      <c r="B171" s="43" t="str">
        <f>IF($A171="","",SUMIFS([2]weekly_demand!$D:$D,[2]weekly_demand!$A:$A,B$1,[2]weekly_demand!$C:$C,$A171))</f>
        <v/>
      </c>
      <c r="C171" s="43" t="str">
        <f>IF($A171="","",SUMIFS([2]weekly_demand!$D:$D,[2]weekly_demand!$A:$A,C$1,[2]weekly_demand!$C:$C,$A171))</f>
        <v/>
      </c>
      <c r="D171" s="43" t="str">
        <f>IF($A171="","",SUMIFS([2]weekly_demand!$D:$D,[2]weekly_demand!$A:$A,D$1,[2]weekly_demand!$C:$C,$A171))</f>
        <v/>
      </c>
      <c r="E171" s="43" t="str">
        <f>IF($A171="","",SUMIFS([2]weekly_demand!$D:$D,[2]weekly_demand!$A:$A,E$1,[2]weekly_demand!$C:$C,$A171))</f>
        <v/>
      </c>
      <c r="F171" s="43" t="str">
        <f>IF($A171="","",SUMIFS([2]weekly_demand!$D:$D,[2]weekly_demand!$A:$A,F$1,[2]weekly_demand!$C:$C,$A171))</f>
        <v/>
      </c>
      <c r="G171" s="43" t="str">
        <f>IF($A171="","",SUMIFS([2]weekly_demand!$D:$D,[2]weekly_demand!$A:$A,G$1,[2]weekly_demand!$C:$C,$A171))</f>
        <v/>
      </c>
      <c r="H171" s="43" t="str">
        <f t="shared" si="16"/>
        <v/>
      </c>
      <c r="I171" s="43" t="str">
        <f t="shared" si="16"/>
        <v/>
      </c>
      <c r="J171" s="43" t="str">
        <f t="shared" si="16"/>
        <v/>
      </c>
      <c r="K171" s="43" t="str">
        <f t="shared" si="16"/>
        <v/>
      </c>
      <c r="L171" s="43" t="str">
        <f t="shared" si="16"/>
        <v/>
      </c>
      <c r="M171" s="43" t="str">
        <f t="shared" si="16"/>
        <v/>
      </c>
      <c r="N171" s="43" t="str">
        <f t="shared" si="16"/>
        <v/>
      </c>
      <c r="O171" s="43" t="str">
        <f t="shared" si="16"/>
        <v/>
      </c>
      <c r="P171" s="43" t="str">
        <f t="shared" si="16"/>
        <v/>
      </c>
      <c r="Q171" s="43" t="str">
        <f t="shared" si="16"/>
        <v/>
      </c>
      <c r="R171" s="43" t="str">
        <f t="shared" si="16"/>
        <v/>
      </c>
      <c r="S171" s="43" t="str">
        <f t="shared" si="16"/>
        <v/>
      </c>
      <c r="T171" s="43" t="str">
        <f t="shared" si="16"/>
        <v/>
      </c>
      <c r="U171" s="43" t="str">
        <f t="shared" si="16"/>
        <v/>
      </c>
      <c r="V171" s="43" t="str">
        <f t="shared" si="16"/>
        <v/>
      </c>
    </row>
    <row r="172" spans="1:22" x14ac:dyDescent="0.3">
      <c r="A172" s="42"/>
      <c r="B172" s="43" t="str">
        <f>IF($A172="","",SUMIFS([2]weekly_demand!$D:$D,[2]weekly_demand!$A:$A,B$1,[2]weekly_demand!$C:$C,$A172))</f>
        <v/>
      </c>
      <c r="C172" s="43" t="str">
        <f>IF($A172="","",SUMIFS([2]weekly_demand!$D:$D,[2]weekly_demand!$A:$A,C$1,[2]weekly_demand!$C:$C,$A172))</f>
        <v/>
      </c>
      <c r="D172" s="43" t="str">
        <f>IF($A172="","",SUMIFS([2]weekly_demand!$D:$D,[2]weekly_demand!$A:$A,D$1,[2]weekly_demand!$C:$C,$A172))</f>
        <v/>
      </c>
      <c r="E172" s="43" t="str">
        <f>IF($A172="","",SUMIFS([2]weekly_demand!$D:$D,[2]weekly_demand!$A:$A,E$1,[2]weekly_demand!$C:$C,$A172))</f>
        <v/>
      </c>
      <c r="F172" s="43" t="str">
        <f>IF($A172="","",SUMIFS([2]weekly_demand!$D:$D,[2]weekly_demand!$A:$A,F$1,[2]weekly_demand!$C:$C,$A172))</f>
        <v/>
      </c>
      <c r="G172" s="43" t="str">
        <f>IF($A172="","",SUMIFS([2]weekly_demand!$D:$D,[2]weekly_demand!$A:$A,G$1,[2]weekly_demand!$C:$C,$A172))</f>
        <v/>
      </c>
      <c r="H172" s="43" t="str">
        <f t="shared" ref="H172:V181" si="17">IF($A172="","",SUMPRODUCT($B172:$G172,INDEX($Y$2:$AD$16,MATCH(H$1,$X$2:$X$16,0),0)))</f>
        <v/>
      </c>
      <c r="I172" s="43" t="str">
        <f t="shared" si="17"/>
        <v/>
      </c>
      <c r="J172" s="43" t="str">
        <f t="shared" si="17"/>
        <v/>
      </c>
      <c r="K172" s="43" t="str">
        <f t="shared" si="17"/>
        <v/>
      </c>
      <c r="L172" s="43" t="str">
        <f t="shared" si="17"/>
        <v/>
      </c>
      <c r="M172" s="43" t="str">
        <f t="shared" si="17"/>
        <v/>
      </c>
      <c r="N172" s="43" t="str">
        <f t="shared" si="17"/>
        <v/>
      </c>
      <c r="O172" s="43" t="str">
        <f t="shared" si="17"/>
        <v/>
      </c>
      <c r="P172" s="43" t="str">
        <f t="shared" si="17"/>
        <v/>
      </c>
      <c r="Q172" s="43" t="str">
        <f t="shared" si="17"/>
        <v/>
      </c>
      <c r="R172" s="43" t="str">
        <f t="shared" si="17"/>
        <v/>
      </c>
      <c r="S172" s="43" t="str">
        <f t="shared" si="17"/>
        <v/>
      </c>
      <c r="T172" s="43" t="str">
        <f t="shared" si="17"/>
        <v/>
      </c>
      <c r="U172" s="43" t="str">
        <f t="shared" si="17"/>
        <v/>
      </c>
      <c r="V172" s="43" t="str">
        <f t="shared" si="17"/>
        <v/>
      </c>
    </row>
    <row r="173" spans="1:22" x14ac:dyDescent="0.3">
      <c r="A173" s="42"/>
      <c r="B173" s="43" t="str">
        <f>IF($A173="","",SUMIFS([2]weekly_demand!$D:$D,[2]weekly_demand!$A:$A,B$1,[2]weekly_demand!$C:$C,$A173))</f>
        <v/>
      </c>
      <c r="C173" s="43" t="str">
        <f>IF($A173="","",SUMIFS([2]weekly_demand!$D:$D,[2]weekly_demand!$A:$A,C$1,[2]weekly_demand!$C:$C,$A173))</f>
        <v/>
      </c>
      <c r="D173" s="43" t="str">
        <f>IF($A173="","",SUMIFS([2]weekly_demand!$D:$D,[2]weekly_demand!$A:$A,D$1,[2]weekly_demand!$C:$C,$A173))</f>
        <v/>
      </c>
      <c r="E173" s="43" t="str">
        <f>IF($A173="","",SUMIFS([2]weekly_demand!$D:$D,[2]weekly_demand!$A:$A,E$1,[2]weekly_demand!$C:$C,$A173))</f>
        <v/>
      </c>
      <c r="F173" s="43" t="str">
        <f>IF($A173="","",SUMIFS([2]weekly_demand!$D:$D,[2]weekly_demand!$A:$A,F$1,[2]weekly_demand!$C:$C,$A173))</f>
        <v/>
      </c>
      <c r="G173" s="43" t="str">
        <f>IF($A173="","",SUMIFS([2]weekly_demand!$D:$D,[2]weekly_demand!$A:$A,G$1,[2]weekly_demand!$C:$C,$A173))</f>
        <v/>
      </c>
      <c r="H173" s="43" t="str">
        <f t="shared" si="17"/>
        <v/>
      </c>
      <c r="I173" s="43" t="str">
        <f t="shared" si="17"/>
        <v/>
      </c>
      <c r="J173" s="43" t="str">
        <f t="shared" si="17"/>
        <v/>
      </c>
      <c r="K173" s="43" t="str">
        <f t="shared" si="17"/>
        <v/>
      </c>
      <c r="L173" s="43" t="str">
        <f t="shared" si="17"/>
        <v/>
      </c>
      <c r="M173" s="43" t="str">
        <f t="shared" si="17"/>
        <v/>
      </c>
      <c r="N173" s="43" t="str">
        <f t="shared" si="17"/>
        <v/>
      </c>
      <c r="O173" s="43" t="str">
        <f t="shared" si="17"/>
        <v/>
      </c>
      <c r="P173" s="43" t="str">
        <f t="shared" si="17"/>
        <v/>
      </c>
      <c r="Q173" s="43" t="str">
        <f t="shared" si="17"/>
        <v/>
      </c>
      <c r="R173" s="43" t="str">
        <f t="shared" si="17"/>
        <v/>
      </c>
      <c r="S173" s="43" t="str">
        <f t="shared" si="17"/>
        <v/>
      </c>
      <c r="T173" s="43" t="str">
        <f t="shared" si="17"/>
        <v/>
      </c>
      <c r="U173" s="43" t="str">
        <f t="shared" si="17"/>
        <v/>
      </c>
      <c r="V173" s="43" t="str">
        <f t="shared" si="17"/>
        <v/>
      </c>
    </row>
    <row r="174" spans="1:22" x14ac:dyDescent="0.3">
      <c r="A174" s="42"/>
      <c r="B174" s="43" t="str">
        <f>IF($A174="","",SUMIFS([2]weekly_demand!$D:$D,[2]weekly_demand!$A:$A,B$1,[2]weekly_demand!$C:$C,$A174))</f>
        <v/>
      </c>
      <c r="C174" s="43" t="str">
        <f>IF($A174="","",SUMIFS([2]weekly_demand!$D:$D,[2]weekly_demand!$A:$A,C$1,[2]weekly_demand!$C:$C,$A174))</f>
        <v/>
      </c>
      <c r="D174" s="43" t="str">
        <f>IF($A174="","",SUMIFS([2]weekly_demand!$D:$D,[2]weekly_demand!$A:$A,D$1,[2]weekly_demand!$C:$C,$A174))</f>
        <v/>
      </c>
      <c r="E174" s="43" t="str">
        <f>IF($A174="","",SUMIFS([2]weekly_demand!$D:$D,[2]weekly_demand!$A:$A,E$1,[2]weekly_demand!$C:$C,$A174))</f>
        <v/>
      </c>
      <c r="F174" s="43" t="str">
        <f>IF($A174="","",SUMIFS([2]weekly_demand!$D:$D,[2]weekly_demand!$A:$A,F$1,[2]weekly_demand!$C:$C,$A174))</f>
        <v/>
      </c>
      <c r="G174" s="43" t="str">
        <f>IF($A174="","",SUMIFS([2]weekly_demand!$D:$D,[2]weekly_demand!$A:$A,G$1,[2]weekly_demand!$C:$C,$A174))</f>
        <v/>
      </c>
      <c r="H174" s="43" t="str">
        <f t="shared" si="17"/>
        <v/>
      </c>
      <c r="I174" s="43" t="str">
        <f t="shared" si="17"/>
        <v/>
      </c>
      <c r="J174" s="43" t="str">
        <f t="shared" si="17"/>
        <v/>
      </c>
      <c r="K174" s="43" t="str">
        <f t="shared" si="17"/>
        <v/>
      </c>
      <c r="L174" s="43" t="str">
        <f t="shared" si="17"/>
        <v/>
      </c>
      <c r="M174" s="43" t="str">
        <f t="shared" si="17"/>
        <v/>
      </c>
      <c r="N174" s="43" t="str">
        <f t="shared" si="17"/>
        <v/>
      </c>
      <c r="O174" s="43" t="str">
        <f t="shared" si="17"/>
        <v/>
      </c>
      <c r="P174" s="43" t="str">
        <f t="shared" si="17"/>
        <v/>
      </c>
      <c r="Q174" s="43" t="str">
        <f t="shared" si="17"/>
        <v/>
      </c>
      <c r="R174" s="43" t="str">
        <f t="shared" si="17"/>
        <v/>
      </c>
      <c r="S174" s="43" t="str">
        <f t="shared" si="17"/>
        <v/>
      </c>
      <c r="T174" s="43" t="str">
        <f t="shared" si="17"/>
        <v/>
      </c>
      <c r="U174" s="43" t="str">
        <f t="shared" si="17"/>
        <v/>
      </c>
      <c r="V174" s="43" t="str">
        <f t="shared" si="17"/>
        <v/>
      </c>
    </row>
    <row r="175" spans="1:22" x14ac:dyDescent="0.3">
      <c r="A175" s="42"/>
      <c r="B175" s="43" t="str">
        <f>IF($A175="","",SUMIFS([2]weekly_demand!$D:$D,[2]weekly_demand!$A:$A,B$1,[2]weekly_demand!$C:$C,$A175))</f>
        <v/>
      </c>
      <c r="C175" s="43" t="str">
        <f>IF($A175="","",SUMIFS([2]weekly_demand!$D:$D,[2]weekly_demand!$A:$A,C$1,[2]weekly_demand!$C:$C,$A175))</f>
        <v/>
      </c>
      <c r="D175" s="43" t="str">
        <f>IF($A175="","",SUMIFS([2]weekly_demand!$D:$D,[2]weekly_demand!$A:$A,D$1,[2]weekly_demand!$C:$C,$A175))</f>
        <v/>
      </c>
      <c r="E175" s="43" t="str">
        <f>IF($A175="","",SUMIFS([2]weekly_demand!$D:$D,[2]weekly_demand!$A:$A,E$1,[2]weekly_demand!$C:$C,$A175))</f>
        <v/>
      </c>
      <c r="F175" s="43" t="str">
        <f>IF($A175="","",SUMIFS([2]weekly_demand!$D:$D,[2]weekly_demand!$A:$A,F$1,[2]weekly_demand!$C:$C,$A175))</f>
        <v/>
      </c>
      <c r="G175" s="43" t="str">
        <f>IF($A175="","",SUMIFS([2]weekly_demand!$D:$D,[2]weekly_demand!$A:$A,G$1,[2]weekly_demand!$C:$C,$A175))</f>
        <v/>
      </c>
      <c r="H175" s="43" t="str">
        <f t="shared" si="17"/>
        <v/>
      </c>
      <c r="I175" s="43" t="str">
        <f t="shared" si="17"/>
        <v/>
      </c>
      <c r="J175" s="43" t="str">
        <f t="shared" si="17"/>
        <v/>
      </c>
      <c r="K175" s="43" t="str">
        <f t="shared" si="17"/>
        <v/>
      </c>
      <c r="L175" s="43" t="str">
        <f t="shared" si="17"/>
        <v/>
      </c>
      <c r="M175" s="43" t="str">
        <f t="shared" si="17"/>
        <v/>
      </c>
      <c r="N175" s="43" t="str">
        <f t="shared" si="17"/>
        <v/>
      </c>
      <c r="O175" s="43" t="str">
        <f t="shared" si="17"/>
        <v/>
      </c>
      <c r="P175" s="43" t="str">
        <f t="shared" si="17"/>
        <v/>
      </c>
      <c r="Q175" s="43" t="str">
        <f t="shared" si="17"/>
        <v/>
      </c>
      <c r="R175" s="43" t="str">
        <f t="shared" si="17"/>
        <v/>
      </c>
      <c r="S175" s="43" t="str">
        <f t="shared" si="17"/>
        <v/>
      </c>
      <c r="T175" s="43" t="str">
        <f t="shared" si="17"/>
        <v/>
      </c>
      <c r="U175" s="43" t="str">
        <f t="shared" si="17"/>
        <v/>
      </c>
      <c r="V175" s="43" t="str">
        <f t="shared" si="17"/>
        <v/>
      </c>
    </row>
    <row r="176" spans="1:22" x14ac:dyDescent="0.3">
      <c r="A176" s="42"/>
      <c r="B176" s="43" t="str">
        <f>IF($A176="","",SUMIFS([2]weekly_demand!$D:$D,[2]weekly_demand!$A:$A,B$1,[2]weekly_demand!$C:$C,$A176))</f>
        <v/>
      </c>
      <c r="C176" s="43" t="str">
        <f>IF($A176="","",SUMIFS([2]weekly_demand!$D:$D,[2]weekly_demand!$A:$A,C$1,[2]weekly_demand!$C:$C,$A176))</f>
        <v/>
      </c>
      <c r="D176" s="43" t="str">
        <f>IF($A176="","",SUMIFS([2]weekly_demand!$D:$D,[2]weekly_demand!$A:$A,D$1,[2]weekly_demand!$C:$C,$A176))</f>
        <v/>
      </c>
      <c r="E176" s="43" t="str">
        <f>IF($A176="","",SUMIFS([2]weekly_demand!$D:$D,[2]weekly_demand!$A:$A,E$1,[2]weekly_demand!$C:$C,$A176))</f>
        <v/>
      </c>
      <c r="F176" s="43" t="str">
        <f>IF($A176="","",SUMIFS([2]weekly_demand!$D:$D,[2]weekly_demand!$A:$A,F$1,[2]weekly_demand!$C:$C,$A176))</f>
        <v/>
      </c>
      <c r="G176" s="43" t="str">
        <f>IF($A176="","",SUMIFS([2]weekly_demand!$D:$D,[2]weekly_demand!$A:$A,G$1,[2]weekly_demand!$C:$C,$A176))</f>
        <v/>
      </c>
      <c r="H176" s="43" t="str">
        <f t="shared" si="17"/>
        <v/>
      </c>
      <c r="I176" s="43" t="str">
        <f t="shared" si="17"/>
        <v/>
      </c>
      <c r="J176" s="43" t="str">
        <f t="shared" si="17"/>
        <v/>
      </c>
      <c r="K176" s="43" t="str">
        <f t="shared" si="17"/>
        <v/>
      </c>
      <c r="L176" s="43" t="str">
        <f t="shared" si="17"/>
        <v/>
      </c>
      <c r="M176" s="43" t="str">
        <f t="shared" si="17"/>
        <v/>
      </c>
      <c r="N176" s="43" t="str">
        <f t="shared" si="17"/>
        <v/>
      </c>
      <c r="O176" s="43" t="str">
        <f t="shared" si="17"/>
        <v/>
      </c>
      <c r="P176" s="43" t="str">
        <f t="shared" si="17"/>
        <v/>
      </c>
      <c r="Q176" s="43" t="str">
        <f t="shared" si="17"/>
        <v/>
      </c>
      <c r="R176" s="43" t="str">
        <f t="shared" si="17"/>
        <v/>
      </c>
      <c r="S176" s="43" t="str">
        <f t="shared" si="17"/>
        <v/>
      </c>
      <c r="T176" s="43" t="str">
        <f t="shared" si="17"/>
        <v/>
      </c>
      <c r="U176" s="43" t="str">
        <f t="shared" si="17"/>
        <v/>
      </c>
      <c r="V176" s="43" t="str">
        <f t="shared" si="17"/>
        <v/>
      </c>
    </row>
    <row r="177" spans="1:22" x14ac:dyDescent="0.3">
      <c r="A177" s="42"/>
      <c r="B177" s="43" t="str">
        <f>IF($A177="","",SUMIFS([2]weekly_demand!$D:$D,[2]weekly_demand!$A:$A,B$1,[2]weekly_demand!$C:$C,$A177))</f>
        <v/>
      </c>
      <c r="C177" s="43" t="str">
        <f>IF($A177="","",SUMIFS([2]weekly_demand!$D:$D,[2]weekly_demand!$A:$A,C$1,[2]weekly_demand!$C:$C,$A177))</f>
        <v/>
      </c>
      <c r="D177" s="43" t="str">
        <f>IF($A177="","",SUMIFS([2]weekly_demand!$D:$D,[2]weekly_demand!$A:$A,D$1,[2]weekly_demand!$C:$C,$A177))</f>
        <v/>
      </c>
      <c r="E177" s="43" t="str">
        <f>IF($A177="","",SUMIFS([2]weekly_demand!$D:$D,[2]weekly_demand!$A:$A,E$1,[2]weekly_demand!$C:$C,$A177))</f>
        <v/>
      </c>
      <c r="F177" s="43" t="str">
        <f>IF($A177="","",SUMIFS([2]weekly_demand!$D:$D,[2]weekly_demand!$A:$A,F$1,[2]weekly_demand!$C:$C,$A177))</f>
        <v/>
      </c>
      <c r="G177" s="43" t="str">
        <f>IF($A177="","",SUMIFS([2]weekly_demand!$D:$D,[2]weekly_demand!$A:$A,G$1,[2]weekly_demand!$C:$C,$A177))</f>
        <v/>
      </c>
      <c r="H177" s="43" t="str">
        <f t="shared" si="17"/>
        <v/>
      </c>
      <c r="I177" s="43" t="str">
        <f t="shared" si="17"/>
        <v/>
      </c>
      <c r="J177" s="43" t="str">
        <f t="shared" si="17"/>
        <v/>
      </c>
      <c r="K177" s="43" t="str">
        <f t="shared" si="17"/>
        <v/>
      </c>
      <c r="L177" s="43" t="str">
        <f t="shared" si="17"/>
        <v/>
      </c>
      <c r="M177" s="43" t="str">
        <f t="shared" si="17"/>
        <v/>
      </c>
      <c r="N177" s="43" t="str">
        <f t="shared" si="17"/>
        <v/>
      </c>
      <c r="O177" s="43" t="str">
        <f t="shared" si="17"/>
        <v/>
      </c>
      <c r="P177" s="43" t="str">
        <f t="shared" si="17"/>
        <v/>
      </c>
      <c r="Q177" s="43" t="str">
        <f t="shared" si="17"/>
        <v/>
      </c>
      <c r="R177" s="43" t="str">
        <f t="shared" si="17"/>
        <v/>
      </c>
      <c r="S177" s="43" t="str">
        <f t="shared" si="17"/>
        <v/>
      </c>
      <c r="T177" s="43" t="str">
        <f t="shared" si="17"/>
        <v/>
      </c>
      <c r="U177" s="43" t="str">
        <f t="shared" si="17"/>
        <v/>
      </c>
      <c r="V177" s="43" t="str">
        <f t="shared" si="17"/>
        <v/>
      </c>
    </row>
    <row r="178" spans="1:22" x14ac:dyDescent="0.3">
      <c r="A178" s="42"/>
      <c r="B178" s="43" t="str">
        <f>IF($A178="","",SUMIFS([2]weekly_demand!$D:$D,[2]weekly_demand!$A:$A,B$1,[2]weekly_demand!$C:$C,$A178))</f>
        <v/>
      </c>
      <c r="C178" s="43" t="str">
        <f>IF($A178="","",SUMIFS([2]weekly_demand!$D:$D,[2]weekly_demand!$A:$A,C$1,[2]weekly_demand!$C:$C,$A178))</f>
        <v/>
      </c>
      <c r="D178" s="43" t="str">
        <f>IF($A178="","",SUMIFS([2]weekly_demand!$D:$D,[2]weekly_demand!$A:$A,D$1,[2]weekly_demand!$C:$C,$A178))</f>
        <v/>
      </c>
      <c r="E178" s="43" t="str">
        <f>IF($A178="","",SUMIFS([2]weekly_demand!$D:$D,[2]weekly_demand!$A:$A,E$1,[2]weekly_demand!$C:$C,$A178))</f>
        <v/>
      </c>
      <c r="F178" s="43" t="str">
        <f>IF($A178="","",SUMIFS([2]weekly_demand!$D:$D,[2]weekly_demand!$A:$A,F$1,[2]weekly_demand!$C:$C,$A178))</f>
        <v/>
      </c>
      <c r="G178" s="43" t="str">
        <f>IF($A178="","",SUMIFS([2]weekly_demand!$D:$D,[2]weekly_demand!$A:$A,G$1,[2]weekly_demand!$C:$C,$A178))</f>
        <v/>
      </c>
      <c r="H178" s="43" t="str">
        <f t="shared" si="17"/>
        <v/>
      </c>
      <c r="I178" s="43" t="str">
        <f t="shared" si="17"/>
        <v/>
      </c>
      <c r="J178" s="43" t="str">
        <f t="shared" si="17"/>
        <v/>
      </c>
      <c r="K178" s="43" t="str">
        <f t="shared" si="17"/>
        <v/>
      </c>
      <c r="L178" s="43" t="str">
        <f t="shared" si="17"/>
        <v/>
      </c>
      <c r="M178" s="43" t="str">
        <f t="shared" si="17"/>
        <v/>
      </c>
      <c r="N178" s="43" t="str">
        <f t="shared" si="17"/>
        <v/>
      </c>
      <c r="O178" s="43" t="str">
        <f t="shared" si="17"/>
        <v/>
      </c>
      <c r="P178" s="43" t="str">
        <f t="shared" si="17"/>
        <v/>
      </c>
      <c r="Q178" s="43" t="str">
        <f t="shared" si="17"/>
        <v/>
      </c>
      <c r="R178" s="43" t="str">
        <f t="shared" si="17"/>
        <v/>
      </c>
      <c r="S178" s="43" t="str">
        <f t="shared" si="17"/>
        <v/>
      </c>
      <c r="T178" s="43" t="str">
        <f t="shared" si="17"/>
        <v/>
      </c>
      <c r="U178" s="43" t="str">
        <f t="shared" si="17"/>
        <v/>
      </c>
      <c r="V178" s="43" t="str">
        <f t="shared" si="17"/>
        <v/>
      </c>
    </row>
    <row r="179" spans="1:22" x14ac:dyDescent="0.3">
      <c r="A179" s="42"/>
      <c r="B179" s="43" t="str">
        <f>IF($A179="","",SUMIFS([2]weekly_demand!$D:$D,[2]weekly_demand!$A:$A,B$1,[2]weekly_demand!$C:$C,$A179))</f>
        <v/>
      </c>
      <c r="C179" s="43" t="str">
        <f>IF($A179="","",SUMIFS([2]weekly_demand!$D:$D,[2]weekly_demand!$A:$A,C$1,[2]weekly_demand!$C:$C,$A179))</f>
        <v/>
      </c>
      <c r="D179" s="43" t="str">
        <f>IF($A179="","",SUMIFS([2]weekly_demand!$D:$D,[2]weekly_demand!$A:$A,D$1,[2]weekly_demand!$C:$C,$A179))</f>
        <v/>
      </c>
      <c r="E179" s="43" t="str">
        <f>IF($A179="","",SUMIFS([2]weekly_demand!$D:$D,[2]weekly_demand!$A:$A,E$1,[2]weekly_demand!$C:$C,$A179))</f>
        <v/>
      </c>
      <c r="F179" s="43" t="str">
        <f>IF($A179="","",SUMIFS([2]weekly_demand!$D:$D,[2]weekly_demand!$A:$A,F$1,[2]weekly_demand!$C:$C,$A179))</f>
        <v/>
      </c>
      <c r="G179" s="43" t="str">
        <f>IF($A179="","",SUMIFS([2]weekly_demand!$D:$D,[2]weekly_demand!$A:$A,G$1,[2]weekly_demand!$C:$C,$A179))</f>
        <v/>
      </c>
      <c r="H179" s="43" t="str">
        <f t="shared" si="17"/>
        <v/>
      </c>
      <c r="I179" s="43" t="str">
        <f t="shared" si="17"/>
        <v/>
      </c>
      <c r="J179" s="43" t="str">
        <f t="shared" si="17"/>
        <v/>
      </c>
      <c r="K179" s="43" t="str">
        <f t="shared" si="17"/>
        <v/>
      </c>
      <c r="L179" s="43" t="str">
        <f t="shared" si="17"/>
        <v/>
      </c>
      <c r="M179" s="43" t="str">
        <f t="shared" si="17"/>
        <v/>
      </c>
      <c r="N179" s="43" t="str">
        <f t="shared" si="17"/>
        <v/>
      </c>
      <c r="O179" s="43" t="str">
        <f t="shared" si="17"/>
        <v/>
      </c>
      <c r="P179" s="43" t="str">
        <f t="shared" si="17"/>
        <v/>
      </c>
      <c r="Q179" s="43" t="str">
        <f t="shared" si="17"/>
        <v/>
      </c>
      <c r="R179" s="43" t="str">
        <f t="shared" si="17"/>
        <v/>
      </c>
      <c r="S179" s="43" t="str">
        <f t="shared" si="17"/>
        <v/>
      </c>
      <c r="T179" s="43" t="str">
        <f t="shared" si="17"/>
        <v/>
      </c>
      <c r="U179" s="43" t="str">
        <f t="shared" si="17"/>
        <v/>
      </c>
      <c r="V179" s="43" t="str">
        <f t="shared" si="17"/>
        <v/>
      </c>
    </row>
    <row r="180" spans="1:22" x14ac:dyDescent="0.3">
      <c r="A180" s="42"/>
      <c r="B180" s="43" t="str">
        <f>IF($A180="","",SUMIFS([2]weekly_demand!$D:$D,[2]weekly_demand!$A:$A,B$1,[2]weekly_demand!$C:$C,$A180))</f>
        <v/>
      </c>
      <c r="C180" s="43" t="str">
        <f>IF($A180="","",SUMIFS([2]weekly_demand!$D:$D,[2]weekly_demand!$A:$A,C$1,[2]weekly_demand!$C:$C,$A180))</f>
        <v/>
      </c>
      <c r="D180" s="43" t="str">
        <f>IF($A180="","",SUMIFS([2]weekly_demand!$D:$D,[2]weekly_demand!$A:$A,D$1,[2]weekly_demand!$C:$C,$A180))</f>
        <v/>
      </c>
      <c r="E180" s="43" t="str">
        <f>IF($A180="","",SUMIFS([2]weekly_demand!$D:$D,[2]weekly_demand!$A:$A,E$1,[2]weekly_demand!$C:$C,$A180))</f>
        <v/>
      </c>
      <c r="F180" s="43" t="str">
        <f>IF($A180="","",SUMIFS([2]weekly_demand!$D:$D,[2]weekly_demand!$A:$A,F$1,[2]weekly_demand!$C:$C,$A180))</f>
        <v/>
      </c>
      <c r="G180" s="43" t="str">
        <f>IF($A180="","",SUMIFS([2]weekly_demand!$D:$D,[2]weekly_demand!$A:$A,G$1,[2]weekly_demand!$C:$C,$A180))</f>
        <v/>
      </c>
      <c r="H180" s="43" t="str">
        <f t="shared" si="17"/>
        <v/>
      </c>
      <c r="I180" s="43" t="str">
        <f t="shared" si="17"/>
        <v/>
      </c>
      <c r="J180" s="43" t="str">
        <f t="shared" si="17"/>
        <v/>
      </c>
      <c r="K180" s="43" t="str">
        <f t="shared" si="17"/>
        <v/>
      </c>
      <c r="L180" s="43" t="str">
        <f t="shared" si="17"/>
        <v/>
      </c>
      <c r="M180" s="43" t="str">
        <f t="shared" si="17"/>
        <v/>
      </c>
      <c r="N180" s="43" t="str">
        <f t="shared" si="17"/>
        <v/>
      </c>
      <c r="O180" s="43" t="str">
        <f t="shared" si="17"/>
        <v/>
      </c>
      <c r="P180" s="43" t="str">
        <f t="shared" si="17"/>
        <v/>
      </c>
      <c r="Q180" s="43" t="str">
        <f t="shared" si="17"/>
        <v/>
      </c>
      <c r="R180" s="43" t="str">
        <f t="shared" si="17"/>
        <v/>
      </c>
      <c r="S180" s="43" t="str">
        <f t="shared" si="17"/>
        <v/>
      </c>
      <c r="T180" s="43" t="str">
        <f t="shared" si="17"/>
        <v/>
      </c>
      <c r="U180" s="43" t="str">
        <f t="shared" si="17"/>
        <v/>
      </c>
      <c r="V180" s="43" t="str">
        <f t="shared" si="17"/>
        <v/>
      </c>
    </row>
    <row r="181" spans="1:22" x14ac:dyDescent="0.3">
      <c r="A181" s="42"/>
      <c r="B181" s="43" t="str">
        <f>IF($A181="","",SUMIFS([2]weekly_demand!$D:$D,[2]weekly_demand!$A:$A,B$1,[2]weekly_demand!$C:$C,$A181))</f>
        <v/>
      </c>
      <c r="C181" s="43" t="str">
        <f>IF($A181="","",SUMIFS([2]weekly_demand!$D:$D,[2]weekly_demand!$A:$A,C$1,[2]weekly_demand!$C:$C,$A181))</f>
        <v/>
      </c>
      <c r="D181" s="43" t="str">
        <f>IF($A181="","",SUMIFS([2]weekly_demand!$D:$D,[2]weekly_demand!$A:$A,D$1,[2]weekly_demand!$C:$C,$A181))</f>
        <v/>
      </c>
      <c r="E181" s="43" t="str">
        <f>IF($A181="","",SUMIFS([2]weekly_demand!$D:$D,[2]weekly_demand!$A:$A,E$1,[2]weekly_demand!$C:$C,$A181))</f>
        <v/>
      </c>
      <c r="F181" s="43" t="str">
        <f>IF($A181="","",SUMIFS([2]weekly_demand!$D:$D,[2]weekly_demand!$A:$A,F$1,[2]weekly_demand!$C:$C,$A181))</f>
        <v/>
      </c>
      <c r="G181" s="43" t="str">
        <f>IF($A181="","",SUMIFS([2]weekly_demand!$D:$D,[2]weekly_demand!$A:$A,G$1,[2]weekly_demand!$C:$C,$A181))</f>
        <v/>
      </c>
      <c r="H181" s="43" t="str">
        <f t="shared" si="17"/>
        <v/>
      </c>
      <c r="I181" s="43" t="str">
        <f t="shared" si="17"/>
        <v/>
      </c>
      <c r="J181" s="43" t="str">
        <f t="shared" si="17"/>
        <v/>
      </c>
      <c r="K181" s="43" t="str">
        <f t="shared" si="17"/>
        <v/>
      </c>
      <c r="L181" s="43" t="str">
        <f t="shared" si="17"/>
        <v/>
      </c>
      <c r="M181" s="43" t="str">
        <f t="shared" si="17"/>
        <v/>
      </c>
      <c r="N181" s="43" t="str">
        <f t="shared" si="17"/>
        <v/>
      </c>
      <c r="O181" s="43" t="str">
        <f t="shared" si="17"/>
        <v/>
      </c>
      <c r="P181" s="43" t="str">
        <f t="shared" si="17"/>
        <v/>
      </c>
      <c r="Q181" s="43" t="str">
        <f t="shared" si="17"/>
        <v/>
      </c>
      <c r="R181" s="43" t="str">
        <f t="shared" si="17"/>
        <v/>
      </c>
      <c r="S181" s="43" t="str">
        <f t="shared" si="17"/>
        <v/>
      </c>
      <c r="T181" s="43" t="str">
        <f t="shared" si="17"/>
        <v/>
      </c>
      <c r="U181" s="43" t="str">
        <f t="shared" si="17"/>
        <v/>
      </c>
      <c r="V181" s="43" t="str">
        <f t="shared" si="17"/>
        <v/>
      </c>
    </row>
    <row r="182" spans="1:22" x14ac:dyDescent="0.3">
      <c r="A182" s="42"/>
      <c r="B182" s="43" t="str">
        <f>IF($A182="","",SUMIFS([2]weekly_demand!$D:$D,[2]weekly_demand!$A:$A,B$1,[2]weekly_demand!$C:$C,$A182))</f>
        <v/>
      </c>
      <c r="C182" s="43" t="str">
        <f>IF($A182="","",SUMIFS([2]weekly_demand!$D:$D,[2]weekly_demand!$A:$A,C$1,[2]weekly_demand!$C:$C,$A182))</f>
        <v/>
      </c>
      <c r="D182" s="43" t="str">
        <f>IF($A182="","",SUMIFS([2]weekly_demand!$D:$D,[2]weekly_demand!$A:$A,D$1,[2]weekly_demand!$C:$C,$A182))</f>
        <v/>
      </c>
      <c r="E182" s="43" t="str">
        <f>IF($A182="","",SUMIFS([2]weekly_demand!$D:$D,[2]weekly_demand!$A:$A,E$1,[2]weekly_demand!$C:$C,$A182))</f>
        <v/>
      </c>
      <c r="F182" s="43" t="str">
        <f>IF($A182="","",SUMIFS([2]weekly_demand!$D:$D,[2]weekly_demand!$A:$A,F$1,[2]weekly_demand!$C:$C,$A182))</f>
        <v/>
      </c>
      <c r="G182" s="43" t="str">
        <f>IF($A182="","",SUMIFS([2]weekly_demand!$D:$D,[2]weekly_demand!$A:$A,G$1,[2]weekly_demand!$C:$C,$A182))</f>
        <v/>
      </c>
      <c r="H182" s="43" t="str">
        <f t="shared" ref="H182:V191" si="18">IF($A182="","",SUMPRODUCT($B182:$G182,INDEX($Y$2:$AD$16,MATCH(H$1,$X$2:$X$16,0),0)))</f>
        <v/>
      </c>
      <c r="I182" s="43" t="str">
        <f t="shared" si="18"/>
        <v/>
      </c>
      <c r="J182" s="43" t="str">
        <f t="shared" si="18"/>
        <v/>
      </c>
      <c r="K182" s="43" t="str">
        <f t="shared" si="18"/>
        <v/>
      </c>
      <c r="L182" s="43" t="str">
        <f t="shared" si="18"/>
        <v/>
      </c>
      <c r="M182" s="43" t="str">
        <f t="shared" si="18"/>
        <v/>
      </c>
      <c r="N182" s="43" t="str">
        <f t="shared" si="18"/>
        <v/>
      </c>
      <c r="O182" s="43" t="str">
        <f t="shared" si="18"/>
        <v/>
      </c>
      <c r="P182" s="43" t="str">
        <f t="shared" si="18"/>
        <v/>
      </c>
      <c r="Q182" s="43" t="str">
        <f t="shared" si="18"/>
        <v/>
      </c>
      <c r="R182" s="43" t="str">
        <f t="shared" si="18"/>
        <v/>
      </c>
      <c r="S182" s="43" t="str">
        <f t="shared" si="18"/>
        <v/>
      </c>
      <c r="T182" s="43" t="str">
        <f t="shared" si="18"/>
        <v/>
      </c>
      <c r="U182" s="43" t="str">
        <f t="shared" si="18"/>
        <v/>
      </c>
      <c r="V182" s="43" t="str">
        <f t="shared" si="18"/>
        <v/>
      </c>
    </row>
    <row r="183" spans="1:22" x14ac:dyDescent="0.3">
      <c r="A183" s="42"/>
      <c r="B183" s="43" t="str">
        <f>IF($A183="","",SUMIFS([2]weekly_demand!$D:$D,[2]weekly_demand!$A:$A,B$1,[2]weekly_demand!$C:$C,$A183))</f>
        <v/>
      </c>
      <c r="C183" s="43" t="str">
        <f>IF($A183="","",SUMIFS([2]weekly_demand!$D:$D,[2]weekly_demand!$A:$A,C$1,[2]weekly_demand!$C:$C,$A183))</f>
        <v/>
      </c>
      <c r="D183" s="43" t="str">
        <f>IF($A183="","",SUMIFS([2]weekly_demand!$D:$D,[2]weekly_demand!$A:$A,D$1,[2]weekly_demand!$C:$C,$A183))</f>
        <v/>
      </c>
      <c r="E183" s="43" t="str">
        <f>IF($A183="","",SUMIFS([2]weekly_demand!$D:$D,[2]weekly_demand!$A:$A,E$1,[2]weekly_demand!$C:$C,$A183))</f>
        <v/>
      </c>
      <c r="F183" s="43" t="str">
        <f>IF($A183="","",SUMIFS([2]weekly_demand!$D:$D,[2]weekly_demand!$A:$A,F$1,[2]weekly_demand!$C:$C,$A183))</f>
        <v/>
      </c>
      <c r="G183" s="43" t="str">
        <f>IF($A183="","",SUMIFS([2]weekly_demand!$D:$D,[2]weekly_demand!$A:$A,G$1,[2]weekly_demand!$C:$C,$A183))</f>
        <v/>
      </c>
      <c r="H183" s="43" t="str">
        <f t="shared" si="18"/>
        <v/>
      </c>
      <c r="I183" s="43" t="str">
        <f t="shared" si="18"/>
        <v/>
      </c>
      <c r="J183" s="43" t="str">
        <f t="shared" si="18"/>
        <v/>
      </c>
      <c r="K183" s="43" t="str">
        <f t="shared" si="18"/>
        <v/>
      </c>
      <c r="L183" s="43" t="str">
        <f t="shared" si="18"/>
        <v/>
      </c>
      <c r="M183" s="43" t="str">
        <f t="shared" si="18"/>
        <v/>
      </c>
      <c r="N183" s="43" t="str">
        <f t="shared" si="18"/>
        <v/>
      </c>
      <c r="O183" s="43" t="str">
        <f t="shared" si="18"/>
        <v/>
      </c>
      <c r="P183" s="43" t="str">
        <f t="shared" si="18"/>
        <v/>
      </c>
      <c r="Q183" s="43" t="str">
        <f t="shared" si="18"/>
        <v/>
      </c>
      <c r="R183" s="43" t="str">
        <f t="shared" si="18"/>
        <v/>
      </c>
      <c r="S183" s="43" t="str">
        <f t="shared" si="18"/>
        <v/>
      </c>
      <c r="T183" s="43" t="str">
        <f t="shared" si="18"/>
        <v/>
      </c>
      <c r="U183" s="43" t="str">
        <f t="shared" si="18"/>
        <v/>
      </c>
      <c r="V183" s="43" t="str">
        <f t="shared" si="18"/>
        <v/>
      </c>
    </row>
    <row r="184" spans="1:22" x14ac:dyDescent="0.3">
      <c r="A184" s="42"/>
      <c r="B184" s="43" t="str">
        <f>IF($A184="","",SUMIFS([2]weekly_demand!$D:$D,[2]weekly_demand!$A:$A,B$1,[2]weekly_demand!$C:$C,$A184))</f>
        <v/>
      </c>
      <c r="C184" s="43" t="str">
        <f>IF($A184="","",SUMIFS([2]weekly_demand!$D:$D,[2]weekly_demand!$A:$A,C$1,[2]weekly_demand!$C:$C,$A184))</f>
        <v/>
      </c>
      <c r="D184" s="43" t="str">
        <f>IF($A184="","",SUMIFS([2]weekly_demand!$D:$D,[2]weekly_demand!$A:$A,D$1,[2]weekly_demand!$C:$C,$A184))</f>
        <v/>
      </c>
      <c r="E184" s="43" t="str">
        <f>IF($A184="","",SUMIFS([2]weekly_demand!$D:$D,[2]weekly_demand!$A:$A,E$1,[2]weekly_demand!$C:$C,$A184))</f>
        <v/>
      </c>
      <c r="F184" s="43" t="str">
        <f>IF($A184="","",SUMIFS([2]weekly_demand!$D:$D,[2]weekly_demand!$A:$A,F$1,[2]weekly_demand!$C:$C,$A184))</f>
        <v/>
      </c>
      <c r="G184" s="43" t="str">
        <f>IF($A184="","",SUMIFS([2]weekly_demand!$D:$D,[2]weekly_demand!$A:$A,G$1,[2]weekly_demand!$C:$C,$A184))</f>
        <v/>
      </c>
      <c r="H184" s="43" t="str">
        <f t="shared" si="18"/>
        <v/>
      </c>
      <c r="I184" s="43" t="str">
        <f t="shared" si="18"/>
        <v/>
      </c>
      <c r="J184" s="43" t="str">
        <f t="shared" si="18"/>
        <v/>
      </c>
      <c r="K184" s="43" t="str">
        <f t="shared" si="18"/>
        <v/>
      </c>
      <c r="L184" s="43" t="str">
        <f t="shared" si="18"/>
        <v/>
      </c>
      <c r="M184" s="43" t="str">
        <f t="shared" si="18"/>
        <v/>
      </c>
      <c r="N184" s="43" t="str">
        <f t="shared" si="18"/>
        <v/>
      </c>
      <c r="O184" s="43" t="str">
        <f t="shared" si="18"/>
        <v/>
      </c>
      <c r="P184" s="43" t="str">
        <f t="shared" si="18"/>
        <v/>
      </c>
      <c r="Q184" s="43" t="str">
        <f t="shared" si="18"/>
        <v/>
      </c>
      <c r="R184" s="43" t="str">
        <f t="shared" si="18"/>
        <v/>
      </c>
      <c r="S184" s="43" t="str">
        <f t="shared" si="18"/>
        <v/>
      </c>
      <c r="T184" s="43" t="str">
        <f t="shared" si="18"/>
        <v/>
      </c>
      <c r="U184" s="43" t="str">
        <f t="shared" si="18"/>
        <v/>
      </c>
      <c r="V184" s="43" t="str">
        <f t="shared" si="18"/>
        <v/>
      </c>
    </row>
    <row r="185" spans="1:22" x14ac:dyDescent="0.3">
      <c r="A185" s="42"/>
      <c r="B185" s="43" t="str">
        <f>IF($A185="","",SUMIFS([2]weekly_demand!$D:$D,[2]weekly_demand!$A:$A,B$1,[2]weekly_demand!$C:$C,$A185))</f>
        <v/>
      </c>
      <c r="C185" s="43" t="str">
        <f>IF($A185="","",SUMIFS([2]weekly_demand!$D:$D,[2]weekly_demand!$A:$A,C$1,[2]weekly_demand!$C:$C,$A185))</f>
        <v/>
      </c>
      <c r="D185" s="43" t="str">
        <f>IF($A185="","",SUMIFS([2]weekly_demand!$D:$D,[2]weekly_demand!$A:$A,D$1,[2]weekly_demand!$C:$C,$A185))</f>
        <v/>
      </c>
      <c r="E185" s="43" t="str">
        <f>IF($A185="","",SUMIFS([2]weekly_demand!$D:$D,[2]weekly_demand!$A:$A,E$1,[2]weekly_demand!$C:$C,$A185))</f>
        <v/>
      </c>
      <c r="F185" s="43" t="str">
        <f>IF($A185="","",SUMIFS([2]weekly_demand!$D:$D,[2]weekly_demand!$A:$A,F$1,[2]weekly_demand!$C:$C,$A185))</f>
        <v/>
      </c>
      <c r="G185" s="43" t="str">
        <f>IF($A185="","",SUMIFS([2]weekly_demand!$D:$D,[2]weekly_demand!$A:$A,G$1,[2]weekly_demand!$C:$C,$A185))</f>
        <v/>
      </c>
      <c r="H185" s="43" t="str">
        <f t="shared" si="18"/>
        <v/>
      </c>
      <c r="I185" s="43" t="str">
        <f t="shared" si="18"/>
        <v/>
      </c>
      <c r="J185" s="43" t="str">
        <f t="shared" si="18"/>
        <v/>
      </c>
      <c r="K185" s="43" t="str">
        <f t="shared" si="18"/>
        <v/>
      </c>
      <c r="L185" s="43" t="str">
        <f t="shared" si="18"/>
        <v/>
      </c>
      <c r="M185" s="43" t="str">
        <f t="shared" si="18"/>
        <v/>
      </c>
      <c r="N185" s="43" t="str">
        <f t="shared" si="18"/>
        <v/>
      </c>
      <c r="O185" s="43" t="str">
        <f t="shared" si="18"/>
        <v/>
      </c>
      <c r="P185" s="43" t="str">
        <f t="shared" si="18"/>
        <v/>
      </c>
      <c r="Q185" s="43" t="str">
        <f t="shared" si="18"/>
        <v/>
      </c>
      <c r="R185" s="43" t="str">
        <f t="shared" si="18"/>
        <v/>
      </c>
      <c r="S185" s="43" t="str">
        <f t="shared" si="18"/>
        <v/>
      </c>
      <c r="T185" s="43" t="str">
        <f t="shared" si="18"/>
        <v/>
      </c>
      <c r="U185" s="43" t="str">
        <f t="shared" si="18"/>
        <v/>
      </c>
      <c r="V185" s="43" t="str">
        <f t="shared" si="18"/>
        <v/>
      </c>
    </row>
    <row r="186" spans="1:22" x14ac:dyDescent="0.3">
      <c r="A186" s="42"/>
      <c r="B186" s="43" t="str">
        <f>IF($A186="","",SUMIFS([2]weekly_demand!$D:$D,[2]weekly_demand!$A:$A,B$1,[2]weekly_demand!$C:$C,$A186))</f>
        <v/>
      </c>
      <c r="C186" s="43" t="str">
        <f>IF($A186="","",SUMIFS([2]weekly_demand!$D:$D,[2]weekly_demand!$A:$A,C$1,[2]weekly_demand!$C:$C,$A186))</f>
        <v/>
      </c>
      <c r="D186" s="43" t="str">
        <f>IF($A186="","",SUMIFS([2]weekly_demand!$D:$D,[2]weekly_demand!$A:$A,D$1,[2]weekly_demand!$C:$C,$A186))</f>
        <v/>
      </c>
      <c r="E186" s="43" t="str">
        <f>IF($A186="","",SUMIFS([2]weekly_demand!$D:$D,[2]weekly_demand!$A:$A,E$1,[2]weekly_demand!$C:$C,$A186))</f>
        <v/>
      </c>
      <c r="F186" s="43" t="str">
        <f>IF($A186="","",SUMIFS([2]weekly_demand!$D:$D,[2]weekly_demand!$A:$A,F$1,[2]weekly_demand!$C:$C,$A186))</f>
        <v/>
      </c>
      <c r="G186" s="43" t="str">
        <f>IF($A186="","",SUMIFS([2]weekly_demand!$D:$D,[2]weekly_demand!$A:$A,G$1,[2]weekly_demand!$C:$C,$A186))</f>
        <v/>
      </c>
      <c r="H186" s="43" t="str">
        <f t="shared" si="18"/>
        <v/>
      </c>
      <c r="I186" s="43" t="str">
        <f t="shared" si="18"/>
        <v/>
      </c>
      <c r="J186" s="43" t="str">
        <f t="shared" si="18"/>
        <v/>
      </c>
      <c r="K186" s="43" t="str">
        <f t="shared" si="18"/>
        <v/>
      </c>
      <c r="L186" s="43" t="str">
        <f t="shared" si="18"/>
        <v/>
      </c>
      <c r="M186" s="43" t="str">
        <f t="shared" si="18"/>
        <v/>
      </c>
      <c r="N186" s="43" t="str">
        <f t="shared" si="18"/>
        <v/>
      </c>
      <c r="O186" s="43" t="str">
        <f t="shared" si="18"/>
        <v/>
      </c>
      <c r="P186" s="43" t="str">
        <f t="shared" si="18"/>
        <v/>
      </c>
      <c r="Q186" s="43" t="str">
        <f t="shared" si="18"/>
        <v/>
      </c>
      <c r="R186" s="43" t="str">
        <f t="shared" si="18"/>
        <v/>
      </c>
      <c r="S186" s="43" t="str">
        <f t="shared" si="18"/>
        <v/>
      </c>
      <c r="T186" s="43" t="str">
        <f t="shared" si="18"/>
        <v/>
      </c>
      <c r="U186" s="43" t="str">
        <f t="shared" si="18"/>
        <v/>
      </c>
      <c r="V186" s="43" t="str">
        <f t="shared" si="18"/>
        <v/>
      </c>
    </row>
    <row r="187" spans="1:22" x14ac:dyDescent="0.3">
      <c r="A187" s="42"/>
      <c r="B187" s="43" t="str">
        <f>IF($A187="","",SUMIFS([2]weekly_demand!$D:$D,[2]weekly_demand!$A:$A,B$1,[2]weekly_demand!$C:$C,$A187))</f>
        <v/>
      </c>
      <c r="C187" s="43" t="str">
        <f>IF($A187="","",SUMIFS([2]weekly_demand!$D:$D,[2]weekly_demand!$A:$A,C$1,[2]weekly_demand!$C:$C,$A187))</f>
        <v/>
      </c>
      <c r="D187" s="43" t="str">
        <f>IF($A187="","",SUMIFS([2]weekly_demand!$D:$D,[2]weekly_demand!$A:$A,D$1,[2]weekly_demand!$C:$C,$A187))</f>
        <v/>
      </c>
      <c r="E187" s="43" t="str">
        <f>IF($A187="","",SUMIFS([2]weekly_demand!$D:$D,[2]weekly_demand!$A:$A,E$1,[2]weekly_demand!$C:$C,$A187))</f>
        <v/>
      </c>
      <c r="F187" s="43" t="str">
        <f>IF($A187="","",SUMIFS([2]weekly_demand!$D:$D,[2]weekly_demand!$A:$A,F$1,[2]weekly_demand!$C:$C,$A187))</f>
        <v/>
      </c>
      <c r="G187" s="43" t="str">
        <f>IF($A187="","",SUMIFS([2]weekly_demand!$D:$D,[2]weekly_demand!$A:$A,G$1,[2]weekly_demand!$C:$C,$A187))</f>
        <v/>
      </c>
      <c r="H187" s="43" t="str">
        <f t="shared" si="18"/>
        <v/>
      </c>
      <c r="I187" s="43" t="str">
        <f t="shared" si="18"/>
        <v/>
      </c>
      <c r="J187" s="43" t="str">
        <f t="shared" si="18"/>
        <v/>
      </c>
      <c r="K187" s="43" t="str">
        <f t="shared" si="18"/>
        <v/>
      </c>
      <c r="L187" s="43" t="str">
        <f t="shared" si="18"/>
        <v/>
      </c>
      <c r="M187" s="43" t="str">
        <f t="shared" si="18"/>
        <v/>
      </c>
      <c r="N187" s="43" t="str">
        <f t="shared" si="18"/>
        <v/>
      </c>
      <c r="O187" s="43" t="str">
        <f t="shared" si="18"/>
        <v/>
      </c>
      <c r="P187" s="43" t="str">
        <f t="shared" si="18"/>
        <v/>
      </c>
      <c r="Q187" s="43" t="str">
        <f t="shared" si="18"/>
        <v/>
      </c>
      <c r="R187" s="43" t="str">
        <f t="shared" si="18"/>
        <v/>
      </c>
      <c r="S187" s="43" t="str">
        <f t="shared" si="18"/>
        <v/>
      </c>
      <c r="T187" s="43" t="str">
        <f t="shared" si="18"/>
        <v/>
      </c>
      <c r="U187" s="43" t="str">
        <f t="shared" si="18"/>
        <v/>
      </c>
      <c r="V187" s="43" t="str">
        <f t="shared" si="18"/>
        <v/>
      </c>
    </row>
    <row r="188" spans="1:22" x14ac:dyDescent="0.3">
      <c r="A188" s="42"/>
      <c r="B188" s="43" t="str">
        <f>IF($A188="","",SUMIFS([2]weekly_demand!$D:$D,[2]weekly_demand!$A:$A,B$1,[2]weekly_demand!$C:$C,$A188))</f>
        <v/>
      </c>
      <c r="C188" s="43" t="str">
        <f>IF($A188="","",SUMIFS([2]weekly_demand!$D:$D,[2]weekly_demand!$A:$A,C$1,[2]weekly_demand!$C:$C,$A188))</f>
        <v/>
      </c>
      <c r="D188" s="43" t="str">
        <f>IF($A188="","",SUMIFS([2]weekly_demand!$D:$D,[2]weekly_demand!$A:$A,D$1,[2]weekly_demand!$C:$C,$A188))</f>
        <v/>
      </c>
      <c r="E188" s="43" t="str">
        <f>IF($A188="","",SUMIFS([2]weekly_demand!$D:$D,[2]weekly_demand!$A:$A,E$1,[2]weekly_demand!$C:$C,$A188))</f>
        <v/>
      </c>
      <c r="F188" s="43" t="str">
        <f>IF($A188="","",SUMIFS([2]weekly_demand!$D:$D,[2]weekly_demand!$A:$A,F$1,[2]weekly_demand!$C:$C,$A188))</f>
        <v/>
      </c>
      <c r="G188" s="43" t="str">
        <f>IF($A188="","",SUMIFS([2]weekly_demand!$D:$D,[2]weekly_demand!$A:$A,G$1,[2]weekly_demand!$C:$C,$A188))</f>
        <v/>
      </c>
      <c r="H188" s="43" t="str">
        <f t="shared" si="18"/>
        <v/>
      </c>
      <c r="I188" s="43" t="str">
        <f t="shared" si="18"/>
        <v/>
      </c>
      <c r="J188" s="43" t="str">
        <f t="shared" si="18"/>
        <v/>
      </c>
      <c r="K188" s="43" t="str">
        <f t="shared" si="18"/>
        <v/>
      </c>
      <c r="L188" s="43" t="str">
        <f t="shared" si="18"/>
        <v/>
      </c>
      <c r="M188" s="43" t="str">
        <f t="shared" si="18"/>
        <v/>
      </c>
      <c r="N188" s="43" t="str">
        <f t="shared" si="18"/>
        <v/>
      </c>
      <c r="O188" s="43" t="str">
        <f t="shared" si="18"/>
        <v/>
      </c>
      <c r="P188" s="43" t="str">
        <f t="shared" si="18"/>
        <v/>
      </c>
      <c r="Q188" s="43" t="str">
        <f t="shared" si="18"/>
        <v/>
      </c>
      <c r="R188" s="43" t="str">
        <f t="shared" si="18"/>
        <v/>
      </c>
      <c r="S188" s="43" t="str">
        <f t="shared" si="18"/>
        <v/>
      </c>
      <c r="T188" s="43" t="str">
        <f t="shared" si="18"/>
        <v/>
      </c>
      <c r="U188" s="43" t="str">
        <f t="shared" si="18"/>
        <v/>
      </c>
      <c r="V188" s="43" t="str">
        <f t="shared" si="18"/>
        <v/>
      </c>
    </row>
    <row r="189" spans="1:22" x14ac:dyDescent="0.3">
      <c r="A189" s="42"/>
      <c r="B189" s="43" t="str">
        <f>IF($A189="","",SUMIFS([2]weekly_demand!$D:$D,[2]weekly_demand!$A:$A,B$1,[2]weekly_demand!$C:$C,$A189))</f>
        <v/>
      </c>
      <c r="C189" s="43" t="str">
        <f>IF($A189="","",SUMIFS([2]weekly_demand!$D:$D,[2]weekly_demand!$A:$A,C$1,[2]weekly_demand!$C:$C,$A189))</f>
        <v/>
      </c>
      <c r="D189" s="43" t="str">
        <f>IF($A189="","",SUMIFS([2]weekly_demand!$D:$D,[2]weekly_demand!$A:$A,D$1,[2]weekly_demand!$C:$C,$A189))</f>
        <v/>
      </c>
      <c r="E189" s="43" t="str">
        <f>IF($A189="","",SUMIFS([2]weekly_demand!$D:$D,[2]weekly_demand!$A:$A,E$1,[2]weekly_demand!$C:$C,$A189))</f>
        <v/>
      </c>
      <c r="F189" s="43" t="str">
        <f>IF($A189="","",SUMIFS([2]weekly_demand!$D:$D,[2]weekly_demand!$A:$A,F$1,[2]weekly_demand!$C:$C,$A189))</f>
        <v/>
      </c>
      <c r="G189" s="43" t="str">
        <f>IF($A189="","",SUMIFS([2]weekly_demand!$D:$D,[2]weekly_demand!$A:$A,G$1,[2]weekly_demand!$C:$C,$A189))</f>
        <v/>
      </c>
      <c r="H189" s="43" t="str">
        <f t="shared" si="18"/>
        <v/>
      </c>
      <c r="I189" s="43" t="str">
        <f t="shared" si="18"/>
        <v/>
      </c>
      <c r="J189" s="43" t="str">
        <f t="shared" si="18"/>
        <v/>
      </c>
      <c r="K189" s="43" t="str">
        <f t="shared" si="18"/>
        <v/>
      </c>
      <c r="L189" s="43" t="str">
        <f t="shared" si="18"/>
        <v/>
      </c>
      <c r="M189" s="43" t="str">
        <f t="shared" si="18"/>
        <v/>
      </c>
      <c r="N189" s="43" t="str">
        <f t="shared" si="18"/>
        <v/>
      </c>
      <c r="O189" s="43" t="str">
        <f t="shared" si="18"/>
        <v/>
      </c>
      <c r="P189" s="43" t="str">
        <f t="shared" si="18"/>
        <v/>
      </c>
      <c r="Q189" s="43" t="str">
        <f t="shared" si="18"/>
        <v/>
      </c>
      <c r="R189" s="43" t="str">
        <f t="shared" si="18"/>
        <v/>
      </c>
      <c r="S189" s="43" t="str">
        <f t="shared" si="18"/>
        <v/>
      </c>
      <c r="T189" s="43" t="str">
        <f t="shared" si="18"/>
        <v/>
      </c>
      <c r="U189" s="43" t="str">
        <f t="shared" si="18"/>
        <v/>
      </c>
      <c r="V189" s="43" t="str">
        <f t="shared" si="18"/>
        <v/>
      </c>
    </row>
    <row r="190" spans="1:22" x14ac:dyDescent="0.3">
      <c r="A190" s="42"/>
      <c r="B190" s="43" t="str">
        <f>IF($A190="","",SUMIFS([2]weekly_demand!$D:$D,[2]weekly_demand!$A:$A,B$1,[2]weekly_demand!$C:$C,$A190))</f>
        <v/>
      </c>
      <c r="C190" s="43" t="str">
        <f>IF($A190="","",SUMIFS([2]weekly_demand!$D:$D,[2]weekly_demand!$A:$A,C$1,[2]weekly_demand!$C:$C,$A190))</f>
        <v/>
      </c>
      <c r="D190" s="43" t="str">
        <f>IF($A190="","",SUMIFS([2]weekly_demand!$D:$D,[2]weekly_demand!$A:$A,D$1,[2]weekly_demand!$C:$C,$A190))</f>
        <v/>
      </c>
      <c r="E190" s="43" t="str">
        <f>IF($A190="","",SUMIFS([2]weekly_demand!$D:$D,[2]weekly_demand!$A:$A,E$1,[2]weekly_demand!$C:$C,$A190))</f>
        <v/>
      </c>
      <c r="F190" s="43" t="str">
        <f>IF($A190="","",SUMIFS([2]weekly_demand!$D:$D,[2]weekly_demand!$A:$A,F$1,[2]weekly_demand!$C:$C,$A190))</f>
        <v/>
      </c>
      <c r="G190" s="43" t="str">
        <f>IF($A190="","",SUMIFS([2]weekly_demand!$D:$D,[2]weekly_demand!$A:$A,G$1,[2]weekly_demand!$C:$C,$A190))</f>
        <v/>
      </c>
      <c r="H190" s="43" t="str">
        <f t="shared" si="18"/>
        <v/>
      </c>
      <c r="I190" s="43" t="str">
        <f t="shared" si="18"/>
        <v/>
      </c>
      <c r="J190" s="43" t="str">
        <f t="shared" si="18"/>
        <v/>
      </c>
      <c r="K190" s="43" t="str">
        <f t="shared" si="18"/>
        <v/>
      </c>
      <c r="L190" s="43" t="str">
        <f t="shared" si="18"/>
        <v/>
      </c>
      <c r="M190" s="43" t="str">
        <f t="shared" si="18"/>
        <v/>
      </c>
      <c r="N190" s="43" t="str">
        <f t="shared" si="18"/>
        <v/>
      </c>
      <c r="O190" s="43" t="str">
        <f t="shared" si="18"/>
        <v/>
      </c>
      <c r="P190" s="43" t="str">
        <f t="shared" si="18"/>
        <v/>
      </c>
      <c r="Q190" s="43" t="str">
        <f t="shared" si="18"/>
        <v/>
      </c>
      <c r="R190" s="43" t="str">
        <f t="shared" si="18"/>
        <v/>
      </c>
      <c r="S190" s="43" t="str">
        <f t="shared" si="18"/>
        <v/>
      </c>
      <c r="T190" s="43" t="str">
        <f t="shared" si="18"/>
        <v/>
      </c>
      <c r="U190" s="43" t="str">
        <f t="shared" si="18"/>
        <v/>
      </c>
      <c r="V190" s="43" t="str">
        <f t="shared" si="18"/>
        <v/>
      </c>
    </row>
    <row r="191" spans="1:22" x14ac:dyDescent="0.3">
      <c r="A191" s="42"/>
      <c r="B191" s="43" t="str">
        <f>IF($A191="","",SUMIFS([2]weekly_demand!$D:$D,[2]weekly_demand!$A:$A,B$1,[2]weekly_demand!$C:$C,$A191))</f>
        <v/>
      </c>
      <c r="C191" s="43" t="str">
        <f>IF($A191="","",SUMIFS([2]weekly_demand!$D:$D,[2]weekly_demand!$A:$A,C$1,[2]weekly_demand!$C:$C,$A191))</f>
        <v/>
      </c>
      <c r="D191" s="43" t="str">
        <f>IF($A191="","",SUMIFS([2]weekly_demand!$D:$D,[2]weekly_demand!$A:$A,D$1,[2]weekly_demand!$C:$C,$A191))</f>
        <v/>
      </c>
      <c r="E191" s="43" t="str">
        <f>IF($A191="","",SUMIFS([2]weekly_demand!$D:$D,[2]weekly_demand!$A:$A,E$1,[2]weekly_demand!$C:$C,$A191))</f>
        <v/>
      </c>
      <c r="F191" s="43" t="str">
        <f>IF($A191="","",SUMIFS([2]weekly_demand!$D:$D,[2]weekly_demand!$A:$A,F$1,[2]weekly_demand!$C:$C,$A191))</f>
        <v/>
      </c>
      <c r="G191" s="43" t="str">
        <f>IF($A191="","",SUMIFS([2]weekly_demand!$D:$D,[2]weekly_demand!$A:$A,G$1,[2]weekly_demand!$C:$C,$A191))</f>
        <v/>
      </c>
      <c r="H191" s="43" t="str">
        <f t="shared" si="18"/>
        <v/>
      </c>
      <c r="I191" s="43" t="str">
        <f t="shared" si="18"/>
        <v/>
      </c>
      <c r="J191" s="43" t="str">
        <f t="shared" si="18"/>
        <v/>
      </c>
      <c r="K191" s="43" t="str">
        <f t="shared" si="18"/>
        <v/>
      </c>
      <c r="L191" s="43" t="str">
        <f t="shared" si="18"/>
        <v/>
      </c>
      <c r="M191" s="43" t="str">
        <f t="shared" si="18"/>
        <v/>
      </c>
      <c r="N191" s="43" t="str">
        <f t="shared" si="18"/>
        <v/>
      </c>
      <c r="O191" s="43" t="str">
        <f t="shared" si="18"/>
        <v/>
      </c>
      <c r="P191" s="43" t="str">
        <f t="shared" si="18"/>
        <v/>
      </c>
      <c r="Q191" s="43" t="str">
        <f t="shared" si="18"/>
        <v/>
      </c>
      <c r="R191" s="43" t="str">
        <f t="shared" si="18"/>
        <v/>
      </c>
      <c r="S191" s="43" t="str">
        <f t="shared" si="18"/>
        <v/>
      </c>
      <c r="T191" s="43" t="str">
        <f t="shared" si="18"/>
        <v/>
      </c>
      <c r="U191" s="43" t="str">
        <f t="shared" si="18"/>
        <v/>
      </c>
      <c r="V191" s="43" t="str">
        <f t="shared" si="18"/>
        <v/>
      </c>
    </row>
    <row r="192" spans="1:22" x14ac:dyDescent="0.3">
      <c r="A192" s="42"/>
      <c r="B192" s="43" t="str">
        <f>IF($A192="","",SUMIFS([2]weekly_demand!$D:$D,[2]weekly_demand!$A:$A,B$1,[2]weekly_demand!$C:$C,$A192))</f>
        <v/>
      </c>
      <c r="C192" s="43" t="str">
        <f>IF($A192="","",SUMIFS([2]weekly_demand!$D:$D,[2]weekly_demand!$A:$A,C$1,[2]weekly_demand!$C:$C,$A192))</f>
        <v/>
      </c>
      <c r="D192" s="43" t="str">
        <f>IF($A192="","",SUMIFS([2]weekly_demand!$D:$D,[2]weekly_demand!$A:$A,D$1,[2]weekly_demand!$C:$C,$A192))</f>
        <v/>
      </c>
      <c r="E192" s="43" t="str">
        <f>IF($A192="","",SUMIFS([2]weekly_demand!$D:$D,[2]weekly_demand!$A:$A,E$1,[2]weekly_demand!$C:$C,$A192))</f>
        <v/>
      </c>
      <c r="F192" s="43" t="str">
        <f>IF($A192="","",SUMIFS([2]weekly_demand!$D:$D,[2]weekly_demand!$A:$A,F$1,[2]weekly_demand!$C:$C,$A192))</f>
        <v/>
      </c>
      <c r="G192" s="43" t="str">
        <f>IF($A192="","",SUMIFS([2]weekly_demand!$D:$D,[2]weekly_demand!$A:$A,G$1,[2]weekly_demand!$C:$C,$A192))</f>
        <v/>
      </c>
      <c r="H192" s="43" t="str">
        <f t="shared" ref="H192:V200" si="19">IF($A192="","",SUMPRODUCT($B192:$G192,INDEX($Y$2:$AD$16,MATCH(H$1,$X$2:$X$16,0),0)))</f>
        <v/>
      </c>
      <c r="I192" s="43" t="str">
        <f t="shared" si="19"/>
        <v/>
      </c>
      <c r="J192" s="43" t="str">
        <f t="shared" si="19"/>
        <v/>
      </c>
      <c r="K192" s="43" t="str">
        <f t="shared" si="19"/>
        <v/>
      </c>
      <c r="L192" s="43" t="str">
        <f t="shared" si="19"/>
        <v/>
      </c>
      <c r="M192" s="43" t="str">
        <f t="shared" si="19"/>
        <v/>
      </c>
      <c r="N192" s="43" t="str">
        <f t="shared" si="19"/>
        <v/>
      </c>
      <c r="O192" s="43" t="str">
        <f t="shared" si="19"/>
        <v/>
      </c>
      <c r="P192" s="43" t="str">
        <f t="shared" si="19"/>
        <v/>
      </c>
      <c r="Q192" s="43" t="str">
        <f t="shared" si="19"/>
        <v/>
      </c>
      <c r="R192" s="43" t="str">
        <f t="shared" si="19"/>
        <v/>
      </c>
      <c r="S192" s="43" t="str">
        <f t="shared" si="19"/>
        <v/>
      </c>
      <c r="T192" s="43" t="str">
        <f t="shared" si="19"/>
        <v/>
      </c>
      <c r="U192" s="43" t="str">
        <f t="shared" si="19"/>
        <v/>
      </c>
      <c r="V192" s="43" t="str">
        <f t="shared" si="19"/>
        <v/>
      </c>
    </row>
    <row r="193" spans="1:22" x14ac:dyDescent="0.3">
      <c r="A193" s="42"/>
      <c r="B193" s="43" t="str">
        <f>IF($A193="","",SUMIFS([2]weekly_demand!$D:$D,[2]weekly_demand!$A:$A,B$1,[2]weekly_demand!$C:$C,$A193))</f>
        <v/>
      </c>
      <c r="C193" s="43" t="str">
        <f>IF($A193="","",SUMIFS([2]weekly_demand!$D:$D,[2]weekly_demand!$A:$A,C$1,[2]weekly_demand!$C:$C,$A193))</f>
        <v/>
      </c>
      <c r="D193" s="43" t="str">
        <f>IF($A193="","",SUMIFS([2]weekly_demand!$D:$D,[2]weekly_demand!$A:$A,D$1,[2]weekly_demand!$C:$C,$A193))</f>
        <v/>
      </c>
      <c r="E193" s="43" t="str">
        <f>IF($A193="","",SUMIFS([2]weekly_demand!$D:$D,[2]weekly_demand!$A:$A,E$1,[2]weekly_demand!$C:$C,$A193))</f>
        <v/>
      </c>
      <c r="F193" s="43" t="str">
        <f>IF($A193="","",SUMIFS([2]weekly_demand!$D:$D,[2]weekly_demand!$A:$A,F$1,[2]weekly_demand!$C:$C,$A193))</f>
        <v/>
      </c>
      <c r="G193" s="43" t="str">
        <f>IF($A193="","",SUMIFS([2]weekly_demand!$D:$D,[2]weekly_demand!$A:$A,G$1,[2]weekly_demand!$C:$C,$A193))</f>
        <v/>
      </c>
      <c r="H193" s="43" t="str">
        <f t="shared" si="19"/>
        <v/>
      </c>
      <c r="I193" s="43" t="str">
        <f t="shared" si="19"/>
        <v/>
      </c>
      <c r="J193" s="43" t="str">
        <f t="shared" si="19"/>
        <v/>
      </c>
      <c r="K193" s="43" t="str">
        <f t="shared" si="19"/>
        <v/>
      </c>
      <c r="L193" s="43" t="str">
        <f t="shared" si="19"/>
        <v/>
      </c>
      <c r="M193" s="43" t="str">
        <f t="shared" si="19"/>
        <v/>
      </c>
      <c r="N193" s="43" t="str">
        <f t="shared" si="19"/>
        <v/>
      </c>
      <c r="O193" s="43" t="str">
        <f t="shared" si="19"/>
        <v/>
      </c>
      <c r="P193" s="43" t="str">
        <f t="shared" si="19"/>
        <v/>
      </c>
      <c r="Q193" s="43" t="str">
        <f t="shared" si="19"/>
        <v/>
      </c>
      <c r="R193" s="43" t="str">
        <f t="shared" si="19"/>
        <v/>
      </c>
      <c r="S193" s="43" t="str">
        <f t="shared" si="19"/>
        <v/>
      </c>
      <c r="T193" s="43" t="str">
        <f t="shared" si="19"/>
        <v/>
      </c>
      <c r="U193" s="43" t="str">
        <f t="shared" si="19"/>
        <v/>
      </c>
      <c r="V193" s="43" t="str">
        <f t="shared" si="19"/>
        <v/>
      </c>
    </row>
    <row r="194" spans="1:22" x14ac:dyDescent="0.3">
      <c r="A194" s="42"/>
      <c r="B194" s="43" t="str">
        <f>IF($A194="","",SUMIFS([2]weekly_demand!$D:$D,[2]weekly_demand!$A:$A,B$1,[2]weekly_demand!$C:$C,$A194))</f>
        <v/>
      </c>
      <c r="C194" s="43" t="str">
        <f>IF($A194="","",SUMIFS([2]weekly_demand!$D:$D,[2]weekly_demand!$A:$A,C$1,[2]weekly_demand!$C:$C,$A194))</f>
        <v/>
      </c>
      <c r="D194" s="43" t="str">
        <f>IF($A194="","",SUMIFS([2]weekly_demand!$D:$D,[2]weekly_demand!$A:$A,D$1,[2]weekly_demand!$C:$C,$A194))</f>
        <v/>
      </c>
      <c r="E194" s="43" t="str">
        <f>IF($A194="","",SUMIFS([2]weekly_demand!$D:$D,[2]weekly_demand!$A:$A,E$1,[2]weekly_demand!$C:$C,$A194))</f>
        <v/>
      </c>
      <c r="F194" s="43" t="str">
        <f>IF($A194="","",SUMIFS([2]weekly_demand!$D:$D,[2]weekly_demand!$A:$A,F$1,[2]weekly_demand!$C:$C,$A194))</f>
        <v/>
      </c>
      <c r="G194" s="43" t="str">
        <f>IF($A194="","",SUMIFS([2]weekly_demand!$D:$D,[2]weekly_demand!$A:$A,G$1,[2]weekly_demand!$C:$C,$A194))</f>
        <v/>
      </c>
      <c r="H194" s="43" t="str">
        <f t="shared" si="19"/>
        <v/>
      </c>
      <c r="I194" s="43" t="str">
        <f t="shared" si="19"/>
        <v/>
      </c>
      <c r="J194" s="43" t="str">
        <f t="shared" si="19"/>
        <v/>
      </c>
      <c r="K194" s="43" t="str">
        <f t="shared" si="19"/>
        <v/>
      </c>
      <c r="L194" s="43" t="str">
        <f t="shared" si="19"/>
        <v/>
      </c>
      <c r="M194" s="43" t="str">
        <f t="shared" si="19"/>
        <v/>
      </c>
      <c r="N194" s="43" t="str">
        <f t="shared" si="19"/>
        <v/>
      </c>
      <c r="O194" s="43" t="str">
        <f t="shared" si="19"/>
        <v/>
      </c>
      <c r="P194" s="43" t="str">
        <f t="shared" si="19"/>
        <v/>
      </c>
      <c r="Q194" s="43" t="str">
        <f t="shared" si="19"/>
        <v/>
      </c>
      <c r="R194" s="43" t="str">
        <f t="shared" si="19"/>
        <v/>
      </c>
      <c r="S194" s="43" t="str">
        <f t="shared" si="19"/>
        <v/>
      </c>
      <c r="T194" s="43" t="str">
        <f t="shared" si="19"/>
        <v/>
      </c>
      <c r="U194" s="43" t="str">
        <f t="shared" si="19"/>
        <v/>
      </c>
      <c r="V194" s="43" t="str">
        <f t="shared" si="19"/>
        <v/>
      </c>
    </row>
    <row r="195" spans="1:22" x14ac:dyDescent="0.3">
      <c r="A195" s="42"/>
      <c r="B195" s="43" t="str">
        <f>IF($A195="","",SUMIFS([2]weekly_demand!$D:$D,[2]weekly_demand!$A:$A,B$1,[2]weekly_demand!$C:$C,$A195))</f>
        <v/>
      </c>
      <c r="C195" s="43" t="str">
        <f>IF($A195="","",SUMIFS([2]weekly_demand!$D:$D,[2]weekly_demand!$A:$A,C$1,[2]weekly_demand!$C:$C,$A195))</f>
        <v/>
      </c>
      <c r="D195" s="43" t="str">
        <f>IF($A195="","",SUMIFS([2]weekly_demand!$D:$D,[2]weekly_demand!$A:$A,D$1,[2]weekly_demand!$C:$C,$A195))</f>
        <v/>
      </c>
      <c r="E195" s="43" t="str">
        <f>IF($A195="","",SUMIFS([2]weekly_demand!$D:$D,[2]weekly_demand!$A:$A,E$1,[2]weekly_demand!$C:$C,$A195))</f>
        <v/>
      </c>
      <c r="F195" s="43" t="str">
        <f>IF($A195="","",SUMIFS([2]weekly_demand!$D:$D,[2]weekly_demand!$A:$A,F$1,[2]weekly_demand!$C:$C,$A195))</f>
        <v/>
      </c>
      <c r="G195" s="43" t="str">
        <f>IF($A195="","",SUMIFS([2]weekly_demand!$D:$D,[2]weekly_demand!$A:$A,G$1,[2]weekly_demand!$C:$C,$A195))</f>
        <v/>
      </c>
      <c r="H195" s="43" t="str">
        <f t="shared" si="19"/>
        <v/>
      </c>
      <c r="I195" s="43" t="str">
        <f t="shared" si="19"/>
        <v/>
      </c>
      <c r="J195" s="43" t="str">
        <f t="shared" si="19"/>
        <v/>
      </c>
      <c r="K195" s="43" t="str">
        <f t="shared" si="19"/>
        <v/>
      </c>
      <c r="L195" s="43" t="str">
        <f t="shared" si="19"/>
        <v/>
      </c>
      <c r="M195" s="43" t="str">
        <f t="shared" si="19"/>
        <v/>
      </c>
      <c r="N195" s="43" t="str">
        <f t="shared" si="19"/>
        <v/>
      </c>
      <c r="O195" s="43" t="str">
        <f t="shared" si="19"/>
        <v/>
      </c>
      <c r="P195" s="43" t="str">
        <f t="shared" si="19"/>
        <v/>
      </c>
      <c r="Q195" s="43" t="str">
        <f t="shared" si="19"/>
        <v/>
      </c>
      <c r="R195" s="43" t="str">
        <f t="shared" si="19"/>
        <v/>
      </c>
      <c r="S195" s="43" t="str">
        <f t="shared" si="19"/>
        <v/>
      </c>
      <c r="T195" s="43" t="str">
        <f t="shared" si="19"/>
        <v/>
      </c>
      <c r="U195" s="43" t="str">
        <f t="shared" si="19"/>
        <v/>
      </c>
      <c r="V195" s="43" t="str">
        <f t="shared" si="19"/>
        <v/>
      </c>
    </row>
    <row r="196" spans="1:22" x14ac:dyDescent="0.3">
      <c r="A196" s="42"/>
      <c r="B196" s="43" t="str">
        <f>IF($A196="","",SUMIFS([2]weekly_demand!$D:$D,[2]weekly_demand!$A:$A,B$1,[2]weekly_demand!$C:$C,$A196))</f>
        <v/>
      </c>
      <c r="C196" s="43" t="str">
        <f>IF($A196="","",SUMIFS([2]weekly_demand!$D:$D,[2]weekly_demand!$A:$A,C$1,[2]weekly_demand!$C:$C,$A196))</f>
        <v/>
      </c>
      <c r="D196" s="43" t="str">
        <f>IF($A196="","",SUMIFS([2]weekly_demand!$D:$D,[2]weekly_demand!$A:$A,D$1,[2]weekly_demand!$C:$C,$A196))</f>
        <v/>
      </c>
      <c r="E196" s="43" t="str">
        <f>IF($A196="","",SUMIFS([2]weekly_demand!$D:$D,[2]weekly_demand!$A:$A,E$1,[2]weekly_demand!$C:$C,$A196))</f>
        <v/>
      </c>
      <c r="F196" s="43" t="str">
        <f>IF($A196="","",SUMIFS([2]weekly_demand!$D:$D,[2]weekly_demand!$A:$A,F$1,[2]weekly_demand!$C:$C,$A196))</f>
        <v/>
      </c>
      <c r="G196" s="43" t="str">
        <f>IF($A196="","",SUMIFS([2]weekly_demand!$D:$D,[2]weekly_demand!$A:$A,G$1,[2]weekly_demand!$C:$C,$A196))</f>
        <v/>
      </c>
      <c r="H196" s="43" t="str">
        <f t="shared" si="19"/>
        <v/>
      </c>
      <c r="I196" s="43" t="str">
        <f t="shared" si="19"/>
        <v/>
      </c>
      <c r="J196" s="43" t="str">
        <f t="shared" si="19"/>
        <v/>
      </c>
      <c r="K196" s="43" t="str">
        <f t="shared" si="19"/>
        <v/>
      </c>
      <c r="L196" s="43" t="str">
        <f t="shared" si="19"/>
        <v/>
      </c>
      <c r="M196" s="43" t="str">
        <f t="shared" si="19"/>
        <v/>
      </c>
      <c r="N196" s="43" t="str">
        <f t="shared" si="19"/>
        <v/>
      </c>
      <c r="O196" s="43" t="str">
        <f t="shared" si="19"/>
        <v/>
      </c>
      <c r="P196" s="43" t="str">
        <f t="shared" si="19"/>
        <v/>
      </c>
      <c r="Q196" s="43" t="str">
        <f t="shared" si="19"/>
        <v/>
      </c>
      <c r="R196" s="43" t="str">
        <f t="shared" si="19"/>
        <v/>
      </c>
      <c r="S196" s="43" t="str">
        <f t="shared" si="19"/>
        <v/>
      </c>
      <c r="T196" s="43" t="str">
        <f t="shared" si="19"/>
        <v/>
      </c>
      <c r="U196" s="43" t="str">
        <f t="shared" si="19"/>
        <v/>
      </c>
      <c r="V196" s="43" t="str">
        <f t="shared" si="19"/>
        <v/>
      </c>
    </row>
    <row r="197" spans="1:22" x14ac:dyDescent="0.3">
      <c r="A197" s="42"/>
      <c r="B197" s="43" t="str">
        <f>IF($A197="","",SUMIFS([2]weekly_demand!$D:$D,[2]weekly_demand!$A:$A,B$1,[2]weekly_demand!$C:$C,$A197))</f>
        <v/>
      </c>
      <c r="C197" s="43" t="str">
        <f>IF($A197="","",SUMIFS([2]weekly_demand!$D:$D,[2]weekly_demand!$A:$A,C$1,[2]weekly_demand!$C:$C,$A197))</f>
        <v/>
      </c>
      <c r="D197" s="43" t="str">
        <f>IF($A197="","",SUMIFS([2]weekly_demand!$D:$D,[2]weekly_demand!$A:$A,D$1,[2]weekly_demand!$C:$C,$A197))</f>
        <v/>
      </c>
      <c r="E197" s="43" t="str">
        <f>IF($A197="","",SUMIFS([2]weekly_demand!$D:$D,[2]weekly_demand!$A:$A,E$1,[2]weekly_demand!$C:$C,$A197))</f>
        <v/>
      </c>
      <c r="F197" s="43" t="str">
        <f>IF($A197="","",SUMIFS([2]weekly_demand!$D:$D,[2]weekly_demand!$A:$A,F$1,[2]weekly_demand!$C:$C,$A197))</f>
        <v/>
      </c>
      <c r="G197" s="43" t="str">
        <f>IF($A197="","",SUMIFS([2]weekly_demand!$D:$D,[2]weekly_demand!$A:$A,G$1,[2]weekly_demand!$C:$C,$A197))</f>
        <v/>
      </c>
      <c r="H197" s="43" t="str">
        <f t="shared" si="19"/>
        <v/>
      </c>
      <c r="I197" s="43" t="str">
        <f t="shared" si="19"/>
        <v/>
      </c>
      <c r="J197" s="43" t="str">
        <f t="shared" si="19"/>
        <v/>
      </c>
      <c r="K197" s="43" t="str">
        <f t="shared" si="19"/>
        <v/>
      </c>
      <c r="L197" s="43" t="str">
        <f t="shared" si="19"/>
        <v/>
      </c>
      <c r="M197" s="43" t="str">
        <f t="shared" si="19"/>
        <v/>
      </c>
      <c r="N197" s="43" t="str">
        <f t="shared" si="19"/>
        <v/>
      </c>
      <c r="O197" s="43" t="str">
        <f t="shared" si="19"/>
        <v/>
      </c>
      <c r="P197" s="43" t="str">
        <f t="shared" si="19"/>
        <v/>
      </c>
      <c r="Q197" s="43" t="str">
        <f t="shared" si="19"/>
        <v/>
      </c>
      <c r="R197" s="43" t="str">
        <f t="shared" si="19"/>
        <v/>
      </c>
      <c r="S197" s="43" t="str">
        <f t="shared" si="19"/>
        <v/>
      </c>
      <c r="T197" s="43" t="str">
        <f t="shared" si="19"/>
        <v/>
      </c>
      <c r="U197" s="43" t="str">
        <f t="shared" si="19"/>
        <v/>
      </c>
      <c r="V197" s="43" t="str">
        <f t="shared" si="19"/>
        <v/>
      </c>
    </row>
    <row r="198" spans="1:22" x14ac:dyDescent="0.3">
      <c r="A198" s="42"/>
      <c r="B198" s="43" t="str">
        <f>IF($A198="","",SUMIFS([2]weekly_demand!$D:$D,[2]weekly_demand!$A:$A,B$1,[2]weekly_demand!$C:$C,$A198))</f>
        <v/>
      </c>
      <c r="C198" s="43" t="str">
        <f>IF($A198="","",SUMIFS([2]weekly_demand!$D:$D,[2]weekly_demand!$A:$A,C$1,[2]weekly_demand!$C:$C,$A198))</f>
        <v/>
      </c>
      <c r="D198" s="43" t="str">
        <f>IF($A198="","",SUMIFS([2]weekly_demand!$D:$D,[2]weekly_demand!$A:$A,D$1,[2]weekly_demand!$C:$C,$A198))</f>
        <v/>
      </c>
      <c r="E198" s="43" t="str">
        <f>IF($A198="","",SUMIFS([2]weekly_demand!$D:$D,[2]weekly_demand!$A:$A,E$1,[2]weekly_demand!$C:$C,$A198))</f>
        <v/>
      </c>
      <c r="F198" s="43" t="str">
        <f>IF($A198="","",SUMIFS([2]weekly_demand!$D:$D,[2]weekly_demand!$A:$A,F$1,[2]weekly_demand!$C:$C,$A198))</f>
        <v/>
      </c>
      <c r="G198" s="43" t="str">
        <f>IF($A198="","",SUMIFS([2]weekly_demand!$D:$D,[2]weekly_demand!$A:$A,G$1,[2]weekly_demand!$C:$C,$A198))</f>
        <v/>
      </c>
      <c r="H198" s="43" t="str">
        <f t="shared" si="19"/>
        <v/>
      </c>
      <c r="I198" s="43" t="str">
        <f t="shared" si="19"/>
        <v/>
      </c>
      <c r="J198" s="43" t="str">
        <f t="shared" si="19"/>
        <v/>
      </c>
      <c r="K198" s="43" t="str">
        <f t="shared" si="19"/>
        <v/>
      </c>
      <c r="L198" s="43" t="str">
        <f t="shared" si="19"/>
        <v/>
      </c>
      <c r="M198" s="43" t="str">
        <f t="shared" si="19"/>
        <v/>
      </c>
      <c r="N198" s="43" t="str">
        <f t="shared" si="19"/>
        <v/>
      </c>
      <c r="O198" s="43" t="str">
        <f t="shared" si="19"/>
        <v/>
      </c>
      <c r="P198" s="43" t="str">
        <f t="shared" si="19"/>
        <v/>
      </c>
      <c r="Q198" s="43" t="str">
        <f t="shared" si="19"/>
        <v/>
      </c>
      <c r="R198" s="43" t="str">
        <f t="shared" si="19"/>
        <v/>
      </c>
      <c r="S198" s="43" t="str">
        <f t="shared" si="19"/>
        <v/>
      </c>
      <c r="T198" s="43" t="str">
        <f t="shared" si="19"/>
        <v/>
      </c>
      <c r="U198" s="43" t="str">
        <f t="shared" si="19"/>
        <v/>
      </c>
      <c r="V198" s="43" t="str">
        <f t="shared" si="19"/>
        <v/>
      </c>
    </row>
    <row r="199" spans="1:22" x14ac:dyDescent="0.3">
      <c r="A199" s="42"/>
      <c r="B199" s="43" t="str">
        <f>IF($A199="","",SUMIFS([2]weekly_demand!$D:$D,[2]weekly_demand!$A:$A,B$1,[2]weekly_demand!$C:$C,$A199))</f>
        <v/>
      </c>
      <c r="C199" s="43" t="str">
        <f>IF($A199="","",SUMIFS([2]weekly_demand!$D:$D,[2]weekly_demand!$A:$A,C$1,[2]weekly_demand!$C:$C,$A199))</f>
        <v/>
      </c>
      <c r="D199" s="43" t="str">
        <f>IF($A199="","",SUMIFS([2]weekly_demand!$D:$D,[2]weekly_demand!$A:$A,D$1,[2]weekly_demand!$C:$C,$A199))</f>
        <v/>
      </c>
      <c r="E199" s="43" t="str">
        <f>IF($A199="","",SUMIFS([2]weekly_demand!$D:$D,[2]weekly_demand!$A:$A,E$1,[2]weekly_demand!$C:$C,$A199))</f>
        <v/>
      </c>
      <c r="F199" s="43" t="str">
        <f>IF($A199="","",SUMIFS([2]weekly_demand!$D:$D,[2]weekly_demand!$A:$A,F$1,[2]weekly_demand!$C:$C,$A199))</f>
        <v/>
      </c>
      <c r="G199" s="43" t="str">
        <f>IF($A199="","",SUMIFS([2]weekly_demand!$D:$D,[2]weekly_demand!$A:$A,G$1,[2]weekly_demand!$C:$C,$A199))</f>
        <v/>
      </c>
      <c r="H199" s="43" t="str">
        <f t="shared" si="19"/>
        <v/>
      </c>
      <c r="I199" s="43" t="str">
        <f t="shared" si="19"/>
        <v/>
      </c>
      <c r="J199" s="43" t="str">
        <f t="shared" si="19"/>
        <v/>
      </c>
      <c r="K199" s="43" t="str">
        <f t="shared" si="19"/>
        <v/>
      </c>
      <c r="L199" s="43" t="str">
        <f t="shared" si="19"/>
        <v/>
      </c>
      <c r="M199" s="43" t="str">
        <f t="shared" si="19"/>
        <v/>
      </c>
      <c r="N199" s="43" t="str">
        <f t="shared" si="19"/>
        <v/>
      </c>
      <c r="O199" s="43" t="str">
        <f t="shared" si="19"/>
        <v/>
      </c>
      <c r="P199" s="43" t="str">
        <f t="shared" si="19"/>
        <v/>
      </c>
      <c r="Q199" s="43" t="str">
        <f t="shared" si="19"/>
        <v/>
      </c>
      <c r="R199" s="43" t="str">
        <f t="shared" si="19"/>
        <v/>
      </c>
      <c r="S199" s="43" t="str">
        <f t="shared" si="19"/>
        <v/>
      </c>
      <c r="T199" s="43" t="str">
        <f t="shared" si="19"/>
        <v/>
      </c>
      <c r="U199" s="43" t="str">
        <f t="shared" si="19"/>
        <v/>
      </c>
      <c r="V199" s="43" t="str">
        <f t="shared" si="19"/>
        <v/>
      </c>
    </row>
    <row r="200" spans="1:22" x14ac:dyDescent="0.3">
      <c r="A200" s="42"/>
      <c r="B200" s="43" t="str">
        <f>IF($A200="","",SUMIFS([2]weekly_demand!$D:$D,[2]weekly_demand!$A:$A,B$1,[2]weekly_demand!$C:$C,$A200))</f>
        <v/>
      </c>
      <c r="C200" s="43" t="str">
        <f>IF($A200="","",SUMIFS([2]weekly_demand!$D:$D,[2]weekly_demand!$A:$A,C$1,[2]weekly_demand!$C:$C,$A200))</f>
        <v/>
      </c>
      <c r="D200" s="43" t="str">
        <f>IF($A200="","",SUMIFS([2]weekly_demand!$D:$D,[2]weekly_demand!$A:$A,D$1,[2]weekly_demand!$C:$C,$A200))</f>
        <v/>
      </c>
      <c r="E200" s="43" t="str">
        <f>IF($A200="","",SUMIFS([2]weekly_demand!$D:$D,[2]weekly_demand!$A:$A,E$1,[2]weekly_demand!$C:$C,$A200))</f>
        <v/>
      </c>
      <c r="F200" s="43" t="str">
        <f>IF($A200="","",SUMIFS([2]weekly_demand!$D:$D,[2]weekly_demand!$A:$A,F$1,[2]weekly_demand!$C:$C,$A200))</f>
        <v/>
      </c>
      <c r="G200" s="43" t="str">
        <f>IF($A200="","",SUMIFS([2]weekly_demand!$D:$D,[2]weekly_demand!$A:$A,G$1,[2]weekly_demand!$C:$C,$A200))</f>
        <v/>
      </c>
      <c r="H200" s="43" t="str">
        <f t="shared" si="19"/>
        <v/>
      </c>
      <c r="I200" s="43" t="str">
        <f t="shared" si="19"/>
        <v/>
      </c>
      <c r="J200" s="43" t="str">
        <f t="shared" si="19"/>
        <v/>
      </c>
      <c r="K200" s="43" t="str">
        <f t="shared" si="19"/>
        <v/>
      </c>
      <c r="L200" s="43" t="str">
        <f t="shared" si="19"/>
        <v/>
      </c>
      <c r="M200" s="43" t="str">
        <f t="shared" si="19"/>
        <v/>
      </c>
      <c r="N200" s="43" t="str">
        <f t="shared" si="19"/>
        <v/>
      </c>
      <c r="O200" s="43" t="str">
        <f t="shared" si="19"/>
        <v/>
      </c>
      <c r="P200" s="43" t="str">
        <f t="shared" si="19"/>
        <v/>
      </c>
      <c r="Q200" s="43" t="str">
        <f t="shared" si="19"/>
        <v/>
      </c>
      <c r="R200" s="43" t="str">
        <f t="shared" si="19"/>
        <v/>
      </c>
      <c r="S200" s="43" t="str">
        <f t="shared" si="19"/>
        <v/>
      </c>
      <c r="T200" s="43" t="str">
        <f t="shared" si="19"/>
        <v/>
      </c>
      <c r="U200" s="43" t="str">
        <f t="shared" si="19"/>
        <v/>
      </c>
      <c r="V200" s="43" t="str">
        <f t="shared" si="19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63"/>
  <sheetViews>
    <sheetView zoomScale="36" workbookViewId="0">
      <selection activeCell="Z2" sqref="Z2"/>
    </sheetView>
  </sheetViews>
  <sheetFormatPr defaultColWidth="8.5546875" defaultRowHeight="14.4" x14ac:dyDescent="0.3"/>
  <cols>
    <col min="1" max="1" width="21" customWidth="1"/>
    <col min="2" max="70" width="12.44140625" customWidth="1"/>
  </cols>
  <sheetData>
    <row r="1" spans="1:70" ht="14.25" customHeight="1" x14ac:dyDescent="0.3">
      <c r="Z1" t="s">
        <v>14</v>
      </c>
      <c r="AG1" t="s">
        <v>30</v>
      </c>
    </row>
    <row r="2" spans="1:70" ht="14.25" customHeight="1" x14ac:dyDescent="0.3">
      <c r="X2" s="46" t="s">
        <v>79</v>
      </c>
      <c r="Y2" s="47" t="s">
        <v>80</v>
      </c>
      <c r="Z2" s="46" t="s">
        <v>81</v>
      </c>
      <c r="AA2" s="47" t="s">
        <v>82</v>
      </c>
      <c r="AB2" s="46" t="s">
        <v>83</v>
      </c>
      <c r="AE2" s="47" t="s">
        <v>79</v>
      </c>
      <c r="AF2" s="46" t="s">
        <v>80</v>
      </c>
      <c r="AG2" s="47" t="s">
        <v>81</v>
      </c>
      <c r="AH2" s="46" t="s">
        <v>88</v>
      </c>
      <c r="AI2" s="47" t="s">
        <v>89</v>
      </c>
    </row>
    <row r="3" spans="1:70" ht="16.350000000000001" customHeight="1" x14ac:dyDescent="0.3">
      <c r="A3" s="48" t="s">
        <v>95</v>
      </c>
      <c r="B3" s="49" t="s">
        <v>14</v>
      </c>
      <c r="C3" s="49" t="s">
        <v>22</v>
      </c>
      <c r="D3" s="49" t="s">
        <v>25</v>
      </c>
      <c r="E3" s="49" t="s">
        <v>30</v>
      </c>
      <c r="F3" s="49" t="s">
        <v>18</v>
      </c>
      <c r="G3" s="49" t="s">
        <v>9</v>
      </c>
      <c r="H3" s="49" t="s">
        <v>79</v>
      </c>
      <c r="I3" s="49" t="s">
        <v>80</v>
      </c>
      <c r="J3" s="49" t="s">
        <v>81</v>
      </c>
      <c r="K3" s="49" t="s">
        <v>82</v>
      </c>
      <c r="L3" s="49" t="s">
        <v>83</v>
      </c>
      <c r="M3" s="49" t="s">
        <v>84</v>
      </c>
      <c r="N3" s="49" t="s">
        <v>85</v>
      </c>
      <c r="O3" s="49" t="s">
        <v>86</v>
      </c>
      <c r="P3" s="49" t="s">
        <v>87</v>
      </c>
      <c r="Q3" s="49" t="s">
        <v>88</v>
      </c>
      <c r="R3" s="49" t="s">
        <v>89</v>
      </c>
      <c r="S3" s="49" t="s">
        <v>90</v>
      </c>
      <c r="T3" s="49" t="s">
        <v>91</v>
      </c>
      <c r="U3" s="49" t="s">
        <v>92</v>
      </c>
      <c r="V3" s="49" t="s">
        <v>93</v>
      </c>
      <c r="X3" s="46">
        <v>1</v>
      </c>
      <c r="Y3" s="47">
        <v>0.25</v>
      </c>
      <c r="Z3" s="46">
        <v>1</v>
      </c>
      <c r="AA3" s="47">
        <v>2</v>
      </c>
      <c r="AB3" s="46">
        <v>1</v>
      </c>
      <c r="AE3" s="47">
        <v>1</v>
      </c>
      <c r="AF3" s="46">
        <v>0.25</v>
      </c>
      <c r="AG3" s="47">
        <v>1</v>
      </c>
      <c r="AH3" s="46">
        <v>2</v>
      </c>
      <c r="AI3" s="47">
        <v>1.5</v>
      </c>
    </row>
    <row r="4" spans="1:70" ht="16.350000000000001" customHeight="1" x14ac:dyDescent="0.3">
      <c r="A4" s="48" t="s">
        <v>96</v>
      </c>
      <c r="B4" s="37"/>
      <c r="C4" s="37"/>
      <c r="D4" s="3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70" ht="28.5" customHeight="1" x14ac:dyDescent="0.3">
      <c r="A5" s="48" t="s">
        <v>97</v>
      </c>
      <c r="B5" s="120" t="s">
        <v>98</v>
      </c>
      <c r="C5" s="121"/>
      <c r="D5" s="121"/>
      <c r="E5" s="121"/>
      <c r="F5" s="121"/>
      <c r="G5" s="122"/>
      <c r="H5" s="8">
        <v>7</v>
      </c>
      <c r="I5" s="8">
        <v>14</v>
      </c>
      <c r="J5" s="8">
        <v>21</v>
      </c>
      <c r="K5" s="8">
        <v>140</v>
      </c>
      <c r="L5" s="8">
        <v>70</v>
      </c>
      <c r="M5" s="8">
        <v>35</v>
      </c>
      <c r="N5" s="8">
        <v>42</v>
      </c>
      <c r="O5" s="8">
        <v>63</v>
      </c>
      <c r="P5" s="8">
        <v>28</v>
      </c>
      <c r="Q5" s="8">
        <v>77</v>
      </c>
      <c r="R5" s="8">
        <v>21</v>
      </c>
      <c r="S5" s="8">
        <v>56</v>
      </c>
      <c r="T5" s="8">
        <v>35</v>
      </c>
      <c r="U5" s="8">
        <v>63</v>
      </c>
      <c r="V5" s="8">
        <v>49</v>
      </c>
    </row>
    <row r="6" spans="1:70" ht="16.350000000000001" customHeight="1" x14ac:dyDescent="0.3">
      <c r="A6" s="48" t="s">
        <v>99</v>
      </c>
      <c r="B6" s="37"/>
      <c r="C6" s="37"/>
      <c r="D6" s="37"/>
      <c r="E6" s="8"/>
      <c r="F6" s="8"/>
      <c r="G6" s="8"/>
      <c r="H6" s="8">
        <v>588</v>
      </c>
      <c r="I6" s="8">
        <v>1443</v>
      </c>
      <c r="J6" s="8">
        <v>42524</v>
      </c>
      <c r="K6" s="8">
        <v>340000</v>
      </c>
      <c r="L6" s="8">
        <v>90000</v>
      </c>
      <c r="M6" s="8">
        <v>76000</v>
      </c>
      <c r="N6" s="8">
        <v>50000</v>
      </c>
      <c r="O6" s="8">
        <v>123000</v>
      </c>
      <c r="P6" s="8">
        <v>6500</v>
      </c>
      <c r="Q6" s="8">
        <v>60000</v>
      </c>
      <c r="R6" s="8">
        <v>100000</v>
      </c>
      <c r="S6" s="8">
        <v>5500</v>
      </c>
      <c r="T6" s="8">
        <v>6000</v>
      </c>
      <c r="U6" s="8">
        <v>130000</v>
      </c>
      <c r="V6" s="8">
        <v>20000</v>
      </c>
      <c r="Z6" t="s">
        <v>22</v>
      </c>
      <c r="AG6" t="s">
        <v>18</v>
      </c>
    </row>
    <row r="7" spans="1:70" ht="16.350000000000001" customHeight="1" x14ac:dyDescent="0.3">
      <c r="A7" s="48" t="s">
        <v>100</v>
      </c>
      <c r="B7" s="37"/>
      <c r="C7" s="37"/>
      <c r="D7" s="37"/>
      <c r="E7" s="8"/>
      <c r="F7" s="8"/>
      <c r="G7" s="8"/>
      <c r="H7" s="8"/>
      <c r="I7" s="8"/>
      <c r="J7" s="8"/>
      <c r="K7" s="8">
        <v>30000</v>
      </c>
      <c r="L7" s="8"/>
      <c r="M7" s="8"/>
      <c r="N7" s="8"/>
      <c r="O7" s="8">
        <v>38000</v>
      </c>
      <c r="P7" s="8"/>
      <c r="Q7" s="8">
        <v>5000</v>
      </c>
      <c r="R7" s="8"/>
      <c r="S7" s="8"/>
      <c r="T7" s="8">
        <v>1000</v>
      </c>
      <c r="U7" s="8"/>
      <c r="V7" s="8">
        <v>21000</v>
      </c>
      <c r="X7" s="47" t="s">
        <v>79</v>
      </c>
      <c r="Y7" s="46" t="s">
        <v>80</v>
      </c>
      <c r="Z7" s="47" t="s">
        <v>81</v>
      </c>
      <c r="AA7" s="46" t="s">
        <v>84</v>
      </c>
      <c r="AB7" s="47" t="s">
        <v>85</v>
      </c>
      <c r="AE7" s="46" t="s">
        <v>79</v>
      </c>
      <c r="AF7" s="47" t="s">
        <v>80</v>
      </c>
      <c r="AG7" s="46" t="s">
        <v>81</v>
      </c>
      <c r="AH7" s="47" t="s">
        <v>90</v>
      </c>
      <c r="AI7" s="46" t="s">
        <v>91</v>
      </c>
    </row>
    <row r="8" spans="1:70" ht="16.350000000000001" customHeight="1" x14ac:dyDescent="0.3">
      <c r="A8" s="48" t="s">
        <v>101</v>
      </c>
      <c r="B8" s="37" t="s">
        <v>102</v>
      </c>
      <c r="C8" s="37"/>
      <c r="D8" s="37"/>
      <c r="E8" s="8"/>
      <c r="F8" s="8"/>
      <c r="G8" s="8"/>
      <c r="H8" s="8">
        <f>ROUNDUP(AVERAGE([3]BOM_demand!H$2:H$36)*IF(INDEX('[3]BOM &amp; Inventory'!$G$6:$G$35,MATCH(H$3,'[3]BOM &amp; Inventory'!$E$6:$E$35,0))="Local",1,2),0)</f>
        <v>19438</v>
      </c>
      <c r="I8" s="8">
        <f>ROUNDUP(AVERAGE([3]BOM_demand!I$2:I$36)*IF(INDEX('[3]BOM &amp; Inventory'!$G$6:$G$35,MATCH(I$3,'[3]BOM &amp; Inventory'!$E$6:$E$35,0))="Local",1,2),0)</f>
        <v>5264</v>
      </c>
      <c r="J8" s="8">
        <f>ROUNDUP(AVERAGE([3]BOM_demand!J$2:J$36)*IF(INDEX('[3]BOM &amp; Inventory'!$G$6:$G$35,MATCH(J$3,'[3]BOM &amp; Inventory'!$E$6:$E$35,0))="Local",1,2),0)</f>
        <v>19438</v>
      </c>
      <c r="K8" s="8">
        <f>ROUNDUP(AVERAGE([3]BOM_demand!K$2:K$36)*IF(INDEX('[3]BOM &amp; Inventory'!$G$6:$G$35,MATCH(K$3,'[3]BOM &amp; Inventory'!$E$6:$E$35,0))="Local",1,2),0)</f>
        <v>34070</v>
      </c>
      <c r="L8" s="8">
        <f>ROUNDUP(AVERAGE([3]BOM_demand!L$2:L$36)*IF(INDEX('[3]BOM &amp; Inventory'!$G$6:$G$35,MATCH(L$3,'[3]BOM &amp; Inventory'!$E$6:$E$35,0))="Local",1,2),0)</f>
        <v>17035</v>
      </c>
      <c r="M8" s="8">
        <f>ROUNDUP(AVERAGE([3]BOM_demand!M$2:M$36)*IF(INDEX('[3]BOM &amp; Inventory'!$G$6:$G$35,MATCH(M$3,'[3]BOM &amp; Inventory'!$E$6:$E$35,0))="Local",1,2),0)</f>
        <v>21645</v>
      </c>
      <c r="N8" s="8">
        <f>ROUNDUP(AVERAGE([3]BOM_demand!N$2:N$36)*IF(INDEX('[3]BOM &amp; Inventory'!$G$6:$G$35,MATCH(N$3,'[3]BOM &amp; Inventory'!$E$6:$E$35,0))="Local",1,2),0)</f>
        <v>12987</v>
      </c>
      <c r="O8" s="8">
        <f>ROUNDUP(AVERAGE([3]BOM_demand!O$2:O$36)*IF(INDEX('[3]BOM &amp; Inventory'!$G$6:$G$35,MATCH(O$3,'[3]BOM &amp; Inventory'!$E$6:$E$35,0))="Local",1,2),0)</f>
        <v>16059</v>
      </c>
      <c r="P8" s="8">
        <f>ROUNDUP(AVERAGE([3]BOM_demand!P$2:P$36)*IF(INDEX('[3]BOM &amp; Inventory'!$G$6:$G$35,MATCH(P$3,'[3]BOM &amp; Inventory'!$E$6:$E$35,0))="Local",1,2),0)</f>
        <v>2677</v>
      </c>
      <c r="Q8" s="8">
        <f>ROUNDUP(AVERAGE([3]BOM_demand!Q$2:Q$36)*IF(INDEX('[3]BOM &amp; Inventory'!$G$6:$G$35,MATCH(Q$3,'[3]BOM &amp; Inventory'!$E$6:$E$35,0))="Local",1,2),0)</f>
        <v>5405</v>
      </c>
      <c r="R8" s="8">
        <f>ROUNDUP(AVERAGE([3]BOM_demand!R$2:R$36)*IF(INDEX('[3]BOM &amp; Inventory'!$G$6:$G$35,MATCH(R$3,'[3]BOM &amp; Inventory'!$E$6:$E$35,0))="Local",1,2),0)</f>
        <v>4054</v>
      </c>
      <c r="S8" s="8">
        <f>ROUNDUP(AVERAGE([3]BOM_demand!S$2:S$36)*IF(INDEX('[3]BOM &amp; Inventory'!$G$6:$G$35,MATCH(S$3,'[3]BOM &amp; Inventory'!$E$6:$E$35,0))="Local",1,2),0)</f>
        <v>887</v>
      </c>
      <c r="T8" s="8">
        <f>ROUNDUP(AVERAGE([3]BOM_demand!T$2:T$36)*IF(INDEX('[3]BOM &amp; Inventory'!$G$6:$G$35,MATCH(T$3,'[3]BOM &amp; Inventory'!$E$6:$E$35,0))="Local",1,2),0)</f>
        <v>1182</v>
      </c>
      <c r="U8" s="8">
        <f>ROUNDUP(AVERAGE([3]BOM_demand!U$2:U$36)*IF(INDEX('[3]BOM &amp; Inventory'!$G$6:$G$35,MATCH(U$3,'[3]BOM &amp; Inventory'!$E$6:$E$35,0))="Local",1,2),0)</f>
        <v>24160</v>
      </c>
      <c r="V8" s="8">
        <f>ROUNDUP(AVERAGE([3]BOM_demand!V$2:V$36)*IF(INDEX('[3]BOM &amp; Inventory'!$G$6:$G$35,MATCH(V$3,'[3]BOM &amp; Inventory'!$E$6:$E$35,0))="Local",1,2),0)</f>
        <v>9664</v>
      </c>
      <c r="X8" s="47">
        <v>1</v>
      </c>
      <c r="Y8" s="46">
        <v>0.25</v>
      </c>
      <c r="Z8" s="47">
        <v>1</v>
      </c>
      <c r="AA8" s="46">
        <v>2.5</v>
      </c>
      <c r="AB8" s="47">
        <v>1.5</v>
      </c>
      <c r="AE8" s="46">
        <v>1</v>
      </c>
      <c r="AF8" s="47">
        <v>0.5</v>
      </c>
      <c r="AG8" s="46">
        <v>1</v>
      </c>
      <c r="AH8" s="47">
        <v>3</v>
      </c>
      <c r="AI8" s="46">
        <v>4</v>
      </c>
    </row>
    <row r="11" spans="1:70" ht="14.25" customHeight="1" x14ac:dyDescent="0.3">
      <c r="Z11" t="s">
        <v>25</v>
      </c>
      <c r="AG11" t="s">
        <v>9</v>
      </c>
    </row>
    <row r="12" spans="1:70" ht="14.25" customHeight="1" x14ac:dyDescent="0.3">
      <c r="X12" s="46" t="s">
        <v>79</v>
      </c>
      <c r="Y12" s="47" t="s">
        <v>80</v>
      </c>
      <c r="Z12" s="46" t="s">
        <v>81</v>
      </c>
      <c r="AA12" s="47" t="s">
        <v>86</v>
      </c>
      <c r="AB12" s="46" t="s">
        <v>87</v>
      </c>
      <c r="AE12" s="47" t="s">
        <v>79</v>
      </c>
      <c r="AF12" s="46" t="s">
        <v>80</v>
      </c>
      <c r="AG12" s="47" t="s">
        <v>81</v>
      </c>
      <c r="AH12" s="46" t="s">
        <v>92</v>
      </c>
      <c r="AI12" s="47" t="s">
        <v>93</v>
      </c>
    </row>
    <row r="13" spans="1:70" ht="14.25" customHeight="1" x14ac:dyDescent="0.3">
      <c r="X13" s="46">
        <v>1</v>
      </c>
      <c r="Y13" s="47">
        <v>0.5</v>
      </c>
      <c r="Z13" s="46">
        <v>1</v>
      </c>
      <c r="AA13" s="47">
        <v>3</v>
      </c>
      <c r="AB13" s="46">
        <v>0.5</v>
      </c>
      <c r="AE13" s="47">
        <v>1</v>
      </c>
      <c r="AF13" s="46">
        <v>0.125</v>
      </c>
      <c r="AG13" s="47">
        <v>1</v>
      </c>
      <c r="AH13" s="46">
        <v>5</v>
      </c>
      <c r="AI13" s="47">
        <v>2</v>
      </c>
    </row>
    <row r="15" spans="1:70" ht="16.350000000000001" customHeight="1" x14ac:dyDescent="0.3">
      <c r="A15" s="51" t="s">
        <v>103</v>
      </c>
      <c r="B15" s="51" t="s">
        <v>104</v>
      </c>
      <c r="C15" s="123" t="s">
        <v>63</v>
      </c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2"/>
    </row>
    <row r="16" spans="1:70" ht="16.350000000000001" customHeight="1" x14ac:dyDescent="0.3">
      <c r="A16" s="51" t="s">
        <v>105</v>
      </c>
      <c r="B16" s="51" t="str">
        <f>"LT: "&amp;ROUND(INDEX($H$5:$V$5,1,MATCH("RM01",$H$3:$V$3,0))/7,0)</f>
        <v>LT: 1</v>
      </c>
      <c r="C16" s="52">
        <f t="array" ref="C16:AK16">TRANSPOSE([3]BOM_demand!$A$2:$A$36)</f>
        <v>46132</v>
      </c>
      <c r="D16" s="52">
        <v>46139</v>
      </c>
      <c r="E16" s="52">
        <v>46146</v>
      </c>
      <c r="F16" s="52">
        <v>46153</v>
      </c>
      <c r="G16" s="52">
        <v>46160</v>
      </c>
      <c r="H16" s="52">
        <v>46167</v>
      </c>
      <c r="I16" s="52">
        <v>46174</v>
      </c>
      <c r="J16" s="52">
        <v>46181</v>
      </c>
      <c r="K16" s="52">
        <v>46188</v>
      </c>
      <c r="L16" s="52">
        <v>46195</v>
      </c>
      <c r="M16" s="52">
        <v>46202</v>
      </c>
      <c r="N16" s="52">
        <v>46209</v>
      </c>
      <c r="O16" s="52">
        <v>46216</v>
      </c>
      <c r="P16" s="52">
        <v>46223</v>
      </c>
      <c r="Q16" s="52">
        <v>46230</v>
      </c>
      <c r="R16" s="52">
        <v>46237</v>
      </c>
      <c r="S16" s="52">
        <v>46244</v>
      </c>
      <c r="T16" s="52">
        <v>46251</v>
      </c>
      <c r="U16" s="52">
        <v>46258</v>
      </c>
      <c r="V16" s="52">
        <v>46265</v>
      </c>
      <c r="W16" s="52">
        <v>46272</v>
      </c>
      <c r="X16" s="52">
        <v>46279</v>
      </c>
      <c r="Y16" s="52">
        <v>46286</v>
      </c>
      <c r="Z16" s="52">
        <v>46293</v>
      </c>
      <c r="AA16" s="52">
        <v>46300</v>
      </c>
      <c r="AB16" s="52">
        <v>46307</v>
      </c>
      <c r="AC16" s="52">
        <v>46314</v>
      </c>
      <c r="AD16" s="52">
        <v>46321</v>
      </c>
      <c r="AE16" s="52">
        <v>46328</v>
      </c>
      <c r="AF16" s="52">
        <v>46335</v>
      </c>
      <c r="AG16" s="52">
        <v>46342</v>
      </c>
      <c r="AH16" s="52">
        <v>46349</v>
      </c>
      <c r="AI16" s="52">
        <v>46356</v>
      </c>
      <c r="AJ16" s="52">
        <v>46363</v>
      </c>
      <c r="AK16" s="53">
        <v>46370</v>
      </c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</row>
    <row r="17" spans="1:55" ht="16.350000000000001" customHeight="1" x14ac:dyDescent="0.3">
      <c r="A17" s="55" t="s">
        <v>106</v>
      </c>
      <c r="C17" s="38">
        <f t="array" ref="C17:AK17">TRANSPOSE([3]BOM_demand!$H$2:$H$36)</f>
        <v>588</v>
      </c>
      <c r="D17" s="38">
        <v>5184</v>
      </c>
      <c r="E17" s="38">
        <v>36752</v>
      </c>
      <c r="F17" s="38">
        <v>58518</v>
      </c>
      <c r="G17" s="38">
        <v>41987</v>
      </c>
      <c r="H17" s="38">
        <v>38270</v>
      </c>
      <c r="I17" s="38">
        <v>29637</v>
      </c>
      <c r="J17" s="38">
        <v>25780</v>
      </c>
      <c r="K17" s="38">
        <v>22109</v>
      </c>
      <c r="L17" s="38">
        <v>19736</v>
      </c>
      <c r="M17" s="38">
        <v>23041</v>
      </c>
      <c r="N17" s="38">
        <v>23040</v>
      </c>
      <c r="O17" s="38">
        <v>11046</v>
      </c>
      <c r="P17" s="38">
        <v>8000</v>
      </c>
      <c r="Q17" s="38">
        <v>31636</v>
      </c>
      <c r="R17" s="38">
        <v>29184</v>
      </c>
      <c r="S17" s="38">
        <v>9248</v>
      </c>
      <c r="T17" s="38">
        <v>8946</v>
      </c>
      <c r="U17" s="38">
        <v>10655</v>
      </c>
      <c r="V17" s="38">
        <v>10554</v>
      </c>
      <c r="W17" s="38">
        <v>8797</v>
      </c>
      <c r="X17" s="38">
        <v>8398</v>
      </c>
      <c r="Y17" s="38">
        <v>7797</v>
      </c>
      <c r="Z17" s="38">
        <v>6652</v>
      </c>
      <c r="AA17" s="38">
        <v>19977</v>
      </c>
      <c r="AB17" s="38">
        <v>21425</v>
      </c>
      <c r="AC17" s="38">
        <v>21424</v>
      </c>
      <c r="AD17" s="38">
        <v>25215</v>
      </c>
      <c r="AE17" s="38">
        <v>14085</v>
      </c>
      <c r="AF17" s="38">
        <v>13788</v>
      </c>
      <c r="AG17" s="38">
        <v>13787</v>
      </c>
      <c r="AH17" s="38">
        <v>16538</v>
      </c>
      <c r="AI17" s="38">
        <v>17009</v>
      </c>
      <c r="AJ17" s="38">
        <v>20756</v>
      </c>
      <c r="AK17" s="66">
        <v>20753</v>
      </c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</row>
    <row r="18" spans="1:55" ht="16.350000000000001" customHeight="1" x14ac:dyDescent="0.3">
      <c r="A18" s="124" t="s">
        <v>100</v>
      </c>
      <c r="B18" s="122"/>
      <c r="C18" s="38">
        <f>IFERROR(INDEX($H$7:$V$7,1,MATCH("RM01",$H$3:$V$3,0)),0)</f>
        <v>0</v>
      </c>
      <c r="D18" s="38">
        <f>0</f>
        <v>0</v>
      </c>
      <c r="E18" s="38">
        <f>0</f>
        <v>0</v>
      </c>
      <c r="F18" s="38">
        <f>0</f>
        <v>0</v>
      </c>
      <c r="G18" s="38">
        <f>0</f>
        <v>0</v>
      </c>
      <c r="H18" s="38">
        <f>0</f>
        <v>0</v>
      </c>
      <c r="I18" s="38">
        <f>0</f>
        <v>0</v>
      </c>
      <c r="J18" s="38">
        <f>0</f>
        <v>0</v>
      </c>
      <c r="K18" s="8">
        <f>0</f>
        <v>0</v>
      </c>
      <c r="L18" s="8">
        <f>0</f>
        <v>0</v>
      </c>
      <c r="M18" s="8">
        <f>0</f>
        <v>0</v>
      </c>
      <c r="N18" s="8">
        <f>0</f>
        <v>0</v>
      </c>
      <c r="O18" s="8">
        <f>0</f>
        <v>0</v>
      </c>
      <c r="P18" s="8">
        <f>0</f>
        <v>0</v>
      </c>
      <c r="Q18" s="8">
        <f>0</f>
        <v>0</v>
      </c>
      <c r="R18" s="8">
        <f>0</f>
        <v>0</v>
      </c>
      <c r="S18" s="8">
        <f>0</f>
        <v>0</v>
      </c>
      <c r="T18" s="8">
        <f>0</f>
        <v>0</v>
      </c>
      <c r="U18" s="8">
        <f>0</f>
        <v>0</v>
      </c>
      <c r="V18" s="8">
        <f>0</f>
        <v>0</v>
      </c>
      <c r="W18" s="8">
        <f>0</f>
        <v>0</v>
      </c>
      <c r="X18" s="8">
        <f>0</f>
        <v>0</v>
      </c>
      <c r="Y18" s="8">
        <f>0</f>
        <v>0</v>
      </c>
      <c r="Z18" s="8">
        <f>0</f>
        <v>0</v>
      </c>
      <c r="AA18" s="8">
        <f>0</f>
        <v>0</v>
      </c>
      <c r="AB18" s="8">
        <f>0</f>
        <v>0</v>
      </c>
      <c r="AC18" s="8">
        <f>0</f>
        <v>0</v>
      </c>
      <c r="AD18" s="8">
        <f>0</f>
        <v>0</v>
      </c>
      <c r="AE18" s="8">
        <f>0</f>
        <v>0</v>
      </c>
      <c r="AF18" s="8">
        <f>0</f>
        <v>0</v>
      </c>
      <c r="AG18" s="8">
        <f>0</f>
        <v>0</v>
      </c>
      <c r="AH18" s="8">
        <f>0</f>
        <v>0</v>
      </c>
      <c r="AI18" s="8">
        <f>0</f>
        <v>0</v>
      </c>
      <c r="AJ18" s="8">
        <f>0</f>
        <v>0</v>
      </c>
      <c r="AK18" s="67">
        <f>0</f>
        <v>0</v>
      </c>
    </row>
    <row r="19" spans="1:55" ht="16.350000000000001" customHeight="1" x14ac:dyDescent="0.3">
      <c r="A19" s="38" t="s">
        <v>101</v>
      </c>
      <c r="B19" s="50">
        <f>IFERROR(INDEX($H$8:$V$8,1,MATCH("RM01",$H$3:$V$3,0)),0)</f>
        <v>19438</v>
      </c>
      <c r="C19" s="38">
        <f t="shared" ref="C19:AK19" si="0">$B19</f>
        <v>19438</v>
      </c>
      <c r="D19" s="38">
        <f t="shared" si="0"/>
        <v>19438</v>
      </c>
      <c r="E19" s="38">
        <f t="shared" si="0"/>
        <v>19438</v>
      </c>
      <c r="F19" s="38">
        <f t="shared" si="0"/>
        <v>19438</v>
      </c>
      <c r="G19" s="38">
        <f t="shared" si="0"/>
        <v>19438</v>
      </c>
      <c r="H19" s="38">
        <f t="shared" si="0"/>
        <v>19438</v>
      </c>
      <c r="I19" s="38">
        <f t="shared" si="0"/>
        <v>19438</v>
      </c>
      <c r="J19" s="38">
        <f t="shared" si="0"/>
        <v>19438</v>
      </c>
      <c r="K19" s="8">
        <f t="shared" si="0"/>
        <v>19438</v>
      </c>
      <c r="L19" s="8">
        <f t="shared" si="0"/>
        <v>19438</v>
      </c>
      <c r="M19" s="8">
        <f t="shared" si="0"/>
        <v>19438</v>
      </c>
      <c r="N19" s="8">
        <f t="shared" si="0"/>
        <v>19438</v>
      </c>
      <c r="O19" s="8">
        <f t="shared" si="0"/>
        <v>19438</v>
      </c>
      <c r="P19" s="8">
        <f t="shared" si="0"/>
        <v>19438</v>
      </c>
      <c r="Q19" s="8">
        <f t="shared" si="0"/>
        <v>19438</v>
      </c>
      <c r="R19" s="8">
        <f t="shared" si="0"/>
        <v>19438</v>
      </c>
      <c r="S19" s="8">
        <f t="shared" si="0"/>
        <v>19438</v>
      </c>
      <c r="T19" s="8">
        <f t="shared" si="0"/>
        <v>19438</v>
      </c>
      <c r="U19" s="8">
        <f t="shared" si="0"/>
        <v>19438</v>
      </c>
      <c r="V19" s="8">
        <f t="shared" si="0"/>
        <v>19438</v>
      </c>
      <c r="W19" s="8">
        <f t="shared" si="0"/>
        <v>19438</v>
      </c>
      <c r="X19" s="8">
        <f t="shared" si="0"/>
        <v>19438</v>
      </c>
      <c r="Y19" s="8">
        <f t="shared" si="0"/>
        <v>19438</v>
      </c>
      <c r="Z19" s="8">
        <f t="shared" si="0"/>
        <v>19438</v>
      </c>
      <c r="AA19" s="8">
        <f t="shared" si="0"/>
        <v>19438</v>
      </c>
      <c r="AB19" s="8">
        <f t="shared" si="0"/>
        <v>19438</v>
      </c>
      <c r="AC19" s="8">
        <f t="shared" si="0"/>
        <v>19438</v>
      </c>
      <c r="AD19" s="8">
        <f t="shared" si="0"/>
        <v>19438</v>
      </c>
      <c r="AE19" s="8">
        <f t="shared" si="0"/>
        <v>19438</v>
      </c>
      <c r="AF19" s="8">
        <f t="shared" si="0"/>
        <v>19438</v>
      </c>
      <c r="AG19" s="8">
        <f t="shared" si="0"/>
        <v>19438</v>
      </c>
      <c r="AH19" s="8">
        <f t="shared" si="0"/>
        <v>19438</v>
      </c>
      <c r="AI19" s="8">
        <f t="shared" si="0"/>
        <v>19438</v>
      </c>
      <c r="AJ19" s="8">
        <f t="shared" si="0"/>
        <v>19438</v>
      </c>
      <c r="AK19" s="67">
        <f t="shared" si="0"/>
        <v>19438</v>
      </c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</row>
    <row r="20" spans="1:55" ht="16.350000000000001" customHeight="1" x14ac:dyDescent="0.3">
      <c r="A20" s="38" t="s">
        <v>107</v>
      </c>
      <c r="B20" s="50">
        <f>IFERROR(INDEX($H$6:$V$6,1,MATCH("RM01",$H$3:$V$3,0)),0)</f>
        <v>588</v>
      </c>
      <c r="C20" s="38">
        <f>$B20+C18+C22-C17</f>
        <v>19438</v>
      </c>
      <c r="D20" s="38">
        <f t="shared" ref="D20:AK20" si="1">C20+D18+D22-D17</f>
        <v>19438</v>
      </c>
      <c r="E20" s="38">
        <f t="shared" si="1"/>
        <v>19438</v>
      </c>
      <c r="F20" s="38">
        <f t="shared" si="1"/>
        <v>19438</v>
      </c>
      <c r="G20" s="38">
        <f t="shared" si="1"/>
        <v>19438</v>
      </c>
      <c r="H20" s="38">
        <f t="shared" si="1"/>
        <v>19438</v>
      </c>
      <c r="I20" s="38">
        <f t="shared" si="1"/>
        <v>19438</v>
      </c>
      <c r="J20" s="38">
        <f t="shared" si="1"/>
        <v>19438</v>
      </c>
      <c r="K20" s="8">
        <f t="shared" si="1"/>
        <v>19438</v>
      </c>
      <c r="L20" s="8">
        <f t="shared" si="1"/>
        <v>19438</v>
      </c>
      <c r="M20" s="8">
        <f t="shared" si="1"/>
        <v>19438</v>
      </c>
      <c r="N20" s="8">
        <f t="shared" si="1"/>
        <v>19438</v>
      </c>
      <c r="O20" s="8">
        <f t="shared" si="1"/>
        <v>19438</v>
      </c>
      <c r="P20" s="8">
        <f t="shared" si="1"/>
        <v>19438</v>
      </c>
      <c r="Q20" s="8">
        <f t="shared" si="1"/>
        <v>19438</v>
      </c>
      <c r="R20" s="8">
        <f t="shared" si="1"/>
        <v>19438</v>
      </c>
      <c r="S20" s="8">
        <f t="shared" si="1"/>
        <v>19438</v>
      </c>
      <c r="T20" s="8">
        <f t="shared" si="1"/>
        <v>19438</v>
      </c>
      <c r="U20" s="8">
        <f t="shared" si="1"/>
        <v>19438</v>
      </c>
      <c r="V20" s="8">
        <f t="shared" si="1"/>
        <v>19438</v>
      </c>
      <c r="W20" s="8">
        <f t="shared" si="1"/>
        <v>19438</v>
      </c>
      <c r="X20" s="8">
        <f t="shared" si="1"/>
        <v>19438</v>
      </c>
      <c r="Y20" s="8">
        <f t="shared" si="1"/>
        <v>19438</v>
      </c>
      <c r="Z20" s="8">
        <f t="shared" si="1"/>
        <v>19438</v>
      </c>
      <c r="AA20" s="8">
        <f t="shared" si="1"/>
        <v>19438</v>
      </c>
      <c r="AB20" s="8">
        <f t="shared" si="1"/>
        <v>19438</v>
      </c>
      <c r="AC20" s="8">
        <f t="shared" si="1"/>
        <v>19438</v>
      </c>
      <c r="AD20" s="8">
        <f t="shared" si="1"/>
        <v>19438</v>
      </c>
      <c r="AE20" s="8">
        <f t="shared" si="1"/>
        <v>19438</v>
      </c>
      <c r="AF20" s="8">
        <f t="shared" si="1"/>
        <v>19438</v>
      </c>
      <c r="AG20" s="8">
        <f t="shared" si="1"/>
        <v>19438</v>
      </c>
      <c r="AH20" s="8">
        <f t="shared" si="1"/>
        <v>19438</v>
      </c>
      <c r="AI20" s="8">
        <f t="shared" si="1"/>
        <v>19438</v>
      </c>
      <c r="AJ20" s="8">
        <f t="shared" si="1"/>
        <v>19438</v>
      </c>
      <c r="AK20" s="67">
        <f t="shared" si="1"/>
        <v>19438</v>
      </c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</row>
    <row r="21" spans="1:55" ht="16.350000000000001" customHeight="1" x14ac:dyDescent="0.3">
      <c r="A21" s="38" t="s">
        <v>108</v>
      </c>
      <c r="B21" s="50"/>
      <c r="C21" s="38">
        <f>MAX(C17+C19-($B20+C18),0)</f>
        <v>19438</v>
      </c>
      <c r="D21" s="38">
        <f t="shared" ref="D21:AK21" si="2">MAX(D17+D19-(C20+D18),0)</f>
        <v>5184</v>
      </c>
      <c r="E21" s="38">
        <f t="shared" si="2"/>
        <v>36752</v>
      </c>
      <c r="F21" s="38">
        <f t="shared" si="2"/>
        <v>58518</v>
      </c>
      <c r="G21" s="38">
        <f t="shared" si="2"/>
        <v>41987</v>
      </c>
      <c r="H21" s="38">
        <f t="shared" si="2"/>
        <v>38270</v>
      </c>
      <c r="I21" s="38">
        <f t="shared" si="2"/>
        <v>29637</v>
      </c>
      <c r="J21" s="38">
        <f t="shared" si="2"/>
        <v>25780</v>
      </c>
      <c r="K21" s="8">
        <f t="shared" si="2"/>
        <v>22109</v>
      </c>
      <c r="L21" s="8">
        <f t="shared" si="2"/>
        <v>19736</v>
      </c>
      <c r="M21" s="8">
        <f t="shared" si="2"/>
        <v>23041</v>
      </c>
      <c r="N21" s="8">
        <f t="shared" si="2"/>
        <v>23040</v>
      </c>
      <c r="O21" s="8">
        <f t="shared" si="2"/>
        <v>11046</v>
      </c>
      <c r="P21" s="8">
        <f t="shared" si="2"/>
        <v>8000</v>
      </c>
      <c r="Q21" s="8">
        <f t="shared" si="2"/>
        <v>31636</v>
      </c>
      <c r="R21" s="8">
        <f t="shared" si="2"/>
        <v>29184</v>
      </c>
      <c r="S21" s="8">
        <f t="shared" si="2"/>
        <v>9248</v>
      </c>
      <c r="T21" s="8">
        <f t="shared" si="2"/>
        <v>8946</v>
      </c>
      <c r="U21" s="8">
        <f t="shared" si="2"/>
        <v>10655</v>
      </c>
      <c r="V21" s="8">
        <f t="shared" si="2"/>
        <v>10554</v>
      </c>
      <c r="W21" s="8">
        <f t="shared" si="2"/>
        <v>8797</v>
      </c>
      <c r="X21" s="8">
        <f t="shared" si="2"/>
        <v>8398</v>
      </c>
      <c r="Y21" s="8">
        <f t="shared" si="2"/>
        <v>7797</v>
      </c>
      <c r="Z21" s="8">
        <f t="shared" si="2"/>
        <v>6652</v>
      </c>
      <c r="AA21" s="8">
        <f t="shared" si="2"/>
        <v>19977</v>
      </c>
      <c r="AB21" s="8">
        <f t="shared" si="2"/>
        <v>21425</v>
      </c>
      <c r="AC21" s="8">
        <f t="shared" si="2"/>
        <v>21424</v>
      </c>
      <c r="AD21" s="8">
        <f t="shared" si="2"/>
        <v>25215</v>
      </c>
      <c r="AE21" s="8">
        <f t="shared" si="2"/>
        <v>14085</v>
      </c>
      <c r="AF21" s="8">
        <f t="shared" si="2"/>
        <v>13788</v>
      </c>
      <c r="AG21" s="8">
        <f t="shared" si="2"/>
        <v>13787</v>
      </c>
      <c r="AH21" s="8">
        <f t="shared" si="2"/>
        <v>16538</v>
      </c>
      <c r="AI21" s="8">
        <f t="shared" si="2"/>
        <v>17009</v>
      </c>
      <c r="AJ21" s="8">
        <f t="shared" si="2"/>
        <v>20756</v>
      </c>
      <c r="AK21" s="67">
        <f t="shared" si="2"/>
        <v>20753</v>
      </c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</row>
    <row r="22" spans="1:55" ht="16.350000000000001" customHeight="1" x14ac:dyDescent="0.3">
      <c r="A22" s="124" t="s">
        <v>109</v>
      </c>
      <c r="B22" s="122"/>
      <c r="C22" s="38">
        <f t="shared" ref="C22:AK22" si="3">C21</f>
        <v>19438</v>
      </c>
      <c r="D22" s="38">
        <f t="shared" si="3"/>
        <v>5184</v>
      </c>
      <c r="E22" s="38">
        <f t="shared" si="3"/>
        <v>36752</v>
      </c>
      <c r="F22" s="38">
        <f t="shared" si="3"/>
        <v>58518</v>
      </c>
      <c r="G22" s="38">
        <f t="shared" si="3"/>
        <v>41987</v>
      </c>
      <c r="H22" s="38">
        <f t="shared" si="3"/>
        <v>38270</v>
      </c>
      <c r="I22" s="38">
        <f t="shared" si="3"/>
        <v>29637</v>
      </c>
      <c r="J22" s="38">
        <f t="shared" si="3"/>
        <v>25780</v>
      </c>
      <c r="K22" s="8">
        <f t="shared" si="3"/>
        <v>22109</v>
      </c>
      <c r="L22" s="8">
        <f t="shared" si="3"/>
        <v>19736</v>
      </c>
      <c r="M22" s="8">
        <f t="shared" si="3"/>
        <v>23041</v>
      </c>
      <c r="N22" s="8">
        <f t="shared" si="3"/>
        <v>23040</v>
      </c>
      <c r="O22" s="8">
        <f t="shared" si="3"/>
        <v>11046</v>
      </c>
      <c r="P22" s="8">
        <f t="shared" si="3"/>
        <v>8000</v>
      </c>
      <c r="Q22" s="8">
        <f t="shared" si="3"/>
        <v>31636</v>
      </c>
      <c r="R22" s="8">
        <f t="shared" si="3"/>
        <v>29184</v>
      </c>
      <c r="S22" s="8">
        <f t="shared" si="3"/>
        <v>9248</v>
      </c>
      <c r="T22" s="8">
        <f t="shared" si="3"/>
        <v>8946</v>
      </c>
      <c r="U22" s="8">
        <f t="shared" si="3"/>
        <v>10655</v>
      </c>
      <c r="V22" s="8">
        <f t="shared" si="3"/>
        <v>10554</v>
      </c>
      <c r="W22" s="8">
        <f t="shared" si="3"/>
        <v>8797</v>
      </c>
      <c r="X22" s="8">
        <f t="shared" si="3"/>
        <v>8398</v>
      </c>
      <c r="Y22" s="8">
        <f t="shared" si="3"/>
        <v>7797</v>
      </c>
      <c r="Z22" s="8">
        <f t="shared" si="3"/>
        <v>6652</v>
      </c>
      <c r="AA22" s="8">
        <f t="shared" si="3"/>
        <v>19977</v>
      </c>
      <c r="AB22" s="8">
        <f t="shared" si="3"/>
        <v>21425</v>
      </c>
      <c r="AC22" s="8">
        <f t="shared" si="3"/>
        <v>21424</v>
      </c>
      <c r="AD22" s="8">
        <f t="shared" si="3"/>
        <v>25215</v>
      </c>
      <c r="AE22" s="8">
        <f t="shared" si="3"/>
        <v>14085</v>
      </c>
      <c r="AF22" s="8">
        <f t="shared" si="3"/>
        <v>13788</v>
      </c>
      <c r="AG22" s="8">
        <f t="shared" si="3"/>
        <v>13787</v>
      </c>
      <c r="AH22" s="8">
        <f t="shared" si="3"/>
        <v>16538</v>
      </c>
      <c r="AI22" s="8">
        <f t="shared" si="3"/>
        <v>17009</v>
      </c>
      <c r="AJ22" s="8">
        <f t="shared" si="3"/>
        <v>20756</v>
      </c>
      <c r="AK22" s="67">
        <f t="shared" si="3"/>
        <v>20753</v>
      </c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</row>
    <row r="23" spans="1:55" ht="16.350000000000001" customHeight="1" x14ac:dyDescent="0.3">
      <c r="A23" s="38" t="s">
        <v>110</v>
      </c>
      <c r="B23" s="50"/>
      <c r="C23" s="38">
        <f>IFERROR(INDEX($C$22:$AK$22,1,1+ROUND(INDEX($H$5:$V$5,1,MATCH("RM01",$H$3:$V$3,0))/7,0)),0)</f>
        <v>5184</v>
      </c>
      <c r="D23" s="38">
        <f>IFERROR(INDEX($C$22:$AK$22,1,2+ROUND(INDEX($H$5:$V$5,1,MATCH("RM01",$H$3:$V$3,0))/7,0)),0)</f>
        <v>36752</v>
      </c>
      <c r="E23" s="38">
        <f>IFERROR(INDEX($C$22:$AK$22,1,3+ROUND(INDEX($H$5:$V$5,1,MATCH("RM01",$H$3:$V$3,0))/7,0)),0)</f>
        <v>58518</v>
      </c>
      <c r="F23" s="38">
        <f>IFERROR(INDEX($C$22:$AK$22,1,4+ROUND(INDEX($H$5:$V$5,1,MATCH("RM01",$H$3:$V$3,0))/7,0)),0)</f>
        <v>41987</v>
      </c>
      <c r="G23" s="38">
        <f>IFERROR(INDEX($C$22:$AK$22,1,5+ROUND(INDEX($H$5:$V$5,1,MATCH("RM01",$H$3:$V$3,0))/7,0)),0)</f>
        <v>38270</v>
      </c>
      <c r="H23" s="38">
        <f>IFERROR(INDEX($C$22:$AK$22,1,6+ROUND(INDEX($H$5:$V$5,1,MATCH("RM01",$H$3:$V$3,0))/7,0)),0)</f>
        <v>29637</v>
      </c>
      <c r="I23" s="38">
        <f>IFERROR(INDEX($C$22:$AK$22,1,7+ROUND(INDEX($H$5:$V$5,1,MATCH("RM01",$H$3:$V$3,0))/7,0)),0)</f>
        <v>25780</v>
      </c>
      <c r="J23" s="38">
        <f>IFERROR(INDEX($C$22:$AK$22,1,8+ROUND(INDEX($H$5:$V$5,1,MATCH("RM01",$H$3:$V$3,0))/7,0)),0)</f>
        <v>22109</v>
      </c>
      <c r="K23" s="8">
        <f>IFERROR(INDEX($C$22:$AK$22,1,9+ROUND(INDEX($H$5:$V$5,1,MATCH("RM01",$H$3:$V$3,0))/7,0)),0)</f>
        <v>19736</v>
      </c>
      <c r="L23" s="8">
        <f>IFERROR(INDEX($C$22:$AK$22,1,10+ROUND(INDEX($H$5:$V$5,1,MATCH("RM01",$H$3:$V$3,0))/7,0)),0)</f>
        <v>23041</v>
      </c>
      <c r="M23" s="8">
        <f>IFERROR(INDEX($C$22:$AK$22,1,11+ROUND(INDEX($H$5:$V$5,1,MATCH("RM01",$H$3:$V$3,0))/7,0)),0)</f>
        <v>23040</v>
      </c>
      <c r="N23" s="8">
        <f>IFERROR(INDEX($C$22:$AK$22,1,12+ROUND(INDEX($H$5:$V$5,1,MATCH("RM01",$H$3:$V$3,0))/7,0)),0)</f>
        <v>11046</v>
      </c>
      <c r="O23" s="8">
        <f>IFERROR(INDEX($C$22:$AK$22,1,13+ROUND(INDEX($H$5:$V$5,1,MATCH("RM01",$H$3:$V$3,0))/7,0)),0)</f>
        <v>8000</v>
      </c>
      <c r="P23" s="8">
        <f>IFERROR(INDEX($C$22:$AK$22,1,14+ROUND(INDEX($H$5:$V$5,1,MATCH("RM01",$H$3:$V$3,0))/7,0)),0)</f>
        <v>31636</v>
      </c>
      <c r="Q23" s="8">
        <f>IFERROR(INDEX($C$22:$AK$22,1,15+ROUND(INDEX($H$5:$V$5,1,MATCH("RM01",$H$3:$V$3,0))/7,0)),0)</f>
        <v>29184</v>
      </c>
      <c r="R23" s="8">
        <f>IFERROR(INDEX($C$22:$AK$22,1,16+ROUND(INDEX($H$5:$V$5,1,MATCH("RM01",$H$3:$V$3,0))/7,0)),0)</f>
        <v>9248</v>
      </c>
      <c r="S23" s="8">
        <f>IFERROR(INDEX($C$22:$AK$22,1,17+ROUND(INDEX($H$5:$V$5,1,MATCH("RM01",$H$3:$V$3,0))/7,0)),0)</f>
        <v>8946</v>
      </c>
      <c r="T23" s="8">
        <f>IFERROR(INDEX($C$22:$AK$22,1,18+ROUND(INDEX($H$5:$V$5,1,MATCH("RM01",$H$3:$V$3,0))/7,0)),0)</f>
        <v>10655</v>
      </c>
      <c r="U23" s="8">
        <f>IFERROR(INDEX($C$22:$AK$22,1,19+ROUND(INDEX($H$5:$V$5,1,MATCH("RM01",$H$3:$V$3,0))/7,0)),0)</f>
        <v>10554</v>
      </c>
      <c r="V23" s="8">
        <f>IFERROR(INDEX($C$22:$AK$22,1,20+ROUND(INDEX($H$5:$V$5,1,MATCH("RM01",$H$3:$V$3,0))/7,0)),0)</f>
        <v>8797</v>
      </c>
      <c r="W23" s="8">
        <f>IFERROR(INDEX($C$22:$AK$22,1,21+ROUND(INDEX($H$5:$V$5,1,MATCH("RM01",$H$3:$V$3,0))/7,0)),0)</f>
        <v>8398</v>
      </c>
      <c r="X23" s="8">
        <f>IFERROR(INDEX($C$22:$AK$22,1,22+ROUND(INDEX($H$5:$V$5,1,MATCH("RM01",$H$3:$V$3,0))/7,0)),0)</f>
        <v>7797</v>
      </c>
      <c r="Y23" s="8">
        <f>IFERROR(INDEX($C$22:$AK$22,1,23+ROUND(INDEX($H$5:$V$5,1,MATCH("RM01",$H$3:$V$3,0))/7,0)),0)</f>
        <v>6652</v>
      </c>
      <c r="Z23" s="8">
        <f>IFERROR(INDEX($C$22:$AK$22,1,24+ROUND(INDEX($H$5:$V$5,1,MATCH("RM01",$H$3:$V$3,0))/7,0)),0)</f>
        <v>19977</v>
      </c>
      <c r="AA23" s="8">
        <f>IFERROR(INDEX($C$22:$AK$22,1,25+ROUND(INDEX($H$5:$V$5,1,MATCH("RM01",$H$3:$V$3,0))/7,0)),0)</f>
        <v>21425</v>
      </c>
      <c r="AB23" s="8">
        <f>IFERROR(INDEX($C$22:$AK$22,1,26+ROUND(INDEX($H$5:$V$5,1,MATCH("RM01",$H$3:$V$3,0))/7,0)),0)</f>
        <v>21424</v>
      </c>
      <c r="AC23" s="8">
        <f>IFERROR(INDEX($C$22:$AK$22,1,27+ROUND(INDEX($H$5:$V$5,1,MATCH("RM01",$H$3:$V$3,0))/7,0)),0)</f>
        <v>25215</v>
      </c>
      <c r="AD23" s="8">
        <f>IFERROR(INDEX($C$22:$AK$22,1,28+ROUND(INDEX($H$5:$V$5,1,MATCH("RM01",$H$3:$V$3,0))/7,0)),0)</f>
        <v>14085</v>
      </c>
      <c r="AE23" s="8">
        <f>IFERROR(INDEX($C$22:$AK$22,1,29+ROUND(INDEX($H$5:$V$5,1,MATCH("RM01",$H$3:$V$3,0))/7,0)),0)</f>
        <v>13788</v>
      </c>
      <c r="AF23" s="8">
        <f>IFERROR(INDEX($C$22:$AK$22,1,30+ROUND(INDEX($H$5:$V$5,1,MATCH("RM01",$H$3:$V$3,0))/7,0)),0)</f>
        <v>13787</v>
      </c>
      <c r="AG23" s="8">
        <f>IFERROR(INDEX($C$22:$AK$22,1,31+ROUND(INDEX($H$5:$V$5,1,MATCH("RM01",$H$3:$V$3,0))/7,0)),0)</f>
        <v>16538</v>
      </c>
      <c r="AH23" s="8">
        <f>IFERROR(INDEX($C$22:$AK$22,1,32+ROUND(INDEX($H$5:$V$5,1,MATCH("RM01",$H$3:$V$3,0))/7,0)),0)</f>
        <v>17009</v>
      </c>
      <c r="AI23" s="8">
        <f>IFERROR(INDEX($C$22:$AK$22,1,33+ROUND(INDEX($H$5:$V$5,1,MATCH("RM01",$H$3:$V$3,0))/7,0)),0)</f>
        <v>20756</v>
      </c>
      <c r="AJ23" s="8">
        <f>IFERROR(INDEX($C$22:$AK$22,1,34+ROUND(INDEX($H$5:$V$5,1,MATCH("RM01",$H$3:$V$3,0))/7,0)),0)</f>
        <v>20753</v>
      </c>
      <c r="AK23" s="67">
        <f>IFERROR(INDEX($C$22:$AK$22,1,35+ROUND(INDEX($H$5:$V$5,1,MATCH("RM01",$H$3:$V$3,0))/7,0)),0)</f>
        <v>0</v>
      </c>
    </row>
    <row r="25" spans="1:55" ht="16.350000000000001" customHeight="1" x14ac:dyDescent="0.3">
      <c r="A25" s="51" t="s">
        <v>111</v>
      </c>
      <c r="B25" s="51" t="s">
        <v>104</v>
      </c>
      <c r="C25" s="123" t="s">
        <v>63</v>
      </c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2"/>
    </row>
    <row r="26" spans="1:55" ht="16.350000000000001" customHeight="1" x14ac:dyDescent="0.3">
      <c r="A26" s="51" t="s">
        <v>105</v>
      </c>
      <c r="B26" s="51" t="str">
        <f>"LT: "&amp;ROUND(INDEX($H$5:$V$5,1,MATCH("RM02",$H$3:$V$3,0))/7,0)</f>
        <v>LT: 2</v>
      </c>
      <c r="C26" s="52">
        <f t="array" ref="C26:AK26">TRANSPOSE([3]BOM_demand!$A$2:$A$36)</f>
        <v>46132</v>
      </c>
      <c r="D26" s="52">
        <v>46139</v>
      </c>
      <c r="E26" s="52">
        <v>46146</v>
      </c>
      <c r="F26" s="52">
        <v>46153</v>
      </c>
      <c r="G26" s="52">
        <v>46160</v>
      </c>
      <c r="H26" s="52">
        <v>46167</v>
      </c>
      <c r="I26" s="52">
        <v>46174</v>
      </c>
      <c r="J26" s="52">
        <v>46181</v>
      </c>
      <c r="K26" s="52">
        <v>46188</v>
      </c>
      <c r="L26" s="52">
        <v>46195</v>
      </c>
      <c r="M26" s="52">
        <v>46202</v>
      </c>
      <c r="N26" s="52">
        <v>46209</v>
      </c>
      <c r="O26" s="52">
        <v>46216</v>
      </c>
      <c r="P26" s="52">
        <v>46223</v>
      </c>
      <c r="Q26" s="52">
        <v>46230</v>
      </c>
      <c r="R26" s="52">
        <v>46237</v>
      </c>
      <c r="S26" s="52">
        <v>46244</v>
      </c>
      <c r="T26" s="52">
        <v>46251</v>
      </c>
      <c r="U26" s="52">
        <v>46258</v>
      </c>
      <c r="V26" s="52">
        <v>46265</v>
      </c>
      <c r="W26" s="52">
        <v>46272</v>
      </c>
      <c r="X26" s="52">
        <v>46279</v>
      </c>
      <c r="Y26" s="52">
        <v>46286</v>
      </c>
      <c r="Z26" s="52">
        <v>46293</v>
      </c>
      <c r="AA26" s="52">
        <v>46300</v>
      </c>
      <c r="AB26" s="52">
        <v>46307</v>
      </c>
      <c r="AC26" s="52">
        <v>46314</v>
      </c>
      <c r="AD26" s="52">
        <v>46321</v>
      </c>
      <c r="AE26" s="52">
        <v>46328</v>
      </c>
      <c r="AF26" s="52">
        <v>46335</v>
      </c>
      <c r="AG26" s="52">
        <v>46342</v>
      </c>
      <c r="AH26" s="52">
        <v>46349</v>
      </c>
      <c r="AI26" s="52">
        <v>46356</v>
      </c>
      <c r="AJ26" s="52">
        <v>46363</v>
      </c>
      <c r="AK26" s="52">
        <v>46370</v>
      </c>
    </row>
    <row r="27" spans="1:55" ht="16.350000000000001" customHeight="1" x14ac:dyDescent="0.3">
      <c r="A27" s="55" t="s">
        <v>106</v>
      </c>
      <c r="C27" s="38">
        <f t="array" ref="C27:AK27">TRANSPOSE([3]BOM_demand!$I$2:$I$36)</f>
        <v>73.5</v>
      </c>
      <c r="D27" s="38">
        <v>910.5</v>
      </c>
      <c r="E27" s="38">
        <v>9818</v>
      </c>
      <c r="F27" s="38">
        <v>16421.25</v>
      </c>
      <c r="G27" s="38">
        <v>12879.75</v>
      </c>
      <c r="H27" s="38">
        <v>11748.5</v>
      </c>
      <c r="I27" s="38">
        <v>7656.75</v>
      </c>
      <c r="J27" s="38">
        <v>7493</v>
      </c>
      <c r="K27" s="38">
        <v>7527.75</v>
      </c>
      <c r="L27" s="38">
        <v>6232.75</v>
      </c>
      <c r="M27" s="38">
        <v>6022.75</v>
      </c>
      <c r="N27" s="38">
        <v>5872.5</v>
      </c>
      <c r="O27" s="38">
        <v>2868.25</v>
      </c>
      <c r="P27" s="38">
        <v>1787.5</v>
      </c>
      <c r="Q27" s="38">
        <v>8099.5</v>
      </c>
      <c r="R27" s="38">
        <v>7383.75</v>
      </c>
      <c r="S27" s="38">
        <v>2474.5</v>
      </c>
      <c r="T27" s="38">
        <v>2324.25</v>
      </c>
      <c r="U27" s="38">
        <v>2663</v>
      </c>
      <c r="V27" s="38">
        <v>2712.75</v>
      </c>
      <c r="W27" s="38">
        <v>2198.5</v>
      </c>
      <c r="X27" s="38">
        <v>2098.75</v>
      </c>
      <c r="Y27" s="38">
        <v>1918.5</v>
      </c>
      <c r="Z27" s="38">
        <v>1888</v>
      </c>
      <c r="AA27" s="38">
        <v>5144.25</v>
      </c>
      <c r="AB27" s="38">
        <v>5325.25</v>
      </c>
      <c r="AC27" s="38">
        <v>5325</v>
      </c>
      <c r="AD27" s="38">
        <v>6247.75</v>
      </c>
      <c r="AE27" s="38">
        <v>3502</v>
      </c>
      <c r="AF27" s="38">
        <v>3352.5</v>
      </c>
      <c r="AG27" s="38">
        <v>3352.25</v>
      </c>
      <c r="AH27" s="38">
        <v>4665</v>
      </c>
      <c r="AI27" s="38">
        <v>4836.25</v>
      </c>
      <c r="AJ27" s="38">
        <v>5697.75</v>
      </c>
      <c r="AK27" s="38">
        <v>5697.25</v>
      </c>
    </row>
    <row r="28" spans="1:55" ht="16.350000000000001" customHeight="1" x14ac:dyDescent="0.3">
      <c r="A28" s="124" t="s">
        <v>100</v>
      </c>
      <c r="B28" s="122"/>
      <c r="C28" s="38">
        <f>IFERROR(INDEX($H$7:$V$7,1,MATCH("RM02",$H$3:$V$3,0)),0)</f>
        <v>0</v>
      </c>
      <c r="D28" s="38">
        <f>0</f>
        <v>0</v>
      </c>
      <c r="E28" s="38">
        <f>0</f>
        <v>0</v>
      </c>
      <c r="F28" s="38">
        <f>0</f>
        <v>0</v>
      </c>
      <c r="G28" s="38">
        <f>0</f>
        <v>0</v>
      </c>
      <c r="H28" s="38">
        <f>0</f>
        <v>0</v>
      </c>
      <c r="I28" s="38">
        <f>0</f>
        <v>0</v>
      </c>
      <c r="J28" s="38">
        <f>0</f>
        <v>0</v>
      </c>
      <c r="K28" s="8">
        <f>0</f>
        <v>0</v>
      </c>
      <c r="L28" s="8">
        <f>0</f>
        <v>0</v>
      </c>
      <c r="M28" s="8">
        <f>0</f>
        <v>0</v>
      </c>
      <c r="N28" s="8">
        <f>0</f>
        <v>0</v>
      </c>
      <c r="O28" s="8">
        <f>0</f>
        <v>0</v>
      </c>
      <c r="P28" s="8">
        <f>0</f>
        <v>0</v>
      </c>
      <c r="Q28" s="8">
        <f>0</f>
        <v>0</v>
      </c>
      <c r="R28" s="8">
        <f>0</f>
        <v>0</v>
      </c>
      <c r="S28" s="8">
        <f>0</f>
        <v>0</v>
      </c>
      <c r="T28" s="8">
        <f>0</f>
        <v>0</v>
      </c>
      <c r="U28" s="8">
        <f>0</f>
        <v>0</v>
      </c>
      <c r="V28" s="8">
        <f>0</f>
        <v>0</v>
      </c>
      <c r="W28" s="8">
        <f>0</f>
        <v>0</v>
      </c>
      <c r="X28" s="8">
        <f>0</f>
        <v>0</v>
      </c>
      <c r="Y28" s="8">
        <f>0</f>
        <v>0</v>
      </c>
      <c r="Z28" s="8">
        <f>0</f>
        <v>0</v>
      </c>
      <c r="AA28" s="8">
        <f>0</f>
        <v>0</v>
      </c>
      <c r="AB28" s="8">
        <f>0</f>
        <v>0</v>
      </c>
      <c r="AC28" s="8">
        <f>0</f>
        <v>0</v>
      </c>
      <c r="AD28" s="8">
        <f>0</f>
        <v>0</v>
      </c>
      <c r="AE28" s="8">
        <f>0</f>
        <v>0</v>
      </c>
      <c r="AF28" s="8">
        <f>0</f>
        <v>0</v>
      </c>
      <c r="AG28" s="8">
        <f>0</f>
        <v>0</v>
      </c>
      <c r="AH28" s="8">
        <f>0</f>
        <v>0</v>
      </c>
      <c r="AI28" s="8">
        <f>0</f>
        <v>0</v>
      </c>
      <c r="AJ28" s="8">
        <f>0</f>
        <v>0</v>
      </c>
      <c r="AK28" s="8">
        <f>0</f>
        <v>0</v>
      </c>
    </row>
    <row r="29" spans="1:55" ht="16.350000000000001" customHeight="1" x14ac:dyDescent="0.3">
      <c r="A29" s="38" t="s">
        <v>101</v>
      </c>
      <c r="B29" s="50">
        <f>IFERROR(INDEX($H$8:$V$8,1,MATCH("RM02",$H$3:$V$3,0)),0)</f>
        <v>5264</v>
      </c>
      <c r="C29" s="38">
        <f t="shared" ref="C29:AK29" si="4">$B29</f>
        <v>5264</v>
      </c>
      <c r="D29" s="38">
        <f t="shared" si="4"/>
        <v>5264</v>
      </c>
      <c r="E29" s="38">
        <f t="shared" si="4"/>
        <v>5264</v>
      </c>
      <c r="F29" s="38">
        <f t="shared" si="4"/>
        <v>5264</v>
      </c>
      <c r="G29" s="38">
        <f t="shared" si="4"/>
        <v>5264</v>
      </c>
      <c r="H29" s="38">
        <f t="shared" si="4"/>
        <v>5264</v>
      </c>
      <c r="I29" s="38">
        <f t="shared" si="4"/>
        <v>5264</v>
      </c>
      <c r="J29" s="38">
        <f t="shared" si="4"/>
        <v>5264</v>
      </c>
      <c r="K29" s="8">
        <f t="shared" si="4"/>
        <v>5264</v>
      </c>
      <c r="L29" s="8">
        <f t="shared" si="4"/>
        <v>5264</v>
      </c>
      <c r="M29" s="8">
        <f t="shared" si="4"/>
        <v>5264</v>
      </c>
      <c r="N29" s="8">
        <f t="shared" si="4"/>
        <v>5264</v>
      </c>
      <c r="O29" s="8">
        <f t="shared" si="4"/>
        <v>5264</v>
      </c>
      <c r="P29" s="8">
        <f t="shared" si="4"/>
        <v>5264</v>
      </c>
      <c r="Q29" s="8">
        <f t="shared" si="4"/>
        <v>5264</v>
      </c>
      <c r="R29" s="8">
        <f t="shared" si="4"/>
        <v>5264</v>
      </c>
      <c r="S29" s="8">
        <f t="shared" si="4"/>
        <v>5264</v>
      </c>
      <c r="T29" s="8">
        <f t="shared" si="4"/>
        <v>5264</v>
      </c>
      <c r="U29" s="8">
        <f t="shared" si="4"/>
        <v>5264</v>
      </c>
      <c r="V29" s="8">
        <f t="shared" si="4"/>
        <v>5264</v>
      </c>
      <c r="W29" s="8">
        <f t="shared" si="4"/>
        <v>5264</v>
      </c>
      <c r="X29" s="8">
        <f t="shared" si="4"/>
        <v>5264</v>
      </c>
      <c r="Y29" s="8">
        <f t="shared" si="4"/>
        <v>5264</v>
      </c>
      <c r="Z29" s="8">
        <f t="shared" si="4"/>
        <v>5264</v>
      </c>
      <c r="AA29" s="8">
        <f t="shared" si="4"/>
        <v>5264</v>
      </c>
      <c r="AB29" s="8">
        <f t="shared" si="4"/>
        <v>5264</v>
      </c>
      <c r="AC29" s="8">
        <f t="shared" si="4"/>
        <v>5264</v>
      </c>
      <c r="AD29" s="8">
        <f t="shared" si="4"/>
        <v>5264</v>
      </c>
      <c r="AE29" s="8">
        <f t="shared" si="4"/>
        <v>5264</v>
      </c>
      <c r="AF29" s="8">
        <f t="shared" si="4"/>
        <v>5264</v>
      </c>
      <c r="AG29" s="8">
        <f t="shared" si="4"/>
        <v>5264</v>
      </c>
      <c r="AH29" s="8">
        <f t="shared" si="4"/>
        <v>5264</v>
      </c>
      <c r="AI29" s="8">
        <f t="shared" si="4"/>
        <v>5264</v>
      </c>
      <c r="AJ29" s="8">
        <f t="shared" si="4"/>
        <v>5264</v>
      </c>
      <c r="AK29" s="8">
        <f t="shared" si="4"/>
        <v>5264</v>
      </c>
    </row>
    <row r="30" spans="1:55" ht="16.350000000000001" customHeight="1" x14ac:dyDescent="0.3">
      <c r="A30" s="38" t="s">
        <v>107</v>
      </c>
      <c r="B30" s="50">
        <f>IFERROR(INDEX($H$6:$V$6,1,MATCH("RM02",$H$3:$V$3,0)),0)</f>
        <v>1443</v>
      </c>
      <c r="C30" s="38">
        <f>$B30+C28+C32-C27</f>
        <v>5264</v>
      </c>
      <c r="D30" s="38">
        <f t="shared" ref="D30:AK30" si="5">C30+D28+D32-D27</f>
        <v>5264</v>
      </c>
      <c r="E30" s="38">
        <f t="shared" si="5"/>
        <v>5264</v>
      </c>
      <c r="F30" s="38">
        <f t="shared" si="5"/>
        <v>5264</v>
      </c>
      <c r="G30" s="38">
        <f t="shared" si="5"/>
        <v>5264</v>
      </c>
      <c r="H30" s="38">
        <f t="shared" si="5"/>
        <v>5264</v>
      </c>
      <c r="I30" s="38">
        <f t="shared" si="5"/>
        <v>5264</v>
      </c>
      <c r="J30" s="38">
        <f t="shared" si="5"/>
        <v>5264</v>
      </c>
      <c r="K30" s="8">
        <f t="shared" si="5"/>
        <v>5264</v>
      </c>
      <c r="L30" s="8">
        <f t="shared" si="5"/>
        <v>5264</v>
      </c>
      <c r="M30" s="8">
        <f t="shared" si="5"/>
        <v>5264</v>
      </c>
      <c r="N30" s="8">
        <f t="shared" si="5"/>
        <v>5264</v>
      </c>
      <c r="O30" s="8">
        <f t="shared" si="5"/>
        <v>5264</v>
      </c>
      <c r="P30" s="8">
        <f t="shared" si="5"/>
        <v>5264</v>
      </c>
      <c r="Q30" s="8">
        <f t="shared" si="5"/>
        <v>5264</v>
      </c>
      <c r="R30" s="8">
        <f t="shared" si="5"/>
        <v>5264</v>
      </c>
      <c r="S30" s="8">
        <f t="shared" si="5"/>
        <v>5264</v>
      </c>
      <c r="T30" s="8">
        <f t="shared" si="5"/>
        <v>5264</v>
      </c>
      <c r="U30" s="8">
        <f t="shared" si="5"/>
        <v>5264</v>
      </c>
      <c r="V30" s="8">
        <f t="shared" si="5"/>
        <v>5264</v>
      </c>
      <c r="W30" s="8">
        <f t="shared" si="5"/>
        <v>5264</v>
      </c>
      <c r="X30" s="8">
        <f t="shared" si="5"/>
        <v>5264</v>
      </c>
      <c r="Y30" s="8">
        <f t="shared" si="5"/>
        <v>5264</v>
      </c>
      <c r="Z30" s="8">
        <f t="shared" si="5"/>
        <v>5264</v>
      </c>
      <c r="AA30" s="8">
        <f t="shared" si="5"/>
        <v>5264</v>
      </c>
      <c r="AB30" s="8">
        <f t="shared" si="5"/>
        <v>5264</v>
      </c>
      <c r="AC30" s="8">
        <f t="shared" si="5"/>
        <v>5264</v>
      </c>
      <c r="AD30" s="8">
        <f t="shared" si="5"/>
        <v>5264</v>
      </c>
      <c r="AE30" s="8">
        <f t="shared" si="5"/>
        <v>5264</v>
      </c>
      <c r="AF30" s="8">
        <f t="shared" si="5"/>
        <v>5264</v>
      </c>
      <c r="AG30" s="8">
        <f t="shared" si="5"/>
        <v>5264</v>
      </c>
      <c r="AH30" s="8">
        <f t="shared" si="5"/>
        <v>5264</v>
      </c>
      <c r="AI30" s="8">
        <f t="shared" si="5"/>
        <v>5264</v>
      </c>
      <c r="AJ30" s="8">
        <f t="shared" si="5"/>
        <v>5264</v>
      </c>
      <c r="AK30" s="8">
        <f t="shared" si="5"/>
        <v>5264</v>
      </c>
    </row>
    <row r="31" spans="1:55" ht="16.350000000000001" customHeight="1" x14ac:dyDescent="0.3">
      <c r="A31" s="38" t="s">
        <v>108</v>
      </c>
      <c r="B31" s="50"/>
      <c r="C31" s="38">
        <f>MAX(C27+C29-($B30+C28),0)</f>
        <v>3894.5</v>
      </c>
      <c r="D31" s="38">
        <f t="shared" ref="D31:AK31" si="6">MAX(D27+D29-(C30+D28),0)</f>
        <v>910.5</v>
      </c>
      <c r="E31" s="38">
        <f t="shared" si="6"/>
        <v>9818</v>
      </c>
      <c r="F31" s="38">
        <f t="shared" si="6"/>
        <v>16421.25</v>
      </c>
      <c r="G31" s="38">
        <f t="shared" si="6"/>
        <v>12879.75</v>
      </c>
      <c r="H31" s="38">
        <f t="shared" si="6"/>
        <v>11748.5</v>
      </c>
      <c r="I31" s="38">
        <f t="shared" si="6"/>
        <v>7656.75</v>
      </c>
      <c r="J31" s="38">
        <f t="shared" si="6"/>
        <v>7493</v>
      </c>
      <c r="K31" s="8">
        <f t="shared" si="6"/>
        <v>7527.75</v>
      </c>
      <c r="L31" s="8">
        <f t="shared" si="6"/>
        <v>6232.75</v>
      </c>
      <c r="M31" s="8">
        <f t="shared" si="6"/>
        <v>6022.75</v>
      </c>
      <c r="N31" s="8">
        <f t="shared" si="6"/>
        <v>5872.5</v>
      </c>
      <c r="O31" s="8">
        <f t="shared" si="6"/>
        <v>2868.25</v>
      </c>
      <c r="P31" s="8">
        <f t="shared" si="6"/>
        <v>1787.5</v>
      </c>
      <c r="Q31" s="8">
        <f t="shared" si="6"/>
        <v>8099.5</v>
      </c>
      <c r="R31" s="8">
        <f t="shared" si="6"/>
        <v>7383.75</v>
      </c>
      <c r="S31" s="8">
        <f t="shared" si="6"/>
        <v>2474.5</v>
      </c>
      <c r="T31" s="8">
        <f t="shared" si="6"/>
        <v>2324.25</v>
      </c>
      <c r="U31" s="8">
        <f t="shared" si="6"/>
        <v>2663</v>
      </c>
      <c r="V31" s="8">
        <f t="shared" si="6"/>
        <v>2712.75</v>
      </c>
      <c r="W31" s="8">
        <f t="shared" si="6"/>
        <v>2198.5</v>
      </c>
      <c r="X31" s="8">
        <f t="shared" si="6"/>
        <v>2098.75</v>
      </c>
      <c r="Y31" s="8">
        <f t="shared" si="6"/>
        <v>1918.5</v>
      </c>
      <c r="Z31" s="8">
        <f t="shared" si="6"/>
        <v>1888</v>
      </c>
      <c r="AA31" s="8">
        <f t="shared" si="6"/>
        <v>5144.25</v>
      </c>
      <c r="AB31" s="8">
        <f t="shared" si="6"/>
        <v>5325.25</v>
      </c>
      <c r="AC31" s="8">
        <f t="shared" si="6"/>
        <v>5325</v>
      </c>
      <c r="AD31" s="8">
        <f t="shared" si="6"/>
        <v>6247.75</v>
      </c>
      <c r="AE31" s="8">
        <f t="shared" si="6"/>
        <v>3502</v>
      </c>
      <c r="AF31" s="8">
        <f t="shared" si="6"/>
        <v>3352.5</v>
      </c>
      <c r="AG31" s="8">
        <f t="shared" si="6"/>
        <v>3352.25</v>
      </c>
      <c r="AH31" s="8">
        <f t="shared" si="6"/>
        <v>4665</v>
      </c>
      <c r="AI31" s="8">
        <f t="shared" si="6"/>
        <v>4836.25</v>
      </c>
      <c r="AJ31" s="8">
        <f t="shared" si="6"/>
        <v>5697.75</v>
      </c>
      <c r="AK31" s="8">
        <f t="shared" si="6"/>
        <v>5697.25</v>
      </c>
    </row>
    <row r="32" spans="1:55" ht="16.350000000000001" customHeight="1" x14ac:dyDescent="0.3">
      <c r="A32" s="124" t="s">
        <v>109</v>
      </c>
      <c r="B32" s="122"/>
      <c r="C32" s="38">
        <f t="shared" ref="C32:AK32" si="7">C31</f>
        <v>3894.5</v>
      </c>
      <c r="D32" s="38">
        <f t="shared" si="7"/>
        <v>910.5</v>
      </c>
      <c r="E32" s="38">
        <f t="shared" si="7"/>
        <v>9818</v>
      </c>
      <c r="F32" s="38">
        <f t="shared" si="7"/>
        <v>16421.25</v>
      </c>
      <c r="G32" s="38">
        <f t="shared" si="7"/>
        <v>12879.75</v>
      </c>
      <c r="H32" s="38">
        <f t="shared" si="7"/>
        <v>11748.5</v>
      </c>
      <c r="I32" s="38">
        <f t="shared" si="7"/>
        <v>7656.75</v>
      </c>
      <c r="J32" s="38">
        <f t="shared" si="7"/>
        <v>7493</v>
      </c>
      <c r="K32" s="8">
        <f t="shared" si="7"/>
        <v>7527.75</v>
      </c>
      <c r="L32" s="8">
        <f t="shared" si="7"/>
        <v>6232.75</v>
      </c>
      <c r="M32" s="8">
        <f t="shared" si="7"/>
        <v>6022.75</v>
      </c>
      <c r="N32" s="8">
        <f t="shared" si="7"/>
        <v>5872.5</v>
      </c>
      <c r="O32" s="8">
        <f t="shared" si="7"/>
        <v>2868.25</v>
      </c>
      <c r="P32" s="8">
        <f t="shared" si="7"/>
        <v>1787.5</v>
      </c>
      <c r="Q32" s="8">
        <f t="shared" si="7"/>
        <v>8099.5</v>
      </c>
      <c r="R32" s="8">
        <f t="shared" si="7"/>
        <v>7383.75</v>
      </c>
      <c r="S32" s="8">
        <f t="shared" si="7"/>
        <v>2474.5</v>
      </c>
      <c r="T32" s="8">
        <f t="shared" si="7"/>
        <v>2324.25</v>
      </c>
      <c r="U32" s="8">
        <f t="shared" si="7"/>
        <v>2663</v>
      </c>
      <c r="V32" s="8">
        <f t="shared" si="7"/>
        <v>2712.75</v>
      </c>
      <c r="W32" s="8">
        <f t="shared" si="7"/>
        <v>2198.5</v>
      </c>
      <c r="X32" s="8">
        <f t="shared" si="7"/>
        <v>2098.75</v>
      </c>
      <c r="Y32" s="8">
        <f t="shared" si="7"/>
        <v>1918.5</v>
      </c>
      <c r="Z32" s="8">
        <f t="shared" si="7"/>
        <v>1888</v>
      </c>
      <c r="AA32" s="8">
        <f t="shared" si="7"/>
        <v>5144.25</v>
      </c>
      <c r="AB32" s="8">
        <f t="shared" si="7"/>
        <v>5325.25</v>
      </c>
      <c r="AC32" s="8">
        <f t="shared" si="7"/>
        <v>5325</v>
      </c>
      <c r="AD32" s="8">
        <f t="shared" si="7"/>
        <v>6247.75</v>
      </c>
      <c r="AE32" s="8">
        <f t="shared" si="7"/>
        <v>3502</v>
      </c>
      <c r="AF32" s="8">
        <f t="shared" si="7"/>
        <v>3352.5</v>
      </c>
      <c r="AG32" s="8">
        <f t="shared" si="7"/>
        <v>3352.25</v>
      </c>
      <c r="AH32" s="8">
        <f t="shared" si="7"/>
        <v>4665</v>
      </c>
      <c r="AI32" s="8">
        <f t="shared" si="7"/>
        <v>4836.25</v>
      </c>
      <c r="AJ32" s="8">
        <f t="shared" si="7"/>
        <v>5697.75</v>
      </c>
      <c r="AK32" s="8">
        <f t="shared" si="7"/>
        <v>5697.25</v>
      </c>
    </row>
    <row r="33" spans="1:37" ht="16.350000000000001" customHeight="1" x14ac:dyDescent="0.3">
      <c r="A33" s="38" t="s">
        <v>110</v>
      </c>
      <c r="B33" s="50"/>
      <c r="C33" s="38">
        <f>IFERROR(INDEX($C$32:$AK$32,1,1+ROUND(INDEX($H$5:$V$5,1,MATCH("RM02",$H$3:$V$3,0))/7,0)),0)</f>
        <v>9818</v>
      </c>
      <c r="D33" s="38">
        <f>IFERROR(INDEX($C$32:$AK$32,1,2+ROUND(INDEX($H$5:$V$5,1,MATCH("RM02",$H$3:$V$3,0))/7,0)),0)</f>
        <v>16421.25</v>
      </c>
      <c r="E33" s="38">
        <f>IFERROR(INDEX($C$32:$AK$32,1,3+ROUND(INDEX($H$5:$V$5,1,MATCH("RM02",$H$3:$V$3,0))/7,0)),0)</f>
        <v>12879.75</v>
      </c>
      <c r="F33" s="38">
        <f>IFERROR(INDEX($C$32:$AK$32,1,4+ROUND(INDEX($H$5:$V$5,1,MATCH("RM02",$H$3:$V$3,0))/7,0)),0)</f>
        <v>11748.5</v>
      </c>
      <c r="G33" s="38">
        <f>IFERROR(INDEX($C$32:$AK$32,1,5+ROUND(INDEX($H$5:$V$5,1,MATCH("RM02",$H$3:$V$3,0))/7,0)),0)</f>
        <v>7656.75</v>
      </c>
      <c r="H33" s="38">
        <f>IFERROR(INDEX($C$32:$AK$32,1,6+ROUND(INDEX($H$5:$V$5,1,MATCH("RM02",$H$3:$V$3,0))/7,0)),0)</f>
        <v>7493</v>
      </c>
      <c r="I33" s="38">
        <f>IFERROR(INDEX($C$32:$AK$32,1,7+ROUND(INDEX($H$5:$V$5,1,MATCH("RM02",$H$3:$V$3,0))/7,0)),0)</f>
        <v>7527.75</v>
      </c>
      <c r="J33" s="38">
        <f>IFERROR(INDEX($C$32:$AK$32,1,8+ROUND(INDEX($H$5:$V$5,1,MATCH("RM02",$H$3:$V$3,0))/7,0)),0)</f>
        <v>6232.75</v>
      </c>
      <c r="K33" s="8">
        <f>IFERROR(INDEX($C$32:$AK$32,1,9+ROUND(INDEX($H$5:$V$5,1,MATCH("RM02",$H$3:$V$3,0))/7,0)),0)</f>
        <v>6022.75</v>
      </c>
      <c r="L33" s="8">
        <f>IFERROR(INDEX($C$32:$AK$32,1,10+ROUND(INDEX($H$5:$V$5,1,MATCH("RM02",$H$3:$V$3,0))/7,0)),0)</f>
        <v>5872.5</v>
      </c>
      <c r="M33" s="8">
        <f>IFERROR(INDEX($C$32:$AK$32,1,11+ROUND(INDEX($H$5:$V$5,1,MATCH("RM02",$H$3:$V$3,0))/7,0)),0)</f>
        <v>2868.25</v>
      </c>
      <c r="N33" s="8">
        <f>IFERROR(INDEX($C$32:$AK$32,1,12+ROUND(INDEX($H$5:$V$5,1,MATCH("RM02",$H$3:$V$3,0))/7,0)),0)</f>
        <v>1787.5</v>
      </c>
      <c r="O33" s="8">
        <f>IFERROR(INDEX($C$32:$AK$32,1,13+ROUND(INDEX($H$5:$V$5,1,MATCH("RM02",$H$3:$V$3,0))/7,0)),0)</f>
        <v>8099.5</v>
      </c>
      <c r="P33" s="8">
        <f>IFERROR(INDEX($C$32:$AK$32,1,14+ROUND(INDEX($H$5:$V$5,1,MATCH("RM02",$H$3:$V$3,0))/7,0)),0)</f>
        <v>7383.75</v>
      </c>
      <c r="Q33" s="8">
        <f>IFERROR(INDEX($C$32:$AK$32,1,15+ROUND(INDEX($H$5:$V$5,1,MATCH("RM02",$H$3:$V$3,0))/7,0)),0)</f>
        <v>2474.5</v>
      </c>
      <c r="R33" s="8">
        <f>IFERROR(INDEX($C$32:$AK$32,1,16+ROUND(INDEX($H$5:$V$5,1,MATCH("RM02",$H$3:$V$3,0))/7,0)),0)</f>
        <v>2324.25</v>
      </c>
      <c r="S33" s="8">
        <f>IFERROR(INDEX($C$32:$AK$32,1,17+ROUND(INDEX($H$5:$V$5,1,MATCH("RM02",$H$3:$V$3,0))/7,0)),0)</f>
        <v>2663</v>
      </c>
      <c r="T33" s="8">
        <f>IFERROR(INDEX($C$32:$AK$32,1,18+ROUND(INDEX($H$5:$V$5,1,MATCH("RM02",$H$3:$V$3,0))/7,0)),0)</f>
        <v>2712.75</v>
      </c>
      <c r="U33" s="8">
        <f>IFERROR(INDEX($C$32:$AK$32,1,19+ROUND(INDEX($H$5:$V$5,1,MATCH("RM02",$H$3:$V$3,0))/7,0)),0)</f>
        <v>2198.5</v>
      </c>
      <c r="V33" s="8">
        <f>IFERROR(INDEX($C$32:$AK$32,1,20+ROUND(INDEX($H$5:$V$5,1,MATCH("RM02",$H$3:$V$3,0))/7,0)),0)</f>
        <v>2098.75</v>
      </c>
      <c r="W33" s="8">
        <f>IFERROR(INDEX($C$32:$AK$32,1,21+ROUND(INDEX($H$5:$V$5,1,MATCH("RM02",$H$3:$V$3,0))/7,0)),0)</f>
        <v>1918.5</v>
      </c>
      <c r="X33" s="8">
        <f>IFERROR(INDEX($C$32:$AK$32,1,22+ROUND(INDEX($H$5:$V$5,1,MATCH("RM02",$H$3:$V$3,0))/7,0)),0)</f>
        <v>1888</v>
      </c>
      <c r="Y33" s="8">
        <f>IFERROR(INDEX($C$32:$AK$32,1,23+ROUND(INDEX($H$5:$V$5,1,MATCH("RM02",$H$3:$V$3,0))/7,0)),0)</f>
        <v>5144.25</v>
      </c>
      <c r="Z33" s="8">
        <f>IFERROR(INDEX($C$32:$AK$32,1,24+ROUND(INDEX($H$5:$V$5,1,MATCH("RM02",$H$3:$V$3,0))/7,0)),0)</f>
        <v>5325.25</v>
      </c>
      <c r="AA33" s="8">
        <f>IFERROR(INDEX($C$32:$AK$32,1,25+ROUND(INDEX($H$5:$V$5,1,MATCH("RM02",$H$3:$V$3,0))/7,0)),0)</f>
        <v>5325</v>
      </c>
      <c r="AB33" s="8">
        <f>IFERROR(INDEX($C$32:$AK$32,1,26+ROUND(INDEX($H$5:$V$5,1,MATCH("RM02",$H$3:$V$3,0))/7,0)),0)</f>
        <v>6247.75</v>
      </c>
      <c r="AC33" s="8">
        <f>IFERROR(INDEX($C$32:$AK$32,1,27+ROUND(INDEX($H$5:$V$5,1,MATCH("RM02",$H$3:$V$3,0))/7,0)),0)</f>
        <v>3502</v>
      </c>
      <c r="AD33" s="8">
        <f>IFERROR(INDEX($C$32:$AK$32,1,28+ROUND(INDEX($H$5:$V$5,1,MATCH("RM02",$H$3:$V$3,0))/7,0)),0)</f>
        <v>3352.5</v>
      </c>
      <c r="AE33" s="8">
        <f>IFERROR(INDEX($C$32:$AK$32,1,29+ROUND(INDEX($H$5:$V$5,1,MATCH("RM02",$H$3:$V$3,0))/7,0)),0)</f>
        <v>3352.25</v>
      </c>
      <c r="AF33" s="8">
        <f>IFERROR(INDEX($C$32:$AK$32,1,30+ROUND(INDEX($H$5:$V$5,1,MATCH("RM02",$H$3:$V$3,0))/7,0)),0)</f>
        <v>4665</v>
      </c>
      <c r="AG33" s="8">
        <f>IFERROR(INDEX($C$32:$AK$32,1,31+ROUND(INDEX($H$5:$V$5,1,MATCH("RM02",$H$3:$V$3,0))/7,0)),0)</f>
        <v>4836.25</v>
      </c>
      <c r="AH33" s="8">
        <f>IFERROR(INDEX($C$32:$AK$32,1,32+ROUND(INDEX($H$5:$V$5,1,MATCH("RM02",$H$3:$V$3,0))/7,0)),0)</f>
        <v>5697.75</v>
      </c>
      <c r="AI33" s="8">
        <f>IFERROR(INDEX($C$32:$AK$32,1,33+ROUND(INDEX($H$5:$V$5,1,MATCH("RM02",$H$3:$V$3,0))/7,0)),0)</f>
        <v>5697.25</v>
      </c>
      <c r="AJ33" s="8">
        <f>IFERROR(INDEX($C$32:$AK$32,1,34+ROUND(INDEX($H$5:$V$5,1,MATCH("RM02",$H$3:$V$3,0))/7,0)),0)</f>
        <v>0</v>
      </c>
      <c r="AK33" s="8">
        <f>IFERROR(INDEX($C$32:$AK$32,1,35+ROUND(INDEX($H$5:$V$5,1,MATCH("RM02",$H$3:$V$3,0))/7,0)),0)</f>
        <v>0</v>
      </c>
    </row>
    <row r="35" spans="1:37" ht="16.350000000000001" customHeight="1" x14ac:dyDescent="0.3">
      <c r="A35" s="51" t="s">
        <v>112</v>
      </c>
      <c r="B35" s="51" t="s">
        <v>104</v>
      </c>
      <c r="C35" s="123" t="s">
        <v>63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2"/>
    </row>
    <row r="36" spans="1:37" ht="16.350000000000001" customHeight="1" x14ac:dyDescent="0.3">
      <c r="A36" s="51" t="s">
        <v>105</v>
      </c>
      <c r="B36" s="51" t="str">
        <f>"LT: "&amp;ROUND(INDEX($H$5:$V$5,1,MATCH("RM03",$H$3:$V$3,0))/7,0)</f>
        <v>LT: 3</v>
      </c>
      <c r="C36" s="52">
        <f t="array" ref="C36:AK36">TRANSPOSE([3]BOM_demand!$A$2:$A$36)</f>
        <v>46132</v>
      </c>
      <c r="D36" s="52">
        <v>46139</v>
      </c>
      <c r="E36" s="52">
        <v>46146</v>
      </c>
      <c r="F36" s="52">
        <v>46153</v>
      </c>
      <c r="G36" s="52">
        <v>46160</v>
      </c>
      <c r="H36" s="52">
        <v>46167</v>
      </c>
      <c r="I36" s="52">
        <v>46174</v>
      </c>
      <c r="J36" s="52">
        <v>46181</v>
      </c>
      <c r="K36" s="52">
        <v>46188</v>
      </c>
      <c r="L36" s="52">
        <v>46195</v>
      </c>
      <c r="M36" s="52">
        <v>46202</v>
      </c>
      <c r="N36" s="52">
        <v>46209</v>
      </c>
      <c r="O36" s="52">
        <v>46216</v>
      </c>
      <c r="P36" s="52">
        <v>46223</v>
      </c>
      <c r="Q36" s="52">
        <v>46230</v>
      </c>
      <c r="R36" s="52">
        <v>46237</v>
      </c>
      <c r="S36" s="52">
        <v>46244</v>
      </c>
      <c r="T36" s="52">
        <v>46251</v>
      </c>
      <c r="U36" s="52">
        <v>46258</v>
      </c>
      <c r="V36" s="52">
        <v>46265</v>
      </c>
      <c r="W36" s="52">
        <v>46272</v>
      </c>
      <c r="X36" s="52">
        <v>46279</v>
      </c>
      <c r="Y36" s="52">
        <v>46286</v>
      </c>
      <c r="Z36" s="52">
        <v>46293</v>
      </c>
      <c r="AA36" s="52">
        <v>46300</v>
      </c>
      <c r="AB36" s="52">
        <v>46307</v>
      </c>
      <c r="AC36" s="52">
        <v>46314</v>
      </c>
      <c r="AD36" s="52">
        <v>46321</v>
      </c>
      <c r="AE36" s="52">
        <v>46328</v>
      </c>
      <c r="AF36" s="52">
        <v>46335</v>
      </c>
      <c r="AG36" s="52">
        <v>46342</v>
      </c>
      <c r="AH36" s="52">
        <v>46349</v>
      </c>
      <c r="AI36" s="52">
        <v>46356</v>
      </c>
      <c r="AJ36" s="52">
        <v>46363</v>
      </c>
      <c r="AK36" s="52">
        <v>46370</v>
      </c>
    </row>
    <row r="37" spans="1:37" ht="16.350000000000001" customHeight="1" x14ac:dyDescent="0.3">
      <c r="A37" s="55" t="s">
        <v>106</v>
      </c>
      <c r="C37" s="38">
        <f t="array" ref="C37:AK37">TRANSPOSE([3]BOM_demand!$J$2:$J$36)</f>
        <v>588</v>
      </c>
      <c r="D37" s="38">
        <v>5184</v>
      </c>
      <c r="E37" s="38">
        <v>36752</v>
      </c>
      <c r="F37" s="38">
        <v>58518</v>
      </c>
      <c r="G37" s="38">
        <v>41987</v>
      </c>
      <c r="H37" s="38">
        <v>38270</v>
      </c>
      <c r="I37" s="38">
        <v>29637</v>
      </c>
      <c r="J37" s="38">
        <v>25780</v>
      </c>
      <c r="K37" s="38">
        <v>22109</v>
      </c>
      <c r="L37" s="38">
        <v>19736</v>
      </c>
      <c r="M37" s="38">
        <v>23041</v>
      </c>
      <c r="N37" s="38">
        <v>23040</v>
      </c>
      <c r="O37" s="38">
        <v>11046</v>
      </c>
      <c r="P37" s="38">
        <v>8000</v>
      </c>
      <c r="Q37" s="38">
        <v>31636</v>
      </c>
      <c r="R37" s="38">
        <v>29184</v>
      </c>
      <c r="S37" s="38">
        <v>9248</v>
      </c>
      <c r="T37" s="38">
        <v>8946</v>
      </c>
      <c r="U37" s="38">
        <v>10655</v>
      </c>
      <c r="V37" s="38">
        <v>10554</v>
      </c>
      <c r="W37" s="38">
        <v>8797</v>
      </c>
      <c r="X37" s="38">
        <v>8398</v>
      </c>
      <c r="Y37" s="38">
        <v>7797</v>
      </c>
      <c r="Z37" s="38">
        <v>6652</v>
      </c>
      <c r="AA37" s="38">
        <v>19977</v>
      </c>
      <c r="AB37" s="38">
        <v>21425</v>
      </c>
      <c r="AC37" s="38">
        <v>21424</v>
      </c>
      <c r="AD37" s="38">
        <v>25215</v>
      </c>
      <c r="AE37" s="38">
        <v>14085</v>
      </c>
      <c r="AF37" s="38">
        <v>13788</v>
      </c>
      <c r="AG37" s="38">
        <v>13787</v>
      </c>
      <c r="AH37" s="38">
        <v>16538</v>
      </c>
      <c r="AI37" s="38">
        <v>17009</v>
      </c>
      <c r="AJ37" s="38">
        <v>20756</v>
      </c>
      <c r="AK37" s="38">
        <v>20753</v>
      </c>
    </row>
    <row r="38" spans="1:37" ht="16.350000000000001" customHeight="1" x14ac:dyDescent="0.3">
      <c r="A38" s="124" t="s">
        <v>100</v>
      </c>
      <c r="B38" s="122"/>
      <c r="C38" s="38">
        <f>IFERROR(INDEX($H$7:$V$7,1,MATCH("RM03",$H$3:$V$3,0)),0)</f>
        <v>0</v>
      </c>
      <c r="D38" s="38">
        <f>0</f>
        <v>0</v>
      </c>
      <c r="E38" s="38">
        <f>0</f>
        <v>0</v>
      </c>
      <c r="F38" s="38">
        <f>0</f>
        <v>0</v>
      </c>
      <c r="G38" s="38">
        <f>0</f>
        <v>0</v>
      </c>
      <c r="H38" s="38">
        <f>0</f>
        <v>0</v>
      </c>
      <c r="I38" s="38">
        <f>0</f>
        <v>0</v>
      </c>
      <c r="J38" s="38">
        <f>0</f>
        <v>0</v>
      </c>
      <c r="K38" s="8">
        <f>0</f>
        <v>0</v>
      </c>
      <c r="L38" s="8">
        <f>0</f>
        <v>0</v>
      </c>
      <c r="M38" s="8">
        <f>0</f>
        <v>0</v>
      </c>
      <c r="N38" s="8">
        <f>0</f>
        <v>0</v>
      </c>
      <c r="O38" s="8">
        <f>0</f>
        <v>0</v>
      </c>
      <c r="P38" s="8">
        <f>0</f>
        <v>0</v>
      </c>
      <c r="Q38" s="8">
        <f>0</f>
        <v>0</v>
      </c>
      <c r="R38" s="8">
        <f>0</f>
        <v>0</v>
      </c>
      <c r="S38" s="8">
        <f>0</f>
        <v>0</v>
      </c>
      <c r="T38" s="8">
        <f>0</f>
        <v>0</v>
      </c>
      <c r="U38" s="8">
        <f>0</f>
        <v>0</v>
      </c>
      <c r="V38" s="8">
        <f>0</f>
        <v>0</v>
      </c>
      <c r="W38" s="8">
        <f>0</f>
        <v>0</v>
      </c>
      <c r="X38" s="8">
        <f>0</f>
        <v>0</v>
      </c>
      <c r="Y38" s="8">
        <f>0</f>
        <v>0</v>
      </c>
      <c r="Z38" s="8">
        <f>0</f>
        <v>0</v>
      </c>
      <c r="AA38" s="8">
        <f>0</f>
        <v>0</v>
      </c>
      <c r="AB38" s="8">
        <f>0</f>
        <v>0</v>
      </c>
      <c r="AC38" s="8">
        <f>0</f>
        <v>0</v>
      </c>
      <c r="AD38" s="8">
        <f>0</f>
        <v>0</v>
      </c>
      <c r="AE38" s="8">
        <f>0</f>
        <v>0</v>
      </c>
      <c r="AF38" s="8">
        <f>0</f>
        <v>0</v>
      </c>
      <c r="AG38" s="8">
        <f>0</f>
        <v>0</v>
      </c>
      <c r="AH38" s="8">
        <f>0</f>
        <v>0</v>
      </c>
      <c r="AI38" s="8">
        <f>0</f>
        <v>0</v>
      </c>
      <c r="AJ38" s="8">
        <f>0</f>
        <v>0</v>
      </c>
      <c r="AK38" s="8">
        <f>0</f>
        <v>0</v>
      </c>
    </row>
    <row r="39" spans="1:37" ht="16.350000000000001" customHeight="1" x14ac:dyDescent="0.3">
      <c r="A39" s="38" t="s">
        <v>101</v>
      </c>
      <c r="B39" s="50">
        <f>IFERROR(INDEX($H$8:$V$8,1,MATCH("RM03",$H$3:$V$3,0)),0)</f>
        <v>19438</v>
      </c>
      <c r="C39" s="38">
        <f t="shared" ref="C39:AK39" si="8">$B39</f>
        <v>19438</v>
      </c>
      <c r="D39" s="38">
        <f t="shared" si="8"/>
        <v>19438</v>
      </c>
      <c r="E39" s="38">
        <f t="shared" si="8"/>
        <v>19438</v>
      </c>
      <c r="F39" s="38">
        <f t="shared" si="8"/>
        <v>19438</v>
      </c>
      <c r="G39" s="38">
        <f t="shared" si="8"/>
        <v>19438</v>
      </c>
      <c r="H39" s="38">
        <f t="shared" si="8"/>
        <v>19438</v>
      </c>
      <c r="I39" s="38">
        <f t="shared" si="8"/>
        <v>19438</v>
      </c>
      <c r="J39" s="38">
        <f t="shared" si="8"/>
        <v>19438</v>
      </c>
      <c r="K39" s="8">
        <f t="shared" si="8"/>
        <v>19438</v>
      </c>
      <c r="L39" s="8">
        <f t="shared" si="8"/>
        <v>19438</v>
      </c>
      <c r="M39" s="8">
        <f t="shared" si="8"/>
        <v>19438</v>
      </c>
      <c r="N39" s="8">
        <f t="shared" si="8"/>
        <v>19438</v>
      </c>
      <c r="O39" s="8">
        <f t="shared" si="8"/>
        <v>19438</v>
      </c>
      <c r="P39" s="8">
        <f t="shared" si="8"/>
        <v>19438</v>
      </c>
      <c r="Q39" s="8">
        <f t="shared" si="8"/>
        <v>19438</v>
      </c>
      <c r="R39" s="8">
        <f t="shared" si="8"/>
        <v>19438</v>
      </c>
      <c r="S39" s="8">
        <f t="shared" si="8"/>
        <v>19438</v>
      </c>
      <c r="T39" s="8">
        <f t="shared" si="8"/>
        <v>19438</v>
      </c>
      <c r="U39" s="8">
        <f t="shared" si="8"/>
        <v>19438</v>
      </c>
      <c r="V39" s="8">
        <f t="shared" si="8"/>
        <v>19438</v>
      </c>
      <c r="W39" s="8">
        <f t="shared" si="8"/>
        <v>19438</v>
      </c>
      <c r="X39" s="8">
        <f t="shared" si="8"/>
        <v>19438</v>
      </c>
      <c r="Y39" s="8">
        <f t="shared" si="8"/>
        <v>19438</v>
      </c>
      <c r="Z39" s="8">
        <f t="shared" si="8"/>
        <v>19438</v>
      </c>
      <c r="AA39" s="8">
        <f t="shared" si="8"/>
        <v>19438</v>
      </c>
      <c r="AB39" s="8">
        <f t="shared" si="8"/>
        <v>19438</v>
      </c>
      <c r="AC39" s="8">
        <f t="shared" si="8"/>
        <v>19438</v>
      </c>
      <c r="AD39" s="8">
        <f t="shared" si="8"/>
        <v>19438</v>
      </c>
      <c r="AE39" s="8">
        <f t="shared" si="8"/>
        <v>19438</v>
      </c>
      <c r="AF39" s="8">
        <f t="shared" si="8"/>
        <v>19438</v>
      </c>
      <c r="AG39" s="8">
        <f t="shared" si="8"/>
        <v>19438</v>
      </c>
      <c r="AH39" s="8">
        <f t="shared" si="8"/>
        <v>19438</v>
      </c>
      <c r="AI39" s="8">
        <f t="shared" si="8"/>
        <v>19438</v>
      </c>
      <c r="AJ39" s="8">
        <f t="shared" si="8"/>
        <v>19438</v>
      </c>
      <c r="AK39" s="8">
        <f t="shared" si="8"/>
        <v>19438</v>
      </c>
    </row>
    <row r="40" spans="1:37" ht="16.350000000000001" customHeight="1" x14ac:dyDescent="0.3">
      <c r="A40" s="38" t="s">
        <v>107</v>
      </c>
      <c r="B40" s="50">
        <f>IFERROR(INDEX($H$6:$V$6,1,MATCH("RM03",$H$3:$V$3,0)),0)</f>
        <v>42524</v>
      </c>
      <c r="C40" s="38">
        <f>$B40+C38+C42-C37</f>
        <v>41936</v>
      </c>
      <c r="D40" s="38">
        <f t="shared" ref="D40:AK40" si="9">C40+D38+D42-D37</f>
        <v>36752</v>
      </c>
      <c r="E40" s="38">
        <f t="shared" si="9"/>
        <v>19438</v>
      </c>
      <c r="F40" s="38">
        <f t="shared" si="9"/>
        <v>19438</v>
      </c>
      <c r="G40" s="38">
        <f t="shared" si="9"/>
        <v>19438</v>
      </c>
      <c r="H40" s="38">
        <f t="shared" si="9"/>
        <v>19438</v>
      </c>
      <c r="I40" s="38">
        <f t="shared" si="9"/>
        <v>19438</v>
      </c>
      <c r="J40" s="38">
        <f t="shared" si="9"/>
        <v>19438</v>
      </c>
      <c r="K40" s="8">
        <f t="shared" si="9"/>
        <v>19438</v>
      </c>
      <c r="L40" s="8">
        <f t="shared" si="9"/>
        <v>19438</v>
      </c>
      <c r="M40" s="8">
        <f t="shared" si="9"/>
        <v>19438</v>
      </c>
      <c r="N40" s="8">
        <f t="shared" si="9"/>
        <v>19438</v>
      </c>
      <c r="O40" s="8">
        <f t="shared" si="9"/>
        <v>19438</v>
      </c>
      <c r="P40" s="8">
        <f t="shared" si="9"/>
        <v>19438</v>
      </c>
      <c r="Q40" s="8">
        <f t="shared" si="9"/>
        <v>19438</v>
      </c>
      <c r="R40" s="8">
        <f t="shared" si="9"/>
        <v>19438</v>
      </c>
      <c r="S40" s="8">
        <f t="shared" si="9"/>
        <v>19438</v>
      </c>
      <c r="T40" s="8">
        <f t="shared" si="9"/>
        <v>19438</v>
      </c>
      <c r="U40" s="8">
        <f t="shared" si="9"/>
        <v>19438</v>
      </c>
      <c r="V40" s="8">
        <f t="shared" si="9"/>
        <v>19438</v>
      </c>
      <c r="W40" s="8">
        <f t="shared" si="9"/>
        <v>19438</v>
      </c>
      <c r="X40" s="8">
        <f t="shared" si="9"/>
        <v>19438</v>
      </c>
      <c r="Y40" s="8">
        <f t="shared" si="9"/>
        <v>19438</v>
      </c>
      <c r="Z40" s="8">
        <f t="shared" si="9"/>
        <v>19438</v>
      </c>
      <c r="AA40" s="8">
        <f t="shared" si="9"/>
        <v>19438</v>
      </c>
      <c r="AB40" s="8">
        <f t="shared" si="9"/>
        <v>19438</v>
      </c>
      <c r="AC40" s="8">
        <f t="shared" si="9"/>
        <v>19438</v>
      </c>
      <c r="AD40" s="8">
        <f t="shared" si="9"/>
        <v>19438</v>
      </c>
      <c r="AE40" s="8">
        <f t="shared" si="9"/>
        <v>19438</v>
      </c>
      <c r="AF40" s="8">
        <f t="shared" si="9"/>
        <v>19438</v>
      </c>
      <c r="AG40" s="8">
        <f t="shared" si="9"/>
        <v>19438</v>
      </c>
      <c r="AH40" s="8">
        <f t="shared" si="9"/>
        <v>19438</v>
      </c>
      <c r="AI40" s="8">
        <f t="shared" si="9"/>
        <v>19438</v>
      </c>
      <c r="AJ40" s="8">
        <f t="shared" si="9"/>
        <v>19438</v>
      </c>
      <c r="AK40" s="8">
        <f t="shared" si="9"/>
        <v>19438</v>
      </c>
    </row>
    <row r="41" spans="1:37" ht="16.350000000000001" customHeight="1" x14ac:dyDescent="0.3">
      <c r="A41" s="38" t="s">
        <v>108</v>
      </c>
      <c r="B41" s="50"/>
      <c r="C41" s="38">
        <f>MAX(C37+C39-($B40+C38),0)</f>
        <v>0</v>
      </c>
      <c r="D41" s="38">
        <f t="shared" ref="D41:AK41" si="10">MAX(D37+D39-(C40+D38),0)</f>
        <v>0</v>
      </c>
      <c r="E41" s="38">
        <f t="shared" si="10"/>
        <v>19438</v>
      </c>
      <c r="F41" s="38">
        <f t="shared" si="10"/>
        <v>58518</v>
      </c>
      <c r="G41" s="38">
        <f t="shared" si="10"/>
        <v>41987</v>
      </c>
      <c r="H41" s="38">
        <f t="shared" si="10"/>
        <v>38270</v>
      </c>
      <c r="I41" s="38">
        <f t="shared" si="10"/>
        <v>29637</v>
      </c>
      <c r="J41" s="38">
        <f t="shared" si="10"/>
        <v>25780</v>
      </c>
      <c r="K41" s="8">
        <f t="shared" si="10"/>
        <v>22109</v>
      </c>
      <c r="L41" s="8">
        <f t="shared" si="10"/>
        <v>19736</v>
      </c>
      <c r="M41" s="8">
        <f t="shared" si="10"/>
        <v>23041</v>
      </c>
      <c r="N41" s="8">
        <f t="shared" si="10"/>
        <v>23040</v>
      </c>
      <c r="O41" s="8">
        <f t="shared" si="10"/>
        <v>11046</v>
      </c>
      <c r="P41" s="8">
        <f t="shared" si="10"/>
        <v>8000</v>
      </c>
      <c r="Q41" s="8">
        <f t="shared" si="10"/>
        <v>31636</v>
      </c>
      <c r="R41" s="8">
        <f t="shared" si="10"/>
        <v>29184</v>
      </c>
      <c r="S41" s="8">
        <f t="shared" si="10"/>
        <v>9248</v>
      </c>
      <c r="T41" s="8">
        <f t="shared" si="10"/>
        <v>8946</v>
      </c>
      <c r="U41" s="8">
        <f t="shared" si="10"/>
        <v>10655</v>
      </c>
      <c r="V41" s="8">
        <f t="shared" si="10"/>
        <v>10554</v>
      </c>
      <c r="W41" s="8">
        <f t="shared" si="10"/>
        <v>8797</v>
      </c>
      <c r="X41" s="8">
        <f t="shared" si="10"/>
        <v>8398</v>
      </c>
      <c r="Y41" s="8">
        <f t="shared" si="10"/>
        <v>7797</v>
      </c>
      <c r="Z41" s="8">
        <f t="shared" si="10"/>
        <v>6652</v>
      </c>
      <c r="AA41" s="8">
        <f t="shared" si="10"/>
        <v>19977</v>
      </c>
      <c r="AB41" s="8">
        <f t="shared" si="10"/>
        <v>21425</v>
      </c>
      <c r="AC41" s="8">
        <f t="shared" si="10"/>
        <v>21424</v>
      </c>
      <c r="AD41" s="8">
        <f t="shared" si="10"/>
        <v>25215</v>
      </c>
      <c r="AE41" s="8">
        <f t="shared" si="10"/>
        <v>14085</v>
      </c>
      <c r="AF41" s="8">
        <f t="shared" si="10"/>
        <v>13788</v>
      </c>
      <c r="AG41" s="8">
        <f t="shared" si="10"/>
        <v>13787</v>
      </c>
      <c r="AH41" s="8">
        <f t="shared" si="10"/>
        <v>16538</v>
      </c>
      <c r="AI41" s="8">
        <f t="shared" si="10"/>
        <v>17009</v>
      </c>
      <c r="AJ41" s="8">
        <f t="shared" si="10"/>
        <v>20756</v>
      </c>
      <c r="AK41" s="8">
        <f t="shared" si="10"/>
        <v>20753</v>
      </c>
    </row>
    <row r="42" spans="1:37" ht="16.350000000000001" customHeight="1" x14ac:dyDescent="0.3">
      <c r="A42" s="124" t="s">
        <v>109</v>
      </c>
      <c r="B42" s="122"/>
      <c r="C42" s="38">
        <f t="shared" ref="C42:AK42" si="11">C41</f>
        <v>0</v>
      </c>
      <c r="D42" s="38">
        <f t="shared" si="11"/>
        <v>0</v>
      </c>
      <c r="E42" s="38">
        <f t="shared" si="11"/>
        <v>19438</v>
      </c>
      <c r="F42" s="38">
        <f t="shared" si="11"/>
        <v>58518</v>
      </c>
      <c r="G42" s="38">
        <f t="shared" si="11"/>
        <v>41987</v>
      </c>
      <c r="H42" s="38">
        <f t="shared" si="11"/>
        <v>38270</v>
      </c>
      <c r="I42" s="38">
        <f t="shared" si="11"/>
        <v>29637</v>
      </c>
      <c r="J42" s="38">
        <f t="shared" si="11"/>
        <v>25780</v>
      </c>
      <c r="K42" s="8">
        <f t="shared" si="11"/>
        <v>22109</v>
      </c>
      <c r="L42" s="8">
        <f t="shared" si="11"/>
        <v>19736</v>
      </c>
      <c r="M42" s="8">
        <f t="shared" si="11"/>
        <v>23041</v>
      </c>
      <c r="N42" s="8">
        <f t="shared" si="11"/>
        <v>23040</v>
      </c>
      <c r="O42" s="8">
        <f t="shared" si="11"/>
        <v>11046</v>
      </c>
      <c r="P42" s="8">
        <f t="shared" si="11"/>
        <v>8000</v>
      </c>
      <c r="Q42" s="8">
        <f t="shared" si="11"/>
        <v>31636</v>
      </c>
      <c r="R42" s="8">
        <f t="shared" si="11"/>
        <v>29184</v>
      </c>
      <c r="S42" s="8">
        <f t="shared" si="11"/>
        <v>9248</v>
      </c>
      <c r="T42" s="8">
        <f t="shared" si="11"/>
        <v>8946</v>
      </c>
      <c r="U42" s="8">
        <f t="shared" si="11"/>
        <v>10655</v>
      </c>
      <c r="V42" s="8">
        <f t="shared" si="11"/>
        <v>10554</v>
      </c>
      <c r="W42" s="8">
        <f t="shared" si="11"/>
        <v>8797</v>
      </c>
      <c r="X42" s="8">
        <f t="shared" si="11"/>
        <v>8398</v>
      </c>
      <c r="Y42" s="8">
        <f t="shared" si="11"/>
        <v>7797</v>
      </c>
      <c r="Z42" s="8">
        <f t="shared" si="11"/>
        <v>6652</v>
      </c>
      <c r="AA42" s="8">
        <f t="shared" si="11"/>
        <v>19977</v>
      </c>
      <c r="AB42" s="8">
        <f t="shared" si="11"/>
        <v>21425</v>
      </c>
      <c r="AC42" s="8">
        <f t="shared" si="11"/>
        <v>21424</v>
      </c>
      <c r="AD42" s="8">
        <f t="shared" si="11"/>
        <v>25215</v>
      </c>
      <c r="AE42" s="8">
        <f t="shared" si="11"/>
        <v>14085</v>
      </c>
      <c r="AF42" s="8">
        <f t="shared" si="11"/>
        <v>13788</v>
      </c>
      <c r="AG42" s="8">
        <f t="shared" si="11"/>
        <v>13787</v>
      </c>
      <c r="AH42" s="8">
        <f t="shared" si="11"/>
        <v>16538</v>
      </c>
      <c r="AI42" s="8">
        <f t="shared" si="11"/>
        <v>17009</v>
      </c>
      <c r="AJ42" s="8">
        <f t="shared" si="11"/>
        <v>20756</v>
      </c>
      <c r="AK42" s="8">
        <f t="shared" si="11"/>
        <v>20753</v>
      </c>
    </row>
    <row r="43" spans="1:37" ht="16.350000000000001" customHeight="1" x14ac:dyDescent="0.3">
      <c r="A43" s="38" t="s">
        <v>110</v>
      </c>
      <c r="B43" s="50"/>
      <c r="C43" s="38">
        <f>IFERROR(INDEX($C$42:$AK$42,1,1+ROUND(INDEX($H$5:$V$5,1,MATCH("RM03",$H$3:$V$3,0))/7,0)),0)</f>
        <v>58518</v>
      </c>
      <c r="D43" s="38">
        <f>IFERROR(INDEX($C$42:$AK$42,1,2+ROUND(INDEX($H$5:$V$5,1,MATCH("RM03",$H$3:$V$3,0))/7,0)),0)</f>
        <v>41987</v>
      </c>
      <c r="E43" s="38">
        <f>IFERROR(INDEX($C$42:$AK$42,1,3+ROUND(INDEX($H$5:$V$5,1,MATCH("RM03",$H$3:$V$3,0))/7,0)),0)</f>
        <v>38270</v>
      </c>
      <c r="F43" s="38">
        <f>IFERROR(INDEX($C$42:$AK$42,1,4+ROUND(INDEX($H$5:$V$5,1,MATCH("RM03",$H$3:$V$3,0))/7,0)),0)</f>
        <v>29637</v>
      </c>
      <c r="G43" s="38">
        <f>IFERROR(INDEX($C$42:$AK$42,1,5+ROUND(INDEX($H$5:$V$5,1,MATCH("RM03",$H$3:$V$3,0))/7,0)),0)</f>
        <v>25780</v>
      </c>
      <c r="H43" s="38">
        <f>IFERROR(INDEX($C$42:$AK$42,1,6+ROUND(INDEX($H$5:$V$5,1,MATCH("RM03",$H$3:$V$3,0))/7,0)),0)</f>
        <v>22109</v>
      </c>
      <c r="I43" s="38">
        <f>IFERROR(INDEX($C$42:$AK$42,1,7+ROUND(INDEX($H$5:$V$5,1,MATCH("RM03",$H$3:$V$3,0))/7,0)),0)</f>
        <v>19736</v>
      </c>
      <c r="J43" s="38">
        <f>IFERROR(INDEX($C$42:$AK$42,1,8+ROUND(INDEX($H$5:$V$5,1,MATCH("RM03",$H$3:$V$3,0))/7,0)),0)</f>
        <v>23041</v>
      </c>
      <c r="K43" s="8">
        <f>IFERROR(INDEX($C$42:$AK$42,1,9+ROUND(INDEX($H$5:$V$5,1,MATCH("RM03",$H$3:$V$3,0))/7,0)),0)</f>
        <v>23040</v>
      </c>
      <c r="L43" s="8">
        <f>IFERROR(INDEX($C$42:$AK$42,1,10+ROUND(INDEX($H$5:$V$5,1,MATCH("RM03",$H$3:$V$3,0))/7,0)),0)</f>
        <v>11046</v>
      </c>
      <c r="M43" s="8">
        <f>IFERROR(INDEX($C$42:$AK$42,1,11+ROUND(INDEX($H$5:$V$5,1,MATCH("RM03",$H$3:$V$3,0))/7,0)),0)</f>
        <v>8000</v>
      </c>
      <c r="N43" s="8">
        <f>IFERROR(INDEX($C$42:$AK$42,1,12+ROUND(INDEX($H$5:$V$5,1,MATCH("RM03",$H$3:$V$3,0))/7,0)),0)</f>
        <v>31636</v>
      </c>
      <c r="O43" s="8">
        <f>IFERROR(INDEX($C$42:$AK$42,1,13+ROUND(INDEX($H$5:$V$5,1,MATCH("RM03",$H$3:$V$3,0))/7,0)),0)</f>
        <v>29184</v>
      </c>
      <c r="P43" s="8">
        <f>IFERROR(INDEX($C$42:$AK$42,1,14+ROUND(INDEX($H$5:$V$5,1,MATCH("RM03",$H$3:$V$3,0))/7,0)),0)</f>
        <v>9248</v>
      </c>
      <c r="Q43" s="8">
        <f>IFERROR(INDEX($C$42:$AK$42,1,15+ROUND(INDEX($H$5:$V$5,1,MATCH("RM03",$H$3:$V$3,0))/7,0)),0)</f>
        <v>8946</v>
      </c>
      <c r="R43" s="8">
        <f>IFERROR(INDEX($C$42:$AK$42,1,16+ROUND(INDEX($H$5:$V$5,1,MATCH("RM03",$H$3:$V$3,0))/7,0)),0)</f>
        <v>10655</v>
      </c>
      <c r="S43" s="8">
        <f>IFERROR(INDEX($C$42:$AK$42,1,17+ROUND(INDEX($H$5:$V$5,1,MATCH("RM03",$H$3:$V$3,0))/7,0)),0)</f>
        <v>10554</v>
      </c>
      <c r="T43" s="8">
        <f>IFERROR(INDEX($C$42:$AK$42,1,18+ROUND(INDEX($H$5:$V$5,1,MATCH("RM03",$H$3:$V$3,0))/7,0)),0)</f>
        <v>8797</v>
      </c>
      <c r="U43" s="8">
        <f>IFERROR(INDEX($C$42:$AK$42,1,19+ROUND(INDEX($H$5:$V$5,1,MATCH("RM03",$H$3:$V$3,0))/7,0)),0)</f>
        <v>8398</v>
      </c>
      <c r="V43" s="8">
        <f>IFERROR(INDEX($C$42:$AK$42,1,20+ROUND(INDEX($H$5:$V$5,1,MATCH("RM03",$H$3:$V$3,0))/7,0)),0)</f>
        <v>7797</v>
      </c>
      <c r="W43" s="8">
        <f>IFERROR(INDEX($C$42:$AK$42,1,21+ROUND(INDEX($H$5:$V$5,1,MATCH("RM03",$H$3:$V$3,0))/7,0)),0)</f>
        <v>6652</v>
      </c>
      <c r="X43" s="8">
        <f>IFERROR(INDEX($C$42:$AK$42,1,22+ROUND(INDEX($H$5:$V$5,1,MATCH("RM03",$H$3:$V$3,0))/7,0)),0)</f>
        <v>19977</v>
      </c>
      <c r="Y43" s="8">
        <f>IFERROR(INDEX($C$42:$AK$42,1,23+ROUND(INDEX($H$5:$V$5,1,MATCH("RM03",$H$3:$V$3,0))/7,0)),0)</f>
        <v>21425</v>
      </c>
      <c r="Z43" s="8">
        <f>IFERROR(INDEX($C$42:$AK$42,1,24+ROUND(INDEX($H$5:$V$5,1,MATCH("RM03",$H$3:$V$3,0))/7,0)),0)</f>
        <v>21424</v>
      </c>
      <c r="AA43" s="8">
        <f>IFERROR(INDEX($C$42:$AK$42,1,25+ROUND(INDEX($H$5:$V$5,1,MATCH("RM03",$H$3:$V$3,0))/7,0)),0)</f>
        <v>25215</v>
      </c>
      <c r="AB43" s="8">
        <f>IFERROR(INDEX($C$42:$AK$42,1,26+ROUND(INDEX($H$5:$V$5,1,MATCH("RM03",$H$3:$V$3,0))/7,0)),0)</f>
        <v>14085</v>
      </c>
      <c r="AC43" s="8">
        <f>IFERROR(INDEX($C$42:$AK$42,1,27+ROUND(INDEX($H$5:$V$5,1,MATCH("RM03",$H$3:$V$3,0))/7,0)),0)</f>
        <v>13788</v>
      </c>
      <c r="AD43" s="8">
        <f>IFERROR(INDEX($C$42:$AK$42,1,28+ROUND(INDEX($H$5:$V$5,1,MATCH("RM03",$H$3:$V$3,0))/7,0)),0)</f>
        <v>13787</v>
      </c>
      <c r="AE43" s="8">
        <f>IFERROR(INDEX($C$42:$AK$42,1,29+ROUND(INDEX($H$5:$V$5,1,MATCH("RM03",$H$3:$V$3,0))/7,0)),0)</f>
        <v>16538</v>
      </c>
      <c r="AF43" s="8">
        <f>IFERROR(INDEX($C$42:$AK$42,1,30+ROUND(INDEX($H$5:$V$5,1,MATCH("RM03",$H$3:$V$3,0))/7,0)),0)</f>
        <v>17009</v>
      </c>
      <c r="AG43" s="8">
        <f>IFERROR(INDEX($C$42:$AK$42,1,31+ROUND(INDEX($H$5:$V$5,1,MATCH("RM03",$H$3:$V$3,0))/7,0)),0)</f>
        <v>20756</v>
      </c>
      <c r="AH43" s="8">
        <f>IFERROR(INDEX($C$42:$AK$42,1,32+ROUND(INDEX($H$5:$V$5,1,MATCH("RM03",$H$3:$V$3,0))/7,0)),0)</f>
        <v>20753</v>
      </c>
      <c r="AI43" s="8">
        <f>IFERROR(INDEX($C$42:$AK$42,1,33+ROUND(INDEX($H$5:$V$5,1,MATCH("RM03",$H$3:$V$3,0))/7,0)),0)</f>
        <v>0</v>
      </c>
      <c r="AJ43" s="8">
        <f>IFERROR(INDEX($C$42:$AK$42,1,34+ROUND(INDEX($H$5:$V$5,1,MATCH("RM03",$H$3:$V$3,0))/7,0)),0)</f>
        <v>0</v>
      </c>
      <c r="AK43" s="8">
        <f>IFERROR(INDEX($C$42:$AK$42,1,35+ROUND(INDEX($H$5:$V$5,1,MATCH("RM03",$H$3:$V$3,0))/7,0)),0)</f>
        <v>0</v>
      </c>
    </row>
    <row r="45" spans="1:37" ht="16.350000000000001" customHeight="1" x14ac:dyDescent="0.3">
      <c r="A45" s="51" t="s">
        <v>113</v>
      </c>
      <c r="B45" s="51" t="s">
        <v>104</v>
      </c>
      <c r="C45" s="123" t="s">
        <v>63</v>
      </c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2"/>
    </row>
    <row r="46" spans="1:37" ht="16.350000000000001" customHeight="1" x14ac:dyDescent="0.3">
      <c r="A46" s="51" t="s">
        <v>105</v>
      </c>
      <c r="B46" s="51" t="str">
        <f>"LT: "&amp;ROUND(INDEX($H$5:$V$5,1,MATCH("RM04",$H$3:$V$3,0))/7,0)</f>
        <v>LT: 20</v>
      </c>
      <c r="C46" s="52">
        <f t="array" ref="C46:AK46">TRANSPOSE([3]BOM_demand!$A$2:$A$36)</f>
        <v>46132</v>
      </c>
      <c r="D46" s="52">
        <v>46139</v>
      </c>
      <c r="E46" s="52">
        <v>46146</v>
      </c>
      <c r="F46" s="52">
        <v>46153</v>
      </c>
      <c r="G46" s="52">
        <v>46160</v>
      </c>
      <c r="H46" s="52">
        <v>46167</v>
      </c>
      <c r="I46" s="52">
        <v>46174</v>
      </c>
      <c r="J46" s="52">
        <v>46181</v>
      </c>
      <c r="K46" s="52">
        <v>46188</v>
      </c>
      <c r="L46" s="52">
        <v>46195</v>
      </c>
      <c r="M46" s="52">
        <v>46202</v>
      </c>
      <c r="N46" s="52">
        <v>46209</v>
      </c>
      <c r="O46" s="52">
        <v>46216</v>
      </c>
      <c r="P46" s="52">
        <v>46223</v>
      </c>
      <c r="Q46" s="52">
        <v>46230</v>
      </c>
      <c r="R46" s="52">
        <v>46237</v>
      </c>
      <c r="S46" s="52">
        <v>46244</v>
      </c>
      <c r="T46" s="52">
        <v>46251</v>
      </c>
      <c r="U46" s="52">
        <v>46258</v>
      </c>
      <c r="V46" s="52">
        <v>46265</v>
      </c>
      <c r="W46" s="52">
        <v>46272</v>
      </c>
      <c r="X46" s="52">
        <v>46279</v>
      </c>
      <c r="Y46" s="52">
        <v>46286</v>
      </c>
      <c r="Z46" s="52">
        <v>46293</v>
      </c>
      <c r="AA46" s="52">
        <v>46300</v>
      </c>
      <c r="AB46" s="52">
        <v>46307</v>
      </c>
      <c r="AC46" s="52">
        <v>46314</v>
      </c>
      <c r="AD46" s="52">
        <v>46321</v>
      </c>
      <c r="AE46" s="52">
        <v>46328</v>
      </c>
      <c r="AF46" s="52">
        <v>46335</v>
      </c>
      <c r="AG46" s="52">
        <v>46342</v>
      </c>
      <c r="AH46" s="52">
        <v>46349</v>
      </c>
      <c r="AI46" s="52">
        <v>46356</v>
      </c>
      <c r="AJ46" s="52">
        <v>46363</v>
      </c>
      <c r="AK46" s="52">
        <v>46370</v>
      </c>
    </row>
    <row r="47" spans="1:37" ht="16.350000000000001" customHeight="1" x14ac:dyDescent="0.3">
      <c r="A47" s="55" t="s">
        <v>106</v>
      </c>
      <c r="C47" s="38">
        <f t="array" ref="C47:AK47">TRANSPOSE([3]BOM_demand!$K$2:$K$36)</f>
        <v>0</v>
      </c>
      <c r="D47" s="38">
        <v>1368</v>
      </c>
      <c r="E47" s="38">
        <v>40000</v>
      </c>
      <c r="F47" s="38">
        <v>40000</v>
      </c>
      <c r="G47" s="38">
        <v>22000</v>
      </c>
      <c r="H47" s="38">
        <v>26000</v>
      </c>
      <c r="I47" s="38">
        <v>27546</v>
      </c>
      <c r="J47" s="38">
        <v>14116</v>
      </c>
      <c r="K47" s="38">
        <v>4080</v>
      </c>
      <c r="L47" s="38">
        <v>7082</v>
      </c>
      <c r="M47" s="38">
        <v>24082</v>
      </c>
      <c r="N47" s="38">
        <v>24080</v>
      </c>
      <c r="O47" s="38">
        <v>0</v>
      </c>
      <c r="P47" s="38">
        <v>0</v>
      </c>
      <c r="Q47" s="38">
        <v>55520</v>
      </c>
      <c r="R47" s="38">
        <v>52972</v>
      </c>
      <c r="S47" s="38">
        <v>8496</v>
      </c>
      <c r="T47" s="38">
        <v>8496</v>
      </c>
      <c r="U47" s="38">
        <v>8498</v>
      </c>
      <c r="V47" s="38">
        <v>8496</v>
      </c>
      <c r="W47" s="38">
        <v>4782</v>
      </c>
      <c r="X47" s="38">
        <v>4784</v>
      </c>
      <c r="Y47" s="38">
        <v>4782</v>
      </c>
      <c r="Z47" s="38">
        <v>4784</v>
      </c>
      <c r="AA47" s="38">
        <v>32034</v>
      </c>
      <c r="AB47" s="38">
        <v>32034</v>
      </c>
      <c r="AC47" s="38">
        <v>32032</v>
      </c>
      <c r="AD47" s="38">
        <v>32034</v>
      </c>
      <c r="AE47" s="38">
        <v>8562</v>
      </c>
      <c r="AF47" s="38">
        <v>8564</v>
      </c>
      <c r="AG47" s="38">
        <v>8562</v>
      </c>
      <c r="AH47" s="38">
        <v>8564</v>
      </c>
      <c r="AI47" s="38">
        <v>8562</v>
      </c>
      <c r="AJ47" s="38">
        <v>16652</v>
      </c>
      <c r="AK47" s="38">
        <v>16650</v>
      </c>
    </row>
    <row r="48" spans="1:37" ht="16.350000000000001" customHeight="1" x14ac:dyDescent="0.3">
      <c r="A48" s="124" t="s">
        <v>100</v>
      </c>
      <c r="B48" s="122"/>
      <c r="C48" s="38">
        <f>IFERROR(INDEX($H$7:$V$7,1,MATCH("RM04",$H$3:$V$3,0)),0)</f>
        <v>30000</v>
      </c>
      <c r="D48" s="38">
        <f>0</f>
        <v>0</v>
      </c>
      <c r="E48" s="38">
        <f>0</f>
        <v>0</v>
      </c>
      <c r="F48" s="38">
        <f>0</f>
        <v>0</v>
      </c>
      <c r="G48" s="38">
        <f>0</f>
        <v>0</v>
      </c>
      <c r="H48" s="38">
        <f>0</f>
        <v>0</v>
      </c>
      <c r="I48" s="38">
        <f>0</f>
        <v>0</v>
      </c>
      <c r="J48" s="38">
        <f>0</f>
        <v>0</v>
      </c>
      <c r="K48" s="8">
        <f>0</f>
        <v>0</v>
      </c>
      <c r="L48" s="8">
        <f>0</f>
        <v>0</v>
      </c>
      <c r="M48" s="8">
        <f>0</f>
        <v>0</v>
      </c>
      <c r="N48" s="8">
        <f>0</f>
        <v>0</v>
      </c>
      <c r="O48" s="8">
        <f>0</f>
        <v>0</v>
      </c>
      <c r="P48" s="8">
        <f>0</f>
        <v>0</v>
      </c>
      <c r="Q48" s="8">
        <f>0</f>
        <v>0</v>
      </c>
      <c r="R48" s="8">
        <f>0</f>
        <v>0</v>
      </c>
      <c r="S48" s="8">
        <f>0</f>
        <v>0</v>
      </c>
      <c r="T48" s="8">
        <f>0</f>
        <v>0</v>
      </c>
      <c r="U48" s="8">
        <f>0</f>
        <v>0</v>
      </c>
      <c r="V48" s="8">
        <f>0</f>
        <v>0</v>
      </c>
      <c r="W48" s="8">
        <f>0</f>
        <v>0</v>
      </c>
      <c r="X48" s="8">
        <f>0</f>
        <v>0</v>
      </c>
      <c r="Y48" s="8">
        <f>0</f>
        <v>0</v>
      </c>
      <c r="Z48" s="8">
        <f>0</f>
        <v>0</v>
      </c>
      <c r="AA48" s="8">
        <f>0</f>
        <v>0</v>
      </c>
      <c r="AB48" s="8">
        <f>0</f>
        <v>0</v>
      </c>
      <c r="AC48" s="8">
        <f>0</f>
        <v>0</v>
      </c>
      <c r="AD48" s="8">
        <f>0</f>
        <v>0</v>
      </c>
      <c r="AE48" s="8">
        <f>0</f>
        <v>0</v>
      </c>
      <c r="AF48" s="8">
        <f>0</f>
        <v>0</v>
      </c>
      <c r="AG48" s="8">
        <f>0</f>
        <v>0</v>
      </c>
      <c r="AH48" s="8">
        <f>0</f>
        <v>0</v>
      </c>
      <c r="AI48" s="8">
        <f>0</f>
        <v>0</v>
      </c>
      <c r="AJ48" s="8">
        <f>0</f>
        <v>0</v>
      </c>
      <c r="AK48" s="8">
        <f>0</f>
        <v>0</v>
      </c>
    </row>
    <row r="49" spans="1:37" ht="16.350000000000001" customHeight="1" x14ac:dyDescent="0.3">
      <c r="A49" s="38" t="s">
        <v>101</v>
      </c>
      <c r="B49" s="50">
        <f>IFERROR(INDEX($H$8:$V$8,1,MATCH("RM04",$H$3:$V$3,0)),0)</f>
        <v>34070</v>
      </c>
      <c r="C49" s="38">
        <f t="shared" ref="C49:AK49" si="12">$B49</f>
        <v>34070</v>
      </c>
      <c r="D49" s="38">
        <f t="shared" si="12"/>
        <v>34070</v>
      </c>
      <c r="E49" s="38">
        <f t="shared" si="12"/>
        <v>34070</v>
      </c>
      <c r="F49" s="38">
        <f t="shared" si="12"/>
        <v>34070</v>
      </c>
      <c r="G49" s="38">
        <f t="shared" si="12"/>
        <v>34070</v>
      </c>
      <c r="H49" s="38">
        <f t="shared" si="12"/>
        <v>34070</v>
      </c>
      <c r="I49" s="38">
        <f t="shared" si="12"/>
        <v>34070</v>
      </c>
      <c r="J49" s="38">
        <f t="shared" si="12"/>
        <v>34070</v>
      </c>
      <c r="K49" s="8">
        <f t="shared" si="12"/>
        <v>34070</v>
      </c>
      <c r="L49" s="8">
        <f t="shared" si="12"/>
        <v>34070</v>
      </c>
      <c r="M49" s="8">
        <f t="shared" si="12"/>
        <v>34070</v>
      </c>
      <c r="N49" s="8">
        <f t="shared" si="12"/>
        <v>34070</v>
      </c>
      <c r="O49" s="8">
        <f t="shared" si="12"/>
        <v>34070</v>
      </c>
      <c r="P49" s="8">
        <f t="shared" si="12"/>
        <v>34070</v>
      </c>
      <c r="Q49" s="8">
        <f t="shared" si="12"/>
        <v>34070</v>
      </c>
      <c r="R49" s="8">
        <f t="shared" si="12"/>
        <v>34070</v>
      </c>
      <c r="S49" s="8">
        <f t="shared" si="12"/>
        <v>34070</v>
      </c>
      <c r="T49" s="8">
        <f t="shared" si="12"/>
        <v>34070</v>
      </c>
      <c r="U49" s="8">
        <f t="shared" si="12"/>
        <v>34070</v>
      </c>
      <c r="V49" s="8">
        <f t="shared" si="12"/>
        <v>34070</v>
      </c>
      <c r="W49" s="8">
        <f t="shared" si="12"/>
        <v>34070</v>
      </c>
      <c r="X49" s="8">
        <f t="shared" si="12"/>
        <v>34070</v>
      </c>
      <c r="Y49" s="8">
        <f t="shared" si="12"/>
        <v>34070</v>
      </c>
      <c r="Z49" s="8">
        <f t="shared" si="12"/>
        <v>34070</v>
      </c>
      <c r="AA49" s="8">
        <f t="shared" si="12"/>
        <v>34070</v>
      </c>
      <c r="AB49" s="8">
        <f t="shared" si="12"/>
        <v>34070</v>
      </c>
      <c r="AC49" s="8">
        <f t="shared" si="12"/>
        <v>34070</v>
      </c>
      <c r="AD49" s="8">
        <f t="shared" si="12"/>
        <v>34070</v>
      </c>
      <c r="AE49" s="8">
        <f t="shared" si="12"/>
        <v>34070</v>
      </c>
      <c r="AF49" s="8">
        <f t="shared" si="12"/>
        <v>34070</v>
      </c>
      <c r="AG49" s="8">
        <f t="shared" si="12"/>
        <v>34070</v>
      </c>
      <c r="AH49" s="8">
        <f t="shared" si="12"/>
        <v>34070</v>
      </c>
      <c r="AI49" s="8">
        <f t="shared" si="12"/>
        <v>34070</v>
      </c>
      <c r="AJ49" s="8">
        <f t="shared" si="12"/>
        <v>34070</v>
      </c>
      <c r="AK49" s="8">
        <f t="shared" si="12"/>
        <v>34070</v>
      </c>
    </row>
    <row r="50" spans="1:37" ht="16.350000000000001" customHeight="1" x14ac:dyDescent="0.3">
      <c r="A50" s="38" t="s">
        <v>107</v>
      </c>
      <c r="B50" s="50">
        <f>IFERROR(INDEX($H$6:$V$6,1,MATCH("RM04",$H$3:$V$3,0)),0)</f>
        <v>340000</v>
      </c>
      <c r="C50" s="38">
        <f>$B50+C48+C52-C47</f>
        <v>370000</v>
      </c>
      <c r="D50" s="38">
        <f t="shared" ref="D50:AK50" si="13">C50+D48+D52-D47</f>
        <v>368632</v>
      </c>
      <c r="E50" s="38">
        <f t="shared" si="13"/>
        <v>328632</v>
      </c>
      <c r="F50" s="38">
        <f t="shared" si="13"/>
        <v>288632</v>
      </c>
      <c r="G50" s="38">
        <f t="shared" si="13"/>
        <v>266632</v>
      </c>
      <c r="H50" s="38">
        <f t="shared" si="13"/>
        <v>240632</v>
      </c>
      <c r="I50" s="38">
        <f t="shared" si="13"/>
        <v>213086</v>
      </c>
      <c r="J50" s="38">
        <f t="shared" si="13"/>
        <v>198970</v>
      </c>
      <c r="K50" s="8">
        <f t="shared" si="13"/>
        <v>194890</v>
      </c>
      <c r="L50" s="8">
        <f t="shared" si="13"/>
        <v>187808</v>
      </c>
      <c r="M50" s="8">
        <f t="shared" si="13"/>
        <v>163726</v>
      </c>
      <c r="N50" s="8">
        <f t="shared" si="13"/>
        <v>139646</v>
      </c>
      <c r="O50" s="8">
        <f t="shared" si="13"/>
        <v>139646</v>
      </c>
      <c r="P50" s="8">
        <f t="shared" si="13"/>
        <v>139646</v>
      </c>
      <c r="Q50" s="8">
        <f t="shared" si="13"/>
        <v>84126</v>
      </c>
      <c r="R50" s="8">
        <f t="shared" si="13"/>
        <v>34070</v>
      </c>
      <c r="S50" s="8">
        <f t="shared" si="13"/>
        <v>34070</v>
      </c>
      <c r="T50" s="8">
        <f t="shared" si="13"/>
        <v>34070</v>
      </c>
      <c r="U50" s="8">
        <f t="shared" si="13"/>
        <v>34070</v>
      </c>
      <c r="V50" s="8">
        <f t="shared" si="13"/>
        <v>34070</v>
      </c>
      <c r="W50" s="8">
        <f t="shared" si="13"/>
        <v>34070</v>
      </c>
      <c r="X50" s="8">
        <f t="shared" si="13"/>
        <v>34070</v>
      </c>
      <c r="Y50" s="8">
        <f t="shared" si="13"/>
        <v>34070</v>
      </c>
      <c r="Z50" s="8">
        <f t="shared" si="13"/>
        <v>34070</v>
      </c>
      <c r="AA50" s="8">
        <f t="shared" si="13"/>
        <v>34070</v>
      </c>
      <c r="AB50" s="8">
        <f t="shared" si="13"/>
        <v>34070</v>
      </c>
      <c r="AC50" s="8">
        <f t="shared" si="13"/>
        <v>34070</v>
      </c>
      <c r="AD50" s="8">
        <f t="shared" si="13"/>
        <v>34070</v>
      </c>
      <c r="AE50" s="8">
        <f t="shared" si="13"/>
        <v>34070</v>
      </c>
      <c r="AF50" s="8">
        <f t="shared" si="13"/>
        <v>34070</v>
      </c>
      <c r="AG50" s="8">
        <f t="shared" si="13"/>
        <v>34070</v>
      </c>
      <c r="AH50" s="8">
        <f t="shared" si="13"/>
        <v>34070</v>
      </c>
      <c r="AI50" s="8">
        <f t="shared" si="13"/>
        <v>34070</v>
      </c>
      <c r="AJ50" s="8">
        <f t="shared" si="13"/>
        <v>34070</v>
      </c>
      <c r="AK50" s="8">
        <f t="shared" si="13"/>
        <v>34070</v>
      </c>
    </row>
    <row r="51" spans="1:37" ht="16.350000000000001" customHeight="1" x14ac:dyDescent="0.3">
      <c r="A51" s="38" t="s">
        <v>108</v>
      </c>
      <c r="B51" s="50"/>
      <c r="C51" s="38">
        <f>MAX(C47+C49-($B50+C48),0)</f>
        <v>0</v>
      </c>
      <c r="D51" s="38">
        <f t="shared" ref="D51:AK51" si="14">MAX(D47+D49-(C50+D48),0)</f>
        <v>0</v>
      </c>
      <c r="E51" s="38">
        <f t="shared" si="14"/>
        <v>0</v>
      </c>
      <c r="F51" s="38">
        <f t="shared" si="14"/>
        <v>0</v>
      </c>
      <c r="G51" s="38">
        <f t="shared" si="14"/>
        <v>0</v>
      </c>
      <c r="H51" s="38">
        <f t="shared" si="14"/>
        <v>0</v>
      </c>
      <c r="I51" s="38">
        <f t="shared" si="14"/>
        <v>0</v>
      </c>
      <c r="J51" s="38">
        <f t="shared" si="14"/>
        <v>0</v>
      </c>
      <c r="K51" s="8">
        <f t="shared" si="14"/>
        <v>0</v>
      </c>
      <c r="L51" s="8">
        <f t="shared" si="14"/>
        <v>0</v>
      </c>
      <c r="M51" s="8">
        <f t="shared" si="14"/>
        <v>0</v>
      </c>
      <c r="N51" s="8">
        <f t="shared" si="14"/>
        <v>0</v>
      </c>
      <c r="O51" s="8">
        <f t="shared" si="14"/>
        <v>0</v>
      </c>
      <c r="P51" s="8">
        <f t="shared" si="14"/>
        <v>0</v>
      </c>
      <c r="Q51" s="8">
        <f t="shared" si="14"/>
        <v>0</v>
      </c>
      <c r="R51" s="8">
        <f t="shared" si="14"/>
        <v>2916</v>
      </c>
      <c r="S51" s="8">
        <f t="shared" si="14"/>
        <v>8496</v>
      </c>
      <c r="T51" s="8">
        <f t="shared" si="14"/>
        <v>8496</v>
      </c>
      <c r="U51" s="8">
        <f t="shared" si="14"/>
        <v>8498</v>
      </c>
      <c r="V51" s="8">
        <f t="shared" si="14"/>
        <v>8496</v>
      </c>
      <c r="W51" s="8">
        <f t="shared" si="14"/>
        <v>4782</v>
      </c>
      <c r="X51" s="8">
        <f t="shared" si="14"/>
        <v>4784</v>
      </c>
      <c r="Y51" s="8">
        <f t="shared" si="14"/>
        <v>4782</v>
      </c>
      <c r="Z51" s="8">
        <f t="shared" si="14"/>
        <v>4784</v>
      </c>
      <c r="AA51" s="8">
        <f t="shared" si="14"/>
        <v>32034</v>
      </c>
      <c r="AB51" s="8">
        <f t="shared" si="14"/>
        <v>32034</v>
      </c>
      <c r="AC51" s="8">
        <f t="shared" si="14"/>
        <v>32032</v>
      </c>
      <c r="AD51" s="8">
        <f t="shared" si="14"/>
        <v>32034</v>
      </c>
      <c r="AE51" s="8">
        <f t="shared" si="14"/>
        <v>8562</v>
      </c>
      <c r="AF51" s="8">
        <f t="shared" si="14"/>
        <v>8564</v>
      </c>
      <c r="AG51" s="8">
        <f t="shared" si="14"/>
        <v>8562</v>
      </c>
      <c r="AH51" s="8">
        <f t="shared" si="14"/>
        <v>8564</v>
      </c>
      <c r="AI51" s="8">
        <f t="shared" si="14"/>
        <v>8562</v>
      </c>
      <c r="AJ51" s="8">
        <f t="shared" si="14"/>
        <v>16652</v>
      </c>
      <c r="AK51" s="8">
        <f t="shared" si="14"/>
        <v>16650</v>
      </c>
    </row>
    <row r="52" spans="1:37" ht="16.350000000000001" customHeight="1" x14ac:dyDescent="0.3">
      <c r="A52" s="124" t="s">
        <v>109</v>
      </c>
      <c r="B52" s="122"/>
      <c r="C52" s="38">
        <f t="shared" ref="C52:AK52" si="15">C51</f>
        <v>0</v>
      </c>
      <c r="D52" s="38">
        <f t="shared" si="15"/>
        <v>0</v>
      </c>
      <c r="E52" s="38">
        <f t="shared" si="15"/>
        <v>0</v>
      </c>
      <c r="F52" s="38">
        <f t="shared" si="15"/>
        <v>0</v>
      </c>
      <c r="G52" s="38">
        <f t="shared" si="15"/>
        <v>0</v>
      </c>
      <c r="H52" s="38">
        <f t="shared" si="15"/>
        <v>0</v>
      </c>
      <c r="I52" s="38">
        <f t="shared" si="15"/>
        <v>0</v>
      </c>
      <c r="J52" s="38">
        <f t="shared" si="15"/>
        <v>0</v>
      </c>
      <c r="K52" s="8">
        <f t="shared" si="15"/>
        <v>0</v>
      </c>
      <c r="L52" s="8">
        <f t="shared" si="15"/>
        <v>0</v>
      </c>
      <c r="M52" s="8">
        <f t="shared" si="15"/>
        <v>0</v>
      </c>
      <c r="N52" s="8">
        <f t="shared" si="15"/>
        <v>0</v>
      </c>
      <c r="O52" s="8">
        <f t="shared" si="15"/>
        <v>0</v>
      </c>
      <c r="P52" s="8">
        <f t="shared" si="15"/>
        <v>0</v>
      </c>
      <c r="Q52" s="8">
        <f t="shared" si="15"/>
        <v>0</v>
      </c>
      <c r="R52" s="8">
        <f t="shared" si="15"/>
        <v>2916</v>
      </c>
      <c r="S52" s="8">
        <f t="shared" si="15"/>
        <v>8496</v>
      </c>
      <c r="T52" s="8">
        <f t="shared" si="15"/>
        <v>8496</v>
      </c>
      <c r="U52" s="8">
        <f t="shared" si="15"/>
        <v>8498</v>
      </c>
      <c r="V52" s="8">
        <f t="shared" si="15"/>
        <v>8496</v>
      </c>
      <c r="W52" s="8">
        <f t="shared" si="15"/>
        <v>4782</v>
      </c>
      <c r="X52" s="8">
        <f t="shared" si="15"/>
        <v>4784</v>
      </c>
      <c r="Y52" s="8">
        <f t="shared" si="15"/>
        <v>4782</v>
      </c>
      <c r="Z52" s="8">
        <f t="shared" si="15"/>
        <v>4784</v>
      </c>
      <c r="AA52" s="8">
        <f t="shared" si="15"/>
        <v>32034</v>
      </c>
      <c r="AB52" s="8">
        <f t="shared" si="15"/>
        <v>32034</v>
      </c>
      <c r="AC52" s="8">
        <f t="shared" si="15"/>
        <v>32032</v>
      </c>
      <c r="AD52" s="8">
        <f t="shared" si="15"/>
        <v>32034</v>
      </c>
      <c r="AE52" s="8">
        <f t="shared" si="15"/>
        <v>8562</v>
      </c>
      <c r="AF52" s="8">
        <f t="shared" si="15"/>
        <v>8564</v>
      </c>
      <c r="AG52" s="8">
        <f t="shared" si="15"/>
        <v>8562</v>
      </c>
      <c r="AH52" s="8">
        <f t="shared" si="15"/>
        <v>8564</v>
      </c>
      <c r="AI52" s="8">
        <f t="shared" si="15"/>
        <v>8562</v>
      </c>
      <c r="AJ52" s="8">
        <f t="shared" si="15"/>
        <v>16652</v>
      </c>
      <c r="AK52" s="8">
        <f t="shared" si="15"/>
        <v>16650</v>
      </c>
    </row>
    <row r="53" spans="1:37" ht="16.350000000000001" customHeight="1" x14ac:dyDescent="0.3">
      <c r="A53" s="38" t="s">
        <v>110</v>
      </c>
      <c r="B53" s="50"/>
      <c r="C53" s="38">
        <f>IFERROR(INDEX($C$52:$AK$52,1,1+ROUND(INDEX($H$5:$V$5,1,MATCH("RM04",$H$3:$V$3,0))/7,0)),0)</f>
        <v>4782</v>
      </c>
      <c r="D53" s="38">
        <f>IFERROR(INDEX($C$52:$AK$52,1,2+ROUND(INDEX($H$5:$V$5,1,MATCH("RM04",$H$3:$V$3,0))/7,0)),0)</f>
        <v>4784</v>
      </c>
      <c r="E53" s="38">
        <f>IFERROR(INDEX($C$52:$AK$52,1,3+ROUND(INDEX($H$5:$V$5,1,MATCH("RM04",$H$3:$V$3,0))/7,0)),0)</f>
        <v>4782</v>
      </c>
      <c r="F53" s="38">
        <f>IFERROR(INDEX($C$52:$AK$52,1,4+ROUND(INDEX($H$5:$V$5,1,MATCH("RM04",$H$3:$V$3,0))/7,0)),0)</f>
        <v>4784</v>
      </c>
      <c r="G53" s="38">
        <f>IFERROR(INDEX($C$52:$AK$52,1,5+ROUND(INDEX($H$5:$V$5,1,MATCH("RM04",$H$3:$V$3,0))/7,0)),0)</f>
        <v>32034</v>
      </c>
      <c r="H53" s="38">
        <f>IFERROR(INDEX($C$52:$AK$52,1,6+ROUND(INDEX($H$5:$V$5,1,MATCH("RM04",$H$3:$V$3,0))/7,0)),0)</f>
        <v>32034</v>
      </c>
      <c r="I53" s="38">
        <f>IFERROR(INDEX($C$52:$AK$52,1,7+ROUND(INDEX($H$5:$V$5,1,MATCH("RM04",$H$3:$V$3,0))/7,0)),0)</f>
        <v>32032</v>
      </c>
      <c r="J53" s="38">
        <f>IFERROR(INDEX($C$52:$AK$52,1,8+ROUND(INDEX($H$5:$V$5,1,MATCH("RM04",$H$3:$V$3,0))/7,0)),0)</f>
        <v>32034</v>
      </c>
      <c r="K53" s="8">
        <f>IFERROR(INDEX($C$52:$AK$52,1,9+ROUND(INDEX($H$5:$V$5,1,MATCH("RM04",$H$3:$V$3,0))/7,0)),0)</f>
        <v>8562</v>
      </c>
      <c r="L53" s="8">
        <f>IFERROR(INDEX($C$52:$AK$52,1,10+ROUND(INDEX($H$5:$V$5,1,MATCH("RM04",$H$3:$V$3,0))/7,0)),0)</f>
        <v>8564</v>
      </c>
      <c r="M53" s="8">
        <f>IFERROR(INDEX($C$52:$AK$52,1,11+ROUND(INDEX($H$5:$V$5,1,MATCH("RM04",$H$3:$V$3,0))/7,0)),0)</f>
        <v>8562</v>
      </c>
      <c r="N53" s="8">
        <f>IFERROR(INDEX($C$52:$AK$52,1,12+ROUND(INDEX($H$5:$V$5,1,MATCH("RM04",$H$3:$V$3,0))/7,0)),0)</f>
        <v>8564</v>
      </c>
      <c r="O53" s="8">
        <f>IFERROR(INDEX($C$52:$AK$52,1,13+ROUND(INDEX($H$5:$V$5,1,MATCH("RM04",$H$3:$V$3,0))/7,0)),0)</f>
        <v>8562</v>
      </c>
      <c r="P53" s="8">
        <f>IFERROR(INDEX($C$52:$AK$52,1,14+ROUND(INDEX($H$5:$V$5,1,MATCH("RM04",$H$3:$V$3,0))/7,0)),0)</f>
        <v>16652</v>
      </c>
      <c r="Q53" s="8">
        <f>IFERROR(INDEX($C$52:$AK$52,1,15+ROUND(INDEX($H$5:$V$5,1,MATCH("RM04",$H$3:$V$3,0))/7,0)),0)</f>
        <v>16650</v>
      </c>
      <c r="R53" s="8">
        <f>IFERROR(INDEX($C$52:$AK$52,1,16+ROUND(INDEX($H$5:$V$5,1,MATCH("RM04",$H$3:$V$3,0))/7,0)),0)</f>
        <v>0</v>
      </c>
      <c r="S53" s="8">
        <f>IFERROR(INDEX($C$52:$AK$52,1,17+ROUND(INDEX($H$5:$V$5,1,MATCH("RM04",$H$3:$V$3,0))/7,0)),0)</f>
        <v>0</v>
      </c>
      <c r="T53" s="8">
        <f>IFERROR(INDEX($C$52:$AK$52,1,18+ROUND(INDEX($H$5:$V$5,1,MATCH("RM04",$H$3:$V$3,0))/7,0)),0)</f>
        <v>0</v>
      </c>
      <c r="U53" s="8">
        <f>IFERROR(INDEX($C$52:$AK$52,1,19+ROUND(INDEX($H$5:$V$5,1,MATCH("RM04",$H$3:$V$3,0))/7,0)),0)</f>
        <v>0</v>
      </c>
      <c r="V53" s="8">
        <f>IFERROR(INDEX($C$52:$AK$52,1,20+ROUND(INDEX($H$5:$V$5,1,MATCH("RM04",$H$3:$V$3,0))/7,0)),0)</f>
        <v>0</v>
      </c>
      <c r="W53" s="8">
        <f>IFERROR(INDEX($C$52:$AK$52,1,21+ROUND(INDEX($H$5:$V$5,1,MATCH("RM04",$H$3:$V$3,0))/7,0)),0)</f>
        <v>0</v>
      </c>
      <c r="X53" s="8">
        <f>IFERROR(INDEX($C$52:$AK$52,1,22+ROUND(INDEX($H$5:$V$5,1,MATCH("RM04",$H$3:$V$3,0))/7,0)),0)</f>
        <v>0</v>
      </c>
      <c r="Y53" s="8">
        <f>IFERROR(INDEX($C$52:$AK$52,1,23+ROUND(INDEX($H$5:$V$5,1,MATCH("RM04",$H$3:$V$3,0))/7,0)),0)</f>
        <v>0</v>
      </c>
      <c r="Z53" s="8">
        <f>IFERROR(INDEX($C$52:$AK$52,1,24+ROUND(INDEX($H$5:$V$5,1,MATCH("RM04",$H$3:$V$3,0))/7,0)),0)</f>
        <v>0</v>
      </c>
      <c r="AA53" s="8">
        <f>IFERROR(INDEX($C$52:$AK$52,1,25+ROUND(INDEX($H$5:$V$5,1,MATCH("RM04",$H$3:$V$3,0))/7,0)),0)</f>
        <v>0</v>
      </c>
      <c r="AB53" s="8">
        <f>IFERROR(INDEX($C$52:$AK$52,1,26+ROUND(INDEX($H$5:$V$5,1,MATCH("RM04",$H$3:$V$3,0))/7,0)),0)</f>
        <v>0</v>
      </c>
      <c r="AC53" s="8">
        <f>IFERROR(INDEX($C$52:$AK$52,1,27+ROUND(INDEX($H$5:$V$5,1,MATCH("RM04",$H$3:$V$3,0))/7,0)),0)</f>
        <v>0</v>
      </c>
      <c r="AD53" s="8">
        <f>IFERROR(INDEX($C$52:$AK$52,1,28+ROUND(INDEX($H$5:$V$5,1,MATCH("RM04",$H$3:$V$3,0))/7,0)),0)</f>
        <v>0</v>
      </c>
      <c r="AE53" s="8">
        <f>IFERROR(INDEX($C$52:$AK$52,1,29+ROUND(INDEX($H$5:$V$5,1,MATCH("RM04",$H$3:$V$3,0))/7,0)),0)</f>
        <v>0</v>
      </c>
      <c r="AF53" s="8">
        <f>IFERROR(INDEX($C$52:$AK$52,1,30+ROUND(INDEX($H$5:$V$5,1,MATCH("RM04",$H$3:$V$3,0))/7,0)),0)</f>
        <v>0</v>
      </c>
      <c r="AG53" s="8">
        <f>IFERROR(INDEX($C$52:$AK$52,1,31+ROUND(INDEX($H$5:$V$5,1,MATCH("RM04",$H$3:$V$3,0))/7,0)),0)</f>
        <v>0</v>
      </c>
      <c r="AH53" s="8">
        <f>IFERROR(INDEX($C$52:$AK$52,1,32+ROUND(INDEX($H$5:$V$5,1,MATCH("RM04",$H$3:$V$3,0))/7,0)),0)</f>
        <v>0</v>
      </c>
      <c r="AI53" s="8">
        <f>IFERROR(INDEX($C$52:$AK$52,1,33+ROUND(INDEX($H$5:$V$5,1,MATCH("RM04",$H$3:$V$3,0))/7,0)),0)</f>
        <v>0</v>
      </c>
      <c r="AJ53" s="8">
        <f>IFERROR(INDEX($C$52:$AK$52,1,34+ROUND(INDEX($H$5:$V$5,1,MATCH("RM04",$H$3:$V$3,0))/7,0)),0)</f>
        <v>0</v>
      </c>
      <c r="AK53" s="8">
        <f>IFERROR(INDEX($C$52:$AK$52,1,35+ROUND(INDEX($H$5:$V$5,1,MATCH("RM04",$H$3:$V$3,0))/7,0)),0)</f>
        <v>0</v>
      </c>
    </row>
    <row r="55" spans="1:37" ht="16.350000000000001" customHeight="1" x14ac:dyDescent="0.3">
      <c r="A55" s="51" t="s">
        <v>114</v>
      </c>
      <c r="B55" s="51" t="s">
        <v>104</v>
      </c>
      <c r="C55" s="123" t="s">
        <v>63</v>
      </c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2"/>
    </row>
    <row r="56" spans="1:37" ht="16.350000000000001" customHeight="1" x14ac:dyDescent="0.3">
      <c r="A56" s="51" t="s">
        <v>105</v>
      </c>
      <c r="B56" s="51" t="str">
        <f>"LT: "&amp;ROUND(INDEX($H$5:$V$5,1,MATCH("RM05",$H$3:$V$3,0))/7,0)</f>
        <v>LT: 10</v>
      </c>
      <c r="C56" s="52">
        <f t="array" ref="C56:AK56">TRANSPOSE([3]BOM_demand!$A$2:$A$36)</f>
        <v>46132</v>
      </c>
      <c r="D56" s="52">
        <v>46139</v>
      </c>
      <c r="E56" s="52">
        <v>46146</v>
      </c>
      <c r="F56" s="52">
        <v>46153</v>
      </c>
      <c r="G56" s="52">
        <v>46160</v>
      </c>
      <c r="H56" s="52">
        <v>46167</v>
      </c>
      <c r="I56" s="52">
        <v>46174</v>
      </c>
      <c r="J56" s="52">
        <v>46181</v>
      </c>
      <c r="K56" s="52">
        <v>46188</v>
      </c>
      <c r="L56" s="52">
        <v>46195</v>
      </c>
      <c r="M56" s="52">
        <v>46202</v>
      </c>
      <c r="N56" s="52">
        <v>46209</v>
      </c>
      <c r="O56" s="52">
        <v>46216</v>
      </c>
      <c r="P56" s="52">
        <v>46223</v>
      </c>
      <c r="Q56" s="52">
        <v>46230</v>
      </c>
      <c r="R56" s="52">
        <v>46237</v>
      </c>
      <c r="S56" s="52">
        <v>46244</v>
      </c>
      <c r="T56" s="52">
        <v>46251</v>
      </c>
      <c r="U56" s="52">
        <v>46258</v>
      </c>
      <c r="V56" s="52">
        <v>46265</v>
      </c>
      <c r="W56" s="52">
        <v>46272</v>
      </c>
      <c r="X56" s="52">
        <v>46279</v>
      </c>
      <c r="Y56" s="52">
        <v>46286</v>
      </c>
      <c r="Z56" s="52">
        <v>46293</v>
      </c>
      <c r="AA56" s="52">
        <v>46300</v>
      </c>
      <c r="AB56" s="52">
        <v>46307</v>
      </c>
      <c r="AC56" s="52">
        <v>46314</v>
      </c>
      <c r="AD56" s="52">
        <v>46321</v>
      </c>
      <c r="AE56" s="52">
        <v>46328</v>
      </c>
      <c r="AF56" s="52">
        <v>46335</v>
      </c>
      <c r="AG56" s="52">
        <v>46342</v>
      </c>
      <c r="AH56" s="52">
        <v>46349</v>
      </c>
      <c r="AI56" s="52">
        <v>46356</v>
      </c>
      <c r="AJ56" s="52">
        <v>46363</v>
      </c>
      <c r="AK56" s="52">
        <v>46370</v>
      </c>
    </row>
    <row r="57" spans="1:37" ht="16.350000000000001" customHeight="1" x14ac:dyDescent="0.3">
      <c r="A57" s="55" t="s">
        <v>106</v>
      </c>
      <c r="C57" s="38">
        <f t="array" ref="C57:AK57">TRANSPOSE([3]BOM_demand!$L$2:$L$36)</f>
        <v>0</v>
      </c>
      <c r="D57" s="38">
        <v>684</v>
      </c>
      <c r="E57" s="38">
        <v>20000</v>
      </c>
      <c r="F57" s="38">
        <v>20000</v>
      </c>
      <c r="G57" s="38">
        <v>11000</v>
      </c>
      <c r="H57" s="38">
        <v>13000</v>
      </c>
      <c r="I57" s="38">
        <v>13773</v>
      </c>
      <c r="J57" s="38">
        <v>7058</v>
      </c>
      <c r="K57" s="38">
        <v>2040</v>
      </c>
      <c r="L57" s="38">
        <v>3541</v>
      </c>
      <c r="M57" s="38">
        <v>12041</v>
      </c>
      <c r="N57" s="38">
        <v>12040</v>
      </c>
      <c r="O57" s="38">
        <v>0</v>
      </c>
      <c r="P57" s="38">
        <v>0</v>
      </c>
      <c r="Q57" s="38">
        <v>27760</v>
      </c>
      <c r="R57" s="38">
        <v>26486</v>
      </c>
      <c r="S57" s="38">
        <v>4248</v>
      </c>
      <c r="T57" s="38">
        <v>4248</v>
      </c>
      <c r="U57" s="38">
        <v>4249</v>
      </c>
      <c r="V57" s="38">
        <v>4248</v>
      </c>
      <c r="W57" s="38">
        <v>2391</v>
      </c>
      <c r="X57" s="38">
        <v>2392</v>
      </c>
      <c r="Y57" s="38">
        <v>2391</v>
      </c>
      <c r="Z57" s="38">
        <v>2392</v>
      </c>
      <c r="AA57" s="38">
        <v>16017</v>
      </c>
      <c r="AB57" s="38">
        <v>16017</v>
      </c>
      <c r="AC57" s="38">
        <v>16016</v>
      </c>
      <c r="AD57" s="38">
        <v>16017</v>
      </c>
      <c r="AE57" s="38">
        <v>4281</v>
      </c>
      <c r="AF57" s="38">
        <v>4282</v>
      </c>
      <c r="AG57" s="38">
        <v>4281</v>
      </c>
      <c r="AH57" s="38">
        <v>4282</v>
      </c>
      <c r="AI57" s="38">
        <v>4281</v>
      </c>
      <c r="AJ57" s="38">
        <v>8326</v>
      </c>
      <c r="AK57" s="38">
        <v>8325</v>
      </c>
    </row>
    <row r="58" spans="1:37" ht="16.350000000000001" customHeight="1" x14ac:dyDescent="0.3">
      <c r="A58" s="124" t="s">
        <v>100</v>
      </c>
      <c r="B58" s="122"/>
      <c r="C58" s="38">
        <f>IFERROR(INDEX($H$7:$V$7,1,MATCH("RM05",$H$3:$V$3,0)),0)</f>
        <v>0</v>
      </c>
      <c r="D58" s="38">
        <f>0</f>
        <v>0</v>
      </c>
      <c r="E58" s="38">
        <f>0</f>
        <v>0</v>
      </c>
      <c r="F58" s="38">
        <f>0</f>
        <v>0</v>
      </c>
      <c r="G58" s="38">
        <f>0</f>
        <v>0</v>
      </c>
      <c r="H58" s="38">
        <f>0</f>
        <v>0</v>
      </c>
      <c r="I58" s="38">
        <f>0</f>
        <v>0</v>
      </c>
      <c r="J58" s="38">
        <f>0</f>
        <v>0</v>
      </c>
      <c r="K58" s="8">
        <f>0</f>
        <v>0</v>
      </c>
      <c r="L58" s="8">
        <f>0</f>
        <v>0</v>
      </c>
      <c r="M58" s="8">
        <f>0</f>
        <v>0</v>
      </c>
      <c r="N58" s="8">
        <f>0</f>
        <v>0</v>
      </c>
      <c r="O58" s="8">
        <f>0</f>
        <v>0</v>
      </c>
      <c r="P58" s="8">
        <f>0</f>
        <v>0</v>
      </c>
      <c r="Q58" s="8">
        <f>0</f>
        <v>0</v>
      </c>
      <c r="R58" s="8">
        <f>0</f>
        <v>0</v>
      </c>
      <c r="S58" s="8">
        <f>0</f>
        <v>0</v>
      </c>
      <c r="T58" s="8">
        <f>0</f>
        <v>0</v>
      </c>
      <c r="U58" s="8">
        <f>0</f>
        <v>0</v>
      </c>
      <c r="V58" s="8">
        <f>0</f>
        <v>0</v>
      </c>
      <c r="W58" s="8">
        <f>0</f>
        <v>0</v>
      </c>
      <c r="X58" s="8">
        <f>0</f>
        <v>0</v>
      </c>
      <c r="Y58" s="8">
        <f>0</f>
        <v>0</v>
      </c>
      <c r="Z58" s="8">
        <f>0</f>
        <v>0</v>
      </c>
      <c r="AA58" s="8">
        <f>0</f>
        <v>0</v>
      </c>
      <c r="AB58" s="8">
        <f>0</f>
        <v>0</v>
      </c>
      <c r="AC58" s="8">
        <f>0</f>
        <v>0</v>
      </c>
      <c r="AD58" s="8">
        <f>0</f>
        <v>0</v>
      </c>
      <c r="AE58" s="8">
        <f>0</f>
        <v>0</v>
      </c>
      <c r="AF58" s="8">
        <f>0</f>
        <v>0</v>
      </c>
      <c r="AG58" s="8">
        <f>0</f>
        <v>0</v>
      </c>
      <c r="AH58" s="8">
        <f>0</f>
        <v>0</v>
      </c>
      <c r="AI58" s="8">
        <f>0</f>
        <v>0</v>
      </c>
      <c r="AJ58" s="8">
        <f>0</f>
        <v>0</v>
      </c>
      <c r="AK58" s="8">
        <f>0</f>
        <v>0</v>
      </c>
    </row>
    <row r="59" spans="1:37" ht="16.350000000000001" customHeight="1" x14ac:dyDescent="0.3">
      <c r="A59" s="38" t="s">
        <v>101</v>
      </c>
      <c r="B59" s="50">
        <f>IFERROR(INDEX($H$8:$V$8,1,MATCH("RM05",$H$3:$V$3,0)),0)</f>
        <v>17035</v>
      </c>
      <c r="C59" s="38">
        <f t="shared" ref="C59:AK59" si="16">$B59</f>
        <v>17035</v>
      </c>
      <c r="D59" s="38">
        <f t="shared" si="16"/>
        <v>17035</v>
      </c>
      <c r="E59" s="38">
        <f t="shared" si="16"/>
        <v>17035</v>
      </c>
      <c r="F59" s="38">
        <f t="shared" si="16"/>
        <v>17035</v>
      </c>
      <c r="G59" s="38">
        <f t="shared" si="16"/>
        <v>17035</v>
      </c>
      <c r="H59" s="38">
        <f t="shared" si="16"/>
        <v>17035</v>
      </c>
      <c r="I59" s="38">
        <f t="shared" si="16"/>
        <v>17035</v>
      </c>
      <c r="J59" s="38">
        <f t="shared" si="16"/>
        <v>17035</v>
      </c>
      <c r="K59" s="8">
        <f t="shared" si="16"/>
        <v>17035</v>
      </c>
      <c r="L59" s="8">
        <f t="shared" si="16"/>
        <v>17035</v>
      </c>
      <c r="M59" s="8">
        <f t="shared" si="16"/>
        <v>17035</v>
      </c>
      <c r="N59" s="8">
        <f t="shared" si="16"/>
        <v>17035</v>
      </c>
      <c r="O59" s="8">
        <f t="shared" si="16"/>
        <v>17035</v>
      </c>
      <c r="P59" s="8">
        <f t="shared" si="16"/>
        <v>17035</v>
      </c>
      <c r="Q59" s="8">
        <f t="shared" si="16"/>
        <v>17035</v>
      </c>
      <c r="R59" s="8">
        <f t="shared" si="16"/>
        <v>17035</v>
      </c>
      <c r="S59" s="8">
        <f t="shared" si="16"/>
        <v>17035</v>
      </c>
      <c r="T59" s="8">
        <f t="shared" si="16"/>
        <v>17035</v>
      </c>
      <c r="U59" s="8">
        <f t="shared" si="16"/>
        <v>17035</v>
      </c>
      <c r="V59" s="8">
        <f t="shared" si="16"/>
        <v>17035</v>
      </c>
      <c r="W59" s="8">
        <f t="shared" si="16"/>
        <v>17035</v>
      </c>
      <c r="X59" s="8">
        <f t="shared" si="16"/>
        <v>17035</v>
      </c>
      <c r="Y59" s="8">
        <f t="shared" si="16"/>
        <v>17035</v>
      </c>
      <c r="Z59" s="8">
        <f t="shared" si="16"/>
        <v>17035</v>
      </c>
      <c r="AA59" s="8">
        <f t="shared" si="16"/>
        <v>17035</v>
      </c>
      <c r="AB59" s="8">
        <f t="shared" si="16"/>
        <v>17035</v>
      </c>
      <c r="AC59" s="8">
        <f t="shared" si="16"/>
        <v>17035</v>
      </c>
      <c r="AD59" s="8">
        <f t="shared" si="16"/>
        <v>17035</v>
      </c>
      <c r="AE59" s="8">
        <f t="shared" si="16"/>
        <v>17035</v>
      </c>
      <c r="AF59" s="8">
        <f t="shared" si="16"/>
        <v>17035</v>
      </c>
      <c r="AG59" s="8">
        <f t="shared" si="16"/>
        <v>17035</v>
      </c>
      <c r="AH59" s="8">
        <f t="shared" si="16"/>
        <v>17035</v>
      </c>
      <c r="AI59" s="8">
        <f t="shared" si="16"/>
        <v>17035</v>
      </c>
      <c r="AJ59" s="8">
        <f t="shared" si="16"/>
        <v>17035</v>
      </c>
      <c r="AK59" s="8">
        <f t="shared" si="16"/>
        <v>17035</v>
      </c>
    </row>
    <row r="60" spans="1:37" ht="16.350000000000001" customHeight="1" x14ac:dyDescent="0.3">
      <c r="A60" s="38" t="s">
        <v>107</v>
      </c>
      <c r="B60" s="50">
        <f>IFERROR(INDEX($H$6:$V$6,1,MATCH("RM05",$H$3:$V$3,0)),0)</f>
        <v>90000</v>
      </c>
      <c r="C60" s="38">
        <f>$B60+C58+C62-C57</f>
        <v>90000</v>
      </c>
      <c r="D60" s="38">
        <f t="shared" ref="D60:AK60" si="17">C60+D58+D62-D57</f>
        <v>89316</v>
      </c>
      <c r="E60" s="38">
        <f t="shared" si="17"/>
        <v>69316</v>
      </c>
      <c r="F60" s="38">
        <f t="shared" si="17"/>
        <v>49316</v>
      </c>
      <c r="G60" s="38">
        <f t="shared" si="17"/>
        <v>38316</v>
      </c>
      <c r="H60" s="38">
        <f t="shared" si="17"/>
        <v>25316</v>
      </c>
      <c r="I60" s="38">
        <f t="shared" si="17"/>
        <v>17035</v>
      </c>
      <c r="J60" s="38">
        <f t="shared" si="17"/>
        <v>17035</v>
      </c>
      <c r="K60" s="8">
        <f t="shared" si="17"/>
        <v>17035</v>
      </c>
      <c r="L60" s="8">
        <f t="shared" si="17"/>
        <v>17035</v>
      </c>
      <c r="M60" s="8">
        <f t="shared" si="17"/>
        <v>17035</v>
      </c>
      <c r="N60" s="8">
        <f t="shared" si="17"/>
        <v>17035</v>
      </c>
      <c r="O60" s="8">
        <f t="shared" si="17"/>
        <v>17035</v>
      </c>
      <c r="P60" s="8">
        <f t="shared" si="17"/>
        <v>17035</v>
      </c>
      <c r="Q60" s="8">
        <f t="shared" si="17"/>
        <v>17035</v>
      </c>
      <c r="R60" s="8">
        <f t="shared" si="17"/>
        <v>17035</v>
      </c>
      <c r="S60" s="8">
        <f t="shared" si="17"/>
        <v>17035</v>
      </c>
      <c r="T60" s="8">
        <f t="shared" si="17"/>
        <v>17035</v>
      </c>
      <c r="U60" s="8">
        <f t="shared" si="17"/>
        <v>17035</v>
      </c>
      <c r="V60" s="8">
        <f t="shared" si="17"/>
        <v>17035</v>
      </c>
      <c r="W60" s="8">
        <f t="shared" si="17"/>
        <v>17035</v>
      </c>
      <c r="X60" s="8">
        <f t="shared" si="17"/>
        <v>17035</v>
      </c>
      <c r="Y60" s="8">
        <f t="shared" si="17"/>
        <v>17035</v>
      </c>
      <c r="Z60" s="8">
        <f t="shared" si="17"/>
        <v>17035</v>
      </c>
      <c r="AA60" s="8">
        <f t="shared" si="17"/>
        <v>17035</v>
      </c>
      <c r="AB60" s="8">
        <f t="shared" si="17"/>
        <v>17035</v>
      </c>
      <c r="AC60" s="8">
        <f t="shared" si="17"/>
        <v>17035</v>
      </c>
      <c r="AD60" s="8">
        <f t="shared" si="17"/>
        <v>17035</v>
      </c>
      <c r="AE60" s="8">
        <f t="shared" si="17"/>
        <v>17035</v>
      </c>
      <c r="AF60" s="8">
        <f t="shared" si="17"/>
        <v>17035</v>
      </c>
      <c r="AG60" s="8">
        <f t="shared" si="17"/>
        <v>17035</v>
      </c>
      <c r="AH60" s="8">
        <f t="shared" si="17"/>
        <v>17035</v>
      </c>
      <c r="AI60" s="8">
        <f t="shared" si="17"/>
        <v>17035</v>
      </c>
      <c r="AJ60" s="8">
        <f t="shared" si="17"/>
        <v>17035</v>
      </c>
      <c r="AK60" s="8">
        <f t="shared" si="17"/>
        <v>17035</v>
      </c>
    </row>
    <row r="61" spans="1:37" ht="16.350000000000001" customHeight="1" x14ac:dyDescent="0.3">
      <c r="A61" s="38" t="s">
        <v>108</v>
      </c>
      <c r="B61" s="50"/>
      <c r="C61" s="38">
        <f>MAX(C57+C59-($B60+C58),0)</f>
        <v>0</v>
      </c>
      <c r="D61" s="38">
        <f t="shared" ref="D61:AK61" si="18">MAX(D57+D59-(C60+D58),0)</f>
        <v>0</v>
      </c>
      <c r="E61" s="38">
        <f t="shared" si="18"/>
        <v>0</v>
      </c>
      <c r="F61" s="38">
        <f t="shared" si="18"/>
        <v>0</v>
      </c>
      <c r="G61" s="38">
        <f t="shared" si="18"/>
        <v>0</v>
      </c>
      <c r="H61" s="38">
        <f t="shared" si="18"/>
        <v>0</v>
      </c>
      <c r="I61" s="38">
        <f t="shared" si="18"/>
        <v>5492</v>
      </c>
      <c r="J61" s="38">
        <f t="shared" si="18"/>
        <v>7058</v>
      </c>
      <c r="K61" s="8">
        <f t="shared" si="18"/>
        <v>2040</v>
      </c>
      <c r="L61" s="8">
        <f t="shared" si="18"/>
        <v>3541</v>
      </c>
      <c r="M61" s="8">
        <f t="shared" si="18"/>
        <v>12041</v>
      </c>
      <c r="N61" s="8">
        <f t="shared" si="18"/>
        <v>12040</v>
      </c>
      <c r="O61" s="8">
        <f t="shared" si="18"/>
        <v>0</v>
      </c>
      <c r="P61" s="8">
        <f t="shared" si="18"/>
        <v>0</v>
      </c>
      <c r="Q61" s="8">
        <f t="shared" si="18"/>
        <v>27760</v>
      </c>
      <c r="R61" s="8">
        <f t="shared" si="18"/>
        <v>26486</v>
      </c>
      <c r="S61" s="8">
        <f t="shared" si="18"/>
        <v>4248</v>
      </c>
      <c r="T61" s="8">
        <f t="shared" si="18"/>
        <v>4248</v>
      </c>
      <c r="U61" s="8">
        <f t="shared" si="18"/>
        <v>4249</v>
      </c>
      <c r="V61" s="8">
        <f t="shared" si="18"/>
        <v>4248</v>
      </c>
      <c r="W61" s="8">
        <f t="shared" si="18"/>
        <v>2391</v>
      </c>
      <c r="X61" s="8">
        <f t="shared" si="18"/>
        <v>2392</v>
      </c>
      <c r="Y61" s="8">
        <f t="shared" si="18"/>
        <v>2391</v>
      </c>
      <c r="Z61" s="8">
        <f t="shared" si="18"/>
        <v>2392</v>
      </c>
      <c r="AA61" s="8">
        <f t="shared" si="18"/>
        <v>16017</v>
      </c>
      <c r="AB61" s="8">
        <f t="shared" si="18"/>
        <v>16017</v>
      </c>
      <c r="AC61" s="8">
        <f t="shared" si="18"/>
        <v>16016</v>
      </c>
      <c r="AD61" s="8">
        <f t="shared" si="18"/>
        <v>16017</v>
      </c>
      <c r="AE61" s="8">
        <f t="shared" si="18"/>
        <v>4281</v>
      </c>
      <c r="AF61" s="8">
        <f t="shared" si="18"/>
        <v>4282</v>
      </c>
      <c r="AG61" s="8">
        <f t="shared" si="18"/>
        <v>4281</v>
      </c>
      <c r="AH61" s="8">
        <f t="shared" si="18"/>
        <v>4282</v>
      </c>
      <c r="AI61" s="8">
        <f t="shared" si="18"/>
        <v>4281</v>
      </c>
      <c r="AJ61" s="8">
        <f t="shared" si="18"/>
        <v>8326</v>
      </c>
      <c r="AK61" s="8">
        <f t="shared" si="18"/>
        <v>8325</v>
      </c>
    </row>
    <row r="62" spans="1:37" ht="16.350000000000001" customHeight="1" x14ac:dyDescent="0.3">
      <c r="A62" s="124" t="s">
        <v>109</v>
      </c>
      <c r="B62" s="122"/>
      <c r="C62" s="38">
        <f t="shared" ref="C62:AK62" si="19">C61</f>
        <v>0</v>
      </c>
      <c r="D62" s="38">
        <f t="shared" si="19"/>
        <v>0</v>
      </c>
      <c r="E62" s="38">
        <f t="shared" si="19"/>
        <v>0</v>
      </c>
      <c r="F62" s="38">
        <f t="shared" si="19"/>
        <v>0</v>
      </c>
      <c r="G62" s="38">
        <f t="shared" si="19"/>
        <v>0</v>
      </c>
      <c r="H62" s="38">
        <f t="shared" si="19"/>
        <v>0</v>
      </c>
      <c r="I62" s="38">
        <f t="shared" si="19"/>
        <v>5492</v>
      </c>
      <c r="J62" s="38">
        <f t="shared" si="19"/>
        <v>7058</v>
      </c>
      <c r="K62" s="8">
        <f t="shared" si="19"/>
        <v>2040</v>
      </c>
      <c r="L62" s="8">
        <f t="shared" si="19"/>
        <v>3541</v>
      </c>
      <c r="M62" s="8">
        <f t="shared" si="19"/>
        <v>12041</v>
      </c>
      <c r="N62" s="8">
        <f t="shared" si="19"/>
        <v>12040</v>
      </c>
      <c r="O62" s="8">
        <f t="shared" si="19"/>
        <v>0</v>
      </c>
      <c r="P62" s="8">
        <f t="shared" si="19"/>
        <v>0</v>
      </c>
      <c r="Q62" s="8">
        <f t="shared" si="19"/>
        <v>27760</v>
      </c>
      <c r="R62" s="8">
        <f t="shared" si="19"/>
        <v>26486</v>
      </c>
      <c r="S62" s="8">
        <f t="shared" si="19"/>
        <v>4248</v>
      </c>
      <c r="T62" s="8">
        <f t="shared" si="19"/>
        <v>4248</v>
      </c>
      <c r="U62" s="8">
        <f t="shared" si="19"/>
        <v>4249</v>
      </c>
      <c r="V62" s="8">
        <f t="shared" si="19"/>
        <v>4248</v>
      </c>
      <c r="W62" s="8">
        <f t="shared" si="19"/>
        <v>2391</v>
      </c>
      <c r="X62" s="8">
        <f t="shared" si="19"/>
        <v>2392</v>
      </c>
      <c r="Y62" s="8">
        <f t="shared" si="19"/>
        <v>2391</v>
      </c>
      <c r="Z62" s="8">
        <f t="shared" si="19"/>
        <v>2392</v>
      </c>
      <c r="AA62" s="8">
        <f t="shared" si="19"/>
        <v>16017</v>
      </c>
      <c r="AB62" s="8">
        <f t="shared" si="19"/>
        <v>16017</v>
      </c>
      <c r="AC62" s="8">
        <f t="shared" si="19"/>
        <v>16016</v>
      </c>
      <c r="AD62" s="8">
        <f t="shared" si="19"/>
        <v>16017</v>
      </c>
      <c r="AE62" s="8">
        <f t="shared" si="19"/>
        <v>4281</v>
      </c>
      <c r="AF62" s="8">
        <f t="shared" si="19"/>
        <v>4282</v>
      </c>
      <c r="AG62" s="8">
        <f t="shared" si="19"/>
        <v>4281</v>
      </c>
      <c r="AH62" s="8">
        <f t="shared" si="19"/>
        <v>4282</v>
      </c>
      <c r="AI62" s="8">
        <f t="shared" si="19"/>
        <v>4281</v>
      </c>
      <c r="AJ62" s="8">
        <f t="shared" si="19"/>
        <v>8326</v>
      </c>
      <c r="AK62" s="8">
        <f t="shared" si="19"/>
        <v>8325</v>
      </c>
    </row>
    <row r="63" spans="1:37" ht="16.350000000000001" customHeight="1" x14ac:dyDescent="0.3">
      <c r="A63" s="38" t="s">
        <v>110</v>
      </c>
      <c r="B63" s="50"/>
      <c r="C63" s="38">
        <f>IFERROR(INDEX($C$62:$AK$62,1,1+ROUND(INDEX($H$5:$V$5,1,MATCH("RM05",$H$3:$V$3,0))/7,0)),0)</f>
        <v>12041</v>
      </c>
      <c r="D63" s="38">
        <f>IFERROR(INDEX($C$62:$AK$62,1,2+ROUND(INDEX($H$5:$V$5,1,MATCH("RM05",$H$3:$V$3,0))/7,0)),0)</f>
        <v>12040</v>
      </c>
      <c r="E63" s="38">
        <f>IFERROR(INDEX($C$62:$AK$62,1,3+ROUND(INDEX($H$5:$V$5,1,MATCH("RM05",$H$3:$V$3,0))/7,0)),0)</f>
        <v>0</v>
      </c>
      <c r="F63" s="38">
        <f>IFERROR(INDEX($C$62:$AK$62,1,4+ROUND(INDEX($H$5:$V$5,1,MATCH("RM05",$H$3:$V$3,0))/7,0)),0)</f>
        <v>0</v>
      </c>
      <c r="G63" s="38">
        <f>IFERROR(INDEX($C$62:$AK$62,1,5+ROUND(INDEX($H$5:$V$5,1,MATCH("RM05",$H$3:$V$3,0))/7,0)),0)</f>
        <v>27760</v>
      </c>
      <c r="H63" s="38">
        <f>IFERROR(INDEX($C$62:$AK$62,1,6+ROUND(INDEX($H$5:$V$5,1,MATCH("RM05",$H$3:$V$3,0))/7,0)),0)</f>
        <v>26486</v>
      </c>
      <c r="I63" s="38">
        <f>IFERROR(INDEX($C$62:$AK$62,1,7+ROUND(INDEX($H$5:$V$5,1,MATCH("RM05",$H$3:$V$3,0))/7,0)),0)</f>
        <v>4248</v>
      </c>
      <c r="J63" s="38">
        <f>IFERROR(INDEX($C$62:$AK$62,1,8+ROUND(INDEX($H$5:$V$5,1,MATCH("RM05",$H$3:$V$3,0))/7,0)),0)</f>
        <v>4248</v>
      </c>
      <c r="K63" s="8">
        <f>IFERROR(INDEX($C$62:$AK$62,1,9+ROUND(INDEX($H$5:$V$5,1,MATCH("RM05",$H$3:$V$3,0))/7,0)),0)</f>
        <v>4249</v>
      </c>
      <c r="L63" s="8">
        <f>IFERROR(INDEX($C$62:$AK$62,1,10+ROUND(INDEX($H$5:$V$5,1,MATCH("RM05",$H$3:$V$3,0))/7,0)),0)</f>
        <v>4248</v>
      </c>
      <c r="M63" s="8">
        <f>IFERROR(INDEX($C$62:$AK$62,1,11+ROUND(INDEX($H$5:$V$5,1,MATCH("RM05",$H$3:$V$3,0))/7,0)),0)</f>
        <v>2391</v>
      </c>
      <c r="N63" s="8">
        <f>IFERROR(INDEX($C$62:$AK$62,1,12+ROUND(INDEX($H$5:$V$5,1,MATCH("RM05",$H$3:$V$3,0))/7,0)),0)</f>
        <v>2392</v>
      </c>
      <c r="O63" s="8">
        <f>IFERROR(INDEX($C$62:$AK$62,1,13+ROUND(INDEX($H$5:$V$5,1,MATCH("RM05",$H$3:$V$3,0))/7,0)),0)</f>
        <v>2391</v>
      </c>
      <c r="P63" s="8">
        <f>IFERROR(INDEX($C$62:$AK$62,1,14+ROUND(INDEX($H$5:$V$5,1,MATCH("RM05",$H$3:$V$3,0))/7,0)),0)</f>
        <v>2392</v>
      </c>
      <c r="Q63" s="8">
        <f>IFERROR(INDEX($C$62:$AK$62,1,15+ROUND(INDEX($H$5:$V$5,1,MATCH("RM05",$H$3:$V$3,0))/7,0)),0)</f>
        <v>16017</v>
      </c>
      <c r="R63" s="8">
        <f>IFERROR(INDEX($C$62:$AK$62,1,16+ROUND(INDEX($H$5:$V$5,1,MATCH("RM05",$H$3:$V$3,0))/7,0)),0)</f>
        <v>16017</v>
      </c>
      <c r="S63" s="8">
        <f>IFERROR(INDEX($C$62:$AK$62,1,17+ROUND(INDEX($H$5:$V$5,1,MATCH("RM05",$H$3:$V$3,0))/7,0)),0)</f>
        <v>16016</v>
      </c>
      <c r="T63" s="8">
        <f>IFERROR(INDEX($C$62:$AK$62,1,18+ROUND(INDEX($H$5:$V$5,1,MATCH("RM05",$H$3:$V$3,0))/7,0)),0)</f>
        <v>16017</v>
      </c>
      <c r="U63" s="8">
        <f>IFERROR(INDEX($C$62:$AK$62,1,19+ROUND(INDEX($H$5:$V$5,1,MATCH("RM05",$H$3:$V$3,0))/7,0)),0)</f>
        <v>4281</v>
      </c>
      <c r="V63" s="8">
        <f>IFERROR(INDEX($C$62:$AK$62,1,20+ROUND(INDEX($H$5:$V$5,1,MATCH("RM05",$H$3:$V$3,0))/7,0)),0)</f>
        <v>4282</v>
      </c>
      <c r="W63" s="8">
        <f>IFERROR(INDEX($C$62:$AK$62,1,21+ROUND(INDEX($H$5:$V$5,1,MATCH("RM05",$H$3:$V$3,0))/7,0)),0)</f>
        <v>4281</v>
      </c>
      <c r="X63" s="8">
        <f>IFERROR(INDEX($C$62:$AK$62,1,22+ROUND(INDEX($H$5:$V$5,1,MATCH("RM05",$H$3:$V$3,0))/7,0)),0)</f>
        <v>4282</v>
      </c>
      <c r="Y63" s="8">
        <f>IFERROR(INDEX($C$62:$AK$62,1,23+ROUND(INDEX($H$5:$V$5,1,MATCH("RM05",$H$3:$V$3,0))/7,0)),0)</f>
        <v>4281</v>
      </c>
      <c r="Z63" s="8">
        <f>IFERROR(INDEX($C$62:$AK$62,1,24+ROUND(INDEX($H$5:$V$5,1,MATCH("RM05",$H$3:$V$3,0))/7,0)),0)</f>
        <v>8326</v>
      </c>
      <c r="AA63" s="8">
        <f>IFERROR(INDEX($C$62:$AK$62,1,25+ROUND(INDEX($H$5:$V$5,1,MATCH("RM05",$H$3:$V$3,0))/7,0)),0)</f>
        <v>8325</v>
      </c>
      <c r="AB63" s="8">
        <f>IFERROR(INDEX($C$62:$AK$62,1,26+ROUND(INDEX($H$5:$V$5,1,MATCH("RM05",$H$3:$V$3,0))/7,0)),0)</f>
        <v>0</v>
      </c>
      <c r="AC63" s="8">
        <f>IFERROR(INDEX($C$62:$AK$62,1,27+ROUND(INDEX($H$5:$V$5,1,MATCH("RM05",$H$3:$V$3,0))/7,0)),0)</f>
        <v>0</v>
      </c>
      <c r="AD63" s="8">
        <f>IFERROR(INDEX($C$62:$AK$62,1,28+ROUND(INDEX($H$5:$V$5,1,MATCH("RM05",$H$3:$V$3,0))/7,0)),0)</f>
        <v>0</v>
      </c>
      <c r="AE63" s="8">
        <f>IFERROR(INDEX($C$62:$AK$62,1,29+ROUND(INDEX($H$5:$V$5,1,MATCH("RM05",$H$3:$V$3,0))/7,0)),0)</f>
        <v>0</v>
      </c>
      <c r="AF63" s="8">
        <f>IFERROR(INDEX($C$62:$AK$62,1,30+ROUND(INDEX($H$5:$V$5,1,MATCH("RM05",$H$3:$V$3,0))/7,0)),0)</f>
        <v>0</v>
      </c>
      <c r="AG63" s="8">
        <f>IFERROR(INDEX($C$62:$AK$62,1,31+ROUND(INDEX($H$5:$V$5,1,MATCH("RM05",$H$3:$V$3,0))/7,0)),0)</f>
        <v>0</v>
      </c>
      <c r="AH63" s="8">
        <f>IFERROR(INDEX($C$62:$AK$62,1,32+ROUND(INDEX($H$5:$V$5,1,MATCH("RM05",$H$3:$V$3,0))/7,0)),0)</f>
        <v>0</v>
      </c>
      <c r="AI63" s="8">
        <f>IFERROR(INDEX($C$62:$AK$62,1,33+ROUND(INDEX($H$5:$V$5,1,MATCH("RM05",$H$3:$V$3,0))/7,0)),0)</f>
        <v>0</v>
      </c>
      <c r="AJ63" s="8">
        <f>IFERROR(INDEX($C$62:$AK$62,1,34+ROUND(INDEX($H$5:$V$5,1,MATCH("RM05",$H$3:$V$3,0))/7,0)),0)</f>
        <v>0</v>
      </c>
      <c r="AK63" s="8">
        <f>IFERROR(INDEX($C$62:$AK$62,1,35+ROUND(INDEX($H$5:$V$5,1,MATCH("RM05",$H$3:$V$3,0))/7,0)),0)</f>
        <v>0</v>
      </c>
    </row>
    <row r="65" spans="1:37" ht="16.350000000000001" customHeight="1" x14ac:dyDescent="0.3">
      <c r="A65" s="51" t="s">
        <v>115</v>
      </c>
      <c r="B65" s="51" t="s">
        <v>104</v>
      </c>
      <c r="C65" s="123" t="s">
        <v>63</v>
      </c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2"/>
    </row>
    <row r="66" spans="1:37" ht="16.350000000000001" customHeight="1" x14ac:dyDescent="0.3">
      <c r="A66" s="51" t="s">
        <v>105</v>
      </c>
      <c r="B66" s="51" t="str">
        <f>"LT: "&amp;ROUND(INDEX($H$5:$V$5,1,MATCH("RM06",$H$3:$V$3,0))/7,0)</f>
        <v>LT: 5</v>
      </c>
      <c r="C66" s="52">
        <f t="array" ref="C66:AK66">TRANSPOSE([3]BOM_demand!$A$2:$A$36)</f>
        <v>46132</v>
      </c>
      <c r="D66" s="52">
        <v>46139</v>
      </c>
      <c r="E66" s="52">
        <v>46146</v>
      </c>
      <c r="F66" s="52">
        <v>46153</v>
      </c>
      <c r="G66" s="52">
        <v>46160</v>
      </c>
      <c r="H66" s="52">
        <v>46167</v>
      </c>
      <c r="I66" s="52">
        <v>46174</v>
      </c>
      <c r="J66" s="52">
        <v>46181</v>
      </c>
      <c r="K66" s="52">
        <v>46188</v>
      </c>
      <c r="L66" s="52">
        <v>46195</v>
      </c>
      <c r="M66" s="52">
        <v>46202</v>
      </c>
      <c r="N66" s="52">
        <v>46209</v>
      </c>
      <c r="O66" s="52">
        <v>46216</v>
      </c>
      <c r="P66" s="52">
        <v>46223</v>
      </c>
      <c r="Q66" s="52">
        <v>46230</v>
      </c>
      <c r="R66" s="52">
        <v>46237</v>
      </c>
      <c r="S66" s="52">
        <v>46244</v>
      </c>
      <c r="T66" s="52">
        <v>46251</v>
      </c>
      <c r="U66" s="52">
        <v>46258</v>
      </c>
      <c r="V66" s="52">
        <v>46265</v>
      </c>
      <c r="W66" s="52">
        <v>46272</v>
      </c>
      <c r="X66" s="52">
        <v>46279</v>
      </c>
      <c r="Y66" s="52">
        <v>46286</v>
      </c>
      <c r="Z66" s="52">
        <v>46293</v>
      </c>
      <c r="AA66" s="52">
        <v>46300</v>
      </c>
      <c r="AB66" s="52">
        <v>46307</v>
      </c>
      <c r="AC66" s="52">
        <v>46314</v>
      </c>
      <c r="AD66" s="52">
        <v>46321</v>
      </c>
      <c r="AE66" s="52">
        <v>46328</v>
      </c>
      <c r="AF66" s="52">
        <v>46335</v>
      </c>
      <c r="AG66" s="52">
        <v>46342</v>
      </c>
      <c r="AH66" s="52">
        <v>46349</v>
      </c>
      <c r="AI66" s="52">
        <v>46356</v>
      </c>
      <c r="AJ66" s="52">
        <v>46363</v>
      </c>
      <c r="AK66" s="52">
        <v>46370</v>
      </c>
    </row>
    <row r="67" spans="1:37" ht="16.350000000000001" customHeight="1" x14ac:dyDescent="0.3">
      <c r="A67" s="55" t="s">
        <v>106</v>
      </c>
      <c r="C67" s="38">
        <f t="array" ref="C67:AK67">TRANSPOSE([3]BOM_demand!$M$2:$M$36)</f>
        <v>0</v>
      </c>
      <c r="D67" s="38">
        <v>0</v>
      </c>
      <c r="E67" s="38">
        <v>13755</v>
      </c>
      <c r="F67" s="38">
        <v>39145</v>
      </c>
      <c r="G67" s="38">
        <v>22162.5</v>
      </c>
      <c r="H67" s="38">
        <v>5365</v>
      </c>
      <c r="I67" s="38">
        <v>17807.5</v>
      </c>
      <c r="J67" s="38">
        <v>13272.5</v>
      </c>
      <c r="K67" s="38">
        <v>13272.5</v>
      </c>
      <c r="L67" s="38">
        <v>7500</v>
      </c>
      <c r="M67" s="38">
        <v>7500</v>
      </c>
      <c r="N67" s="38">
        <v>7500</v>
      </c>
      <c r="O67" s="38">
        <v>7500</v>
      </c>
      <c r="P67" s="38">
        <v>6000</v>
      </c>
      <c r="Q67" s="38">
        <v>6000</v>
      </c>
      <c r="R67" s="38">
        <v>0</v>
      </c>
      <c r="S67" s="38">
        <v>6000</v>
      </c>
      <c r="T67" s="38">
        <v>6000</v>
      </c>
      <c r="U67" s="38">
        <v>9375</v>
      </c>
      <c r="V67" s="38">
        <v>9375</v>
      </c>
      <c r="W67" s="38">
        <v>9375</v>
      </c>
      <c r="X67" s="38">
        <v>9375</v>
      </c>
      <c r="Y67" s="38">
        <v>7500</v>
      </c>
      <c r="Z67" s="38">
        <v>7500</v>
      </c>
      <c r="AA67" s="38">
        <v>7500</v>
      </c>
      <c r="AB67" s="38">
        <v>7500</v>
      </c>
      <c r="AC67" s="38">
        <v>7500</v>
      </c>
      <c r="AD67" s="38">
        <v>15625</v>
      </c>
      <c r="AE67" s="38">
        <v>15625</v>
      </c>
      <c r="AF67" s="38">
        <v>15625</v>
      </c>
      <c r="AG67" s="38">
        <v>15625</v>
      </c>
      <c r="AH67" s="38">
        <v>15625</v>
      </c>
      <c r="AI67" s="38">
        <v>15625</v>
      </c>
      <c r="AJ67" s="38">
        <v>15625</v>
      </c>
      <c r="AK67" s="38">
        <v>15625</v>
      </c>
    </row>
    <row r="68" spans="1:37" ht="16.350000000000001" customHeight="1" x14ac:dyDescent="0.3">
      <c r="A68" s="124" t="s">
        <v>100</v>
      </c>
      <c r="B68" s="122"/>
      <c r="C68" s="38">
        <f>IFERROR(INDEX($H$7:$V$7,1,MATCH("RM06",$H$3:$V$3,0)),0)</f>
        <v>0</v>
      </c>
      <c r="D68" s="38">
        <f>0</f>
        <v>0</v>
      </c>
      <c r="E68" s="38">
        <f>0</f>
        <v>0</v>
      </c>
      <c r="F68" s="38">
        <f>0</f>
        <v>0</v>
      </c>
      <c r="G68" s="38">
        <f>0</f>
        <v>0</v>
      </c>
      <c r="H68" s="38">
        <f>0</f>
        <v>0</v>
      </c>
      <c r="I68" s="38">
        <f>0</f>
        <v>0</v>
      </c>
      <c r="J68" s="38">
        <f>0</f>
        <v>0</v>
      </c>
      <c r="K68" s="8">
        <f>0</f>
        <v>0</v>
      </c>
      <c r="L68" s="8">
        <f>0</f>
        <v>0</v>
      </c>
      <c r="M68" s="8">
        <f>0</f>
        <v>0</v>
      </c>
      <c r="N68" s="8">
        <f>0</f>
        <v>0</v>
      </c>
      <c r="O68" s="8">
        <f>0</f>
        <v>0</v>
      </c>
      <c r="P68" s="8">
        <f>0</f>
        <v>0</v>
      </c>
      <c r="Q68" s="8">
        <f>0</f>
        <v>0</v>
      </c>
      <c r="R68" s="8">
        <f>0</f>
        <v>0</v>
      </c>
      <c r="S68" s="8">
        <f>0</f>
        <v>0</v>
      </c>
      <c r="T68" s="8">
        <f>0</f>
        <v>0</v>
      </c>
      <c r="U68" s="8">
        <f>0</f>
        <v>0</v>
      </c>
      <c r="V68" s="8">
        <f>0</f>
        <v>0</v>
      </c>
      <c r="W68" s="8">
        <f>0</f>
        <v>0</v>
      </c>
      <c r="X68" s="8">
        <f>0</f>
        <v>0</v>
      </c>
      <c r="Y68" s="8">
        <f>0</f>
        <v>0</v>
      </c>
      <c r="Z68" s="8">
        <f>0</f>
        <v>0</v>
      </c>
      <c r="AA68" s="8">
        <f>0</f>
        <v>0</v>
      </c>
      <c r="AB68" s="8">
        <f>0</f>
        <v>0</v>
      </c>
      <c r="AC68" s="8">
        <f>0</f>
        <v>0</v>
      </c>
      <c r="AD68" s="8">
        <f>0</f>
        <v>0</v>
      </c>
      <c r="AE68" s="8">
        <f>0</f>
        <v>0</v>
      </c>
      <c r="AF68" s="8">
        <f>0</f>
        <v>0</v>
      </c>
      <c r="AG68" s="8">
        <f>0</f>
        <v>0</v>
      </c>
      <c r="AH68" s="8">
        <f>0</f>
        <v>0</v>
      </c>
      <c r="AI68" s="8">
        <f>0</f>
        <v>0</v>
      </c>
      <c r="AJ68" s="8">
        <f>0</f>
        <v>0</v>
      </c>
      <c r="AK68" s="8">
        <f>0</f>
        <v>0</v>
      </c>
    </row>
    <row r="69" spans="1:37" ht="16.350000000000001" customHeight="1" x14ac:dyDescent="0.3">
      <c r="A69" s="38" t="s">
        <v>101</v>
      </c>
      <c r="B69" s="50">
        <f>IFERROR(INDEX($H$8:$V$8,1,MATCH("RM06",$H$3:$V$3,0)),0)</f>
        <v>21645</v>
      </c>
      <c r="C69" s="38">
        <f t="shared" ref="C69:AK69" si="20">$B69</f>
        <v>21645</v>
      </c>
      <c r="D69" s="38">
        <f t="shared" si="20"/>
        <v>21645</v>
      </c>
      <c r="E69" s="38">
        <f t="shared" si="20"/>
        <v>21645</v>
      </c>
      <c r="F69" s="38">
        <f t="shared" si="20"/>
        <v>21645</v>
      </c>
      <c r="G69" s="38">
        <f t="shared" si="20"/>
        <v>21645</v>
      </c>
      <c r="H69" s="38">
        <f t="shared" si="20"/>
        <v>21645</v>
      </c>
      <c r="I69" s="38">
        <f t="shared" si="20"/>
        <v>21645</v>
      </c>
      <c r="J69" s="38">
        <f t="shared" si="20"/>
        <v>21645</v>
      </c>
      <c r="K69" s="8">
        <f t="shared" si="20"/>
        <v>21645</v>
      </c>
      <c r="L69" s="8">
        <f t="shared" si="20"/>
        <v>21645</v>
      </c>
      <c r="M69" s="8">
        <f t="shared" si="20"/>
        <v>21645</v>
      </c>
      <c r="N69" s="8">
        <f t="shared" si="20"/>
        <v>21645</v>
      </c>
      <c r="O69" s="8">
        <f t="shared" si="20"/>
        <v>21645</v>
      </c>
      <c r="P69" s="8">
        <f t="shared" si="20"/>
        <v>21645</v>
      </c>
      <c r="Q69" s="8">
        <f t="shared" si="20"/>
        <v>21645</v>
      </c>
      <c r="R69" s="8">
        <f t="shared" si="20"/>
        <v>21645</v>
      </c>
      <c r="S69" s="8">
        <f t="shared" si="20"/>
        <v>21645</v>
      </c>
      <c r="T69" s="8">
        <f t="shared" si="20"/>
        <v>21645</v>
      </c>
      <c r="U69" s="8">
        <f t="shared" si="20"/>
        <v>21645</v>
      </c>
      <c r="V69" s="8">
        <f t="shared" si="20"/>
        <v>21645</v>
      </c>
      <c r="W69" s="8">
        <f t="shared" si="20"/>
        <v>21645</v>
      </c>
      <c r="X69" s="8">
        <f t="shared" si="20"/>
        <v>21645</v>
      </c>
      <c r="Y69" s="8">
        <f t="shared" si="20"/>
        <v>21645</v>
      </c>
      <c r="Z69" s="8">
        <f t="shared" si="20"/>
        <v>21645</v>
      </c>
      <c r="AA69" s="8">
        <f t="shared" si="20"/>
        <v>21645</v>
      </c>
      <c r="AB69" s="8">
        <f t="shared" si="20"/>
        <v>21645</v>
      </c>
      <c r="AC69" s="8">
        <f t="shared" si="20"/>
        <v>21645</v>
      </c>
      <c r="AD69" s="8">
        <f t="shared" si="20"/>
        <v>21645</v>
      </c>
      <c r="AE69" s="8">
        <f t="shared" si="20"/>
        <v>21645</v>
      </c>
      <c r="AF69" s="8">
        <f t="shared" si="20"/>
        <v>21645</v>
      </c>
      <c r="AG69" s="8">
        <f t="shared" si="20"/>
        <v>21645</v>
      </c>
      <c r="AH69" s="8">
        <f t="shared" si="20"/>
        <v>21645</v>
      </c>
      <c r="AI69" s="8">
        <f t="shared" si="20"/>
        <v>21645</v>
      </c>
      <c r="AJ69" s="8">
        <f t="shared" si="20"/>
        <v>21645</v>
      </c>
      <c r="AK69" s="8">
        <f t="shared" si="20"/>
        <v>21645</v>
      </c>
    </row>
    <row r="70" spans="1:37" ht="16.350000000000001" customHeight="1" x14ac:dyDescent="0.3">
      <c r="A70" s="38" t="s">
        <v>107</v>
      </c>
      <c r="B70" s="50">
        <f>IFERROR(INDEX($H$6:$V$6,1,MATCH("RM06",$H$3:$V$3,0)),0)</f>
        <v>76000</v>
      </c>
      <c r="C70" s="38">
        <f>$B70+C68+C72-C67</f>
        <v>76000</v>
      </c>
      <c r="D70" s="38">
        <f t="shared" ref="D70:AK70" si="21">C70+D68+D72-D67</f>
        <v>76000</v>
      </c>
      <c r="E70" s="38">
        <f t="shared" si="21"/>
        <v>62245</v>
      </c>
      <c r="F70" s="38">
        <f t="shared" si="21"/>
        <v>23100</v>
      </c>
      <c r="G70" s="38">
        <f t="shared" si="21"/>
        <v>21645</v>
      </c>
      <c r="H70" s="38">
        <f t="shared" si="21"/>
        <v>21645</v>
      </c>
      <c r="I70" s="38">
        <f t="shared" si="21"/>
        <v>21645</v>
      </c>
      <c r="J70" s="38">
        <f t="shared" si="21"/>
        <v>21645</v>
      </c>
      <c r="K70" s="8">
        <f t="shared" si="21"/>
        <v>21645</v>
      </c>
      <c r="L70" s="8">
        <f t="shared" si="21"/>
        <v>21645</v>
      </c>
      <c r="M70" s="8">
        <f t="shared" si="21"/>
        <v>21645</v>
      </c>
      <c r="N70" s="8">
        <f t="shared" si="21"/>
        <v>21645</v>
      </c>
      <c r="O70" s="8">
        <f t="shared" si="21"/>
        <v>21645</v>
      </c>
      <c r="P70" s="8">
        <f t="shared" si="21"/>
        <v>21645</v>
      </c>
      <c r="Q70" s="8">
        <f t="shared" si="21"/>
        <v>21645</v>
      </c>
      <c r="R70" s="8">
        <f t="shared" si="21"/>
        <v>21645</v>
      </c>
      <c r="S70" s="8">
        <f t="shared" si="21"/>
        <v>21645</v>
      </c>
      <c r="T70" s="8">
        <f t="shared" si="21"/>
        <v>21645</v>
      </c>
      <c r="U70" s="8">
        <f t="shared" si="21"/>
        <v>21645</v>
      </c>
      <c r="V70" s="8">
        <f t="shared" si="21"/>
        <v>21645</v>
      </c>
      <c r="W70" s="8">
        <f t="shared" si="21"/>
        <v>21645</v>
      </c>
      <c r="X70" s="8">
        <f t="shared" si="21"/>
        <v>21645</v>
      </c>
      <c r="Y70" s="8">
        <f t="shared" si="21"/>
        <v>21645</v>
      </c>
      <c r="Z70" s="8">
        <f t="shared" si="21"/>
        <v>21645</v>
      </c>
      <c r="AA70" s="8">
        <f t="shared" si="21"/>
        <v>21645</v>
      </c>
      <c r="AB70" s="8">
        <f t="shared" si="21"/>
        <v>21645</v>
      </c>
      <c r="AC70" s="8">
        <f t="shared" si="21"/>
        <v>21645</v>
      </c>
      <c r="AD70" s="8">
        <f t="shared" si="21"/>
        <v>21645</v>
      </c>
      <c r="AE70" s="8">
        <f t="shared" si="21"/>
        <v>21645</v>
      </c>
      <c r="AF70" s="8">
        <f t="shared" si="21"/>
        <v>21645</v>
      </c>
      <c r="AG70" s="8">
        <f t="shared" si="21"/>
        <v>21645</v>
      </c>
      <c r="AH70" s="8">
        <f t="shared" si="21"/>
        <v>21645</v>
      </c>
      <c r="AI70" s="8">
        <f t="shared" si="21"/>
        <v>21645</v>
      </c>
      <c r="AJ70" s="8">
        <f t="shared" si="21"/>
        <v>21645</v>
      </c>
      <c r="AK70" s="8">
        <f t="shared" si="21"/>
        <v>21645</v>
      </c>
    </row>
    <row r="71" spans="1:37" ht="16.350000000000001" customHeight="1" x14ac:dyDescent="0.3">
      <c r="A71" s="38" t="s">
        <v>108</v>
      </c>
      <c r="B71" s="50"/>
      <c r="C71" s="38">
        <f>MAX(C67+C69-($B70+C68),0)</f>
        <v>0</v>
      </c>
      <c r="D71" s="38">
        <f t="shared" ref="D71:AK71" si="22">MAX(D67+D69-(C70+D68),0)</f>
        <v>0</v>
      </c>
      <c r="E71" s="38">
        <f t="shared" si="22"/>
        <v>0</v>
      </c>
      <c r="F71" s="38">
        <f t="shared" si="22"/>
        <v>0</v>
      </c>
      <c r="G71" s="38">
        <f t="shared" si="22"/>
        <v>20707.5</v>
      </c>
      <c r="H71" s="38">
        <f t="shared" si="22"/>
        <v>5365</v>
      </c>
      <c r="I71" s="38">
        <f t="shared" si="22"/>
        <v>17807.5</v>
      </c>
      <c r="J71" s="38">
        <f t="shared" si="22"/>
        <v>13272.5</v>
      </c>
      <c r="K71" s="8">
        <f t="shared" si="22"/>
        <v>13272.5</v>
      </c>
      <c r="L71" s="8">
        <f t="shared" si="22"/>
        <v>7500</v>
      </c>
      <c r="M71" s="8">
        <f t="shared" si="22"/>
        <v>7500</v>
      </c>
      <c r="N71" s="8">
        <f t="shared" si="22"/>
        <v>7500</v>
      </c>
      <c r="O71" s="8">
        <f t="shared" si="22"/>
        <v>7500</v>
      </c>
      <c r="P71" s="8">
        <f t="shared" si="22"/>
        <v>6000</v>
      </c>
      <c r="Q71" s="8">
        <f t="shared" si="22"/>
        <v>6000</v>
      </c>
      <c r="R71" s="8">
        <f t="shared" si="22"/>
        <v>0</v>
      </c>
      <c r="S71" s="8">
        <f t="shared" si="22"/>
        <v>6000</v>
      </c>
      <c r="T71" s="8">
        <f t="shared" si="22"/>
        <v>6000</v>
      </c>
      <c r="U71" s="8">
        <f t="shared" si="22"/>
        <v>9375</v>
      </c>
      <c r="V71" s="8">
        <f t="shared" si="22"/>
        <v>9375</v>
      </c>
      <c r="W71" s="8">
        <f t="shared" si="22"/>
        <v>9375</v>
      </c>
      <c r="X71" s="8">
        <f t="shared" si="22"/>
        <v>9375</v>
      </c>
      <c r="Y71" s="8">
        <f t="shared" si="22"/>
        <v>7500</v>
      </c>
      <c r="Z71" s="8">
        <f t="shared" si="22"/>
        <v>7500</v>
      </c>
      <c r="AA71" s="8">
        <f t="shared" si="22"/>
        <v>7500</v>
      </c>
      <c r="AB71" s="8">
        <f t="shared" si="22"/>
        <v>7500</v>
      </c>
      <c r="AC71" s="8">
        <f t="shared" si="22"/>
        <v>7500</v>
      </c>
      <c r="AD71" s="8">
        <f t="shared" si="22"/>
        <v>15625</v>
      </c>
      <c r="AE71" s="8">
        <f t="shared" si="22"/>
        <v>15625</v>
      </c>
      <c r="AF71" s="8">
        <f t="shared" si="22"/>
        <v>15625</v>
      </c>
      <c r="AG71" s="8">
        <f t="shared" si="22"/>
        <v>15625</v>
      </c>
      <c r="AH71" s="8">
        <f t="shared" si="22"/>
        <v>15625</v>
      </c>
      <c r="AI71" s="8">
        <f t="shared" si="22"/>
        <v>15625</v>
      </c>
      <c r="AJ71" s="8">
        <f t="shared" si="22"/>
        <v>15625</v>
      </c>
      <c r="AK71" s="8">
        <f t="shared" si="22"/>
        <v>15625</v>
      </c>
    </row>
    <row r="72" spans="1:37" ht="16.350000000000001" customHeight="1" x14ac:dyDescent="0.3">
      <c r="A72" s="124" t="s">
        <v>109</v>
      </c>
      <c r="B72" s="122"/>
      <c r="C72" s="38">
        <f t="shared" ref="C72:AK72" si="23">C71</f>
        <v>0</v>
      </c>
      <c r="D72" s="38">
        <f t="shared" si="23"/>
        <v>0</v>
      </c>
      <c r="E72" s="38">
        <f t="shared" si="23"/>
        <v>0</v>
      </c>
      <c r="F72" s="38">
        <f t="shared" si="23"/>
        <v>0</v>
      </c>
      <c r="G72" s="38">
        <f t="shared" si="23"/>
        <v>20707.5</v>
      </c>
      <c r="H72" s="38">
        <f t="shared" si="23"/>
        <v>5365</v>
      </c>
      <c r="I72" s="38">
        <f t="shared" si="23"/>
        <v>17807.5</v>
      </c>
      <c r="J72" s="38">
        <f t="shared" si="23"/>
        <v>13272.5</v>
      </c>
      <c r="K72" s="8">
        <f t="shared" si="23"/>
        <v>13272.5</v>
      </c>
      <c r="L72" s="8">
        <f t="shared" si="23"/>
        <v>7500</v>
      </c>
      <c r="M72" s="8">
        <f t="shared" si="23"/>
        <v>7500</v>
      </c>
      <c r="N72" s="8">
        <f t="shared" si="23"/>
        <v>7500</v>
      </c>
      <c r="O72" s="8">
        <f t="shared" si="23"/>
        <v>7500</v>
      </c>
      <c r="P72" s="8">
        <f t="shared" si="23"/>
        <v>6000</v>
      </c>
      <c r="Q72" s="8">
        <f t="shared" si="23"/>
        <v>6000</v>
      </c>
      <c r="R72" s="8">
        <f t="shared" si="23"/>
        <v>0</v>
      </c>
      <c r="S72" s="8">
        <f t="shared" si="23"/>
        <v>6000</v>
      </c>
      <c r="T72" s="8">
        <f t="shared" si="23"/>
        <v>6000</v>
      </c>
      <c r="U72" s="8">
        <f t="shared" si="23"/>
        <v>9375</v>
      </c>
      <c r="V72" s="8">
        <f t="shared" si="23"/>
        <v>9375</v>
      </c>
      <c r="W72" s="8">
        <f t="shared" si="23"/>
        <v>9375</v>
      </c>
      <c r="X72" s="8">
        <f t="shared" si="23"/>
        <v>9375</v>
      </c>
      <c r="Y72" s="8">
        <f t="shared" si="23"/>
        <v>7500</v>
      </c>
      <c r="Z72" s="8">
        <f t="shared" si="23"/>
        <v>7500</v>
      </c>
      <c r="AA72" s="8">
        <f t="shared" si="23"/>
        <v>7500</v>
      </c>
      <c r="AB72" s="8">
        <f t="shared" si="23"/>
        <v>7500</v>
      </c>
      <c r="AC72" s="8">
        <f t="shared" si="23"/>
        <v>7500</v>
      </c>
      <c r="AD72" s="8">
        <f t="shared" si="23"/>
        <v>15625</v>
      </c>
      <c r="AE72" s="8">
        <f t="shared" si="23"/>
        <v>15625</v>
      </c>
      <c r="AF72" s="8">
        <f t="shared" si="23"/>
        <v>15625</v>
      </c>
      <c r="AG72" s="8">
        <f t="shared" si="23"/>
        <v>15625</v>
      </c>
      <c r="AH72" s="8">
        <f t="shared" si="23"/>
        <v>15625</v>
      </c>
      <c r="AI72" s="8">
        <f t="shared" si="23"/>
        <v>15625</v>
      </c>
      <c r="AJ72" s="8">
        <f t="shared" si="23"/>
        <v>15625</v>
      </c>
      <c r="AK72" s="8">
        <f t="shared" si="23"/>
        <v>15625</v>
      </c>
    </row>
    <row r="73" spans="1:37" ht="16.350000000000001" customHeight="1" x14ac:dyDescent="0.3">
      <c r="A73" s="38" t="s">
        <v>110</v>
      </c>
      <c r="B73" s="50"/>
      <c r="C73" s="38">
        <f>IFERROR(INDEX($C$72:$AK$72,1,1+ROUND(INDEX($H$5:$V$5,1,MATCH("RM06",$H$3:$V$3,0))/7,0)),0)</f>
        <v>5365</v>
      </c>
      <c r="D73" s="38">
        <f>IFERROR(INDEX($C$72:$AK$72,1,2+ROUND(INDEX($H$5:$V$5,1,MATCH("RM06",$H$3:$V$3,0))/7,0)),0)</f>
        <v>17807.5</v>
      </c>
      <c r="E73" s="38">
        <f>IFERROR(INDEX($C$72:$AK$72,1,3+ROUND(INDEX($H$5:$V$5,1,MATCH("RM06",$H$3:$V$3,0))/7,0)),0)</f>
        <v>13272.5</v>
      </c>
      <c r="F73" s="38">
        <f>IFERROR(INDEX($C$72:$AK$72,1,4+ROUND(INDEX($H$5:$V$5,1,MATCH("RM06",$H$3:$V$3,0))/7,0)),0)</f>
        <v>13272.5</v>
      </c>
      <c r="G73" s="38">
        <f>IFERROR(INDEX($C$72:$AK$72,1,5+ROUND(INDEX($H$5:$V$5,1,MATCH("RM06",$H$3:$V$3,0))/7,0)),0)</f>
        <v>7500</v>
      </c>
      <c r="H73" s="38">
        <f>IFERROR(INDEX($C$72:$AK$72,1,6+ROUND(INDEX($H$5:$V$5,1,MATCH("RM06",$H$3:$V$3,0))/7,0)),0)</f>
        <v>7500</v>
      </c>
      <c r="I73" s="38">
        <f>IFERROR(INDEX($C$72:$AK$72,1,7+ROUND(INDEX($H$5:$V$5,1,MATCH("RM06",$H$3:$V$3,0))/7,0)),0)</f>
        <v>7500</v>
      </c>
      <c r="J73" s="38">
        <f>IFERROR(INDEX($C$72:$AK$72,1,8+ROUND(INDEX($H$5:$V$5,1,MATCH("RM06",$H$3:$V$3,0))/7,0)),0)</f>
        <v>7500</v>
      </c>
      <c r="K73" s="8">
        <f>IFERROR(INDEX($C$72:$AK$72,1,9+ROUND(INDEX($H$5:$V$5,1,MATCH("RM06",$H$3:$V$3,0))/7,0)),0)</f>
        <v>6000</v>
      </c>
      <c r="L73" s="8">
        <f>IFERROR(INDEX($C$72:$AK$72,1,10+ROUND(INDEX($H$5:$V$5,1,MATCH("RM06",$H$3:$V$3,0))/7,0)),0)</f>
        <v>6000</v>
      </c>
      <c r="M73" s="8">
        <f>IFERROR(INDEX($C$72:$AK$72,1,11+ROUND(INDEX($H$5:$V$5,1,MATCH("RM06",$H$3:$V$3,0))/7,0)),0)</f>
        <v>0</v>
      </c>
      <c r="N73" s="8">
        <f>IFERROR(INDEX($C$72:$AK$72,1,12+ROUND(INDEX($H$5:$V$5,1,MATCH("RM06",$H$3:$V$3,0))/7,0)),0)</f>
        <v>6000</v>
      </c>
      <c r="O73" s="8">
        <f>IFERROR(INDEX($C$72:$AK$72,1,13+ROUND(INDEX($H$5:$V$5,1,MATCH("RM06",$H$3:$V$3,0))/7,0)),0)</f>
        <v>6000</v>
      </c>
      <c r="P73" s="8">
        <f>IFERROR(INDEX($C$72:$AK$72,1,14+ROUND(INDEX($H$5:$V$5,1,MATCH("RM06",$H$3:$V$3,0))/7,0)),0)</f>
        <v>9375</v>
      </c>
      <c r="Q73" s="8">
        <f>IFERROR(INDEX($C$72:$AK$72,1,15+ROUND(INDEX($H$5:$V$5,1,MATCH("RM06",$H$3:$V$3,0))/7,0)),0)</f>
        <v>9375</v>
      </c>
      <c r="R73" s="8">
        <f>IFERROR(INDEX($C$72:$AK$72,1,16+ROUND(INDEX($H$5:$V$5,1,MATCH("RM06",$H$3:$V$3,0))/7,0)),0)</f>
        <v>9375</v>
      </c>
      <c r="S73" s="8">
        <f>IFERROR(INDEX($C$72:$AK$72,1,17+ROUND(INDEX($H$5:$V$5,1,MATCH("RM06",$H$3:$V$3,0))/7,0)),0)</f>
        <v>9375</v>
      </c>
      <c r="T73" s="8">
        <f>IFERROR(INDEX($C$72:$AK$72,1,18+ROUND(INDEX($H$5:$V$5,1,MATCH("RM06",$H$3:$V$3,0))/7,0)),0)</f>
        <v>7500</v>
      </c>
      <c r="U73" s="8">
        <f>IFERROR(INDEX($C$72:$AK$72,1,19+ROUND(INDEX($H$5:$V$5,1,MATCH("RM06",$H$3:$V$3,0))/7,0)),0)</f>
        <v>7500</v>
      </c>
      <c r="V73" s="8">
        <f>IFERROR(INDEX($C$72:$AK$72,1,20+ROUND(INDEX($H$5:$V$5,1,MATCH("RM06",$H$3:$V$3,0))/7,0)),0)</f>
        <v>7500</v>
      </c>
      <c r="W73" s="8">
        <f>IFERROR(INDEX($C$72:$AK$72,1,21+ROUND(INDEX($H$5:$V$5,1,MATCH("RM06",$H$3:$V$3,0))/7,0)),0)</f>
        <v>7500</v>
      </c>
      <c r="X73" s="8">
        <f>IFERROR(INDEX($C$72:$AK$72,1,22+ROUND(INDEX($H$5:$V$5,1,MATCH("RM06",$H$3:$V$3,0))/7,0)),0)</f>
        <v>7500</v>
      </c>
      <c r="Y73" s="8">
        <f>IFERROR(INDEX($C$72:$AK$72,1,23+ROUND(INDEX($H$5:$V$5,1,MATCH("RM06",$H$3:$V$3,0))/7,0)),0)</f>
        <v>15625</v>
      </c>
      <c r="Z73" s="8">
        <f>IFERROR(INDEX($C$72:$AK$72,1,24+ROUND(INDEX($H$5:$V$5,1,MATCH("RM06",$H$3:$V$3,0))/7,0)),0)</f>
        <v>15625</v>
      </c>
      <c r="AA73" s="8">
        <f>IFERROR(INDEX($C$72:$AK$72,1,25+ROUND(INDEX($H$5:$V$5,1,MATCH("RM06",$H$3:$V$3,0))/7,0)),0)</f>
        <v>15625</v>
      </c>
      <c r="AB73" s="8">
        <f>IFERROR(INDEX($C$72:$AK$72,1,26+ROUND(INDEX($H$5:$V$5,1,MATCH("RM06",$H$3:$V$3,0))/7,0)),0)</f>
        <v>15625</v>
      </c>
      <c r="AC73" s="8">
        <f>IFERROR(INDEX($C$72:$AK$72,1,27+ROUND(INDEX($H$5:$V$5,1,MATCH("RM06",$H$3:$V$3,0))/7,0)),0)</f>
        <v>15625</v>
      </c>
      <c r="AD73" s="8">
        <f>IFERROR(INDEX($C$72:$AK$72,1,28+ROUND(INDEX($H$5:$V$5,1,MATCH("RM06",$H$3:$V$3,0))/7,0)),0)</f>
        <v>15625</v>
      </c>
      <c r="AE73" s="8">
        <f>IFERROR(INDEX($C$72:$AK$72,1,29+ROUND(INDEX($H$5:$V$5,1,MATCH("RM06",$H$3:$V$3,0))/7,0)),0)</f>
        <v>15625</v>
      </c>
      <c r="AF73" s="8">
        <f>IFERROR(INDEX($C$72:$AK$72,1,30+ROUND(INDEX($H$5:$V$5,1,MATCH("RM06",$H$3:$V$3,0))/7,0)),0)</f>
        <v>15625</v>
      </c>
      <c r="AG73" s="8">
        <f>IFERROR(INDEX($C$72:$AK$72,1,31+ROUND(INDEX($H$5:$V$5,1,MATCH("RM06",$H$3:$V$3,0))/7,0)),0)</f>
        <v>0</v>
      </c>
      <c r="AH73" s="8">
        <f>IFERROR(INDEX($C$72:$AK$72,1,32+ROUND(INDEX($H$5:$V$5,1,MATCH("RM06",$H$3:$V$3,0))/7,0)),0)</f>
        <v>0</v>
      </c>
      <c r="AI73" s="8">
        <f>IFERROR(INDEX($C$72:$AK$72,1,33+ROUND(INDEX($H$5:$V$5,1,MATCH("RM06",$H$3:$V$3,0))/7,0)),0)</f>
        <v>0</v>
      </c>
      <c r="AJ73" s="8">
        <f>IFERROR(INDEX($C$72:$AK$72,1,34+ROUND(INDEX($H$5:$V$5,1,MATCH("RM06",$H$3:$V$3,0))/7,0)),0)</f>
        <v>0</v>
      </c>
      <c r="AK73" s="8">
        <f>IFERROR(INDEX($C$72:$AK$72,1,35+ROUND(INDEX($H$5:$V$5,1,MATCH("RM06",$H$3:$V$3,0))/7,0)),0)</f>
        <v>0</v>
      </c>
    </row>
    <row r="75" spans="1:37" ht="16.350000000000001" customHeight="1" x14ac:dyDescent="0.3">
      <c r="A75" s="51" t="s">
        <v>116</v>
      </c>
      <c r="B75" s="51" t="s">
        <v>104</v>
      </c>
      <c r="C75" s="123" t="s">
        <v>63</v>
      </c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2"/>
    </row>
    <row r="76" spans="1:37" ht="16.350000000000001" customHeight="1" x14ac:dyDescent="0.3">
      <c r="A76" s="51" t="s">
        <v>105</v>
      </c>
      <c r="B76" s="51" t="str">
        <f>"LT: "&amp;ROUND(INDEX($H$5:$V$5,1,MATCH("RM07",$H$3:$V$3,0))/7,0)</f>
        <v>LT: 6</v>
      </c>
      <c r="C76" s="52">
        <f t="array" ref="C76:AK76">TRANSPOSE([3]BOM_demand!$A$2:$A$36)</f>
        <v>46132</v>
      </c>
      <c r="D76" s="52">
        <v>46139</v>
      </c>
      <c r="E76" s="52">
        <v>46146</v>
      </c>
      <c r="F76" s="52">
        <v>46153</v>
      </c>
      <c r="G76" s="52">
        <v>46160</v>
      </c>
      <c r="H76" s="52">
        <v>46167</v>
      </c>
      <c r="I76" s="52">
        <v>46174</v>
      </c>
      <c r="J76" s="52">
        <v>46181</v>
      </c>
      <c r="K76" s="52">
        <v>46188</v>
      </c>
      <c r="L76" s="52">
        <v>46195</v>
      </c>
      <c r="M76" s="52">
        <v>46202</v>
      </c>
      <c r="N76" s="52">
        <v>46209</v>
      </c>
      <c r="O76" s="52">
        <v>46216</v>
      </c>
      <c r="P76" s="52">
        <v>46223</v>
      </c>
      <c r="Q76" s="52">
        <v>46230</v>
      </c>
      <c r="R76" s="52">
        <v>46237</v>
      </c>
      <c r="S76" s="52">
        <v>46244</v>
      </c>
      <c r="T76" s="52">
        <v>46251</v>
      </c>
      <c r="U76" s="52">
        <v>46258</v>
      </c>
      <c r="V76" s="52">
        <v>46265</v>
      </c>
      <c r="W76" s="52">
        <v>46272</v>
      </c>
      <c r="X76" s="52">
        <v>46279</v>
      </c>
      <c r="Y76" s="52">
        <v>46286</v>
      </c>
      <c r="Z76" s="52">
        <v>46293</v>
      </c>
      <c r="AA76" s="52">
        <v>46300</v>
      </c>
      <c r="AB76" s="52">
        <v>46307</v>
      </c>
      <c r="AC76" s="52">
        <v>46314</v>
      </c>
      <c r="AD76" s="52">
        <v>46321</v>
      </c>
      <c r="AE76" s="52">
        <v>46328</v>
      </c>
      <c r="AF76" s="52">
        <v>46335</v>
      </c>
      <c r="AG76" s="52">
        <v>46342</v>
      </c>
      <c r="AH76" s="52">
        <v>46349</v>
      </c>
      <c r="AI76" s="52">
        <v>46356</v>
      </c>
      <c r="AJ76" s="52">
        <v>46363</v>
      </c>
      <c r="AK76" s="52">
        <v>46370</v>
      </c>
    </row>
    <row r="77" spans="1:37" ht="16.350000000000001" customHeight="1" x14ac:dyDescent="0.3">
      <c r="A77" s="55" t="s">
        <v>106</v>
      </c>
      <c r="C77" s="38">
        <f t="array" ref="C77:AK77">TRANSPOSE([3]BOM_demand!$N$2:$N$36)</f>
        <v>0</v>
      </c>
      <c r="D77" s="38">
        <v>0</v>
      </c>
      <c r="E77" s="38">
        <v>8253</v>
      </c>
      <c r="F77" s="38">
        <v>23487</v>
      </c>
      <c r="G77" s="38">
        <v>13297.5</v>
      </c>
      <c r="H77" s="38">
        <v>3219</v>
      </c>
      <c r="I77" s="38">
        <v>10684.5</v>
      </c>
      <c r="J77" s="38">
        <v>7963.5</v>
      </c>
      <c r="K77" s="38">
        <v>7963.5</v>
      </c>
      <c r="L77" s="38">
        <v>4500</v>
      </c>
      <c r="M77" s="38">
        <v>4500</v>
      </c>
      <c r="N77" s="38">
        <v>4500</v>
      </c>
      <c r="O77" s="38">
        <v>4500</v>
      </c>
      <c r="P77" s="38">
        <v>3600</v>
      </c>
      <c r="Q77" s="38">
        <v>3600</v>
      </c>
      <c r="R77" s="38">
        <v>0</v>
      </c>
      <c r="S77" s="38">
        <v>3600</v>
      </c>
      <c r="T77" s="38">
        <v>3600</v>
      </c>
      <c r="U77" s="38">
        <v>5625</v>
      </c>
      <c r="V77" s="38">
        <v>5625</v>
      </c>
      <c r="W77" s="38">
        <v>5625</v>
      </c>
      <c r="X77" s="38">
        <v>5625</v>
      </c>
      <c r="Y77" s="38">
        <v>4500</v>
      </c>
      <c r="Z77" s="38">
        <v>4500</v>
      </c>
      <c r="AA77" s="38">
        <v>4500</v>
      </c>
      <c r="AB77" s="38">
        <v>4500</v>
      </c>
      <c r="AC77" s="38">
        <v>4500</v>
      </c>
      <c r="AD77" s="38">
        <v>9375</v>
      </c>
      <c r="AE77" s="38">
        <v>9375</v>
      </c>
      <c r="AF77" s="38">
        <v>9375</v>
      </c>
      <c r="AG77" s="38">
        <v>9375</v>
      </c>
      <c r="AH77" s="38">
        <v>9375</v>
      </c>
      <c r="AI77" s="38">
        <v>9375</v>
      </c>
      <c r="AJ77" s="38">
        <v>9375</v>
      </c>
      <c r="AK77" s="38">
        <v>9375</v>
      </c>
    </row>
    <row r="78" spans="1:37" ht="16.350000000000001" customHeight="1" x14ac:dyDescent="0.3">
      <c r="A78" s="124" t="s">
        <v>100</v>
      </c>
      <c r="B78" s="122"/>
      <c r="C78" s="38">
        <f>IFERROR(INDEX($H$7:$V$7,1,MATCH("RM07",$H$3:$V$3,0)),0)</f>
        <v>0</v>
      </c>
      <c r="D78" s="38">
        <f>0</f>
        <v>0</v>
      </c>
      <c r="E78" s="38">
        <f>0</f>
        <v>0</v>
      </c>
      <c r="F78" s="38">
        <f>0</f>
        <v>0</v>
      </c>
      <c r="G78" s="38">
        <f>0</f>
        <v>0</v>
      </c>
      <c r="H78" s="38">
        <f>0</f>
        <v>0</v>
      </c>
      <c r="I78" s="38">
        <f>0</f>
        <v>0</v>
      </c>
      <c r="J78" s="38">
        <f>0</f>
        <v>0</v>
      </c>
      <c r="K78" s="8">
        <f>0</f>
        <v>0</v>
      </c>
      <c r="L78" s="8">
        <f>0</f>
        <v>0</v>
      </c>
      <c r="M78" s="8">
        <f>0</f>
        <v>0</v>
      </c>
      <c r="N78" s="8">
        <f>0</f>
        <v>0</v>
      </c>
      <c r="O78" s="8">
        <f>0</f>
        <v>0</v>
      </c>
      <c r="P78" s="8">
        <f>0</f>
        <v>0</v>
      </c>
      <c r="Q78" s="8">
        <f>0</f>
        <v>0</v>
      </c>
      <c r="R78" s="8">
        <f>0</f>
        <v>0</v>
      </c>
      <c r="S78" s="8">
        <f>0</f>
        <v>0</v>
      </c>
      <c r="T78" s="8">
        <f>0</f>
        <v>0</v>
      </c>
      <c r="U78" s="8">
        <f>0</f>
        <v>0</v>
      </c>
      <c r="V78" s="8">
        <f>0</f>
        <v>0</v>
      </c>
      <c r="W78" s="8">
        <f>0</f>
        <v>0</v>
      </c>
      <c r="X78" s="8">
        <f>0</f>
        <v>0</v>
      </c>
      <c r="Y78" s="8">
        <f>0</f>
        <v>0</v>
      </c>
      <c r="Z78" s="8">
        <f>0</f>
        <v>0</v>
      </c>
      <c r="AA78" s="8">
        <f>0</f>
        <v>0</v>
      </c>
      <c r="AB78" s="8">
        <f>0</f>
        <v>0</v>
      </c>
      <c r="AC78" s="8">
        <f>0</f>
        <v>0</v>
      </c>
      <c r="AD78" s="8">
        <f>0</f>
        <v>0</v>
      </c>
      <c r="AE78" s="8">
        <f>0</f>
        <v>0</v>
      </c>
      <c r="AF78" s="8">
        <f>0</f>
        <v>0</v>
      </c>
      <c r="AG78" s="8">
        <f>0</f>
        <v>0</v>
      </c>
      <c r="AH78" s="8">
        <f>0</f>
        <v>0</v>
      </c>
      <c r="AI78" s="8">
        <f>0</f>
        <v>0</v>
      </c>
      <c r="AJ78" s="8">
        <f>0</f>
        <v>0</v>
      </c>
      <c r="AK78" s="8">
        <f>0</f>
        <v>0</v>
      </c>
    </row>
    <row r="79" spans="1:37" ht="16.350000000000001" customHeight="1" x14ac:dyDescent="0.3">
      <c r="A79" s="38" t="s">
        <v>101</v>
      </c>
      <c r="B79" s="50">
        <f>IFERROR(INDEX($H$8:$V$8,1,MATCH("RM07",$H$3:$V$3,0)),0)</f>
        <v>12987</v>
      </c>
      <c r="C79" s="38">
        <f t="shared" ref="C79:AK79" si="24">$B79</f>
        <v>12987</v>
      </c>
      <c r="D79" s="38">
        <f t="shared" si="24"/>
        <v>12987</v>
      </c>
      <c r="E79" s="38">
        <f t="shared" si="24"/>
        <v>12987</v>
      </c>
      <c r="F79" s="38">
        <f t="shared" si="24"/>
        <v>12987</v>
      </c>
      <c r="G79" s="38">
        <f t="shared" si="24"/>
        <v>12987</v>
      </c>
      <c r="H79" s="38">
        <f t="shared" si="24"/>
        <v>12987</v>
      </c>
      <c r="I79" s="38">
        <f t="shared" si="24"/>
        <v>12987</v>
      </c>
      <c r="J79" s="38">
        <f t="shared" si="24"/>
        <v>12987</v>
      </c>
      <c r="K79" s="8">
        <f t="shared" si="24"/>
        <v>12987</v>
      </c>
      <c r="L79" s="8">
        <f t="shared" si="24"/>
        <v>12987</v>
      </c>
      <c r="M79" s="8">
        <f t="shared" si="24"/>
        <v>12987</v>
      </c>
      <c r="N79" s="8">
        <f t="shared" si="24"/>
        <v>12987</v>
      </c>
      <c r="O79" s="8">
        <f t="shared" si="24"/>
        <v>12987</v>
      </c>
      <c r="P79" s="8">
        <f t="shared" si="24"/>
        <v>12987</v>
      </c>
      <c r="Q79" s="8">
        <f t="shared" si="24"/>
        <v>12987</v>
      </c>
      <c r="R79" s="8">
        <f t="shared" si="24"/>
        <v>12987</v>
      </c>
      <c r="S79" s="8">
        <f t="shared" si="24"/>
        <v>12987</v>
      </c>
      <c r="T79" s="8">
        <f t="shared" si="24"/>
        <v>12987</v>
      </c>
      <c r="U79" s="8">
        <f t="shared" si="24"/>
        <v>12987</v>
      </c>
      <c r="V79" s="8">
        <f t="shared" si="24"/>
        <v>12987</v>
      </c>
      <c r="W79" s="8">
        <f t="shared" si="24"/>
        <v>12987</v>
      </c>
      <c r="X79" s="8">
        <f t="shared" si="24"/>
        <v>12987</v>
      </c>
      <c r="Y79" s="8">
        <f t="shared" si="24"/>
        <v>12987</v>
      </c>
      <c r="Z79" s="8">
        <f t="shared" si="24"/>
        <v>12987</v>
      </c>
      <c r="AA79" s="8">
        <f t="shared" si="24"/>
        <v>12987</v>
      </c>
      <c r="AB79" s="8">
        <f t="shared" si="24"/>
        <v>12987</v>
      </c>
      <c r="AC79" s="8">
        <f t="shared" si="24"/>
        <v>12987</v>
      </c>
      <c r="AD79" s="8">
        <f t="shared" si="24"/>
        <v>12987</v>
      </c>
      <c r="AE79" s="8">
        <f t="shared" si="24"/>
        <v>12987</v>
      </c>
      <c r="AF79" s="8">
        <f t="shared" si="24"/>
        <v>12987</v>
      </c>
      <c r="AG79" s="8">
        <f t="shared" si="24"/>
        <v>12987</v>
      </c>
      <c r="AH79" s="8">
        <f t="shared" si="24"/>
        <v>12987</v>
      </c>
      <c r="AI79" s="8">
        <f t="shared" si="24"/>
        <v>12987</v>
      </c>
      <c r="AJ79" s="8">
        <f t="shared" si="24"/>
        <v>12987</v>
      </c>
      <c r="AK79" s="8">
        <f t="shared" si="24"/>
        <v>12987</v>
      </c>
    </row>
    <row r="80" spans="1:37" ht="16.350000000000001" customHeight="1" x14ac:dyDescent="0.3">
      <c r="A80" s="38" t="s">
        <v>107</v>
      </c>
      <c r="B80" s="50">
        <f>IFERROR(INDEX($H$6:$V$6,1,MATCH("RM07",$H$3:$V$3,0)),0)</f>
        <v>50000</v>
      </c>
      <c r="C80" s="38">
        <f>$B80+C78+C82-C77</f>
        <v>50000</v>
      </c>
      <c r="D80" s="38">
        <f t="shared" ref="D80:AK80" si="25">C80+D78+D82-D77</f>
        <v>50000</v>
      </c>
      <c r="E80" s="38">
        <f t="shared" si="25"/>
        <v>41747</v>
      </c>
      <c r="F80" s="38">
        <f t="shared" si="25"/>
        <v>18260</v>
      </c>
      <c r="G80" s="38">
        <f t="shared" si="25"/>
        <v>12987</v>
      </c>
      <c r="H80" s="38">
        <f t="shared" si="25"/>
        <v>12987</v>
      </c>
      <c r="I80" s="38">
        <f t="shared" si="25"/>
        <v>12987</v>
      </c>
      <c r="J80" s="38">
        <f t="shared" si="25"/>
        <v>12987</v>
      </c>
      <c r="K80" s="8">
        <f t="shared" si="25"/>
        <v>12987</v>
      </c>
      <c r="L80" s="8">
        <f t="shared" si="25"/>
        <v>12987</v>
      </c>
      <c r="M80" s="8">
        <f t="shared" si="25"/>
        <v>12987</v>
      </c>
      <c r="N80" s="8">
        <f t="shared" si="25"/>
        <v>12987</v>
      </c>
      <c r="O80" s="8">
        <f t="shared" si="25"/>
        <v>12987</v>
      </c>
      <c r="P80" s="8">
        <f t="shared" si="25"/>
        <v>12987</v>
      </c>
      <c r="Q80" s="8">
        <f t="shared" si="25"/>
        <v>12987</v>
      </c>
      <c r="R80" s="8">
        <f t="shared" si="25"/>
        <v>12987</v>
      </c>
      <c r="S80" s="8">
        <f t="shared" si="25"/>
        <v>12987</v>
      </c>
      <c r="T80" s="8">
        <f t="shared" si="25"/>
        <v>12987</v>
      </c>
      <c r="U80" s="8">
        <f t="shared" si="25"/>
        <v>12987</v>
      </c>
      <c r="V80" s="8">
        <f t="shared" si="25"/>
        <v>12987</v>
      </c>
      <c r="W80" s="8">
        <f t="shared" si="25"/>
        <v>12987</v>
      </c>
      <c r="X80" s="8">
        <f t="shared" si="25"/>
        <v>12987</v>
      </c>
      <c r="Y80" s="8">
        <f t="shared" si="25"/>
        <v>12987</v>
      </c>
      <c r="Z80" s="8">
        <f t="shared" si="25"/>
        <v>12987</v>
      </c>
      <c r="AA80" s="8">
        <f t="shared" si="25"/>
        <v>12987</v>
      </c>
      <c r="AB80" s="8">
        <f t="shared" si="25"/>
        <v>12987</v>
      </c>
      <c r="AC80" s="8">
        <f t="shared" si="25"/>
        <v>12987</v>
      </c>
      <c r="AD80" s="8">
        <f t="shared" si="25"/>
        <v>12987</v>
      </c>
      <c r="AE80" s="8">
        <f t="shared" si="25"/>
        <v>12987</v>
      </c>
      <c r="AF80" s="8">
        <f t="shared" si="25"/>
        <v>12987</v>
      </c>
      <c r="AG80" s="8">
        <f t="shared" si="25"/>
        <v>12987</v>
      </c>
      <c r="AH80" s="8">
        <f t="shared" si="25"/>
        <v>12987</v>
      </c>
      <c r="AI80" s="8">
        <f t="shared" si="25"/>
        <v>12987</v>
      </c>
      <c r="AJ80" s="8">
        <f t="shared" si="25"/>
        <v>12987</v>
      </c>
      <c r="AK80" s="8">
        <f t="shared" si="25"/>
        <v>12987</v>
      </c>
    </row>
    <row r="81" spans="1:37" ht="16.350000000000001" customHeight="1" x14ac:dyDescent="0.3">
      <c r="A81" s="38" t="s">
        <v>108</v>
      </c>
      <c r="B81" s="50"/>
      <c r="C81" s="38">
        <f>MAX(C77+C79-($B80+C78),0)</f>
        <v>0</v>
      </c>
      <c r="D81" s="38">
        <f t="shared" ref="D81:AK81" si="26">MAX(D77+D79-(C80+D78),0)</f>
        <v>0</v>
      </c>
      <c r="E81" s="38">
        <f t="shared" si="26"/>
        <v>0</v>
      </c>
      <c r="F81" s="38">
        <f t="shared" si="26"/>
        <v>0</v>
      </c>
      <c r="G81" s="38">
        <f t="shared" si="26"/>
        <v>8024.5</v>
      </c>
      <c r="H81" s="38">
        <f t="shared" si="26"/>
        <v>3219</v>
      </c>
      <c r="I81" s="38">
        <f t="shared" si="26"/>
        <v>10684.5</v>
      </c>
      <c r="J81" s="38">
        <f t="shared" si="26"/>
        <v>7963.5</v>
      </c>
      <c r="K81" s="8">
        <f t="shared" si="26"/>
        <v>7963.5</v>
      </c>
      <c r="L81" s="8">
        <f t="shared" si="26"/>
        <v>4500</v>
      </c>
      <c r="M81" s="8">
        <f t="shared" si="26"/>
        <v>4500</v>
      </c>
      <c r="N81" s="8">
        <f t="shared" si="26"/>
        <v>4500</v>
      </c>
      <c r="O81" s="8">
        <f t="shared" si="26"/>
        <v>4500</v>
      </c>
      <c r="P81" s="8">
        <f t="shared" si="26"/>
        <v>3600</v>
      </c>
      <c r="Q81" s="8">
        <f t="shared" si="26"/>
        <v>3600</v>
      </c>
      <c r="R81" s="8">
        <f t="shared" si="26"/>
        <v>0</v>
      </c>
      <c r="S81" s="8">
        <f t="shared" si="26"/>
        <v>3600</v>
      </c>
      <c r="T81" s="8">
        <f t="shared" si="26"/>
        <v>3600</v>
      </c>
      <c r="U81" s="8">
        <f t="shared" si="26"/>
        <v>5625</v>
      </c>
      <c r="V81" s="8">
        <f t="shared" si="26"/>
        <v>5625</v>
      </c>
      <c r="W81" s="8">
        <f t="shared" si="26"/>
        <v>5625</v>
      </c>
      <c r="X81" s="8">
        <f t="shared" si="26"/>
        <v>5625</v>
      </c>
      <c r="Y81" s="8">
        <f t="shared" si="26"/>
        <v>4500</v>
      </c>
      <c r="Z81" s="8">
        <f t="shared" si="26"/>
        <v>4500</v>
      </c>
      <c r="AA81" s="8">
        <f t="shared" si="26"/>
        <v>4500</v>
      </c>
      <c r="AB81" s="8">
        <f t="shared" si="26"/>
        <v>4500</v>
      </c>
      <c r="AC81" s="8">
        <f t="shared" si="26"/>
        <v>4500</v>
      </c>
      <c r="AD81" s="8">
        <f t="shared" si="26"/>
        <v>9375</v>
      </c>
      <c r="AE81" s="8">
        <f t="shared" si="26"/>
        <v>9375</v>
      </c>
      <c r="AF81" s="8">
        <f t="shared" si="26"/>
        <v>9375</v>
      </c>
      <c r="AG81" s="8">
        <f t="shared" si="26"/>
        <v>9375</v>
      </c>
      <c r="AH81" s="8">
        <f t="shared" si="26"/>
        <v>9375</v>
      </c>
      <c r="AI81" s="8">
        <f t="shared" si="26"/>
        <v>9375</v>
      </c>
      <c r="AJ81" s="8">
        <f t="shared" si="26"/>
        <v>9375</v>
      </c>
      <c r="AK81" s="8">
        <f t="shared" si="26"/>
        <v>9375</v>
      </c>
    </row>
    <row r="82" spans="1:37" ht="16.350000000000001" customHeight="1" x14ac:dyDescent="0.3">
      <c r="A82" s="124" t="s">
        <v>109</v>
      </c>
      <c r="B82" s="122"/>
      <c r="C82" s="38">
        <f t="shared" ref="C82:AK82" si="27">C81</f>
        <v>0</v>
      </c>
      <c r="D82" s="38">
        <f t="shared" si="27"/>
        <v>0</v>
      </c>
      <c r="E82" s="38">
        <f t="shared" si="27"/>
        <v>0</v>
      </c>
      <c r="F82" s="38">
        <f t="shared" si="27"/>
        <v>0</v>
      </c>
      <c r="G82" s="38">
        <f t="shared" si="27"/>
        <v>8024.5</v>
      </c>
      <c r="H82" s="38">
        <f t="shared" si="27"/>
        <v>3219</v>
      </c>
      <c r="I82" s="38">
        <f t="shared" si="27"/>
        <v>10684.5</v>
      </c>
      <c r="J82" s="38">
        <f t="shared" si="27"/>
        <v>7963.5</v>
      </c>
      <c r="K82" s="8">
        <f t="shared" si="27"/>
        <v>7963.5</v>
      </c>
      <c r="L82" s="8">
        <f t="shared" si="27"/>
        <v>4500</v>
      </c>
      <c r="M82" s="8">
        <f t="shared" si="27"/>
        <v>4500</v>
      </c>
      <c r="N82" s="8">
        <f t="shared" si="27"/>
        <v>4500</v>
      </c>
      <c r="O82" s="8">
        <f t="shared" si="27"/>
        <v>4500</v>
      </c>
      <c r="P82" s="8">
        <f t="shared" si="27"/>
        <v>3600</v>
      </c>
      <c r="Q82" s="8">
        <f t="shared" si="27"/>
        <v>3600</v>
      </c>
      <c r="R82" s="8">
        <f t="shared" si="27"/>
        <v>0</v>
      </c>
      <c r="S82" s="8">
        <f t="shared" si="27"/>
        <v>3600</v>
      </c>
      <c r="T82" s="8">
        <f t="shared" si="27"/>
        <v>3600</v>
      </c>
      <c r="U82" s="8">
        <f t="shared" si="27"/>
        <v>5625</v>
      </c>
      <c r="V82" s="8">
        <f t="shared" si="27"/>
        <v>5625</v>
      </c>
      <c r="W82" s="8">
        <f t="shared" si="27"/>
        <v>5625</v>
      </c>
      <c r="X82" s="8">
        <f t="shared" si="27"/>
        <v>5625</v>
      </c>
      <c r="Y82" s="8">
        <f t="shared" si="27"/>
        <v>4500</v>
      </c>
      <c r="Z82" s="8">
        <f t="shared" si="27"/>
        <v>4500</v>
      </c>
      <c r="AA82" s="8">
        <f t="shared" si="27"/>
        <v>4500</v>
      </c>
      <c r="AB82" s="8">
        <f t="shared" si="27"/>
        <v>4500</v>
      </c>
      <c r="AC82" s="8">
        <f t="shared" si="27"/>
        <v>4500</v>
      </c>
      <c r="AD82" s="8">
        <f t="shared" si="27"/>
        <v>9375</v>
      </c>
      <c r="AE82" s="8">
        <f t="shared" si="27"/>
        <v>9375</v>
      </c>
      <c r="AF82" s="8">
        <f t="shared" si="27"/>
        <v>9375</v>
      </c>
      <c r="AG82" s="8">
        <f t="shared" si="27"/>
        <v>9375</v>
      </c>
      <c r="AH82" s="8">
        <f t="shared" si="27"/>
        <v>9375</v>
      </c>
      <c r="AI82" s="8">
        <f t="shared" si="27"/>
        <v>9375</v>
      </c>
      <c r="AJ82" s="8">
        <f t="shared" si="27"/>
        <v>9375</v>
      </c>
      <c r="AK82" s="8">
        <f t="shared" si="27"/>
        <v>9375</v>
      </c>
    </row>
    <row r="83" spans="1:37" ht="16.350000000000001" customHeight="1" x14ac:dyDescent="0.3">
      <c r="A83" s="38" t="s">
        <v>110</v>
      </c>
      <c r="B83" s="50"/>
      <c r="C83" s="38">
        <f>IFERROR(INDEX($C$82:$AK$82,1,1+ROUND(INDEX($H$5:$V$5,1,MATCH("RM07",$H$3:$V$3,0))/7,0)),0)</f>
        <v>10684.5</v>
      </c>
      <c r="D83" s="38">
        <f>IFERROR(INDEX($C$82:$AK$82,1,2+ROUND(INDEX($H$5:$V$5,1,MATCH("RM07",$H$3:$V$3,0))/7,0)),0)</f>
        <v>7963.5</v>
      </c>
      <c r="E83" s="38">
        <f>IFERROR(INDEX($C$82:$AK$82,1,3+ROUND(INDEX($H$5:$V$5,1,MATCH("RM07",$H$3:$V$3,0))/7,0)),0)</f>
        <v>7963.5</v>
      </c>
      <c r="F83" s="38">
        <f>IFERROR(INDEX($C$82:$AK$82,1,4+ROUND(INDEX($H$5:$V$5,1,MATCH("RM07",$H$3:$V$3,0))/7,0)),0)</f>
        <v>4500</v>
      </c>
      <c r="G83" s="38">
        <f>IFERROR(INDEX($C$82:$AK$82,1,5+ROUND(INDEX($H$5:$V$5,1,MATCH("RM07",$H$3:$V$3,0))/7,0)),0)</f>
        <v>4500</v>
      </c>
      <c r="H83" s="38">
        <f>IFERROR(INDEX($C$82:$AK$82,1,6+ROUND(INDEX($H$5:$V$5,1,MATCH("RM07",$H$3:$V$3,0))/7,0)),0)</f>
        <v>4500</v>
      </c>
      <c r="I83" s="38">
        <f>IFERROR(INDEX($C$82:$AK$82,1,7+ROUND(INDEX($H$5:$V$5,1,MATCH("RM07",$H$3:$V$3,0))/7,0)),0)</f>
        <v>4500</v>
      </c>
      <c r="J83" s="38">
        <f>IFERROR(INDEX($C$82:$AK$82,1,8+ROUND(INDEX($H$5:$V$5,1,MATCH("RM07",$H$3:$V$3,0))/7,0)),0)</f>
        <v>3600</v>
      </c>
      <c r="K83" s="8">
        <f>IFERROR(INDEX($C$82:$AK$82,1,9+ROUND(INDEX($H$5:$V$5,1,MATCH("RM07",$H$3:$V$3,0))/7,0)),0)</f>
        <v>3600</v>
      </c>
      <c r="L83" s="8">
        <f>IFERROR(INDEX($C$82:$AK$82,1,10+ROUND(INDEX($H$5:$V$5,1,MATCH("RM07",$H$3:$V$3,0))/7,0)),0)</f>
        <v>0</v>
      </c>
      <c r="M83" s="8">
        <f>IFERROR(INDEX($C$82:$AK$82,1,11+ROUND(INDEX($H$5:$V$5,1,MATCH("RM07",$H$3:$V$3,0))/7,0)),0)</f>
        <v>3600</v>
      </c>
      <c r="N83" s="8">
        <f>IFERROR(INDEX($C$82:$AK$82,1,12+ROUND(INDEX($H$5:$V$5,1,MATCH("RM07",$H$3:$V$3,0))/7,0)),0)</f>
        <v>3600</v>
      </c>
      <c r="O83" s="8">
        <f>IFERROR(INDEX($C$82:$AK$82,1,13+ROUND(INDEX($H$5:$V$5,1,MATCH("RM07",$H$3:$V$3,0))/7,0)),0)</f>
        <v>5625</v>
      </c>
      <c r="P83" s="8">
        <f>IFERROR(INDEX($C$82:$AK$82,1,14+ROUND(INDEX($H$5:$V$5,1,MATCH("RM07",$H$3:$V$3,0))/7,0)),0)</f>
        <v>5625</v>
      </c>
      <c r="Q83" s="8">
        <f>IFERROR(INDEX($C$82:$AK$82,1,15+ROUND(INDEX($H$5:$V$5,1,MATCH("RM07",$H$3:$V$3,0))/7,0)),0)</f>
        <v>5625</v>
      </c>
      <c r="R83" s="8">
        <f>IFERROR(INDEX($C$82:$AK$82,1,16+ROUND(INDEX($H$5:$V$5,1,MATCH("RM07",$H$3:$V$3,0))/7,0)),0)</f>
        <v>5625</v>
      </c>
      <c r="S83" s="8">
        <f>IFERROR(INDEX($C$82:$AK$82,1,17+ROUND(INDEX($H$5:$V$5,1,MATCH("RM07",$H$3:$V$3,0))/7,0)),0)</f>
        <v>4500</v>
      </c>
      <c r="T83" s="8">
        <f>IFERROR(INDEX($C$82:$AK$82,1,18+ROUND(INDEX($H$5:$V$5,1,MATCH("RM07",$H$3:$V$3,0))/7,0)),0)</f>
        <v>4500</v>
      </c>
      <c r="U83" s="8">
        <f>IFERROR(INDEX($C$82:$AK$82,1,19+ROUND(INDEX($H$5:$V$5,1,MATCH("RM07",$H$3:$V$3,0))/7,0)),0)</f>
        <v>4500</v>
      </c>
      <c r="V83" s="8">
        <f>IFERROR(INDEX($C$82:$AK$82,1,20+ROUND(INDEX($H$5:$V$5,1,MATCH("RM07",$H$3:$V$3,0))/7,0)),0)</f>
        <v>4500</v>
      </c>
      <c r="W83" s="8">
        <f>IFERROR(INDEX($C$82:$AK$82,1,21+ROUND(INDEX($H$5:$V$5,1,MATCH("RM07",$H$3:$V$3,0))/7,0)),0)</f>
        <v>4500</v>
      </c>
      <c r="X83" s="8">
        <f>IFERROR(INDEX($C$82:$AK$82,1,22+ROUND(INDEX($H$5:$V$5,1,MATCH("RM07",$H$3:$V$3,0))/7,0)),0)</f>
        <v>9375</v>
      </c>
      <c r="Y83" s="8">
        <f>IFERROR(INDEX($C$82:$AK$82,1,23+ROUND(INDEX($H$5:$V$5,1,MATCH("RM07",$H$3:$V$3,0))/7,0)),0)</f>
        <v>9375</v>
      </c>
      <c r="Z83" s="8">
        <f>IFERROR(INDEX($C$82:$AK$82,1,24+ROUND(INDEX($H$5:$V$5,1,MATCH("RM07",$H$3:$V$3,0))/7,0)),0)</f>
        <v>9375</v>
      </c>
      <c r="AA83" s="8">
        <f>IFERROR(INDEX($C$82:$AK$82,1,25+ROUND(INDEX($H$5:$V$5,1,MATCH("RM07",$H$3:$V$3,0))/7,0)),0)</f>
        <v>9375</v>
      </c>
      <c r="AB83" s="8">
        <f>IFERROR(INDEX($C$82:$AK$82,1,26+ROUND(INDEX($H$5:$V$5,1,MATCH("RM07",$H$3:$V$3,0))/7,0)),0)</f>
        <v>9375</v>
      </c>
      <c r="AC83" s="8">
        <f>IFERROR(INDEX($C$82:$AK$82,1,27+ROUND(INDEX($H$5:$V$5,1,MATCH("RM07",$H$3:$V$3,0))/7,0)),0)</f>
        <v>9375</v>
      </c>
      <c r="AD83" s="8">
        <f>IFERROR(INDEX($C$82:$AK$82,1,28+ROUND(INDEX($H$5:$V$5,1,MATCH("RM07",$H$3:$V$3,0))/7,0)),0)</f>
        <v>9375</v>
      </c>
      <c r="AE83" s="8">
        <f>IFERROR(INDEX($C$82:$AK$82,1,29+ROUND(INDEX($H$5:$V$5,1,MATCH("RM07",$H$3:$V$3,0))/7,0)),0)</f>
        <v>9375</v>
      </c>
      <c r="AF83" s="8">
        <f>IFERROR(INDEX($C$82:$AK$82,1,30+ROUND(INDEX($H$5:$V$5,1,MATCH("RM07",$H$3:$V$3,0))/7,0)),0)</f>
        <v>0</v>
      </c>
      <c r="AG83" s="8">
        <f>IFERROR(INDEX($C$82:$AK$82,1,31+ROUND(INDEX($H$5:$V$5,1,MATCH("RM07",$H$3:$V$3,0))/7,0)),0)</f>
        <v>0</v>
      </c>
      <c r="AH83" s="8">
        <f>IFERROR(INDEX($C$82:$AK$82,1,32+ROUND(INDEX($H$5:$V$5,1,MATCH("RM07",$H$3:$V$3,0))/7,0)),0)</f>
        <v>0</v>
      </c>
      <c r="AI83" s="8">
        <f>IFERROR(INDEX($C$82:$AK$82,1,33+ROUND(INDEX($H$5:$V$5,1,MATCH("RM07",$H$3:$V$3,0))/7,0)),0)</f>
        <v>0</v>
      </c>
      <c r="AJ83" s="8">
        <f>IFERROR(INDEX($C$82:$AK$82,1,34+ROUND(INDEX($H$5:$V$5,1,MATCH("RM07",$H$3:$V$3,0))/7,0)),0)</f>
        <v>0</v>
      </c>
      <c r="AK83" s="8">
        <f>IFERROR(INDEX($C$82:$AK$82,1,35+ROUND(INDEX($H$5:$V$5,1,MATCH("RM07",$H$3:$V$3,0))/7,0)),0)</f>
        <v>0</v>
      </c>
    </row>
    <row r="85" spans="1:37" ht="16.350000000000001" customHeight="1" x14ac:dyDescent="0.3">
      <c r="A85" s="51" t="s">
        <v>117</v>
      </c>
      <c r="B85" s="51" t="s">
        <v>104</v>
      </c>
      <c r="C85" s="123" t="s">
        <v>63</v>
      </c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2"/>
    </row>
    <row r="86" spans="1:37" ht="16.350000000000001" customHeight="1" x14ac:dyDescent="0.3">
      <c r="A86" s="51" t="s">
        <v>105</v>
      </c>
      <c r="B86" s="51" t="str">
        <f>"LT: "&amp;ROUND(INDEX($H$5:$V$5,1,MATCH("RM08",$H$3:$V$3,0))/7,0)</f>
        <v>LT: 9</v>
      </c>
      <c r="C86" s="52">
        <f t="array" ref="C86:AK86">TRANSPOSE([3]BOM_demand!$A$2:$A$36)</f>
        <v>46132</v>
      </c>
      <c r="D86" s="52">
        <v>46139</v>
      </c>
      <c r="E86" s="52">
        <v>46146</v>
      </c>
      <c r="F86" s="52">
        <v>46153</v>
      </c>
      <c r="G86" s="52">
        <v>46160</v>
      </c>
      <c r="H86" s="52">
        <v>46167</v>
      </c>
      <c r="I86" s="52">
        <v>46174</v>
      </c>
      <c r="J86" s="52">
        <v>46181</v>
      </c>
      <c r="K86" s="52">
        <v>46188</v>
      </c>
      <c r="L86" s="52">
        <v>46195</v>
      </c>
      <c r="M86" s="52">
        <v>46202</v>
      </c>
      <c r="N86" s="52">
        <v>46209</v>
      </c>
      <c r="O86" s="52">
        <v>46216</v>
      </c>
      <c r="P86" s="52">
        <v>46223</v>
      </c>
      <c r="Q86" s="52">
        <v>46230</v>
      </c>
      <c r="R86" s="52">
        <v>46237</v>
      </c>
      <c r="S86" s="52">
        <v>46244</v>
      </c>
      <c r="T86" s="52">
        <v>46251</v>
      </c>
      <c r="U86" s="52">
        <v>46258</v>
      </c>
      <c r="V86" s="52">
        <v>46265</v>
      </c>
      <c r="W86" s="52">
        <v>46272</v>
      </c>
      <c r="X86" s="52">
        <v>46279</v>
      </c>
      <c r="Y86" s="52">
        <v>46286</v>
      </c>
      <c r="Z86" s="52">
        <v>46293</v>
      </c>
      <c r="AA86" s="52">
        <v>46300</v>
      </c>
      <c r="AB86" s="52">
        <v>46307</v>
      </c>
      <c r="AC86" s="52">
        <v>46314</v>
      </c>
      <c r="AD86" s="52">
        <v>46321</v>
      </c>
      <c r="AE86" s="52">
        <v>46328</v>
      </c>
      <c r="AF86" s="52">
        <v>46335</v>
      </c>
      <c r="AG86" s="52">
        <v>46342</v>
      </c>
      <c r="AH86" s="52">
        <v>46349</v>
      </c>
      <c r="AI86" s="52">
        <v>46356</v>
      </c>
      <c r="AJ86" s="52">
        <v>46363</v>
      </c>
      <c r="AK86" s="52">
        <v>46370</v>
      </c>
    </row>
    <row r="87" spans="1:37" ht="16.350000000000001" customHeight="1" x14ac:dyDescent="0.3">
      <c r="A87" s="55" t="s">
        <v>106</v>
      </c>
      <c r="C87" s="38">
        <f t="array" ref="C87:AK87">TRANSPOSE([3]BOM_demand!$O$2:$O$36)</f>
        <v>0</v>
      </c>
      <c r="D87" s="38">
        <v>0</v>
      </c>
      <c r="E87" s="38">
        <v>12960</v>
      </c>
      <c r="F87" s="38">
        <v>25110</v>
      </c>
      <c r="G87" s="38">
        <v>35346</v>
      </c>
      <c r="H87" s="38">
        <v>31572</v>
      </c>
      <c r="I87" s="38">
        <v>9720</v>
      </c>
      <c r="J87" s="38">
        <v>19326</v>
      </c>
      <c r="K87" s="38">
        <v>26406</v>
      </c>
      <c r="L87" s="38">
        <v>23085</v>
      </c>
      <c r="M87" s="38">
        <v>7500</v>
      </c>
      <c r="N87" s="38">
        <v>7500</v>
      </c>
      <c r="O87" s="38">
        <v>7500</v>
      </c>
      <c r="P87" s="38">
        <v>3000</v>
      </c>
      <c r="Q87" s="38">
        <v>3000</v>
      </c>
      <c r="R87" s="38">
        <v>3000</v>
      </c>
      <c r="S87" s="38">
        <v>3000</v>
      </c>
      <c r="T87" s="38">
        <v>3000</v>
      </c>
      <c r="U87" s="38">
        <v>2250</v>
      </c>
      <c r="V87" s="38">
        <v>2250</v>
      </c>
      <c r="W87" s="38">
        <v>2250</v>
      </c>
      <c r="X87" s="38">
        <v>2250</v>
      </c>
      <c r="Y87" s="38">
        <v>1800</v>
      </c>
      <c r="Z87" s="38">
        <v>1800</v>
      </c>
      <c r="AA87" s="38">
        <v>1800</v>
      </c>
      <c r="AB87" s="38">
        <v>1800</v>
      </c>
      <c r="AC87" s="38">
        <v>1800</v>
      </c>
      <c r="AD87" s="38">
        <v>1500</v>
      </c>
      <c r="AE87" s="38">
        <v>1500</v>
      </c>
      <c r="AF87" s="38">
        <v>1500</v>
      </c>
      <c r="AG87" s="38">
        <v>1500</v>
      </c>
      <c r="AH87" s="38">
        <v>9000</v>
      </c>
      <c r="AI87" s="38">
        <v>9000</v>
      </c>
      <c r="AJ87" s="38">
        <v>9000</v>
      </c>
      <c r="AK87" s="38">
        <v>9000</v>
      </c>
    </row>
    <row r="88" spans="1:37" ht="16.350000000000001" customHeight="1" x14ac:dyDescent="0.3">
      <c r="A88" s="124" t="s">
        <v>100</v>
      </c>
      <c r="B88" s="122"/>
      <c r="C88" s="38">
        <f>IFERROR(INDEX($H$7:$V$7,1,MATCH("RM08",$H$3:$V$3,0)),0)</f>
        <v>38000</v>
      </c>
      <c r="D88" s="38">
        <f>0</f>
        <v>0</v>
      </c>
      <c r="E88" s="38">
        <f>0</f>
        <v>0</v>
      </c>
      <c r="F88" s="38">
        <f>0</f>
        <v>0</v>
      </c>
      <c r="G88" s="38">
        <f>0</f>
        <v>0</v>
      </c>
      <c r="H88" s="38">
        <f>0</f>
        <v>0</v>
      </c>
      <c r="I88" s="38">
        <f>0</f>
        <v>0</v>
      </c>
      <c r="J88" s="38">
        <f>0</f>
        <v>0</v>
      </c>
      <c r="K88" s="8">
        <f>0</f>
        <v>0</v>
      </c>
      <c r="L88" s="8">
        <f>0</f>
        <v>0</v>
      </c>
      <c r="M88" s="8">
        <f>0</f>
        <v>0</v>
      </c>
      <c r="N88" s="8">
        <f>0</f>
        <v>0</v>
      </c>
      <c r="O88" s="8">
        <f>0</f>
        <v>0</v>
      </c>
      <c r="P88" s="8">
        <f>0</f>
        <v>0</v>
      </c>
      <c r="Q88" s="8">
        <f>0</f>
        <v>0</v>
      </c>
      <c r="R88" s="8">
        <f>0</f>
        <v>0</v>
      </c>
      <c r="S88" s="8">
        <f>0</f>
        <v>0</v>
      </c>
      <c r="T88" s="8">
        <f>0</f>
        <v>0</v>
      </c>
      <c r="U88" s="8">
        <f>0</f>
        <v>0</v>
      </c>
      <c r="V88" s="8">
        <f>0</f>
        <v>0</v>
      </c>
      <c r="W88" s="8">
        <f>0</f>
        <v>0</v>
      </c>
      <c r="X88" s="8">
        <f>0</f>
        <v>0</v>
      </c>
      <c r="Y88" s="8">
        <f>0</f>
        <v>0</v>
      </c>
      <c r="Z88" s="8">
        <f>0</f>
        <v>0</v>
      </c>
      <c r="AA88" s="8">
        <f>0</f>
        <v>0</v>
      </c>
      <c r="AB88" s="8">
        <f>0</f>
        <v>0</v>
      </c>
      <c r="AC88" s="8">
        <f>0</f>
        <v>0</v>
      </c>
      <c r="AD88" s="8">
        <f>0</f>
        <v>0</v>
      </c>
      <c r="AE88" s="8">
        <f>0</f>
        <v>0</v>
      </c>
      <c r="AF88" s="8">
        <f>0</f>
        <v>0</v>
      </c>
      <c r="AG88" s="8">
        <f>0</f>
        <v>0</v>
      </c>
      <c r="AH88" s="8">
        <f>0</f>
        <v>0</v>
      </c>
      <c r="AI88" s="8">
        <f>0</f>
        <v>0</v>
      </c>
      <c r="AJ88" s="8">
        <f>0</f>
        <v>0</v>
      </c>
      <c r="AK88" s="8">
        <f>0</f>
        <v>0</v>
      </c>
    </row>
    <row r="89" spans="1:37" ht="16.350000000000001" customHeight="1" x14ac:dyDescent="0.3">
      <c r="A89" s="38" t="s">
        <v>101</v>
      </c>
      <c r="B89" s="50">
        <f>IFERROR(INDEX($H$8:$V$8,1,MATCH("RM08",$H$3:$V$3,0)),0)</f>
        <v>16059</v>
      </c>
      <c r="C89" s="38">
        <f t="shared" ref="C89:AK89" si="28">$B89</f>
        <v>16059</v>
      </c>
      <c r="D89" s="38">
        <f t="shared" si="28"/>
        <v>16059</v>
      </c>
      <c r="E89" s="38">
        <f t="shared" si="28"/>
        <v>16059</v>
      </c>
      <c r="F89" s="38">
        <f t="shared" si="28"/>
        <v>16059</v>
      </c>
      <c r="G89" s="38">
        <f t="shared" si="28"/>
        <v>16059</v>
      </c>
      <c r="H89" s="38">
        <f t="shared" si="28"/>
        <v>16059</v>
      </c>
      <c r="I89" s="38">
        <f t="shared" si="28"/>
        <v>16059</v>
      </c>
      <c r="J89" s="38">
        <f t="shared" si="28"/>
        <v>16059</v>
      </c>
      <c r="K89" s="8">
        <f t="shared" si="28"/>
        <v>16059</v>
      </c>
      <c r="L89" s="8">
        <f t="shared" si="28"/>
        <v>16059</v>
      </c>
      <c r="M89" s="8">
        <f t="shared" si="28"/>
        <v>16059</v>
      </c>
      <c r="N89" s="8">
        <f t="shared" si="28"/>
        <v>16059</v>
      </c>
      <c r="O89" s="8">
        <f t="shared" si="28"/>
        <v>16059</v>
      </c>
      <c r="P89" s="8">
        <f t="shared" si="28"/>
        <v>16059</v>
      </c>
      <c r="Q89" s="8">
        <f t="shared" si="28"/>
        <v>16059</v>
      </c>
      <c r="R89" s="8">
        <f t="shared" si="28"/>
        <v>16059</v>
      </c>
      <c r="S89" s="8">
        <f t="shared" si="28"/>
        <v>16059</v>
      </c>
      <c r="T89" s="8">
        <f t="shared" si="28"/>
        <v>16059</v>
      </c>
      <c r="U89" s="8">
        <f t="shared" si="28"/>
        <v>16059</v>
      </c>
      <c r="V89" s="8">
        <f t="shared" si="28"/>
        <v>16059</v>
      </c>
      <c r="W89" s="8">
        <f t="shared" si="28"/>
        <v>16059</v>
      </c>
      <c r="X89" s="8">
        <f t="shared" si="28"/>
        <v>16059</v>
      </c>
      <c r="Y89" s="8">
        <f t="shared" si="28"/>
        <v>16059</v>
      </c>
      <c r="Z89" s="8">
        <f t="shared" si="28"/>
        <v>16059</v>
      </c>
      <c r="AA89" s="8">
        <f t="shared" si="28"/>
        <v>16059</v>
      </c>
      <c r="AB89" s="8">
        <f t="shared" si="28"/>
        <v>16059</v>
      </c>
      <c r="AC89" s="8">
        <f t="shared" si="28"/>
        <v>16059</v>
      </c>
      <c r="AD89" s="8">
        <f t="shared" si="28"/>
        <v>16059</v>
      </c>
      <c r="AE89" s="8">
        <f t="shared" si="28"/>
        <v>16059</v>
      </c>
      <c r="AF89" s="8">
        <f t="shared" si="28"/>
        <v>16059</v>
      </c>
      <c r="AG89" s="8">
        <f t="shared" si="28"/>
        <v>16059</v>
      </c>
      <c r="AH89" s="8">
        <f t="shared" si="28"/>
        <v>16059</v>
      </c>
      <c r="AI89" s="8">
        <f t="shared" si="28"/>
        <v>16059</v>
      </c>
      <c r="AJ89" s="8">
        <f t="shared" si="28"/>
        <v>16059</v>
      </c>
      <c r="AK89" s="8">
        <f t="shared" si="28"/>
        <v>16059</v>
      </c>
    </row>
    <row r="90" spans="1:37" ht="16.350000000000001" customHeight="1" x14ac:dyDescent="0.3">
      <c r="A90" s="38" t="s">
        <v>107</v>
      </c>
      <c r="B90" s="50">
        <f>IFERROR(INDEX($H$6:$V$6,1,MATCH("RM08",$H$3:$V$3,0)),0)</f>
        <v>123000</v>
      </c>
      <c r="C90" s="38">
        <f>$B90+C88+C92-C87</f>
        <v>161000</v>
      </c>
      <c r="D90" s="38">
        <f t="shared" ref="D90:AK90" si="29">C90+D88+D92-D87</f>
        <v>161000</v>
      </c>
      <c r="E90" s="38">
        <f t="shared" si="29"/>
        <v>148040</v>
      </c>
      <c r="F90" s="38">
        <f t="shared" si="29"/>
        <v>122930</v>
      </c>
      <c r="G90" s="38">
        <f t="shared" si="29"/>
        <v>87584</v>
      </c>
      <c r="H90" s="38">
        <f t="shared" si="29"/>
        <v>56012</v>
      </c>
      <c r="I90" s="38">
        <f t="shared" si="29"/>
        <v>46292</v>
      </c>
      <c r="J90" s="38">
        <f t="shared" si="29"/>
        <v>26966</v>
      </c>
      <c r="K90" s="8">
        <f t="shared" si="29"/>
        <v>16059</v>
      </c>
      <c r="L90" s="8">
        <f t="shared" si="29"/>
        <v>16059</v>
      </c>
      <c r="M90" s="8">
        <f t="shared" si="29"/>
        <v>16059</v>
      </c>
      <c r="N90" s="8">
        <f t="shared" si="29"/>
        <v>16059</v>
      </c>
      <c r="O90" s="8">
        <f t="shared" si="29"/>
        <v>16059</v>
      </c>
      <c r="P90" s="8">
        <f t="shared" si="29"/>
        <v>16059</v>
      </c>
      <c r="Q90" s="8">
        <f t="shared" si="29"/>
        <v>16059</v>
      </c>
      <c r="R90" s="8">
        <f t="shared" si="29"/>
        <v>16059</v>
      </c>
      <c r="S90" s="8">
        <f t="shared" si="29"/>
        <v>16059</v>
      </c>
      <c r="T90" s="8">
        <f t="shared" si="29"/>
        <v>16059</v>
      </c>
      <c r="U90" s="8">
        <f t="shared" si="29"/>
        <v>16059</v>
      </c>
      <c r="V90" s="8">
        <f t="shared" si="29"/>
        <v>16059</v>
      </c>
      <c r="W90" s="8">
        <f t="shared" si="29"/>
        <v>16059</v>
      </c>
      <c r="X90" s="8">
        <f t="shared" si="29"/>
        <v>16059</v>
      </c>
      <c r="Y90" s="8">
        <f t="shared" si="29"/>
        <v>16059</v>
      </c>
      <c r="Z90" s="8">
        <f t="shared" si="29"/>
        <v>16059</v>
      </c>
      <c r="AA90" s="8">
        <f t="shared" si="29"/>
        <v>16059</v>
      </c>
      <c r="AB90" s="8">
        <f t="shared" si="29"/>
        <v>16059</v>
      </c>
      <c r="AC90" s="8">
        <f t="shared" si="29"/>
        <v>16059</v>
      </c>
      <c r="AD90" s="8">
        <f t="shared" si="29"/>
        <v>16059</v>
      </c>
      <c r="AE90" s="8">
        <f t="shared" si="29"/>
        <v>16059</v>
      </c>
      <c r="AF90" s="8">
        <f t="shared" si="29"/>
        <v>16059</v>
      </c>
      <c r="AG90" s="8">
        <f t="shared" si="29"/>
        <v>16059</v>
      </c>
      <c r="AH90" s="8">
        <f t="shared" si="29"/>
        <v>16059</v>
      </c>
      <c r="AI90" s="8">
        <f t="shared" si="29"/>
        <v>16059</v>
      </c>
      <c r="AJ90" s="8">
        <f t="shared" si="29"/>
        <v>16059</v>
      </c>
      <c r="AK90" s="8">
        <f t="shared" si="29"/>
        <v>16059</v>
      </c>
    </row>
    <row r="91" spans="1:37" ht="16.350000000000001" customHeight="1" x14ac:dyDescent="0.3">
      <c r="A91" s="38" t="s">
        <v>108</v>
      </c>
      <c r="B91" s="50"/>
      <c r="C91" s="38">
        <f>MAX(C87+C89-($B90+C88),0)</f>
        <v>0</v>
      </c>
      <c r="D91" s="38">
        <f t="shared" ref="D91:AK91" si="30">MAX(D87+D89-(C90+D88),0)</f>
        <v>0</v>
      </c>
      <c r="E91" s="38">
        <f t="shared" si="30"/>
        <v>0</v>
      </c>
      <c r="F91" s="38">
        <f t="shared" si="30"/>
        <v>0</v>
      </c>
      <c r="G91" s="38">
        <f t="shared" si="30"/>
        <v>0</v>
      </c>
      <c r="H91" s="38">
        <f t="shared" si="30"/>
        <v>0</v>
      </c>
      <c r="I91" s="38">
        <f t="shared" si="30"/>
        <v>0</v>
      </c>
      <c r="J91" s="38">
        <f t="shared" si="30"/>
        <v>0</v>
      </c>
      <c r="K91" s="8">
        <f t="shared" si="30"/>
        <v>15499</v>
      </c>
      <c r="L91" s="8">
        <f t="shared" si="30"/>
        <v>23085</v>
      </c>
      <c r="M91" s="8">
        <f t="shared" si="30"/>
        <v>7500</v>
      </c>
      <c r="N91" s="8">
        <f t="shared" si="30"/>
        <v>7500</v>
      </c>
      <c r="O91" s="8">
        <f t="shared" si="30"/>
        <v>7500</v>
      </c>
      <c r="P91" s="8">
        <f t="shared" si="30"/>
        <v>3000</v>
      </c>
      <c r="Q91" s="8">
        <f t="shared" si="30"/>
        <v>3000</v>
      </c>
      <c r="R91" s="8">
        <f t="shared" si="30"/>
        <v>3000</v>
      </c>
      <c r="S91" s="8">
        <f t="shared" si="30"/>
        <v>3000</v>
      </c>
      <c r="T91" s="8">
        <f t="shared" si="30"/>
        <v>3000</v>
      </c>
      <c r="U91" s="8">
        <f t="shared" si="30"/>
        <v>2250</v>
      </c>
      <c r="V91" s="8">
        <f t="shared" si="30"/>
        <v>2250</v>
      </c>
      <c r="W91" s="8">
        <f t="shared" si="30"/>
        <v>2250</v>
      </c>
      <c r="X91" s="8">
        <f t="shared" si="30"/>
        <v>2250</v>
      </c>
      <c r="Y91" s="8">
        <f t="shared" si="30"/>
        <v>1800</v>
      </c>
      <c r="Z91" s="8">
        <f t="shared" si="30"/>
        <v>1800</v>
      </c>
      <c r="AA91" s="8">
        <f t="shared" si="30"/>
        <v>1800</v>
      </c>
      <c r="AB91" s="8">
        <f t="shared" si="30"/>
        <v>1800</v>
      </c>
      <c r="AC91" s="8">
        <f t="shared" si="30"/>
        <v>1800</v>
      </c>
      <c r="AD91" s="8">
        <f t="shared" si="30"/>
        <v>1500</v>
      </c>
      <c r="AE91" s="8">
        <f t="shared" si="30"/>
        <v>1500</v>
      </c>
      <c r="AF91" s="8">
        <f t="shared" si="30"/>
        <v>1500</v>
      </c>
      <c r="AG91" s="8">
        <f t="shared" si="30"/>
        <v>1500</v>
      </c>
      <c r="AH91" s="8">
        <f t="shared" si="30"/>
        <v>9000</v>
      </c>
      <c r="AI91" s="8">
        <f t="shared" si="30"/>
        <v>9000</v>
      </c>
      <c r="AJ91" s="8">
        <f t="shared" si="30"/>
        <v>9000</v>
      </c>
      <c r="AK91" s="8">
        <f t="shared" si="30"/>
        <v>9000</v>
      </c>
    </row>
    <row r="92" spans="1:37" ht="16.350000000000001" customHeight="1" x14ac:dyDescent="0.3">
      <c r="A92" s="124" t="s">
        <v>109</v>
      </c>
      <c r="B92" s="122"/>
      <c r="C92" s="38">
        <f t="shared" ref="C92:AK92" si="31">C91</f>
        <v>0</v>
      </c>
      <c r="D92" s="38">
        <f t="shared" si="31"/>
        <v>0</v>
      </c>
      <c r="E92" s="38">
        <f t="shared" si="31"/>
        <v>0</v>
      </c>
      <c r="F92" s="38">
        <f t="shared" si="31"/>
        <v>0</v>
      </c>
      <c r="G92" s="38">
        <f t="shared" si="31"/>
        <v>0</v>
      </c>
      <c r="H92" s="38">
        <f t="shared" si="31"/>
        <v>0</v>
      </c>
      <c r="I92" s="38">
        <f t="shared" si="31"/>
        <v>0</v>
      </c>
      <c r="J92" s="38">
        <f t="shared" si="31"/>
        <v>0</v>
      </c>
      <c r="K92" s="8">
        <f t="shared" si="31"/>
        <v>15499</v>
      </c>
      <c r="L92" s="8">
        <f t="shared" si="31"/>
        <v>23085</v>
      </c>
      <c r="M92" s="8">
        <f t="shared" si="31"/>
        <v>7500</v>
      </c>
      <c r="N92" s="8">
        <f t="shared" si="31"/>
        <v>7500</v>
      </c>
      <c r="O92" s="8">
        <f t="shared" si="31"/>
        <v>7500</v>
      </c>
      <c r="P92" s="8">
        <f t="shared" si="31"/>
        <v>3000</v>
      </c>
      <c r="Q92" s="8">
        <f t="shared" si="31"/>
        <v>3000</v>
      </c>
      <c r="R92" s="8">
        <f t="shared" si="31"/>
        <v>3000</v>
      </c>
      <c r="S92" s="8">
        <f t="shared" si="31"/>
        <v>3000</v>
      </c>
      <c r="T92" s="8">
        <f t="shared" si="31"/>
        <v>3000</v>
      </c>
      <c r="U92" s="8">
        <f t="shared" si="31"/>
        <v>2250</v>
      </c>
      <c r="V92" s="8">
        <f t="shared" si="31"/>
        <v>2250</v>
      </c>
      <c r="W92" s="8">
        <f t="shared" si="31"/>
        <v>2250</v>
      </c>
      <c r="X92" s="8">
        <f t="shared" si="31"/>
        <v>2250</v>
      </c>
      <c r="Y92" s="8">
        <f t="shared" si="31"/>
        <v>1800</v>
      </c>
      <c r="Z92" s="8">
        <f t="shared" si="31"/>
        <v>1800</v>
      </c>
      <c r="AA92" s="8">
        <f t="shared" si="31"/>
        <v>1800</v>
      </c>
      <c r="AB92" s="8">
        <f t="shared" si="31"/>
        <v>1800</v>
      </c>
      <c r="AC92" s="8">
        <f t="shared" si="31"/>
        <v>1800</v>
      </c>
      <c r="AD92" s="8">
        <f t="shared" si="31"/>
        <v>1500</v>
      </c>
      <c r="AE92" s="8">
        <f t="shared" si="31"/>
        <v>1500</v>
      </c>
      <c r="AF92" s="8">
        <f t="shared" si="31"/>
        <v>1500</v>
      </c>
      <c r="AG92" s="8">
        <f t="shared" si="31"/>
        <v>1500</v>
      </c>
      <c r="AH92" s="8">
        <f t="shared" si="31"/>
        <v>9000</v>
      </c>
      <c r="AI92" s="8">
        <f t="shared" si="31"/>
        <v>9000</v>
      </c>
      <c r="AJ92" s="8">
        <f t="shared" si="31"/>
        <v>9000</v>
      </c>
      <c r="AK92" s="8">
        <f t="shared" si="31"/>
        <v>9000</v>
      </c>
    </row>
    <row r="93" spans="1:37" ht="16.350000000000001" customHeight="1" x14ac:dyDescent="0.3">
      <c r="A93" s="38" t="s">
        <v>110</v>
      </c>
      <c r="B93" s="50"/>
      <c r="C93" s="38">
        <f>IFERROR(INDEX($C$92:$AK$92,1,1+ROUND(INDEX($H$5:$V$5,1,MATCH("RM08",$H$3:$V$3,0))/7,0)),0)</f>
        <v>23085</v>
      </c>
      <c r="D93" s="38">
        <f>IFERROR(INDEX($C$92:$AK$92,1,2+ROUND(INDEX($H$5:$V$5,1,MATCH("RM08",$H$3:$V$3,0))/7,0)),0)</f>
        <v>7500</v>
      </c>
      <c r="E93" s="38">
        <f>IFERROR(INDEX($C$92:$AK$92,1,3+ROUND(INDEX($H$5:$V$5,1,MATCH("RM08",$H$3:$V$3,0))/7,0)),0)</f>
        <v>7500</v>
      </c>
      <c r="F93" s="38">
        <f>IFERROR(INDEX($C$92:$AK$92,1,4+ROUND(INDEX($H$5:$V$5,1,MATCH("RM08",$H$3:$V$3,0))/7,0)),0)</f>
        <v>7500</v>
      </c>
      <c r="G93" s="38">
        <f>IFERROR(INDEX($C$92:$AK$92,1,5+ROUND(INDEX($H$5:$V$5,1,MATCH("RM08",$H$3:$V$3,0))/7,0)),0)</f>
        <v>3000</v>
      </c>
      <c r="H93" s="38">
        <f>IFERROR(INDEX($C$92:$AK$92,1,6+ROUND(INDEX($H$5:$V$5,1,MATCH("RM08",$H$3:$V$3,0))/7,0)),0)</f>
        <v>3000</v>
      </c>
      <c r="I93" s="38">
        <f>IFERROR(INDEX($C$92:$AK$92,1,7+ROUND(INDEX($H$5:$V$5,1,MATCH("RM08",$H$3:$V$3,0))/7,0)),0)</f>
        <v>3000</v>
      </c>
      <c r="J93" s="38">
        <f>IFERROR(INDEX($C$92:$AK$92,1,8+ROUND(INDEX($H$5:$V$5,1,MATCH("RM08",$H$3:$V$3,0))/7,0)),0)</f>
        <v>3000</v>
      </c>
      <c r="K93" s="8">
        <f>IFERROR(INDEX($C$92:$AK$92,1,9+ROUND(INDEX($H$5:$V$5,1,MATCH("RM08",$H$3:$V$3,0))/7,0)),0)</f>
        <v>3000</v>
      </c>
      <c r="L93" s="8">
        <f>IFERROR(INDEX($C$92:$AK$92,1,10+ROUND(INDEX($H$5:$V$5,1,MATCH("RM08",$H$3:$V$3,0))/7,0)),0)</f>
        <v>2250</v>
      </c>
      <c r="M93" s="8">
        <f>IFERROR(INDEX($C$92:$AK$92,1,11+ROUND(INDEX($H$5:$V$5,1,MATCH("RM08",$H$3:$V$3,0))/7,0)),0)</f>
        <v>2250</v>
      </c>
      <c r="N93" s="8">
        <f>IFERROR(INDEX($C$92:$AK$92,1,12+ROUND(INDEX($H$5:$V$5,1,MATCH("RM08",$H$3:$V$3,0))/7,0)),0)</f>
        <v>2250</v>
      </c>
      <c r="O93" s="8">
        <f>IFERROR(INDEX($C$92:$AK$92,1,13+ROUND(INDEX($H$5:$V$5,1,MATCH("RM08",$H$3:$V$3,0))/7,0)),0)</f>
        <v>2250</v>
      </c>
      <c r="P93" s="8">
        <f>IFERROR(INDEX($C$92:$AK$92,1,14+ROUND(INDEX($H$5:$V$5,1,MATCH("RM08",$H$3:$V$3,0))/7,0)),0)</f>
        <v>1800</v>
      </c>
      <c r="Q93" s="8">
        <f>IFERROR(INDEX($C$92:$AK$92,1,15+ROUND(INDEX($H$5:$V$5,1,MATCH("RM08",$H$3:$V$3,0))/7,0)),0)</f>
        <v>1800</v>
      </c>
      <c r="R93" s="8">
        <f>IFERROR(INDEX($C$92:$AK$92,1,16+ROUND(INDEX($H$5:$V$5,1,MATCH("RM08",$H$3:$V$3,0))/7,0)),0)</f>
        <v>1800</v>
      </c>
      <c r="S93" s="8">
        <f>IFERROR(INDEX($C$92:$AK$92,1,17+ROUND(INDEX($H$5:$V$5,1,MATCH("RM08",$H$3:$V$3,0))/7,0)),0)</f>
        <v>1800</v>
      </c>
      <c r="T93" s="8">
        <f>IFERROR(INDEX($C$92:$AK$92,1,18+ROUND(INDEX($H$5:$V$5,1,MATCH("RM08",$H$3:$V$3,0))/7,0)),0)</f>
        <v>1800</v>
      </c>
      <c r="U93" s="8">
        <f>IFERROR(INDEX($C$92:$AK$92,1,19+ROUND(INDEX($H$5:$V$5,1,MATCH("RM08",$H$3:$V$3,0))/7,0)),0)</f>
        <v>1500</v>
      </c>
      <c r="V93" s="8">
        <f>IFERROR(INDEX($C$92:$AK$92,1,20+ROUND(INDEX($H$5:$V$5,1,MATCH("RM08",$H$3:$V$3,0))/7,0)),0)</f>
        <v>1500</v>
      </c>
      <c r="W93" s="8">
        <f>IFERROR(INDEX($C$92:$AK$92,1,21+ROUND(INDEX($H$5:$V$5,1,MATCH("RM08",$H$3:$V$3,0))/7,0)),0)</f>
        <v>1500</v>
      </c>
      <c r="X93" s="8">
        <f>IFERROR(INDEX($C$92:$AK$92,1,22+ROUND(INDEX($H$5:$V$5,1,MATCH("RM08",$H$3:$V$3,0))/7,0)),0)</f>
        <v>1500</v>
      </c>
      <c r="Y93" s="8">
        <f>IFERROR(INDEX($C$92:$AK$92,1,23+ROUND(INDEX($H$5:$V$5,1,MATCH("RM08",$H$3:$V$3,0))/7,0)),0)</f>
        <v>9000</v>
      </c>
      <c r="Z93" s="8">
        <f>IFERROR(INDEX($C$92:$AK$92,1,24+ROUND(INDEX($H$5:$V$5,1,MATCH("RM08",$H$3:$V$3,0))/7,0)),0)</f>
        <v>9000</v>
      </c>
      <c r="AA93" s="8">
        <f>IFERROR(INDEX($C$92:$AK$92,1,25+ROUND(INDEX($H$5:$V$5,1,MATCH("RM08",$H$3:$V$3,0))/7,0)),0)</f>
        <v>9000</v>
      </c>
      <c r="AB93" s="8">
        <f>IFERROR(INDEX($C$92:$AK$92,1,26+ROUND(INDEX($H$5:$V$5,1,MATCH("RM08",$H$3:$V$3,0))/7,0)),0)</f>
        <v>9000</v>
      </c>
      <c r="AC93" s="8">
        <f>IFERROR(INDEX($C$92:$AK$92,1,27+ROUND(INDEX($H$5:$V$5,1,MATCH("RM08",$H$3:$V$3,0))/7,0)),0)</f>
        <v>0</v>
      </c>
      <c r="AD93" s="8">
        <f>IFERROR(INDEX($C$92:$AK$92,1,28+ROUND(INDEX($H$5:$V$5,1,MATCH("RM08",$H$3:$V$3,0))/7,0)),0)</f>
        <v>0</v>
      </c>
      <c r="AE93" s="8">
        <f>IFERROR(INDEX($C$92:$AK$92,1,29+ROUND(INDEX($H$5:$V$5,1,MATCH("RM08",$H$3:$V$3,0))/7,0)),0)</f>
        <v>0</v>
      </c>
      <c r="AF93" s="8">
        <f>IFERROR(INDEX($C$92:$AK$92,1,30+ROUND(INDEX($H$5:$V$5,1,MATCH("RM08",$H$3:$V$3,0))/7,0)),0)</f>
        <v>0</v>
      </c>
      <c r="AG93" s="8">
        <f>IFERROR(INDEX($C$92:$AK$92,1,31+ROUND(INDEX($H$5:$V$5,1,MATCH("RM08",$H$3:$V$3,0))/7,0)),0)</f>
        <v>0</v>
      </c>
      <c r="AH93" s="8">
        <f>IFERROR(INDEX($C$92:$AK$92,1,32+ROUND(INDEX($H$5:$V$5,1,MATCH("RM08",$H$3:$V$3,0))/7,0)),0)</f>
        <v>0</v>
      </c>
      <c r="AI93" s="8">
        <f>IFERROR(INDEX($C$92:$AK$92,1,33+ROUND(INDEX($H$5:$V$5,1,MATCH("RM08",$H$3:$V$3,0))/7,0)),0)</f>
        <v>0</v>
      </c>
      <c r="AJ93" s="8">
        <f>IFERROR(INDEX($C$92:$AK$92,1,34+ROUND(INDEX($H$5:$V$5,1,MATCH("RM08",$H$3:$V$3,0))/7,0)),0)</f>
        <v>0</v>
      </c>
      <c r="AK93" s="8">
        <f>IFERROR(INDEX($C$92:$AK$92,1,35+ROUND(INDEX($H$5:$V$5,1,MATCH("RM08",$H$3:$V$3,0))/7,0)),0)</f>
        <v>0</v>
      </c>
    </row>
    <row r="95" spans="1:37" ht="16.350000000000001" customHeight="1" x14ac:dyDescent="0.3">
      <c r="A95" s="51" t="s">
        <v>118</v>
      </c>
      <c r="B95" s="51" t="s">
        <v>104</v>
      </c>
      <c r="C95" s="123" t="s">
        <v>63</v>
      </c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2"/>
    </row>
    <row r="96" spans="1:37" ht="16.350000000000001" customHeight="1" x14ac:dyDescent="0.3">
      <c r="A96" s="51" t="s">
        <v>105</v>
      </c>
      <c r="B96" s="51" t="str">
        <f>"LT: "&amp;ROUND(INDEX($H$5:$V$5,1,MATCH("RM09",$H$3:$V$3,0))/7,0)</f>
        <v>LT: 4</v>
      </c>
      <c r="C96" s="52">
        <f t="array" ref="C96:AK96">TRANSPOSE([3]BOM_demand!$A$2:$A$36)</f>
        <v>46132</v>
      </c>
      <c r="D96" s="52">
        <v>46139</v>
      </c>
      <c r="E96" s="52">
        <v>46146</v>
      </c>
      <c r="F96" s="52">
        <v>46153</v>
      </c>
      <c r="G96" s="52">
        <v>46160</v>
      </c>
      <c r="H96" s="52">
        <v>46167</v>
      </c>
      <c r="I96" s="52">
        <v>46174</v>
      </c>
      <c r="J96" s="52">
        <v>46181</v>
      </c>
      <c r="K96" s="52">
        <v>46188</v>
      </c>
      <c r="L96" s="52">
        <v>46195</v>
      </c>
      <c r="M96" s="52">
        <v>46202</v>
      </c>
      <c r="N96" s="52">
        <v>46209</v>
      </c>
      <c r="O96" s="52">
        <v>46216</v>
      </c>
      <c r="P96" s="52">
        <v>46223</v>
      </c>
      <c r="Q96" s="52">
        <v>46230</v>
      </c>
      <c r="R96" s="52">
        <v>46237</v>
      </c>
      <c r="S96" s="52">
        <v>46244</v>
      </c>
      <c r="T96" s="52">
        <v>46251</v>
      </c>
      <c r="U96" s="52">
        <v>46258</v>
      </c>
      <c r="V96" s="52">
        <v>46265</v>
      </c>
      <c r="W96" s="52">
        <v>46272</v>
      </c>
      <c r="X96" s="52">
        <v>46279</v>
      </c>
      <c r="Y96" s="52">
        <v>46286</v>
      </c>
      <c r="Z96" s="52">
        <v>46293</v>
      </c>
      <c r="AA96" s="52">
        <v>46300</v>
      </c>
      <c r="AB96" s="52">
        <v>46307</v>
      </c>
      <c r="AC96" s="52">
        <v>46314</v>
      </c>
      <c r="AD96" s="52">
        <v>46321</v>
      </c>
      <c r="AE96" s="52">
        <v>46328</v>
      </c>
      <c r="AF96" s="52">
        <v>46335</v>
      </c>
      <c r="AG96" s="52">
        <v>46342</v>
      </c>
      <c r="AH96" s="52">
        <v>46349</v>
      </c>
      <c r="AI96" s="52">
        <v>46356</v>
      </c>
      <c r="AJ96" s="52">
        <v>46363</v>
      </c>
      <c r="AK96" s="52">
        <v>46370</v>
      </c>
    </row>
    <row r="97" spans="1:37" ht="16.350000000000001" customHeight="1" x14ac:dyDescent="0.3">
      <c r="A97" s="55" t="s">
        <v>106</v>
      </c>
      <c r="C97" s="38">
        <f t="array" ref="C97:AK97">TRANSPOSE([3]BOM_demand!$P$2:$P$36)</f>
        <v>0</v>
      </c>
      <c r="D97" s="38">
        <v>0</v>
      </c>
      <c r="E97" s="38">
        <v>2160</v>
      </c>
      <c r="F97" s="38">
        <v>4185</v>
      </c>
      <c r="G97" s="38">
        <v>5891</v>
      </c>
      <c r="H97" s="38">
        <v>5262</v>
      </c>
      <c r="I97" s="38">
        <v>1620</v>
      </c>
      <c r="J97" s="38">
        <v>3221</v>
      </c>
      <c r="K97" s="38">
        <v>4401</v>
      </c>
      <c r="L97" s="38">
        <v>3847.5</v>
      </c>
      <c r="M97" s="38">
        <v>1250</v>
      </c>
      <c r="N97" s="38">
        <v>1250</v>
      </c>
      <c r="O97" s="38">
        <v>1250</v>
      </c>
      <c r="P97" s="38">
        <v>500</v>
      </c>
      <c r="Q97" s="38">
        <v>500</v>
      </c>
      <c r="R97" s="38">
        <v>500</v>
      </c>
      <c r="S97" s="38">
        <v>500</v>
      </c>
      <c r="T97" s="38">
        <v>500</v>
      </c>
      <c r="U97" s="38">
        <v>375</v>
      </c>
      <c r="V97" s="38">
        <v>375</v>
      </c>
      <c r="W97" s="38">
        <v>375</v>
      </c>
      <c r="X97" s="38">
        <v>375</v>
      </c>
      <c r="Y97" s="38">
        <v>300</v>
      </c>
      <c r="Z97" s="38">
        <v>300</v>
      </c>
      <c r="AA97" s="38">
        <v>300</v>
      </c>
      <c r="AB97" s="38">
        <v>300</v>
      </c>
      <c r="AC97" s="38">
        <v>300</v>
      </c>
      <c r="AD97" s="38">
        <v>250</v>
      </c>
      <c r="AE97" s="38">
        <v>250</v>
      </c>
      <c r="AF97" s="38">
        <v>250</v>
      </c>
      <c r="AG97" s="38">
        <v>250</v>
      </c>
      <c r="AH97" s="38">
        <v>1500</v>
      </c>
      <c r="AI97" s="38">
        <v>1500</v>
      </c>
      <c r="AJ97" s="38">
        <v>1500</v>
      </c>
      <c r="AK97" s="38">
        <v>1500</v>
      </c>
    </row>
    <row r="98" spans="1:37" ht="16.350000000000001" customHeight="1" x14ac:dyDescent="0.3">
      <c r="A98" s="124" t="s">
        <v>100</v>
      </c>
      <c r="B98" s="122"/>
      <c r="C98" s="38">
        <f>IFERROR(INDEX($H$7:$V$7,1,MATCH("RM09",$H$3:$V$3,0)),0)</f>
        <v>0</v>
      </c>
      <c r="D98" s="38">
        <f>0</f>
        <v>0</v>
      </c>
      <c r="E98" s="38">
        <f>0</f>
        <v>0</v>
      </c>
      <c r="F98" s="38">
        <f>0</f>
        <v>0</v>
      </c>
      <c r="G98" s="38">
        <f>0</f>
        <v>0</v>
      </c>
      <c r="H98" s="38">
        <f>0</f>
        <v>0</v>
      </c>
      <c r="I98" s="38">
        <f>0</f>
        <v>0</v>
      </c>
      <c r="J98" s="38">
        <f>0</f>
        <v>0</v>
      </c>
      <c r="K98" s="8">
        <f>0</f>
        <v>0</v>
      </c>
      <c r="L98" s="8">
        <f>0</f>
        <v>0</v>
      </c>
      <c r="M98" s="8">
        <f>0</f>
        <v>0</v>
      </c>
      <c r="N98" s="8">
        <f>0</f>
        <v>0</v>
      </c>
      <c r="O98" s="8">
        <f>0</f>
        <v>0</v>
      </c>
      <c r="P98" s="8">
        <f>0</f>
        <v>0</v>
      </c>
      <c r="Q98" s="8">
        <f>0</f>
        <v>0</v>
      </c>
      <c r="R98" s="8">
        <f>0</f>
        <v>0</v>
      </c>
      <c r="S98" s="8">
        <f>0</f>
        <v>0</v>
      </c>
      <c r="T98" s="8">
        <f>0</f>
        <v>0</v>
      </c>
      <c r="U98" s="8">
        <f>0</f>
        <v>0</v>
      </c>
      <c r="V98" s="8">
        <f>0</f>
        <v>0</v>
      </c>
      <c r="W98" s="8">
        <f>0</f>
        <v>0</v>
      </c>
      <c r="X98" s="8">
        <f>0</f>
        <v>0</v>
      </c>
      <c r="Y98" s="8">
        <f>0</f>
        <v>0</v>
      </c>
      <c r="Z98" s="8">
        <f>0</f>
        <v>0</v>
      </c>
      <c r="AA98" s="8">
        <f>0</f>
        <v>0</v>
      </c>
      <c r="AB98" s="8">
        <f>0</f>
        <v>0</v>
      </c>
      <c r="AC98" s="8">
        <f>0</f>
        <v>0</v>
      </c>
      <c r="AD98" s="8">
        <f>0</f>
        <v>0</v>
      </c>
      <c r="AE98" s="8">
        <f>0</f>
        <v>0</v>
      </c>
      <c r="AF98" s="8">
        <f>0</f>
        <v>0</v>
      </c>
      <c r="AG98" s="8">
        <f>0</f>
        <v>0</v>
      </c>
      <c r="AH98" s="8">
        <f>0</f>
        <v>0</v>
      </c>
      <c r="AI98" s="8">
        <f>0</f>
        <v>0</v>
      </c>
      <c r="AJ98" s="8">
        <f>0</f>
        <v>0</v>
      </c>
      <c r="AK98" s="8">
        <f>0</f>
        <v>0</v>
      </c>
    </row>
    <row r="99" spans="1:37" ht="16.350000000000001" customHeight="1" x14ac:dyDescent="0.3">
      <c r="A99" s="38" t="s">
        <v>101</v>
      </c>
      <c r="B99" s="50">
        <f>IFERROR(INDEX($H$8:$V$8,1,MATCH("RM09",$H$3:$V$3,0)),0)</f>
        <v>2677</v>
      </c>
      <c r="C99" s="38">
        <f t="shared" ref="C99:AK99" si="32">$B99</f>
        <v>2677</v>
      </c>
      <c r="D99" s="38">
        <f t="shared" si="32"/>
        <v>2677</v>
      </c>
      <c r="E99" s="38">
        <f t="shared" si="32"/>
        <v>2677</v>
      </c>
      <c r="F99" s="38">
        <f t="shared" si="32"/>
        <v>2677</v>
      </c>
      <c r="G99" s="38">
        <f t="shared" si="32"/>
        <v>2677</v>
      </c>
      <c r="H99" s="38">
        <f t="shared" si="32"/>
        <v>2677</v>
      </c>
      <c r="I99" s="38">
        <f t="shared" si="32"/>
        <v>2677</v>
      </c>
      <c r="J99" s="38">
        <f t="shared" si="32"/>
        <v>2677</v>
      </c>
      <c r="K99" s="8">
        <f t="shared" si="32"/>
        <v>2677</v>
      </c>
      <c r="L99" s="8">
        <f t="shared" si="32"/>
        <v>2677</v>
      </c>
      <c r="M99" s="8">
        <f t="shared" si="32"/>
        <v>2677</v>
      </c>
      <c r="N99" s="8">
        <f t="shared" si="32"/>
        <v>2677</v>
      </c>
      <c r="O99" s="8">
        <f t="shared" si="32"/>
        <v>2677</v>
      </c>
      <c r="P99" s="8">
        <f t="shared" si="32"/>
        <v>2677</v>
      </c>
      <c r="Q99" s="8">
        <f t="shared" si="32"/>
        <v>2677</v>
      </c>
      <c r="R99" s="8">
        <f t="shared" si="32"/>
        <v>2677</v>
      </c>
      <c r="S99" s="8">
        <f t="shared" si="32"/>
        <v>2677</v>
      </c>
      <c r="T99" s="8">
        <f t="shared" si="32"/>
        <v>2677</v>
      </c>
      <c r="U99" s="8">
        <f t="shared" si="32"/>
        <v>2677</v>
      </c>
      <c r="V99" s="8">
        <f t="shared" si="32"/>
        <v>2677</v>
      </c>
      <c r="W99" s="8">
        <f t="shared" si="32"/>
        <v>2677</v>
      </c>
      <c r="X99" s="8">
        <f t="shared" si="32"/>
        <v>2677</v>
      </c>
      <c r="Y99" s="8">
        <f t="shared" si="32"/>
        <v>2677</v>
      </c>
      <c r="Z99" s="8">
        <f t="shared" si="32"/>
        <v>2677</v>
      </c>
      <c r="AA99" s="8">
        <f t="shared" si="32"/>
        <v>2677</v>
      </c>
      <c r="AB99" s="8">
        <f t="shared" si="32"/>
        <v>2677</v>
      </c>
      <c r="AC99" s="8">
        <f t="shared" si="32"/>
        <v>2677</v>
      </c>
      <c r="AD99" s="8">
        <f t="shared" si="32"/>
        <v>2677</v>
      </c>
      <c r="AE99" s="8">
        <f t="shared" si="32"/>
        <v>2677</v>
      </c>
      <c r="AF99" s="8">
        <f t="shared" si="32"/>
        <v>2677</v>
      </c>
      <c r="AG99" s="8">
        <f t="shared" si="32"/>
        <v>2677</v>
      </c>
      <c r="AH99" s="8">
        <f t="shared" si="32"/>
        <v>2677</v>
      </c>
      <c r="AI99" s="8">
        <f t="shared" si="32"/>
        <v>2677</v>
      </c>
      <c r="AJ99" s="8">
        <f t="shared" si="32"/>
        <v>2677</v>
      </c>
      <c r="AK99" s="8">
        <f t="shared" si="32"/>
        <v>2677</v>
      </c>
    </row>
    <row r="100" spans="1:37" ht="16.350000000000001" customHeight="1" x14ac:dyDescent="0.3">
      <c r="A100" s="38" t="s">
        <v>107</v>
      </c>
      <c r="B100" s="50">
        <f>IFERROR(INDEX($H$6:$V$6,1,MATCH("RM09",$H$3:$V$3,0)),0)</f>
        <v>6500</v>
      </c>
      <c r="C100" s="38">
        <f>$B100+C98+C102-C97</f>
        <v>6500</v>
      </c>
      <c r="D100" s="38">
        <f t="shared" ref="D100:AK100" si="33">C100+D98+D102-D97</f>
        <v>6500</v>
      </c>
      <c r="E100" s="38">
        <f t="shared" si="33"/>
        <v>4340</v>
      </c>
      <c r="F100" s="38">
        <f t="shared" si="33"/>
        <v>2677</v>
      </c>
      <c r="G100" s="38">
        <f t="shared" si="33"/>
        <v>2677</v>
      </c>
      <c r="H100" s="38">
        <f t="shared" si="33"/>
        <v>2677</v>
      </c>
      <c r="I100" s="38">
        <f t="shared" si="33"/>
        <v>2677</v>
      </c>
      <c r="J100" s="38">
        <f t="shared" si="33"/>
        <v>2677</v>
      </c>
      <c r="K100" s="8">
        <f t="shared" si="33"/>
        <v>2677</v>
      </c>
      <c r="L100" s="8">
        <f t="shared" si="33"/>
        <v>2677</v>
      </c>
      <c r="M100" s="8">
        <f t="shared" si="33"/>
        <v>2677</v>
      </c>
      <c r="N100" s="8">
        <f t="shared" si="33"/>
        <v>2677</v>
      </c>
      <c r="O100" s="8">
        <f t="shared" si="33"/>
        <v>2677</v>
      </c>
      <c r="P100" s="8">
        <f t="shared" si="33"/>
        <v>2677</v>
      </c>
      <c r="Q100" s="8">
        <f t="shared" si="33"/>
        <v>2677</v>
      </c>
      <c r="R100" s="8">
        <f t="shared" si="33"/>
        <v>2677</v>
      </c>
      <c r="S100" s="8">
        <f t="shared" si="33"/>
        <v>2677</v>
      </c>
      <c r="T100" s="8">
        <f t="shared" si="33"/>
        <v>2677</v>
      </c>
      <c r="U100" s="8">
        <f t="shared" si="33"/>
        <v>2677</v>
      </c>
      <c r="V100" s="8">
        <f t="shared" si="33"/>
        <v>2677</v>
      </c>
      <c r="W100" s="8">
        <f t="shared" si="33"/>
        <v>2677</v>
      </c>
      <c r="X100" s="8">
        <f t="shared" si="33"/>
        <v>2677</v>
      </c>
      <c r="Y100" s="8">
        <f t="shared" si="33"/>
        <v>2677</v>
      </c>
      <c r="Z100" s="8">
        <f t="shared" si="33"/>
        <v>2677</v>
      </c>
      <c r="AA100" s="8">
        <f t="shared" si="33"/>
        <v>2677</v>
      </c>
      <c r="AB100" s="8">
        <f t="shared" si="33"/>
        <v>2677</v>
      </c>
      <c r="AC100" s="8">
        <f t="shared" si="33"/>
        <v>2677</v>
      </c>
      <c r="AD100" s="8">
        <f t="shared" si="33"/>
        <v>2677</v>
      </c>
      <c r="AE100" s="8">
        <f t="shared" si="33"/>
        <v>2677</v>
      </c>
      <c r="AF100" s="8">
        <f t="shared" si="33"/>
        <v>2677</v>
      </c>
      <c r="AG100" s="8">
        <f t="shared" si="33"/>
        <v>2677</v>
      </c>
      <c r="AH100" s="8">
        <f t="shared" si="33"/>
        <v>2677</v>
      </c>
      <c r="AI100" s="8">
        <f t="shared" si="33"/>
        <v>2677</v>
      </c>
      <c r="AJ100" s="8">
        <f t="shared" si="33"/>
        <v>2677</v>
      </c>
      <c r="AK100" s="8">
        <f t="shared" si="33"/>
        <v>2677</v>
      </c>
    </row>
    <row r="101" spans="1:37" ht="16.350000000000001" customHeight="1" x14ac:dyDescent="0.3">
      <c r="A101" s="38" t="s">
        <v>108</v>
      </c>
      <c r="B101" s="50"/>
      <c r="C101" s="38">
        <f>MAX(C97+C99-($B100+C98),0)</f>
        <v>0</v>
      </c>
      <c r="D101" s="38">
        <f t="shared" ref="D101:AK101" si="34">MAX(D97+D99-(C100+D98),0)</f>
        <v>0</v>
      </c>
      <c r="E101" s="38">
        <f t="shared" si="34"/>
        <v>0</v>
      </c>
      <c r="F101" s="38">
        <f t="shared" si="34"/>
        <v>2522</v>
      </c>
      <c r="G101" s="38">
        <f t="shared" si="34"/>
        <v>5891</v>
      </c>
      <c r="H101" s="38">
        <f t="shared" si="34"/>
        <v>5262</v>
      </c>
      <c r="I101" s="38">
        <f t="shared" si="34"/>
        <v>1620</v>
      </c>
      <c r="J101" s="38">
        <f t="shared" si="34"/>
        <v>3221</v>
      </c>
      <c r="K101" s="8">
        <f t="shared" si="34"/>
        <v>4401</v>
      </c>
      <c r="L101" s="8">
        <f t="shared" si="34"/>
        <v>3847.5</v>
      </c>
      <c r="M101" s="8">
        <f t="shared" si="34"/>
        <v>1250</v>
      </c>
      <c r="N101" s="8">
        <f t="shared" si="34"/>
        <v>1250</v>
      </c>
      <c r="O101" s="8">
        <f t="shared" si="34"/>
        <v>1250</v>
      </c>
      <c r="P101" s="8">
        <f t="shared" si="34"/>
        <v>500</v>
      </c>
      <c r="Q101" s="8">
        <f t="shared" si="34"/>
        <v>500</v>
      </c>
      <c r="R101" s="8">
        <f t="shared" si="34"/>
        <v>500</v>
      </c>
      <c r="S101" s="8">
        <f t="shared" si="34"/>
        <v>500</v>
      </c>
      <c r="T101" s="8">
        <f t="shared" si="34"/>
        <v>500</v>
      </c>
      <c r="U101" s="8">
        <f t="shared" si="34"/>
        <v>375</v>
      </c>
      <c r="V101" s="8">
        <f t="shared" si="34"/>
        <v>375</v>
      </c>
      <c r="W101" s="8">
        <f t="shared" si="34"/>
        <v>375</v>
      </c>
      <c r="X101" s="8">
        <f t="shared" si="34"/>
        <v>375</v>
      </c>
      <c r="Y101" s="8">
        <f t="shared" si="34"/>
        <v>300</v>
      </c>
      <c r="Z101" s="8">
        <f t="shared" si="34"/>
        <v>300</v>
      </c>
      <c r="AA101" s="8">
        <f t="shared" si="34"/>
        <v>300</v>
      </c>
      <c r="AB101" s="8">
        <f t="shared" si="34"/>
        <v>300</v>
      </c>
      <c r="AC101" s="8">
        <f t="shared" si="34"/>
        <v>300</v>
      </c>
      <c r="AD101" s="8">
        <f t="shared" si="34"/>
        <v>250</v>
      </c>
      <c r="AE101" s="8">
        <f t="shared" si="34"/>
        <v>250</v>
      </c>
      <c r="AF101" s="8">
        <f t="shared" si="34"/>
        <v>250</v>
      </c>
      <c r="AG101" s="8">
        <f t="shared" si="34"/>
        <v>250</v>
      </c>
      <c r="AH101" s="8">
        <f t="shared" si="34"/>
        <v>1500</v>
      </c>
      <c r="AI101" s="8">
        <f t="shared" si="34"/>
        <v>1500</v>
      </c>
      <c r="AJ101" s="8">
        <f t="shared" si="34"/>
        <v>1500</v>
      </c>
      <c r="AK101" s="8">
        <f t="shared" si="34"/>
        <v>1500</v>
      </c>
    </row>
    <row r="102" spans="1:37" ht="16.350000000000001" customHeight="1" x14ac:dyDescent="0.3">
      <c r="A102" s="124" t="s">
        <v>109</v>
      </c>
      <c r="B102" s="122"/>
      <c r="C102" s="38">
        <f t="shared" ref="C102:AK102" si="35">C101</f>
        <v>0</v>
      </c>
      <c r="D102" s="38">
        <f t="shared" si="35"/>
        <v>0</v>
      </c>
      <c r="E102" s="38">
        <f t="shared" si="35"/>
        <v>0</v>
      </c>
      <c r="F102" s="38">
        <f t="shared" si="35"/>
        <v>2522</v>
      </c>
      <c r="G102" s="38">
        <f t="shared" si="35"/>
        <v>5891</v>
      </c>
      <c r="H102" s="38">
        <f t="shared" si="35"/>
        <v>5262</v>
      </c>
      <c r="I102" s="38">
        <f t="shared" si="35"/>
        <v>1620</v>
      </c>
      <c r="J102" s="38">
        <f t="shared" si="35"/>
        <v>3221</v>
      </c>
      <c r="K102" s="8">
        <f t="shared" si="35"/>
        <v>4401</v>
      </c>
      <c r="L102" s="8">
        <f t="shared" si="35"/>
        <v>3847.5</v>
      </c>
      <c r="M102" s="8">
        <f t="shared" si="35"/>
        <v>1250</v>
      </c>
      <c r="N102" s="8">
        <f t="shared" si="35"/>
        <v>1250</v>
      </c>
      <c r="O102" s="8">
        <f t="shared" si="35"/>
        <v>1250</v>
      </c>
      <c r="P102" s="8">
        <f t="shared" si="35"/>
        <v>500</v>
      </c>
      <c r="Q102" s="8">
        <f t="shared" si="35"/>
        <v>500</v>
      </c>
      <c r="R102" s="8">
        <f t="shared" si="35"/>
        <v>500</v>
      </c>
      <c r="S102" s="8">
        <f t="shared" si="35"/>
        <v>500</v>
      </c>
      <c r="T102" s="8">
        <f t="shared" si="35"/>
        <v>500</v>
      </c>
      <c r="U102" s="8">
        <f t="shared" si="35"/>
        <v>375</v>
      </c>
      <c r="V102" s="8">
        <f t="shared" si="35"/>
        <v>375</v>
      </c>
      <c r="W102" s="8">
        <f t="shared" si="35"/>
        <v>375</v>
      </c>
      <c r="X102" s="8">
        <f t="shared" si="35"/>
        <v>375</v>
      </c>
      <c r="Y102" s="8">
        <f t="shared" si="35"/>
        <v>300</v>
      </c>
      <c r="Z102" s="8">
        <f t="shared" si="35"/>
        <v>300</v>
      </c>
      <c r="AA102" s="8">
        <f t="shared" si="35"/>
        <v>300</v>
      </c>
      <c r="AB102" s="8">
        <f t="shared" si="35"/>
        <v>300</v>
      </c>
      <c r="AC102" s="8">
        <f t="shared" si="35"/>
        <v>300</v>
      </c>
      <c r="AD102" s="8">
        <f t="shared" si="35"/>
        <v>250</v>
      </c>
      <c r="AE102" s="8">
        <f t="shared" si="35"/>
        <v>250</v>
      </c>
      <c r="AF102" s="8">
        <f t="shared" si="35"/>
        <v>250</v>
      </c>
      <c r="AG102" s="8">
        <f t="shared" si="35"/>
        <v>250</v>
      </c>
      <c r="AH102" s="8">
        <f t="shared" si="35"/>
        <v>1500</v>
      </c>
      <c r="AI102" s="8">
        <f t="shared" si="35"/>
        <v>1500</v>
      </c>
      <c r="AJ102" s="8">
        <f t="shared" si="35"/>
        <v>1500</v>
      </c>
      <c r="AK102" s="8">
        <f t="shared" si="35"/>
        <v>1500</v>
      </c>
    </row>
    <row r="103" spans="1:37" ht="16.350000000000001" customHeight="1" x14ac:dyDescent="0.3">
      <c r="A103" s="38" t="s">
        <v>110</v>
      </c>
      <c r="B103" s="50"/>
      <c r="C103" s="38">
        <f>IFERROR(INDEX($C$102:$AK$102,1,1+ROUND(INDEX($H$5:$V$5,1,MATCH("RM09",$H$3:$V$3,0))/7,0)),0)</f>
        <v>5891</v>
      </c>
      <c r="D103" s="38">
        <f>IFERROR(INDEX($C$102:$AK$102,1,2+ROUND(INDEX($H$5:$V$5,1,MATCH("RM09",$H$3:$V$3,0))/7,0)),0)</f>
        <v>5262</v>
      </c>
      <c r="E103" s="38">
        <f>IFERROR(INDEX($C$102:$AK$102,1,3+ROUND(INDEX($H$5:$V$5,1,MATCH("RM09",$H$3:$V$3,0))/7,0)),0)</f>
        <v>1620</v>
      </c>
      <c r="F103" s="38">
        <f>IFERROR(INDEX($C$102:$AK$102,1,4+ROUND(INDEX($H$5:$V$5,1,MATCH("RM09",$H$3:$V$3,0))/7,0)),0)</f>
        <v>3221</v>
      </c>
      <c r="G103" s="38">
        <f>IFERROR(INDEX($C$102:$AK$102,1,5+ROUND(INDEX($H$5:$V$5,1,MATCH("RM09",$H$3:$V$3,0))/7,0)),0)</f>
        <v>4401</v>
      </c>
      <c r="H103" s="38">
        <f>IFERROR(INDEX($C$102:$AK$102,1,6+ROUND(INDEX($H$5:$V$5,1,MATCH("RM09",$H$3:$V$3,0))/7,0)),0)</f>
        <v>3847.5</v>
      </c>
      <c r="I103" s="38">
        <f>IFERROR(INDEX($C$102:$AK$102,1,7+ROUND(INDEX($H$5:$V$5,1,MATCH("RM09",$H$3:$V$3,0))/7,0)),0)</f>
        <v>1250</v>
      </c>
      <c r="J103" s="38">
        <f>IFERROR(INDEX($C$102:$AK$102,1,8+ROUND(INDEX($H$5:$V$5,1,MATCH("RM09",$H$3:$V$3,0))/7,0)),0)</f>
        <v>1250</v>
      </c>
      <c r="K103" s="8">
        <f>IFERROR(INDEX($C$102:$AK$102,1,9+ROUND(INDEX($H$5:$V$5,1,MATCH("RM09",$H$3:$V$3,0))/7,0)),0)</f>
        <v>1250</v>
      </c>
      <c r="L103" s="8">
        <f>IFERROR(INDEX($C$102:$AK$102,1,10+ROUND(INDEX($H$5:$V$5,1,MATCH("RM09",$H$3:$V$3,0))/7,0)),0)</f>
        <v>500</v>
      </c>
      <c r="M103" s="8">
        <f>IFERROR(INDEX($C$102:$AK$102,1,11+ROUND(INDEX($H$5:$V$5,1,MATCH("RM09",$H$3:$V$3,0))/7,0)),0)</f>
        <v>500</v>
      </c>
      <c r="N103" s="8">
        <f>IFERROR(INDEX($C$102:$AK$102,1,12+ROUND(INDEX($H$5:$V$5,1,MATCH("RM09",$H$3:$V$3,0))/7,0)),0)</f>
        <v>500</v>
      </c>
      <c r="O103" s="8">
        <f>IFERROR(INDEX($C$102:$AK$102,1,13+ROUND(INDEX($H$5:$V$5,1,MATCH("RM09",$H$3:$V$3,0))/7,0)),0)</f>
        <v>500</v>
      </c>
      <c r="P103" s="8">
        <f>IFERROR(INDEX($C$102:$AK$102,1,14+ROUND(INDEX($H$5:$V$5,1,MATCH("RM09",$H$3:$V$3,0))/7,0)),0)</f>
        <v>500</v>
      </c>
      <c r="Q103" s="8">
        <f>IFERROR(INDEX($C$102:$AK$102,1,15+ROUND(INDEX($H$5:$V$5,1,MATCH("RM09",$H$3:$V$3,0))/7,0)),0)</f>
        <v>375</v>
      </c>
      <c r="R103" s="8">
        <f>IFERROR(INDEX($C$102:$AK$102,1,16+ROUND(INDEX($H$5:$V$5,1,MATCH("RM09",$H$3:$V$3,0))/7,0)),0)</f>
        <v>375</v>
      </c>
      <c r="S103" s="8">
        <f>IFERROR(INDEX($C$102:$AK$102,1,17+ROUND(INDEX($H$5:$V$5,1,MATCH("RM09",$H$3:$V$3,0))/7,0)),0)</f>
        <v>375</v>
      </c>
      <c r="T103" s="8">
        <f>IFERROR(INDEX($C$102:$AK$102,1,18+ROUND(INDEX($H$5:$V$5,1,MATCH("RM09",$H$3:$V$3,0))/7,0)),0)</f>
        <v>375</v>
      </c>
      <c r="U103" s="8">
        <f>IFERROR(INDEX($C$102:$AK$102,1,19+ROUND(INDEX($H$5:$V$5,1,MATCH("RM09",$H$3:$V$3,0))/7,0)),0)</f>
        <v>300</v>
      </c>
      <c r="V103" s="8">
        <f>IFERROR(INDEX($C$102:$AK$102,1,20+ROUND(INDEX($H$5:$V$5,1,MATCH("RM09",$H$3:$V$3,0))/7,0)),0)</f>
        <v>300</v>
      </c>
      <c r="W103" s="8">
        <f>IFERROR(INDEX($C$102:$AK$102,1,21+ROUND(INDEX($H$5:$V$5,1,MATCH("RM09",$H$3:$V$3,0))/7,0)),0)</f>
        <v>300</v>
      </c>
      <c r="X103" s="8">
        <f>IFERROR(INDEX($C$102:$AK$102,1,22+ROUND(INDEX($H$5:$V$5,1,MATCH("RM09",$H$3:$V$3,0))/7,0)),0)</f>
        <v>300</v>
      </c>
      <c r="Y103" s="8">
        <f>IFERROR(INDEX($C$102:$AK$102,1,23+ROUND(INDEX($H$5:$V$5,1,MATCH("RM09",$H$3:$V$3,0))/7,0)),0)</f>
        <v>300</v>
      </c>
      <c r="Z103" s="8">
        <f>IFERROR(INDEX($C$102:$AK$102,1,24+ROUND(INDEX($H$5:$V$5,1,MATCH("RM09",$H$3:$V$3,0))/7,0)),0)</f>
        <v>250</v>
      </c>
      <c r="AA103" s="8">
        <f>IFERROR(INDEX($C$102:$AK$102,1,25+ROUND(INDEX($H$5:$V$5,1,MATCH("RM09",$H$3:$V$3,0))/7,0)),0)</f>
        <v>250</v>
      </c>
      <c r="AB103" s="8">
        <f>IFERROR(INDEX($C$102:$AK$102,1,26+ROUND(INDEX($H$5:$V$5,1,MATCH("RM09",$H$3:$V$3,0))/7,0)),0)</f>
        <v>250</v>
      </c>
      <c r="AC103" s="8">
        <f>IFERROR(INDEX($C$102:$AK$102,1,27+ROUND(INDEX($H$5:$V$5,1,MATCH("RM09",$H$3:$V$3,0))/7,0)),0)</f>
        <v>250</v>
      </c>
      <c r="AD103" s="8">
        <f>IFERROR(INDEX($C$102:$AK$102,1,28+ROUND(INDEX($H$5:$V$5,1,MATCH("RM09",$H$3:$V$3,0))/7,0)),0)</f>
        <v>1500</v>
      </c>
      <c r="AE103" s="8">
        <f>IFERROR(INDEX($C$102:$AK$102,1,29+ROUND(INDEX($H$5:$V$5,1,MATCH("RM09",$H$3:$V$3,0))/7,0)),0)</f>
        <v>1500</v>
      </c>
      <c r="AF103" s="8">
        <f>IFERROR(INDEX($C$102:$AK$102,1,30+ROUND(INDEX($H$5:$V$5,1,MATCH("RM09",$H$3:$V$3,0))/7,0)),0)</f>
        <v>1500</v>
      </c>
      <c r="AG103" s="8">
        <f>IFERROR(INDEX($C$102:$AK$102,1,31+ROUND(INDEX($H$5:$V$5,1,MATCH("RM09",$H$3:$V$3,0))/7,0)),0)</f>
        <v>1500</v>
      </c>
      <c r="AH103" s="8">
        <f>IFERROR(INDEX($C$102:$AK$102,1,32+ROUND(INDEX($H$5:$V$5,1,MATCH("RM09",$H$3:$V$3,0))/7,0)),0)</f>
        <v>0</v>
      </c>
      <c r="AI103" s="8">
        <f>IFERROR(INDEX($C$102:$AK$102,1,33+ROUND(INDEX($H$5:$V$5,1,MATCH("RM09",$H$3:$V$3,0))/7,0)),0)</f>
        <v>0</v>
      </c>
      <c r="AJ103" s="8">
        <f>IFERROR(INDEX($C$102:$AK$102,1,34+ROUND(INDEX($H$5:$V$5,1,MATCH("RM09",$H$3:$V$3,0))/7,0)),0)</f>
        <v>0</v>
      </c>
      <c r="AK103" s="8">
        <f>IFERROR(INDEX($C$102:$AK$102,1,35+ROUND(INDEX($H$5:$V$5,1,MATCH("RM09",$H$3:$V$3,0))/7,0)),0)</f>
        <v>0</v>
      </c>
    </row>
    <row r="105" spans="1:37" ht="16.350000000000001" customHeight="1" x14ac:dyDescent="0.3">
      <c r="A105" s="51" t="s">
        <v>119</v>
      </c>
      <c r="B105" s="51" t="s">
        <v>104</v>
      </c>
      <c r="C105" s="123" t="s">
        <v>63</v>
      </c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2"/>
    </row>
    <row r="106" spans="1:37" ht="16.350000000000001" customHeight="1" x14ac:dyDescent="0.3">
      <c r="A106" s="51" t="s">
        <v>105</v>
      </c>
      <c r="B106" s="51" t="str">
        <f>"LT: "&amp;ROUND(INDEX($H$5:$V$5,1,MATCH("RM10",$H$3:$V$3,0))/7,0)</f>
        <v>LT: 11</v>
      </c>
      <c r="C106" s="52">
        <f t="array" ref="C106:AK106">TRANSPOSE([3]BOM_demand!$A$2:$A$36)</f>
        <v>46132</v>
      </c>
      <c r="D106" s="52">
        <v>46139</v>
      </c>
      <c r="E106" s="52">
        <v>46146</v>
      </c>
      <c r="F106" s="52">
        <v>46153</v>
      </c>
      <c r="G106" s="52">
        <v>46160</v>
      </c>
      <c r="H106" s="52">
        <v>46167</v>
      </c>
      <c r="I106" s="52">
        <v>46174</v>
      </c>
      <c r="J106" s="52">
        <v>46181</v>
      </c>
      <c r="K106" s="52">
        <v>46188</v>
      </c>
      <c r="L106" s="52">
        <v>46195</v>
      </c>
      <c r="M106" s="52">
        <v>46202</v>
      </c>
      <c r="N106" s="52">
        <v>46209</v>
      </c>
      <c r="O106" s="52">
        <v>46216</v>
      </c>
      <c r="P106" s="52">
        <v>46223</v>
      </c>
      <c r="Q106" s="52">
        <v>46230</v>
      </c>
      <c r="R106" s="52">
        <v>46237</v>
      </c>
      <c r="S106" s="52">
        <v>46244</v>
      </c>
      <c r="T106" s="52">
        <v>46251</v>
      </c>
      <c r="U106" s="52">
        <v>46258</v>
      </c>
      <c r="V106" s="52">
        <v>46265</v>
      </c>
      <c r="W106" s="52">
        <v>46272</v>
      </c>
      <c r="X106" s="52">
        <v>46279</v>
      </c>
      <c r="Y106" s="52">
        <v>46286</v>
      </c>
      <c r="Z106" s="52">
        <v>46293</v>
      </c>
      <c r="AA106" s="52">
        <v>46300</v>
      </c>
      <c r="AB106" s="52">
        <v>46307</v>
      </c>
      <c r="AC106" s="52">
        <v>46314</v>
      </c>
      <c r="AD106" s="52">
        <v>46321</v>
      </c>
      <c r="AE106" s="52">
        <v>46328</v>
      </c>
      <c r="AF106" s="52">
        <v>46335</v>
      </c>
      <c r="AG106" s="52">
        <v>46342</v>
      </c>
      <c r="AH106" s="52">
        <v>46349</v>
      </c>
      <c r="AI106" s="52">
        <v>46356</v>
      </c>
      <c r="AJ106" s="52">
        <v>46363</v>
      </c>
      <c r="AK106" s="52">
        <v>46370</v>
      </c>
    </row>
    <row r="107" spans="1:37" ht="16.350000000000001" customHeight="1" x14ac:dyDescent="0.3">
      <c r="A107" s="55" t="s">
        <v>106</v>
      </c>
      <c r="C107" s="38">
        <f t="array" ref="C107:AK107">TRANSPOSE([3]BOM_demand!$Q$2:$Q$36)</f>
        <v>0</v>
      </c>
      <c r="D107" s="38">
        <v>0</v>
      </c>
      <c r="E107" s="38">
        <v>4860</v>
      </c>
      <c r="F107" s="38">
        <v>19980</v>
      </c>
      <c r="G107" s="38">
        <v>11680</v>
      </c>
      <c r="H107" s="38">
        <v>16200</v>
      </c>
      <c r="I107" s="38">
        <v>2002</v>
      </c>
      <c r="J107" s="38">
        <v>4942</v>
      </c>
      <c r="K107" s="38">
        <v>6916</v>
      </c>
      <c r="L107" s="38">
        <v>1000</v>
      </c>
      <c r="M107" s="38">
        <v>1000</v>
      </c>
      <c r="N107" s="38">
        <v>1000</v>
      </c>
      <c r="O107" s="38">
        <v>1000</v>
      </c>
      <c r="P107" s="38">
        <v>0</v>
      </c>
      <c r="Q107" s="38">
        <v>0</v>
      </c>
      <c r="R107" s="38">
        <v>800</v>
      </c>
      <c r="S107" s="38">
        <v>0</v>
      </c>
      <c r="T107" s="38">
        <v>0</v>
      </c>
      <c r="U107" s="38">
        <v>800</v>
      </c>
      <c r="V107" s="38">
        <v>0</v>
      </c>
      <c r="W107" s="38">
        <v>800</v>
      </c>
      <c r="X107" s="38">
        <v>0</v>
      </c>
      <c r="Y107" s="38">
        <v>720</v>
      </c>
      <c r="Z107" s="38">
        <v>720</v>
      </c>
      <c r="AA107" s="38">
        <v>720</v>
      </c>
      <c r="AB107" s="38">
        <v>720</v>
      </c>
      <c r="AC107" s="38">
        <v>720</v>
      </c>
      <c r="AD107" s="38">
        <v>2000</v>
      </c>
      <c r="AE107" s="38">
        <v>2000</v>
      </c>
      <c r="AF107" s="38">
        <v>2000</v>
      </c>
      <c r="AG107" s="38">
        <v>2000</v>
      </c>
      <c r="AH107" s="38">
        <v>2500</v>
      </c>
      <c r="AI107" s="38">
        <v>2500</v>
      </c>
      <c r="AJ107" s="38">
        <v>2500</v>
      </c>
      <c r="AK107" s="38">
        <v>2500</v>
      </c>
    </row>
    <row r="108" spans="1:37" ht="16.350000000000001" customHeight="1" x14ac:dyDescent="0.3">
      <c r="A108" s="124" t="s">
        <v>100</v>
      </c>
      <c r="B108" s="122"/>
      <c r="C108" s="38">
        <f>IFERROR(INDEX($H$7:$V$7,1,MATCH("RM10",$H$3:$V$3,0)),0)</f>
        <v>5000</v>
      </c>
      <c r="D108" s="38">
        <f>0</f>
        <v>0</v>
      </c>
      <c r="E108" s="38">
        <f>0</f>
        <v>0</v>
      </c>
      <c r="F108" s="38">
        <f>0</f>
        <v>0</v>
      </c>
      <c r="G108" s="38">
        <f>0</f>
        <v>0</v>
      </c>
      <c r="H108" s="38">
        <f>0</f>
        <v>0</v>
      </c>
      <c r="I108" s="38">
        <f>0</f>
        <v>0</v>
      </c>
      <c r="J108" s="38">
        <f>0</f>
        <v>0</v>
      </c>
      <c r="K108" s="8">
        <f>0</f>
        <v>0</v>
      </c>
      <c r="L108" s="8">
        <f>0</f>
        <v>0</v>
      </c>
      <c r="M108" s="8">
        <f>0</f>
        <v>0</v>
      </c>
      <c r="N108" s="8">
        <f>0</f>
        <v>0</v>
      </c>
      <c r="O108" s="8">
        <f>0</f>
        <v>0</v>
      </c>
      <c r="P108" s="8">
        <f>0</f>
        <v>0</v>
      </c>
      <c r="Q108" s="8">
        <f>0</f>
        <v>0</v>
      </c>
      <c r="R108" s="8">
        <f>0</f>
        <v>0</v>
      </c>
      <c r="S108" s="8">
        <f>0</f>
        <v>0</v>
      </c>
      <c r="T108" s="8">
        <f>0</f>
        <v>0</v>
      </c>
      <c r="U108" s="8">
        <f>0</f>
        <v>0</v>
      </c>
      <c r="V108" s="8">
        <f>0</f>
        <v>0</v>
      </c>
      <c r="W108" s="8">
        <f>0</f>
        <v>0</v>
      </c>
      <c r="X108" s="8">
        <f>0</f>
        <v>0</v>
      </c>
      <c r="Y108" s="8">
        <f>0</f>
        <v>0</v>
      </c>
      <c r="Z108" s="8">
        <f>0</f>
        <v>0</v>
      </c>
      <c r="AA108" s="8">
        <f>0</f>
        <v>0</v>
      </c>
      <c r="AB108" s="8">
        <f>0</f>
        <v>0</v>
      </c>
      <c r="AC108" s="8">
        <f>0</f>
        <v>0</v>
      </c>
      <c r="AD108" s="8">
        <f>0</f>
        <v>0</v>
      </c>
      <c r="AE108" s="8">
        <f>0</f>
        <v>0</v>
      </c>
      <c r="AF108" s="8">
        <f>0</f>
        <v>0</v>
      </c>
      <c r="AG108" s="8">
        <f>0</f>
        <v>0</v>
      </c>
      <c r="AH108" s="8">
        <f>0</f>
        <v>0</v>
      </c>
      <c r="AI108" s="8">
        <f>0</f>
        <v>0</v>
      </c>
      <c r="AJ108" s="8">
        <f>0</f>
        <v>0</v>
      </c>
      <c r="AK108" s="8">
        <f>0</f>
        <v>0</v>
      </c>
    </row>
    <row r="109" spans="1:37" ht="16.350000000000001" customHeight="1" x14ac:dyDescent="0.3">
      <c r="A109" s="38" t="s">
        <v>101</v>
      </c>
      <c r="B109" s="50">
        <f>IFERROR(INDEX($H$8:$V$8,1,MATCH("RM10",$H$3:$V$3,0)),0)</f>
        <v>5405</v>
      </c>
      <c r="C109" s="38">
        <f t="shared" ref="C109:AK109" si="36">$B109</f>
        <v>5405</v>
      </c>
      <c r="D109" s="38">
        <f t="shared" si="36"/>
        <v>5405</v>
      </c>
      <c r="E109" s="38">
        <f t="shared" si="36"/>
        <v>5405</v>
      </c>
      <c r="F109" s="38">
        <f t="shared" si="36"/>
        <v>5405</v>
      </c>
      <c r="G109" s="38">
        <f t="shared" si="36"/>
        <v>5405</v>
      </c>
      <c r="H109" s="38">
        <f t="shared" si="36"/>
        <v>5405</v>
      </c>
      <c r="I109" s="38">
        <f t="shared" si="36"/>
        <v>5405</v>
      </c>
      <c r="J109" s="38">
        <f t="shared" si="36"/>
        <v>5405</v>
      </c>
      <c r="K109" s="8">
        <f t="shared" si="36"/>
        <v>5405</v>
      </c>
      <c r="L109" s="8">
        <f t="shared" si="36"/>
        <v>5405</v>
      </c>
      <c r="M109" s="8">
        <f t="shared" si="36"/>
        <v>5405</v>
      </c>
      <c r="N109" s="8">
        <f t="shared" si="36"/>
        <v>5405</v>
      </c>
      <c r="O109" s="8">
        <f t="shared" si="36"/>
        <v>5405</v>
      </c>
      <c r="P109" s="8">
        <f t="shared" si="36"/>
        <v>5405</v>
      </c>
      <c r="Q109" s="8">
        <f t="shared" si="36"/>
        <v>5405</v>
      </c>
      <c r="R109" s="8">
        <f t="shared" si="36"/>
        <v>5405</v>
      </c>
      <c r="S109" s="8">
        <f t="shared" si="36"/>
        <v>5405</v>
      </c>
      <c r="T109" s="8">
        <f t="shared" si="36"/>
        <v>5405</v>
      </c>
      <c r="U109" s="8">
        <f t="shared" si="36"/>
        <v>5405</v>
      </c>
      <c r="V109" s="8">
        <f t="shared" si="36"/>
        <v>5405</v>
      </c>
      <c r="W109" s="8">
        <f t="shared" si="36"/>
        <v>5405</v>
      </c>
      <c r="X109" s="8">
        <f t="shared" si="36"/>
        <v>5405</v>
      </c>
      <c r="Y109" s="8">
        <f t="shared" si="36"/>
        <v>5405</v>
      </c>
      <c r="Z109" s="8">
        <f t="shared" si="36"/>
        <v>5405</v>
      </c>
      <c r="AA109" s="8">
        <f t="shared" si="36"/>
        <v>5405</v>
      </c>
      <c r="AB109" s="8">
        <f t="shared" si="36"/>
        <v>5405</v>
      </c>
      <c r="AC109" s="8">
        <f t="shared" si="36"/>
        <v>5405</v>
      </c>
      <c r="AD109" s="8">
        <f t="shared" si="36"/>
        <v>5405</v>
      </c>
      <c r="AE109" s="8">
        <f t="shared" si="36"/>
        <v>5405</v>
      </c>
      <c r="AF109" s="8">
        <f t="shared" si="36"/>
        <v>5405</v>
      </c>
      <c r="AG109" s="8">
        <f t="shared" si="36"/>
        <v>5405</v>
      </c>
      <c r="AH109" s="8">
        <f t="shared" si="36"/>
        <v>5405</v>
      </c>
      <c r="AI109" s="8">
        <f t="shared" si="36"/>
        <v>5405</v>
      </c>
      <c r="AJ109" s="8">
        <f t="shared" si="36"/>
        <v>5405</v>
      </c>
      <c r="AK109" s="8">
        <f t="shared" si="36"/>
        <v>5405</v>
      </c>
    </row>
    <row r="110" spans="1:37" ht="16.350000000000001" customHeight="1" x14ac:dyDescent="0.3">
      <c r="A110" s="38" t="s">
        <v>107</v>
      </c>
      <c r="B110" s="50">
        <f>IFERROR(INDEX($H$6:$V$6,1,MATCH("RM10",$H$3:$V$3,0)),0)</f>
        <v>60000</v>
      </c>
      <c r="C110" s="38">
        <f>$B110+C108+C112-C107</f>
        <v>65000</v>
      </c>
      <c r="D110" s="38">
        <f t="shared" ref="D110:AK110" si="37">C110+D108+D112-D107</f>
        <v>65000</v>
      </c>
      <c r="E110" s="38">
        <f t="shared" si="37"/>
        <v>60140</v>
      </c>
      <c r="F110" s="38">
        <f t="shared" si="37"/>
        <v>40160</v>
      </c>
      <c r="G110" s="38">
        <f t="shared" si="37"/>
        <v>28480</v>
      </c>
      <c r="H110" s="38">
        <f t="shared" si="37"/>
        <v>12280</v>
      </c>
      <c r="I110" s="38">
        <f t="shared" si="37"/>
        <v>10278</v>
      </c>
      <c r="J110" s="38">
        <f t="shared" si="37"/>
        <v>5405</v>
      </c>
      <c r="K110" s="8">
        <f t="shared" si="37"/>
        <v>5405</v>
      </c>
      <c r="L110" s="8">
        <f t="shared" si="37"/>
        <v>5405</v>
      </c>
      <c r="M110" s="8">
        <f t="shared" si="37"/>
        <v>5405</v>
      </c>
      <c r="N110" s="8">
        <f t="shared" si="37"/>
        <v>5405</v>
      </c>
      <c r="O110" s="8">
        <f t="shared" si="37"/>
        <v>5405</v>
      </c>
      <c r="P110" s="8">
        <f t="shared" si="37"/>
        <v>5405</v>
      </c>
      <c r="Q110" s="8">
        <f t="shared" si="37"/>
        <v>5405</v>
      </c>
      <c r="R110" s="8">
        <f t="shared" si="37"/>
        <v>5405</v>
      </c>
      <c r="S110" s="8">
        <f t="shared" si="37"/>
        <v>5405</v>
      </c>
      <c r="T110" s="8">
        <f t="shared" si="37"/>
        <v>5405</v>
      </c>
      <c r="U110" s="8">
        <f t="shared" si="37"/>
        <v>5405</v>
      </c>
      <c r="V110" s="8">
        <f t="shared" si="37"/>
        <v>5405</v>
      </c>
      <c r="W110" s="8">
        <f t="shared" si="37"/>
        <v>5405</v>
      </c>
      <c r="X110" s="8">
        <f t="shared" si="37"/>
        <v>5405</v>
      </c>
      <c r="Y110" s="8">
        <f t="shared" si="37"/>
        <v>5405</v>
      </c>
      <c r="Z110" s="8">
        <f t="shared" si="37"/>
        <v>5405</v>
      </c>
      <c r="AA110" s="8">
        <f t="shared" si="37"/>
        <v>5405</v>
      </c>
      <c r="AB110" s="8">
        <f t="shared" si="37"/>
        <v>5405</v>
      </c>
      <c r="AC110" s="8">
        <f t="shared" si="37"/>
        <v>5405</v>
      </c>
      <c r="AD110" s="8">
        <f t="shared" si="37"/>
        <v>5405</v>
      </c>
      <c r="AE110" s="8">
        <f t="shared" si="37"/>
        <v>5405</v>
      </c>
      <c r="AF110" s="8">
        <f t="shared" si="37"/>
        <v>5405</v>
      </c>
      <c r="AG110" s="8">
        <f t="shared" si="37"/>
        <v>5405</v>
      </c>
      <c r="AH110" s="8">
        <f t="shared" si="37"/>
        <v>5405</v>
      </c>
      <c r="AI110" s="8">
        <f t="shared" si="37"/>
        <v>5405</v>
      </c>
      <c r="AJ110" s="8">
        <f t="shared" si="37"/>
        <v>5405</v>
      </c>
      <c r="AK110" s="8">
        <f t="shared" si="37"/>
        <v>5405</v>
      </c>
    </row>
    <row r="111" spans="1:37" ht="16.350000000000001" customHeight="1" x14ac:dyDescent="0.3">
      <c r="A111" s="38" t="s">
        <v>108</v>
      </c>
      <c r="B111" s="50"/>
      <c r="C111" s="38">
        <f>MAX(C107+C109-($B110+C108),0)</f>
        <v>0</v>
      </c>
      <c r="D111" s="38">
        <f t="shared" ref="D111:AK111" si="38">MAX(D107+D109-(C110+D108),0)</f>
        <v>0</v>
      </c>
      <c r="E111" s="38">
        <f t="shared" si="38"/>
        <v>0</v>
      </c>
      <c r="F111" s="38">
        <f t="shared" si="38"/>
        <v>0</v>
      </c>
      <c r="G111" s="38">
        <f t="shared" si="38"/>
        <v>0</v>
      </c>
      <c r="H111" s="38">
        <f t="shared" si="38"/>
        <v>0</v>
      </c>
      <c r="I111" s="38">
        <f t="shared" si="38"/>
        <v>0</v>
      </c>
      <c r="J111" s="38">
        <f t="shared" si="38"/>
        <v>69</v>
      </c>
      <c r="K111" s="8">
        <f t="shared" si="38"/>
        <v>6916</v>
      </c>
      <c r="L111" s="8">
        <f t="shared" si="38"/>
        <v>1000</v>
      </c>
      <c r="M111" s="8">
        <f t="shared" si="38"/>
        <v>1000</v>
      </c>
      <c r="N111" s="8">
        <f t="shared" si="38"/>
        <v>1000</v>
      </c>
      <c r="O111" s="8">
        <f t="shared" si="38"/>
        <v>1000</v>
      </c>
      <c r="P111" s="8">
        <f t="shared" si="38"/>
        <v>0</v>
      </c>
      <c r="Q111" s="8">
        <f t="shared" si="38"/>
        <v>0</v>
      </c>
      <c r="R111" s="8">
        <f t="shared" si="38"/>
        <v>800</v>
      </c>
      <c r="S111" s="8">
        <f t="shared" si="38"/>
        <v>0</v>
      </c>
      <c r="T111" s="8">
        <f t="shared" si="38"/>
        <v>0</v>
      </c>
      <c r="U111" s="8">
        <f t="shared" si="38"/>
        <v>800</v>
      </c>
      <c r="V111" s="8">
        <f t="shared" si="38"/>
        <v>0</v>
      </c>
      <c r="W111" s="8">
        <f t="shared" si="38"/>
        <v>800</v>
      </c>
      <c r="X111" s="8">
        <f t="shared" si="38"/>
        <v>0</v>
      </c>
      <c r="Y111" s="8">
        <f t="shared" si="38"/>
        <v>720</v>
      </c>
      <c r="Z111" s="8">
        <f t="shared" si="38"/>
        <v>720</v>
      </c>
      <c r="AA111" s="8">
        <f t="shared" si="38"/>
        <v>720</v>
      </c>
      <c r="AB111" s="8">
        <f t="shared" si="38"/>
        <v>720</v>
      </c>
      <c r="AC111" s="8">
        <f t="shared" si="38"/>
        <v>720</v>
      </c>
      <c r="AD111" s="8">
        <f t="shared" si="38"/>
        <v>2000</v>
      </c>
      <c r="AE111" s="8">
        <f t="shared" si="38"/>
        <v>2000</v>
      </c>
      <c r="AF111" s="8">
        <f t="shared" si="38"/>
        <v>2000</v>
      </c>
      <c r="AG111" s="8">
        <f t="shared" si="38"/>
        <v>2000</v>
      </c>
      <c r="AH111" s="8">
        <f t="shared" si="38"/>
        <v>2500</v>
      </c>
      <c r="AI111" s="8">
        <f t="shared" si="38"/>
        <v>2500</v>
      </c>
      <c r="AJ111" s="8">
        <f t="shared" si="38"/>
        <v>2500</v>
      </c>
      <c r="AK111" s="8">
        <f t="shared" si="38"/>
        <v>2500</v>
      </c>
    </row>
    <row r="112" spans="1:37" ht="16.350000000000001" customHeight="1" x14ac:dyDescent="0.3">
      <c r="A112" s="124" t="s">
        <v>109</v>
      </c>
      <c r="B112" s="122"/>
      <c r="C112" s="38">
        <f t="shared" ref="C112:AK112" si="39">C111</f>
        <v>0</v>
      </c>
      <c r="D112" s="38">
        <f t="shared" si="39"/>
        <v>0</v>
      </c>
      <c r="E112" s="38">
        <f t="shared" si="39"/>
        <v>0</v>
      </c>
      <c r="F112" s="38">
        <f t="shared" si="39"/>
        <v>0</v>
      </c>
      <c r="G112" s="38">
        <f t="shared" si="39"/>
        <v>0</v>
      </c>
      <c r="H112" s="38">
        <f t="shared" si="39"/>
        <v>0</v>
      </c>
      <c r="I112" s="38">
        <f t="shared" si="39"/>
        <v>0</v>
      </c>
      <c r="J112" s="38">
        <f t="shared" si="39"/>
        <v>69</v>
      </c>
      <c r="K112" s="8">
        <f t="shared" si="39"/>
        <v>6916</v>
      </c>
      <c r="L112" s="8">
        <f t="shared" si="39"/>
        <v>1000</v>
      </c>
      <c r="M112" s="8">
        <f t="shared" si="39"/>
        <v>1000</v>
      </c>
      <c r="N112" s="8">
        <f t="shared" si="39"/>
        <v>1000</v>
      </c>
      <c r="O112" s="8">
        <f t="shared" si="39"/>
        <v>1000</v>
      </c>
      <c r="P112" s="8">
        <f t="shared" si="39"/>
        <v>0</v>
      </c>
      <c r="Q112" s="8">
        <f t="shared" si="39"/>
        <v>0</v>
      </c>
      <c r="R112" s="8">
        <f t="shared" si="39"/>
        <v>800</v>
      </c>
      <c r="S112" s="8">
        <f t="shared" si="39"/>
        <v>0</v>
      </c>
      <c r="T112" s="8">
        <f t="shared" si="39"/>
        <v>0</v>
      </c>
      <c r="U112" s="8">
        <f t="shared" si="39"/>
        <v>800</v>
      </c>
      <c r="V112" s="8">
        <f t="shared" si="39"/>
        <v>0</v>
      </c>
      <c r="W112" s="8">
        <f t="shared" si="39"/>
        <v>800</v>
      </c>
      <c r="X112" s="8">
        <f t="shared" si="39"/>
        <v>0</v>
      </c>
      <c r="Y112" s="8">
        <f t="shared" si="39"/>
        <v>720</v>
      </c>
      <c r="Z112" s="8">
        <f t="shared" si="39"/>
        <v>720</v>
      </c>
      <c r="AA112" s="8">
        <f t="shared" si="39"/>
        <v>720</v>
      </c>
      <c r="AB112" s="8">
        <f t="shared" si="39"/>
        <v>720</v>
      </c>
      <c r="AC112" s="8">
        <f t="shared" si="39"/>
        <v>720</v>
      </c>
      <c r="AD112" s="8">
        <f t="shared" si="39"/>
        <v>2000</v>
      </c>
      <c r="AE112" s="8">
        <f t="shared" si="39"/>
        <v>2000</v>
      </c>
      <c r="AF112" s="8">
        <f t="shared" si="39"/>
        <v>2000</v>
      </c>
      <c r="AG112" s="8">
        <f t="shared" si="39"/>
        <v>2000</v>
      </c>
      <c r="AH112" s="8">
        <f t="shared" si="39"/>
        <v>2500</v>
      </c>
      <c r="AI112" s="8">
        <f t="shared" si="39"/>
        <v>2500</v>
      </c>
      <c r="AJ112" s="8">
        <f t="shared" si="39"/>
        <v>2500</v>
      </c>
      <c r="AK112" s="8">
        <f t="shared" si="39"/>
        <v>2500</v>
      </c>
    </row>
    <row r="113" spans="1:37" ht="16.350000000000001" customHeight="1" x14ac:dyDescent="0.3">
      <c r="A113" s="38" t="s">
        <v>110</v>
      </c>
      <c r="B113" s="50"/>
      <c r="C113" s="38">
        <f>IFERROR(INDEX($C$112:$AK$112,1,1+ROUND(INDEX($H$5:$V$5,1,MATCH("RM10",$H$3:$V$3,0))/7,0)),0)</f>
        <v>1000</v>
      </c>
      <c r="D113" s="38">
        <f>IFERROR(INDEX($C$112:$AK$112,1,2+ROUND(INDEX($H$5:$V$5,1,MATCH("RM10",$H$3:$V$3,0))/7,0)),0)</f>
        <v>1000</v>
      </c>
      <c r="E113" s="38">
        <f>IFERROR(INDEX($C$112:$AK$112,1,3+ROUND(INDEX($H$5:$V$5,1,MATCH("RM10",$H$3:$V$3,0))/7,0)),0)</f>
        <v>0</v>
      </c>
      <c r="F113" s="38">
        <f>IFERROR(INDEX($C$112:$AK$112,1,4+ROUND(INDEX($H$5:$V$5,1,MATCH("RM10",$H$3:$V$3,0))/7,0)),0)</f>
        <v>0</v>
      </c>
      <c r="G113" s="38">
        <f>IFERROR(INDEX($C$112:$AK$112,1,5+ROUND(INDEX($H$5:$V$5,1,MATCH("RM10",$H$3:$V$3,0))/7,0)),0)</f>
        <v>800</v>
      </c>
      <c r="H113" s="38">
        <f>IFERROR(INDEX($C$112:$AK$112,1,6+ROUND(INDEX($H$5:$V$5,1,MATCH("RM10",$H$3:$V$3,0))/7,0)),0)</f>
        <v>0</v>
      </c>
      <c r="I113" s="38">
        <f>IFERROR(INDEX($C$112:$AK$112,1,7+ROUND(INDEX($H$5:$V$5,1,MATCH("RM10",$H$3:$V$3,0))/7,0)),0)</f>
        <v>0</v>
      </c>
      <c r="J113" s="38">
        <f>IFERROR(INDEX($C$112:$AK$112,1,8+ROUND(INDEX($H$5:$V$5,1,MATCH("RM10",$H$3:$V$3,0))/7,0)),0)</f>
        <v>800</v>
      </c>
      <c r="K113" s="8">
        <f>IFERROR(INDEX($C$112:$AK$112,1,9+ROUND(INDEX($H$5:$V$5,1,MATCH("RM10",$H$3:$V$3,0))/7,0)),0)</f>
        <v>0</v>
      </c>
      <c r="L113" s="8">
        <f>IFERROR(INDEX($C$112:$AK$112,1,10+ROUND(INDEX($H$5:$V$5,1,MATCH("RM10",$H$3:$V$3,0))/7,0)),0)</f>
        <v>800</v>
      </c>
      <c r="M113" s="8">
        <f>IFERROR(INDEX($C$112:$AK$112,1,11+ROUND(INDEX($H$5:$V$5,1,MATCH("RM10",$H$3:$V$3,0))/7,0)),0)</f>
        <v>0</v>
      </c>
      <c r="N113" s="8">
        <f>IFERROR(INDEX($C$112:$AK$112,1,12+ROUND(INDEX($H$5:$V$5,1,MATCH("RM10",$H$3:$V$3,0))/7,0)),0)</f>
        <v>720</v>
      </c>
      <c r="O113" s="8">
        <f>IFERROR(INDEX($C$112:$AK$112,1,13+ROUND(INDEX($H$5:$V$5,1,MATCH("RM10",$H$3:$V$3,0))/7,0)),0)</f>
        <v>720</v>
      </c>
      <c r="P113" s="8">
        <f>IFERROR(INDEX($C$112:$AK$112,1,14+ROUND(INDEX($H$5:$V$5,1,MATCH("RM10",$H$3:$V$3,0))/7,0)),0)</f>
        <v>720</v>
      </c>
      <c r="Q113" s="8">
        <f>IFERROR(INDEX($C$112:$AK$112,1,15+ROUND(INDEX($H$5:$V$5,1,MATCH("RM10",$H$3:$V$3,0))/7,0)),0)</f>
        <v>720</v>
      </c>
      <c r="R113" s="8">
        <f>IFERROR(INDEX($C$112:$AK$112,1,16+ROUND(INDEX($H$5:$V$5,1,MATCH("RM10",$H$3:$V$3,0))/7,0)),0)</f>
        <v>720</v>
      </c>
      <c r="S113" s="8">
        <f>IFERROR(INDEX($C$112:$AK$112,1,17+ROUND(INDEX($H$5:$V$5,1,MATCH("RM10",$H$3:$V$3,0))/7,0)),0)</f>
        <v>2000</v>
      </c>
      <c r="T113" s="8">
        <f>IFERROR(INDEX($C$112:$AK$112,1,18+ROUND(INDEX($H$5:$V$5,1,MATCH("RM10",$H$3:$V$3,0))/7,0)),0)</f>
        <v>2000</v>
      </c>
      <c r="U113" s="8">
        <f>IFERROR(INDEX($C$112:$AK$112,1,19+ROUND(INDEX($H$5:$V$5,1,MATCH("RM10",$H$3:$V$3,0))/7,0)),0)</f>
        <v>2000</v>
      </c>
      <c r="V113" s="8">
        <f>IFERROR(INDEX($C$112:$AK$112,1,20+ROUND(INDEX($H$5:$V$5,1,MATCH("RM10",$H$3:$V$3,0))/7,0)),0)</f>
        <v>2000</v>
      </c>
      <c r="W113" s="8">
        <f>IFERROR(INDEX($C$112:$AK$112,1,21+ROUND(INDEX($H$5:$V$5,1,MATCH("RM10",$H$3:$V$3,0))/7,0)),0)</f>
        <v>2500</v>
      </c>
      <c r="X113" s="8">
        <f>IFERROR(INDEX($C$112:$AK$112,1,22+ROUND(INDEX($H$5:$V$5,1,MATCH("RM10",$H$3:$V$3,0))/7,0)),0)</f>
        <v>2500</v>
      </c>
      <c r="Y113" s="8">
        <f>IFERROR(INDEX($C$112:$AK$112,1,23+ROUND(INDEX($H$5:$V$5,1,MATCH("RM10",$H$3:$V$3,0))/7,0)),0)</f>
        <v>2500</v>
      </c>
      <c r="Z113" s="8">
        <f>IFERROR(INDEX($C$112:$AK$112,1,24+ROUND(INDEX($H$5:$V$5,1,MATCH("RM10",$H$3:$V$3,0))/7,0)),0)</f>
        <v>2500</v>
      </c>
      <c r="AA113" s="8">
        <f>IFERROR(INDEX($C$112:$AK$112,1,25+ROUND(INDEX($H$5:$V$5,1,MATCH("RM10",$H$3:$V$3,0))/7,0)),0)</f>
        <v>0</v>
      </c>
      <c r="AB113" s="8">
        <f>IFERROR(INDEX($C$112:$AK$112,1,26+ROUND(INDEX($H$5:$V$5,1,MATCH("RM10",$H$3:$V$3,0))/7,0)),0)</f>
        <v>0</v>
      </c>
      <c r="AC113" s="8">
        <f>IFERROR(INDEX($C$112:$AK$112,1,27+ROUND(INDEX($H$5:$V$5,1,MATCH("RM10",$H$3:$V$3,0))/7,0)),0)</f>
        <v>0</v>
      </c>
      <c r="AD113" s="8">
        <f>IFERROR(INDEX($C$112:$AK$112,1,28+ROUND(INDEX($H$5:$V$5,1,MATCH("RM10",$H$3:$V$3,0))/7,0)),0)</f>
        <v>0</v>
      </c>
      <c r="AE113" s="8">
        <f>IFERROR(INDEX($C$112:$AK$112,1,29+ROUND(INDEX($H$5:$V$5,1,MATCH("RM10",$H$3:$V$3,0))/7,0)),0)</f>
        <v>0</v>
      </c>
      <c r="AF113" s="8">
        <f>IFERROR(INDEX($C$112:$AK$112,1,30+ROUND(INDEX($H$5:$V$5,1,MATCH("RM10",$H$3:$V$3,0))/7,0)),0)</f>
        <v>0</v>
      </c>
      <c r="AG113" s="8">
        <f>IFERROR(INDEX($C$112:$AK$112,1,31+ROUND(INDEX($H$5:$V$5,1,MATCH("RM10",$H$3:$V$3,0))/7,0)),0)</f>
        <v>0</v>
      </c>
      <c r="AH113" s="8">
        <f>IFERROR(INDEX($C$112:$AK$112,1,32+ROUND(INDEX($H$5:$V$5,1,MATCH("RM10",$H$3:$V$3,0))/7,0)),0)</f>
        <v>0</v>
      </c>
      <c r="AI113" s="8">
        <f>IFERROR(INDEX($C$112:$AK$112,1,33+ROUND(INDEX($H$5:$V$5,1,MATCH("RM10",$H$3:$V$3,0))/7,0)),0)</f>
        <v>0</v>
      </c>
      <c r="AJ113" s="8">
        <f>IFERROR(INDEX($C$112:$AK$112,1,34+ROUND(INDEX($H$5:$V$5,1,MATCH("RM10",$H$3:$V$3,0))/7,0)),0)</f>
        <v>0</v>
      </c>
      <c r="AK113" s="8">
        <f>IFERROR(INDEX($C$112:$AK$112,1,35+ROUND(INDEX($H$5:$V$5,1,MATCH("RM10",$H$3:$V$3,0))/7,0)),0)</f>
        <v>0</v>
      </c>
    </row>
    <row r="115" spans="1:37" ht="16.350000000000001" customHeight="1" x14ac:dyDescent="0.3">
      <c r="A115" s="51" t="s">
        <v>120</v>
      </c>
      <c r="B115" s="51" t="s">
        <v>104</v>
      </c>
      <c r="C115" s="123" t="s">
        <v>63</v>
      </c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2"/>
    </row>
    <row r="116" spans="1:37" ht="16.350000000000001" customHeight="1" x14ac:dyDescent="0.3">
      <c r="A116" s="51" t="s">
        <v>105</v>
      </c>
      <c r="B116" s="51" t="str">
        <f>"LT: "&amp;ROUND(INDEX($H$5:$V$5,1,MATCH("RM11",$H$3:$V$3,0))/7,0)</f>
        <v>LT: 3</v>
      </c>
      <c r="C116" s="52">
        <f t="array" ref="C116:AK116">TRANSPOSE([3]BOM_demand!$A$2:$A$36)</f>
        <v>46132</v>
      </c>
      <c r="D116" s="52">
        <v>46139</v>
      </c>
      <c r="E116" s="52">
        <v>46146</v>
      </c>
      <c r="F116" s="52">
        <v>46153</v>
      </c>
      <c r="G116" s="52">
        <v>46160</v>
      </c>
      <c r="H116" s="52">
        <v>46167</v>
      </c>
      <c r="I116" s="52">
        <v>46174</v>
      </c>
      <c r="J116" s="52">
        <v>46181</v>
      </c>
      <c r="K116" s="52">
        <v>46188</v>
      </c>
      <c r="L116" s="52">
        <v>46195</v>
      </c>
      <c r="M116" s="52">
        <v>46202</v>
      </c>
      <c r="N116" s="52">
        <v>46209</v>
      </c>
      <c r="O116" s="52">
        <v>46216</v>
      </c>
      <c r="P116" s="52">
        <v>46223</v>
      </c>
      <c r="Q116" s="52">
        <v>46230</v>
      </c>
      <c r="R116" s="52">
        <v>46237</v>
      </c>
      <c r="S116" s="52">
        <v>46244</v>
      </c>
      <c r="T116" s="52">
        <v>46251</v>
      </c>
      <c r="U116" s="52">
        <v>46258</v>
      </c>
      <c r="V116" s="52">
        <v>46265</v>
      </c>
      <c r="W116" s="52">
        <v>46272</v>
      </c>
      <c r="X116" s="52">
        <v>46279</v>
      </c>
      <c r="Y116" s="52">
        <v>46286</v>
      </c>
      <c r="Z116" s="52">
        <v>46293</v>
      </c>
      <c r="AA116" s="52">
        <v>46300</v>
      </c>
      <c r="AB116" s="52">
        <v>46307</v>
      </c>
      <c r="AC116" s="52">
        <v>46314</v>
      </c>
      <c r="AD116" s="52">
        <v>46321</v>
      </c>
      <c r="AE116" s="52">
        <v>46328</v>
      </c>
      <c r="AF116" s="52">
        <v>46335</v>
      </c>
      <c r="AG116" s="52">
        <v>46342</v>
      </c>
      <c r="AH116" s="52">
        <v>46349</v>
      </c>
      <c r="AI116" s="52">
        <v>46356</v>
      </c>
      <c r="AJ116" s="52">
        <v>46363</v>
      </c>
      <c r="AK116" s="52">
        <v>46370</v>
      </c>
    </row>
    <row r="117" spans="1:37" ht="16.350000000000001" customHeight="1" x14ac:dyDescent="0.3">
      <c r="A117" s="55" t="s">
        <v>106</v>
      </c>
      <c r="C117" s="38">
        <f t="array" ref="C117:AK117">TRANSPOSE([3]BOM_demand!$R$2:$R$36)</f>
        <v>0</v>
      </c>
      <c r="D117" s="38">
        <v>0</v>
      </c>
      <c r="E117" s="38">
        <v>3645</v>
      </c>
      <c r="F117" s="38">
        <v>14985</v>
      </c>
      <c r="G117" s="38">
        <v>8760</v>
      </c>
      <c r="H117" s="38">
        <v>12150</v>
      </c>
      <c r="I117" s="38">
        <v>1501.5</v>
      </c>
      <c r="J117" s="38">
        <v>3706.5</v>
      </c>
      <c r="K117" s="38">
        <v>5187</v>
      </c>
      <c r="L117" s="38">
        <v>750</v>
      </c>
      <c r="M117" s="38">
        <v>750</v>
      </c>
      <c r="N117" s="38">
        <v>750</v>
      </c>
      <c r="O117" s="38">
        <v>750</v>
      </c>
      <c r="P117" s="38">
        <v>0</v>
      </c>
      <c r="Q117" s="38">
        <v>0</v>
      </c>
      <c r="R117" s="38">
        <v>600</v>
      </c>
      <c r="S117" s="38">
        <v>0</v>
      </c>
      <c r="T117" s="38">
        <v>0</v>
      </c>
      <c r="U117" s="38">
        <v>600</v>
      </c>
      <c r="V117" s="38">
        <v>0</v>
      </c>
      <c r="W117" s="38">
        <v>600</v>
      </c>
      <c r="X117" s="38">
        <v>0</v>
      </c>
      <c r="Y117" s="38">
        <v>540</v>
      </c>
      <c r="Z117" s="38">
        <v>540</v>
      </c>
      <c r="AA117" s="38">
        <v>540</v>
      </c>
      <c r="AB117" s="38">
        <v>540</v>
      </c>
      <c r="AC117" s="38">
        <v>540</v>
      </c>
      <c r="AD117" s="38">
        <v>1500</v>
      </c>
      <c r="AE117" s="38">
        <v>1500</v>
      </c>
      <c r="AF117" s="38">
        <v>1500</v>
      </c>
      <c r="AG117" s="38">
        <v>1500</v>
      </c>
      <c r="AH117" s="38">
        <v>1875</v>
      </c>
      <c r="AI117" s="38">
        <v>1875</v>
      </c>
      <c r="AJ117" s="38">
        <v>1875</v>
      </c>
      <c r="AK117" s="38">
        <v>1875</v>
      </c>
    </row>
    <row r="118" spans="1:37" ht="16.350000000000001" customHeight="1" x14ac:dyDescent="0.3">
      <c r="A118" s="124" t="s">
        <v>100</v>
      </c>
      <c r="B118" s="122"/>
      <c r="C118" s="38">
        <f>IFERROR(INDEX($H$7:$V$7,1,MATCH("RM11",$H$3:$V$3,0)),0)</f>
        <v>0</v>
      </c>
      <c r="D118" s="38">
        <f>0</f>
        <v>0</v>
      </c>
      <c r="E118" s="38">
        <f>0</f>
        <v>0</v>
      </c>
      <c r="F118" s="38">
        <f>0</f>
        <v>0</v>
      </c>
      <c r="G118" s="38">
        <f>0</f>
        <v>0</v>
      </c>
      <c r="H118" s="38">
        <f>0</f>
        <v>0</v>
      </c>
      <c r="I118" s="38">
        <f>0</f>
        <v>0</v>
      </c>
      <c r="J118" s="38">
        <f>0</f>
        <v>0</v>
      </c>
      <c r="K118" s="8">
        <f>0</f>
        <v>0</v>
      </c>
      <c r="L118" s="8">
        <f>0</f>
        <v>0</v>
      </c>
      <c r="M118" s="8">
        <f>0</f>
        <v>0</v>
      </c>
      <c r="N118" s="8">
        <f>0</f>
        <v>0</v>
      </c>
      <c r="O118" s="8">
        <f>0</f>
        <v>0</v>
      </c>
      <c r="P118" s="8">
        <f>0</f>
        <v>0</v>
      </c>
      <c r="Q118" s="8">
        <f>0</f>
        <v>0</v>
      </c>
      <c r="R118" s="8">
        <f>0</f>
        <v>0</v>
      </c>
      <c r="S118" s="8">
        <f>0</f>
        <v>0</v>
      </c>
      <c r="T118" s="8">
        <f>0</f>
        <v>0</v>
      </c>
      <c r="U118" s="8">
        <f>0</f>
        <v>0</v>
      </c>
      <c r="V118" s="8">
        <f>0</f>
        <v>0</v>
      </c>
      <c r="W118" s="8">
        <f>0</f>
        <v>0</v>
      </c>
      <c r="X118" s="8">
        <f>0</f>
        <v>0</v>
      </c>
      <c r="Y118" s="8">
        <f>0</f>
        <v>0</v>
      </c>
      <c r="Z118" s="8">
        <f>0</f>
        <v>0</v>
      </c>
      <c r="AA118" s="8">
        <f>0</f>
        <v>0</v>
      </c>
      <c r="AB118" s="8">
        <f>0</f>
        <v>0</v>
      </c>
      <c r="AC118" s="8">
        <f>0</f>
        <v>0</v>
      </c>
      <c r="AD118" s="8">
        <f>0</f>
        <v>0</v>
      </c>
      <c r="AE118" s="8">
        <f>0</f>
        <v>0</v>
      </c>
      <c r="AF118" s="8">
        <f>0</f>
        <v>0</v>
      </c>
      <c r="AG118" s="8">
        <f>0</f>
        <v>0</v>
      </c>
      <c r="AH118" s="8">
        <f>0</f>
        <v>0</v>
      </c>
      <c r="AI118" s="8">
        <f>0</f>
        <v>0</v>
      </c>
      <c r="AJ118" s="8">
        <f>0</f>
        <v>0</v>
      </c>
      <c r="AK118" s="8">
        <f>0</f>
        <v>0</v>
      </c>
    </row>
    <row r="119" spans="1:37" ht="16.350000000000001" customHeight="1" x14ac:dyDescent="0.3">
      <c r="A119" s="38" t="s">
        <v>101</v>
      </c>
      <c r="B119" s="50">
        <f>IFERROR(INDEX($H$8:$V$8,1,MATCH("RM11",$H$3:$V$3,0)),0)</f>
        <v>4054</v>
      </c>
      <c r="C119" s="38">
        <f t="shared" ref="C119:AK119" si="40">$B119</f>
        <v>4054</v>
      </c>
      <c r="D119" s="38">
        <f t="shared" si="40"/>
        <v>4054</v>
      </c>
      <c r="E119" s="38">
        <f t="shared" si="40"/>
        <v>4054</v>
      </c>
      <c r="F119" s="38">
        <f t="shared" si="40"/>
        <v>4054</v>
      </c>
      <c r="G119" s="38">
        <f t="shared" si="40"/>
        <v>4054</v>
      </c>
      <c r="H119" s="38">
        <f t="shared" si="40"/>
        <v>4054</v>
      </c>
      <c r="I119" s="38">
        <f t="shared" si="40"/>
        <v>4054</v>
      </c>
      <c r="J119" s="38">
        <f t="shared" si="40"/>
        <v>4054</v>
      </c>
      <c r="K119" s="8">
        <f t="shared" si="40"/>
        <v>4054</v>
      </c>
      <c r="L119" s="8">
        <f t="shared" si="40"/>
        <v>4054</v>
      </c>
      <c r="M119" s="8">
        <f t="shared" si="40"/>
        <v>4054</v>
      </c>
      <c r="N119" s="8">
        <f t="shared" si="40"/>
        <v>4054</v>
      </c>
      <c r="O119" s="8">
        <f t="shared" si="40"/>
        <v>4054</v>
      </c>
      <c r="P119" s="8">
        <f t="shared" si="40"/>
        <v>4054</v>
      </c>
      <c r="Q119" s="8">
        <f t="shared" si="40"/>
        <v>4054</v>
      </c>
      <c r="R119" s="8">
        <f t="shared" si="40"/>
        <v>4054</v>
      </c>
      <c r="S119" s="8">
        <f t="shared" si="40"/>
        <v>4054</v>
      </c>
      <c r="T119" s="8">
        <f t="shared" si="40"/>
        <v>4054</v>
      </c>
      <c r="U119" s="8">
        <f t="shared" si="40"/>
        <v>4054</v>
      </c>
      <c r="V119" s="8">
        <f t="shared" si="40"/>
        <v>4054</v>
      </c>
      <c r="W119" s="8">
        <f t="shared" si="40"/>
        <v>4054</v>
      </c>
      <c r="X119" s="8">
        <f t="shared" si="40"/>
        <v>4054</v>
      </c>
      <c r="Y119" s="8">
        <f t="shared" si="40"/>
        <v>4054</v>
      </c>
      <c r="Z119" s="8">
        <f t="shared" si="40"/>
        <v>4054</v>
      </c>
      <c r="AA119" s="8">
        <f t="shared" si="40"/>
        <v>4054</v>
      </c>
      <c r="AB119" s="8">
        <f t="shared" si="40"/>
        <v>4054</v>
      </c>
      <c r="AC119" s="8">
        <f t="shared" si="40"/>
        <v>4054</v>
      </c>
      <c r="AD119" s="8">
        <f t="shared" si="40"/>
        <v>4054</v>
      </c>
      <c r="AE119" s="8">
        <f t="shared" si="40"/>
        <v>4054</v>
      </c>
      <c r="AF119" s="8">
        <f t="shared" si="40"/>
        <v>4054</v>
      </c>
      <c r="AG119" s="8">
        <f t="shared" si="40"/>
        <v>4054</v>
      </c>
      <c r="AH119" s="8">
        <f t="shared" si="40"/>
        <v>4054</v>
      </c>
      <c r="AI119" s="8">
        <f t="shared" si="40"/>
        <v>4054</v>
      </c>
      <c r="AJ119" s="8">
        <f t="shared" si="40"/>
        <v>4054</v>
      </c>
      <c r="AK119" s="8">
        <f t="shared" si="40"/>
        <v>4054</v>
      </c>
    </row>
    <row r="120" spans="1:37" ht="16.350000000000001" customHeight="1" x14ac:dyDescent="0.3">
      <c r="A120" s="38" t="s">
        <v>107</v>
      </c>
      <c r="B120" s="50">
        <f>IFERROR(INDEX($H$6:$V$6,1,MATCH("RM11",$H$3:$V$3,0)),0)</f>
        <v>100000</v>
      </c>
      <c r="C120" s="38">
        <f>$B120+C118+C122-C117</f>
        <v>100000</v>
      </c>
      <c r="D120" s="38">
        <f t="shared" ref="D120:AK120" si="41">C120+D118+D122-D117</f>
        <v>100000</v>
      </c>
      <c r="E120" s="38">
        <f t="shared" si="41"/>
        <v>96355</v>
      </c>
      <c r="F120" s="38">
        <f t="shared" si="41"/>
        <v>81370</v>
      </c>
      <c r="G120" s="38">
        <f t="shared" si="41"/>
        <v>72610</v>
      </c>
      <c r="H120" s="38">
        <f t="shared" si="41"/>
        <v>60460</v>
      </c>
      <c r="I120" s="38">
        <f t="shared" si="41"/>
        <v>58958.5</v>
      </c>
      <c r="J120" s="38">
        <f t="shared" si="41"/>
        <v>55252</v>
      </c>
      <c r="K120" s="8">
        <f t="shared" si="41"/>
        <v>50065</v>
      </c>
      <c r="L120" s="8">
        <f t="shared" si="41"/>
        <v>49315</v>
      </c>
      <c r="M120" s="8">
        <f t="shared" si="41"/>
        <v>48565</v>
      </c>
      <c r="N120" s="8">
        <f t="shared" si="41"/>
        <v>47815</v>
      </c>
      <c r="O120" s="8">
        <f t="shared" si="41"/>
        <v>47065</v>
      </c>
      <c r="P120" s="8">
        <f t="shared" si="41"/>
        <v>47065</v>
      </c>
      <c r="Q120" s="8">
        <f t="shared" si="41"/>
        <v>47065</v>
      </c>
      <c r="R120" s="8">
        <f t="shared" si="41"/>
        <v>46465</v>
      </c>
      <c r="S120" s="8">
        <f t="shared" si="41"/>
        <v>46465</v>
      </c>
      <c r="T120" s="8">
        <f t="shared" si="41"/>
        <v>46465</v>
      </c>
      <c r="U120" s="8">
        <f t="shared" si="41"/>
        <v>45865</v>
      </c>
      <c r="V120" s="8">
        <f t="shared" si="41"/>
        <v>45865</v>
      </c>
      <c r="W120" s="8">
        <f t="shared" si="41"/>
        <v>45265</v>
      </c>
      <c r="X120" s="8">
        <f t="shared" si="41"/>
        <v>45265</v>
      </c>
      <c r="Y120" s="8">
        <f t="shared" si="41"/>
        <v>44725</v>
      </c>
      <c r="Z120" s="8">
        <f t="shared" si="41"/>
        <v>44185</v>
      </c>
      <c r="AA120" s="8">
        <f t="shared" si="41"/>
        <v>43645</v>
      </c>
      <c r="AB120" s="8">
        <f t="shared" si="41"/>
        <v>43105</v>
      </c>
      <c r="AC120" s="8">
        <f t="shared" si="41"/>
        <v>42565</v>
      </c>
      <c r="AD120" s="8">
        <f t="shared" si="41"/>
        <v>41065</v>
      </c>
      <c r="AE120" s="8">
        <f t="shared" si="41"/>
        <v>39565</v>
      </c>
      <c r="AF120" s="8">
        <f t="shared" si="41"/>
        <v>38065</v>
      </c>
      <c r="AG120" s="8">
        <f t="shared" si="41"/>
        <v>36565</v>
      </c>
      <c r="AH120" s="8">
        <f t="shared" si="41"/>
        <v>34690</v>
      </c>
      <c r="AI120" s="8">
        <f t="shared" si="41"/>
        <v>32815</v>
      </c>
      <c r="AJ120" s="8">
        <f t="shared" si="41"/>
        <v>30940</v>
      </c>
      <c r="AK120" s="8">
        <f t="shared" si="41"/>
        <v>29065</v>
      </c>
    </row>
    <row r="121" spans="1:37" ht="16.350000000000001" customHeight="1" x14ac:dyDescent="0.3">
      <c r="A121" s="38" t="s">
        <v>108</v>
      </c>
      <c r="B121" s="50"/>
      <c r="C121" s="38">
        <f>MAX(C117+C119-($B120+C118),0)</f>
        <v>0</v>
      </c>
      <c r="D121" s="38">
        <f t="shared" ref="D121:AK121" si="42">MAX(D117+D119-(C120+D118),0)</f>
        <v>0</v>
      </c>
      <c r="E121" s="38">
        <f t="shared" si="42"/>
        <v>0</v>
      </c>
      <c r="F121" s="38">
        <f t="shared" si="42"/>
        <v>0</v>
      </c>
      <c r="G121" s="38">
        <f t="shared" si="42"/>
        <v>0</v>
      </c>
      <c r="H121" s="38">
        <f t="shared" si="42"/>
        <v>0</v>
      </c>
      <c r="I121" s="38">
        <f t="shared" si="42"/>
        <v>0</v>
      </c>
      <c r="J121" s="38">
        <f t="shared" si="42"/>
        <v>0</v>
      </c>
      <c r="K121" s="8">
        <f t="shared" si="42"/>
        <v>0</v>
      </c>
      <c r="L121" s="8">
        <f t="shared" si="42"/>
        <v>0</v>
      </c>
      <c r="M121" s="8">
        <f t="shared" si="42"/>
        <v>0</v>
      </c>
      <c r="N121" s="8">
        <f t="shared" si="42"/>
        <v>0</v>
      </c>
      <c r="O121" s="8">
        <f t="shared" si="42"/>
        <v>0</v>
      </c>
      <c r="P121" s="8">
        <f t="shared" si="42"/>
        <v>0</v>
      </c>
      <c r="Q121" s="8">
        <f t="shared" si="42"/>
        <v>0</v>
      </c>
      <c r="R121" s="8">
        <f t="shared" si="42"/>
        <v>0</v>
      </c>
      <c r="S121" s="8">
        <f t="shared" si="42"/>
        <v>0</v>
      </c>
      <c r="T121" s="8">
        <f t="shared" si="42"/>
        <v>0</v>
      </c>
      <c r="U121" s="8">
        <f t="shared" si="42"/>
        <v>0</v>
      </c>
      <c r="V121" s="8">
        <f t="shared" si="42"/>
        <v>0</v>
      </c>
      <c r="W121" s="8">
        <f t="shared" si="42"/>
        <v>0</v>
      </c>
      <c r="X121" s="8">
        <f t="shared" si="42"/>
        <v>0</v>
      </c>
      <c r="Y121" s="8">
        <f t="shared" si="42"/>
        <v>0</v>
      </c>
      <c r="Z121" s="8">
        <f t="shared" si="42"/>
        <v>0</v>
      </c>
      <c r="AA121" s="8">
        <f t="shared" si="42"/>
        <v>0</v>
      </c>
      <c r="AB121" s="8">
        <f t="shared" si="42"/>
        <v>0</v>
      </c>
      <c r="AC121" s="8">
        <f t="shared" si="42"/>
        <v>0</v>
      </c>
      <c r="AD121" s="8">
        <f t="shared" si="42"/>
        <v>0</v>
      </c>
      <c r="AE121" s="8">
        <f t="shared" si="42"/>
        <v>0</v>
      </c>
      <c r="AF121" s="8">
        <f t="shared" si="42"/>
        <v>0</v>
      </c>
      <c r="AG121" s="8">
        <f t="shared" si="42"/>
        <v>0</v>
      </c>
      <c r="AH121" s="8">
        <f t="shared" si="42"/>
        <v>0</v>
      </c>
      <c r="AI121" s="8">
        <f t="shared" si="42"/>
        <v>0</v>
      </c>
      <c r="AJ121" s="8">
        <f t="shared" si="42"/>
        <v>0</v>
      </c>
      <c r="AK121" s="8">
        <f t="shared" si="42"/>
        <v>0</v>
      </c>
    </row>
    <row r="122" spans="1:37" ht="16.350000000000001" customHeight="1" x14ac:dyDescent="0.3">
      <c r="A122" s="124" t="s">
        <v>109</v>
      </c>
      <c r="B122" s="122"/>
      <c r="C122" s="38">
        <f t="shared" ref="C122:AK122" si="43">C121</f>
        <v>0</v>
      </c>
      <c r="D122" s="38">
        <f t="shared" si="43"/>
        <v>0</v>
      </c>
      <c r="E122" s="38">
        <f t="shared" si="43"/>
        <v>0</v>
      </c>
      <c r="F122" s="38">
        <f t="shared" si="43"/>
        <v>0</v>
      </c>
      <c r="G122" s="38">
        <f t="shared" si="43"/>
        <v>0</v>
      </c>
      <c r="H122" s="38">
        <f t="shared" si="43"/>
        <v>0</v>
      </c>
      <c r="I122" s="38">
        <f t="shared" si="43"/>
        <v>0</v>
      </c>
      <c r="J122" s="38">
        <f t="shared" si="43"/>
        <v>0</v>
      </c>
      <c r="K122" s="8">
        <f t="shared" si="43"/>
        <v>0</v>
      </c>
      <c r="L122" s="8">
        <f t="shared" si="43"/>
        <v>0</v>
      </c>
      <c r="M122" s="8">
        <f t="shared" si="43"/>
        <v>0</v>
      </c>
      <c r="N122" s="8">
        <f t="shared" si="43"/>
        <v>0</v>
      </c>
      <c r="O122" s="8">
        <f t="shared" si="43"/>
        <v>0</v>
      </c>
      <c r="P122" s="8">
        <f t="shared" si="43"/>
        <v>0</v>
      </c>
      <c r="Q122" s="8">
        <f t="shared" si="43"/>
        <v>0</v>
      </c>
      <c r="R122" s="8">
        <f t="shared" si="43"/>
        <v>0</v>
      </c>
      <c r="S122" s="8">
        <f t="shared" si="43"/>
        <v>0</v>
      </c>
      <c r="T122" s="8">
        <f t="shared" si="43"/>
        <v>0</v>
      </c>
      <c r="U122" s="8">
        <f t="shared" si="43"/>
        <v>0</v>
      </c>
      <c r="V122" s="8">
        <f t="shared" si="43"/>
        <v>0</v>
      </c>
      <c r="W122" s="8">
        <f t="shared" si="43"/>
        <v>0</v>
      </c>
      <c r="X122" s="8">
        <f t="shared" si="43"/>
        <v>0</v>
      </c>
      <c r="Y122" s="8">
        <f t="shared" si="43"/>
        <v>0</v>
      </c>
      <c r="Z122" s="8">
        <f t="shared" si="43"/>
        <v>0</v>
      </c>
      <c r="AA122" s="8">
        <f t="shared" si="43"/>
        <v>0</v>
      </c>
      <c r="AB122" s="8">
        <f t="shared" si="43"/>
        <v>0</v>
      </c>
      <c r="AC122" s="8">
        <f t="shared" si="43"/>
        <v>0</v>
      </c>
      <c r="AD122" s="8">
        <f t="shared" si="43"/>
        <v>0</v>
      </c>
      <c r="AE122" s="8">
        <f t="shared" si="43"/>
        <v>0</v>
      </c>
      <c r="AF122" s="8">
        <f t="shared" si="43"/>
        <v>0</v>
      </c>
      <c r="AG122" s="8">
        <f t="shared" si="43"/>
        <v>0</v>
      </c>
      <c r="AH122" s="8">
        <f t="shared" si="43"/>
        <v>0</v>
      </c>
      <c r="AI122" s="8">
        <f t="shared" si="43"/>
        <v>0</v>
      </c>
      <c r="AJ122" s="8">
        <f t="shared" si="43"/>
        <v>0</v>
      </c>
      <c r="AK122" s="8">
        <f t="shared" si="43"/>
        <v>0</v>
      </c>
    </row>
    <row r="123" spans="1:37" ht="16.350000000000001" customHeight="1" x14ac:dyDescent="0.3">
      <c r="A123" s="38" t="s">
        <v>110</v>
      </c>
      <c r="B123" s="50"/>
      <c r="C123" s="38">
        <f>IFERROR(INDEX($C$122:$AK$122,1,1+ROUND(INDEX($H$5:$V$5,1,MATCH("RM11",$H$3:$V$3,0))/7,0)),0)</f>
        <v>0</v>
      </c>
      <c r="D123" s="38">
        <f>IFERROR(INDEX($C$122:$AK$122,1,2+ROUND(INDEX($H$5:$V$5,1,MATCH("RM11",$H$3:$V$3,0))/7,0)),0)</f>
        <v>0</v>
      </c>
      <c r="E123" s="38">
        <f>IFERROR(INDEX($C$122:$AK$122,1,3+ROUND(INDEX($H$5:$V$5,1,MATCH("RM11",$H$3:$V$3,0))/7,0)),0)</f>
        <v>0</v>
      </c>
      <c r="F123" s="38">
        <f>IFERROR(INDEX($C$122:$AK$122,1,4+ROUND(INDEX($H$5:$V$5,1,MATCH("RM11",$H$3:$V$3,0))/7,0)),0)</f>
        <v>0</v>
      </c>
      <c r="G123" s="38">
        <f>IFERROR(INDEX($C$122:$AK$122,1,5+ROUND(INDEX($H$5:$V$5,1,MATCH("RM11",$H$3:$V$3,0))/7,0)),0)</f>
        <v>0</v>
      </c>
      <c r="H123" s="38">
        <f>IFERROR(INDEX($C$122:$AK$122,1,6+ROUND(INDEX($H$5:$V$5,1,MATCH("RM11",$H$3:$V$3,0))/7,0)),0)</f>
        <v>0</v>
      </c>
      <c r="I123" s="38">
        <f>IFERROR(INDEX($C$122:$AK$122,1,7+ROUND(INDEX($H$5:$V$5,1,MATCH("RM11",$H$3:$V$3,0))/7,0)),0)</f>
        <v>0</v>
      </c>
      <c r="J123" s="38">
        <f>IFERROR(INDEX($C$122:$AK$122,1,8+ROUND(INDEX($H$5:$V$5,1,MATCH("RM11",$H$3:$V$3,0))/7,0)),0)</f>
        <v>0</v>
      </c>
      <c r="K123" s="8">
        <f>IFERROR(INDEX($C$122:$AK$122,1,9+ROUND(INDEX($H$5:$V$5,1,MATCH("RM11",$H$3:$V$3,0))/7,0)),0)</f>
        <v>0</v>
      </c>
      <c r="L123" s="8">
        <f>IFERROR(INDEX($C$122:$AK$122,1,10+ROUND(INDEX($H$5:$V$5,1,MATCH("RM11",$H$3:$V$3,0))/7,0)),0)</f>
        <v>0</v>
      </c>
      <c r="M123" s="8">
        <f>IFERROR(INDEX($C$122:$AK$122,1,11+ROUND(INDEX($H$5:$V$5,1,MATCH("RM11",$H$3:$V$3,0))/7,0)),0)</f>
        <v>0</v>
      </c>
      <c r="N123" s="8">
        <f>IFERROR(INDEX($C$122:$AK$122,1,12+ROUND(INDEX($H$5:$V$5,1,MATCH("RM11",$H$3:$V$3,0))/7,0)),0)</f>
        <v>0</v>
      </c>
      <c r="O123" s="8">
        <f>IFERROR(INDEX($C$122:$AK$122,1,13+ROUND(INDEX($H$5:$V$5,1,MATCH("RM11",$H$3:$V$3,0))/7,0)),0)</f>
        <v>0</v>
      </c>
      <c r="P123" s="8">
        <f>IFERROR(INDEX($C$122:$AK$122,1,14+ROUND(INDEX($H$5:$V$5,1,MATCH("RM11",$H$3:$V$3,0))/7,0)),0)</f>
        <v>0</v>
      </c>
      <c r="Q123" s="8">
        <f>IFERROR(INDEX($C$122:$AK$122,1,15+ROUND(INDEX($H$5:$V$5,1,MATCH("RM11",$H$3:$V$3,0))/7,0)),0)</f>
        <v>0</v>
      </c>
      <c r="R123" s="8">
        <f>IFERROR(INDEX($C$122:$AK$122,1,16+ROUND(INDEX($H$5:$V$5,1,MATCH("RM11",$H$3:$V$3,0))/7,0)),0)</f>
        <v>0</v>
      </c>
      <c r="S123" s="8">
        <f>IFERROR(INDEX($C$122:$AK$122,1,17+ROUND(INDEX($H$5:$V$5,1,MATCH("RM11",$H$3:$V$3,0))/7,0)),0)</f>
        <v>0</v>
      </c>
      <c r="T123" s="8">
        <f>IFERROR(INDEX($C$122:$AK$122,1,18+ROUND(INDEX($H$5:$V$5,1,MATCH("RM11",$H$3:$V$3,0))/7,0)),0)</f>
        <v>0</v>
      </c>
      <c r="U123" s="8">
        <f>IFERROR(INDEX($C$122:$AK$122,1,19+ROUND(INDEX($H$5:$V$5,1,MATCH("RM11",$H$3:$V$3,0))/7,0)),0)</f>
        <v>0</v>
      </c>
      <c r="V123" s="8">
        <f>IFERROR(INDEX($C$122:$AK$122,1,20+ROUND(INDEX($H$5:$V$5,1,MATCH("RM11",$H$3:$V$3,0))/7,0)),0)</f>
        <v>0</v>
      </c>
      <c r="W123" s="8">
        <f>IFERROR(INDEX($C$122:$AK$122,1,21+ROUND(INDEX($H$5:$V$5,1,MATCH("RM11",$H$3:$V$3,0))/7,0)),0)</f>
        <v>0</v>
      </c>
      <c r="X123" s="8">
        <f>IFERROR(INDEX($C$122:$AK$122,1,22+ROUND(INDEX($H$5:$V$5,1,MATCH("RM11",$H$3:$V$3,0))/7,0)),0)</f>
        <v>0</v>
      </c>
      <c r="Y123" s="8">
        <f>IFERROR(INDEX($C$122:$AK$122,1,23+ROUND(INDEX($H$5:$V$5,1,MATCH("RM11",$H$3:$V$3,0))/7,0)),0)</f>
        <v>0</v>
      </c>
      <c r="Z123" s="8">
        <f>IFERROR(INDEX($C$122:$AK$122,1,24+ROUND(INDEX($H$5:$V$5,1,MATCH("RM11",$H$3:$V$3,0))/7,0)),0)</f>
        <v>0</v>
      </c>
      <c r="AA123" s="8">
        <f>IFERROR(INDEX($C$122:$AK$122,1,25+ROUND(INDEX($H$5:$V$5,1,MATCH("RM11",$H$3:$V$3,0))/7,0)),0)</f>
        <v>0</v>
      </c>
      <c r="AB123" s="8">
        <f>IFERROR(INDEX($C$122:$AK$122,1,26+ROUND(INDEX($H$5:$V$5,1,MATCH("RM11",$H$3:$V$3,0))/7,0)),0)</f>
        <v>0</v>
      </c>
      <c r="AC123" s="8">
        <f>IFERROR(INDEX($C$122:$AK$122,1,27+ROUND(INDEX($H$5:$V$5,1,MATCH("RM11",$H$3:$V$3,0))/7,0)),0)</f>
        <v>0</v>
      </c>
      <c r="AD123" s="8">
        <f>IFERROR(INDEX($C$122:$AK$122,1,28+ROUND(INDEX($H$5:$V$5,1,MATCH("RM11",$H$3:$V$3,0))/7,0)),0)</f>
        <v>0</v>
      </c>
      <c r="AE123" s="8">
        <f>IFERROR(INDEX($C$122:$AK$122,1,29+ROUND(INDEX($H$5:$V$5,1,MATCH("RM11",$H$3:$V$3,0))/7,0)),0)</f>
        <v>0</v>
      </c>
      <c r="AF123" s="8">
        <f>IFERROR(INDEX($C$122:$AK$122,1,30+ROUND(INDEX($H$5:$V$5,1,MATCH("RM11",$H$3:$V$3,0))/7,0)),0)</f>
        <v>0</v>
      </c>
      <c r="AG123" s="8">
        <f>IFERROR(INDEX($C$122:$AK$122,1,31+ROUND(INDEX($H$5:$V$5,1,MATCH("RM11",$H$3:$V$3,0))/7,0)),0)</f>
        <v>0</v>
      </c>
      <c r="AH123" s="8">
        <f>IFERROR(INDEX($C$122:$AK$122,1,32+ROUND(INDEX($H$5:$V$5,1,MATCH("RM11",$H$3:$V$3,0))/7,0)),0)</f>
        <v>0</v>
      </c>
      <c r="AI123" s="8">
        <f>IFERROR(INDEX($C$122:$AK$122,1,33+ROUND(INDEX($H$5:$V$5,1,MATCH("RM11",$H$3:$V$3,0))/7,0)),0)</f>
        <v>0</v>
      </c>
      <c r="AJ123" s="8">
        <f>IFERROR(INDEX($C$122:$AK$122,1,34+ROUND(INDEX($H$5:$V$5,1,MATCH("RM11",$H$3:$V$3,0))/7,0)),0)</f>
        <v>0</v>
      </c>
      <c r="AK123" s="8">
        <f>IFERROR(INDEX($C$122:$AK$122,1,35+ROUND(INDEX($H$5:$V$5,1,MATCH("RM11",$H$3:$V$3,0))/7,0)),0)</f>
        <v>0</v>
      </c>
    </row>
    <row r="125" spans="1:37" ht="16.350000000000001" customHeight="1" x14ac:dyDescent="0.3">
      <c r="A125" s="51" t="s">
        <v>121</v>
      </c>
      <c r="B125" s="51" t="s">
        <v>104</v>
      </c>
      <c r="C125" s="123" t="s">
        <v>63</v>
      </c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2"/>
    </row>
    <row r="126" spans="1:37" ht="16.350000000000001" customHeight="1" x14ac:dyDescent="0.3">
      <c r="A126" s="51" t="s">
        <v>105</v>
      </c>
      <c r="B126" s="51" t="str">
        <f>"LT: "&amp;ROUND(INDEX($H$5:$V$5,1,MATCH("RM12",$H$3:$V$3,0))/7,0)</f>
        <v>LT: 8</v>
      </c>
      <c r="C126" s="52">
        <f t="array" ref="C126:AK126">TRANSPOSE([3]BOM_demand!$A$2:$A$36)</f>
        <v>46132</v>
      </c>
      <c r="D126" s="52">
        <v>46139</v>
      </c>
      <c r="E126" s="52">
        <v>46146</v>
      </c>
      <c r="F126" s="52">
        <v>46153</v>
      </c>
      <c r="G126" s="52">
        <v>46160</v>
      </c>
      <c r="H126" s="52">
        <v>46167</v>
      </c>
      <c r="I126" s="52">
        <v>46174</v>
      </c>
      <c r="J126" s="52">
        <v>46181</v>
      </c>
      <c r="K126" s="52">
        <v>46188</v>
      </c>
      <c r="L126" s="52">
        <v>46195</v>
      </c>
      <c r="M126" s="52">
        <v>46202</v>
      </c>
      <c r="N126" s="52">
        <v>46209</v>
      </c>
      <c r="O126" s="52">
        <v>46216</v>
      </c>
      <c r="P126" s="52">
        <v>46223</v>
      </c>
      <c r="Q126" s="52">
        <v>46230</v>
      </c>
      <c r="R126" s="52">
        <v>46237</v>
      </c>
      <c r="S126" s="52">
        <v>46244</v>
      </c>
      <c r="T126" s="52">
        <v>46251</v>
      </c>
      <c r="U126" s="52">
        <v>46258</v>
      </c>
      <c r="V126" s="52">
        <v>46265</v>
      </c>
      <c r="W126" s="52">
        <v>46272</v>
      </c>
      <c r="X126" s="52">
        <v>46279</v>
      </c>
      <c r="Y126" s="52">
        <v>46286</v>
      </c>
      <c r="Z126" s="52">
        <v>46293</v>
      </c>
      <c r="AA126" s="52">
        <v>46300</v>
      </c>
      <c r="AB126" s="52">
        <v>46307</v>
      </c>
      <c r="AC126" s="52">
        <v>46314</v>
      </c>
      <c r="AD126" s="52">
        <v>46321</v>
      </c>
      <c r="AE126" s="52">
        <v>46328</v>
      </c>
      <c r="AF126" s="52">
        <v>46335</v>
      </c>
      <c r="AG126" s="52">
        <v>46342</v>
      </c>
      <c r="AH126" s="52">
        <v>46349</v>
      </c>
      <c r="AI126" s="52">
        <v>46356</v>
      </c>
      <c r="AJ126" s="52">
        <v>46363</v>
      </c>
      <c r="AK126" s="52">
        <v>46370</v>
      </c>
    </row>
    <row r="127" spans="1:37" ht="16.350000000000001" customHeight="1" x14ac:dyDescent="0.3">
      <c r="A127" s="55" t="s">
        <v>106</v>
      </c>
      <c r="C127" s="38">
        <f t="array" ref="C127:AK127">TRANSPOSE([3]BOM_demand!$S$2:$S$36)</f>
        <v>0</v>
      </c>
      <c r="D127" s="38">
        <v>1416</v>
      </c>
      <c r="E127" s="38">
        <v>900</v>
      </c>
      <c r="F127" s="38">
        <v>2094</v>
      </c>
      <c r="G127" s="38">
        <v>0</v>
      </c>
      <c r="H127" s="38">
        <v>900</v>
      </c>
      <c r="I127" s="38">
        <v>0</v>
      </c>
      <c r="J127" s="38">
        <v>0</v>
      </c>
      <c r="K127" s="38">
        <v>900</v>
      </c>
      <c r="L127" s="38">
        <v>0</v>
      </c>
      <c r="M127" s="38">
        <v>2100</v>
      </c>
      <c r="N127" s="38">
        <v>900</v>
      </c>
      <c r="O127" s="38">
        <v>900</v>
      </c>
      <c r="P127" s="38">
        <v>900</v>
      </c>
      <c r="Q127" s="38">
        <v>0</v>
      </c>
      <c r="R127" s="38">
        <v>0</v>
      </c>
      <c r="S127" s="38">
        <v>900</v>
      </c>
      <c r="T127" s="38">
        <v>0</v>
      </c>
      <c r="U127" s="38">
        <v>0</v>
      </c>
      <c r="V127" s="38">
        <v>900</v>
      </c>
      <c r="W127" s="38">
        <v>0</v>
      </c>
      <c r="X127" s="38">
        <v>0</v>
      </c>
      <c r="Y127" s="38">
        <v>0</v>
      </c>
      <c r="Z127" s="38">
        <v>900</v>
      </c>
      <c r="AA127" s="38">
        <v>0</v>
      </c>
      <c r="AB127" s="38">
        <v>0</v>
      </c>
      <c r="AC127" s="38">
        <v>0</v>
      </c>
      <c r="AD127" s="38">
        <v>0</v>
      </c>
      <c r="AE127" s="38">
        <v>900</v>
      </c>
      <c r="AF127" s="38">
        <v>0</v>
      </c>
      <c r="AG127" s="38">
        <v>0</v>
      </c>
      <c r="AH127" s="38">
        <v>0</v>
      </c>
      <c r="AI127" s="38">
        <v>900</v>
      </c>
      <c r="AJ127" s="38">
        <v>0</v>
      </c>
      <c r="AK127" s="38">
        <v>0</v>
      </c>
    </row>
    <row r="128" spans="1:37" ht="16.350000000000001" customHeight="1" x14ac:dyDescent="0.3">
      <c r="A128" s="124" t="s">
        <v>100</v>
      </c>
      <c r="B128" s="122"/>
      <c r="C128" s="38">
        <f>IFERROR(INDEX($H$7:$V$7,1,MATCH("RM12",$H$3:$V$3,0)),0)</f>
        <v>0</v>
      </c>
      <c r="D128" s="38">
        <f>0</f>
        <v>0</v>
      </c>
      <c r="E128" s="38">
        <f>0</f>
        <v>0</v>
      </c>
      <c r="F128" s="38">
        <f>0</f>
        <v>0</v>
      </c>
      <c r="G128" s="38">
        <f>0</f>
        <v>0</v>
      </c>
      <c r="H128" s="38">
        <f>0</f>
        <v>0</v>
      </c>
      <c r="I128" s="38">
        <f>0</f>
        <v>0</v>
      </c>
      <c r="J128" s="38">
        <f>0</f>
        <v>0</v>
      </c>
      <c r="K128" s="8">
        <f>0</f>
        <v>0</v>
      </c>
      <c r="L128" s="8">
        <f>0</f>
        <v>0</v>
      </c>
      <c r="M128" s="8">
        <f>0</f>
        <v>0</v>
      </c>
      <c r="N128" s="8">
        <f>0</f>
        <v>0</v>
      </c>
      <c r="O128" s="8">
        <f>0</f>
        <v>0</v>
      </c>
      <c r="P128" s="8">
        <f>0</f>
        <v>0</v>
      </c>
      <c r="Q128" s="8">
        <f>0</f>
        <v>0</v>
      </c>
      <c r="R128" s="8">
        <f>0</f>
        <v>0</v>
      </c>
      <c r="S128" s="8">
        <f>0</f>
        <v>0</v>
      </c>
      <c r="T128" s="8">
        <f>0</f>
        <v>0</v>
      </c>
      <c r="U128" s="8">
        <f>0</f>
        <v>0</v>
      </c>
      <c r="V128" s="8">
        <f>0</f>
        <v>0</v>
      </c>
      <c r="W128" s="8">
        <f>0</f>
        <v>0</v>
      </c>
      <c r="X128" s="8">
        <f>0</f>
        <v>0</v>
      </c>
      <c r="Y128" s="8">
        <f>0</f>
        <v>0</v>
      </c>
      <c r="Z128" s="8">
        <f>0</f>
        <v>0</v>
      </c>
      <c r="AA128" s="8">
        <f>0</f>
        <v>0</v>
      </c>
      <c r="AB128" s="8">
        <f>0</f>
        <v>0</v>
      </c>
      <c r="AC128" s="8">
        <f>0</f>
        <v>0</v>
      </c>
      <c r="AD128" s="8">
        <f>0</f>
        <v>0</v>
      </c>
      <c r="AE128" s="8">
        <f>0</f>
        <v>0</v>
      </c>
      <c r="AF128" s="8">
        <f>0</f>
        <v>0</v>
      </c>
      <c r="AG128" s="8">
        <f>0</f>
        <v>0</v>
      </c>
      <c r="AH128" s="8">
        <f>0</f>
        <v>0</v>
      </c>
      <c r="AI128" s="8">
        <f>0</f>
        <v>0</v>
      </c>
      <c r="AJ128" s="8">
        <f>0</f>
        <v>0</v>
      </c>
      <c r="AK128" s="8">
        <f>0</f>
        <v>0</v>
      </c>
    </row>
    <row r="129" spans="1:37" ht="16.350000000000001" customHeight="1" x14ac:dyDescent="0.3">
      <c r="A129" s="38" t="s">
        <v>101</v>
      </c>
      <c r="B129" s="50">
        <f>IFERROR(INDEX($H$8:$V$8,1,MATCH("RM12",$H$3:$V$3,0)),0)</f>
        <v>887</v>
      </c>
      <c r="C129" s="38">
        <f t="shared" ref="C129:AK129" si="44">$B129</f>
        <v>887</v>
      </c>
      <c r="D129" s="38">
        <f t="shared" si="44"/>
        <v>887</v>
      </c>
      <c r="E129" s="38">
        <f t="shared" si="44"/>
        <v>887</v>
      </c>
      <c r="F129" s="38">
        <f t="shared" si="44"/>
        <v>887</v>
      </c>
      <c r="G129" s="38">
        <f t="shared" si="44"/>
        <v>887</v>
      </c>
      <c r="H129" s="38">
        <f t="shared" si="44"/>
        <v>887</v>
      </c>
      <c r="I129" s="38">
        <f t="shared" si="44"/>
        <v>887</v>
      </c>
      <c r="J129" s="38">
        <f t="shared" si="44"/>
        <v>887</v>
      </c>
      <c r="K129" s="8">
        <f t="shared" si="44"/>
        <v>887</v>
      </c>
      <c r="L129" s="8">
        <f t="shared" si="44"/>
        <v>887</v>
      </c>
      <c r="M129" s="8">
        <f t="shared" si="44"/>
        <v>887</v>
      </c>
      <c r="N129" s="8">
        <f t="shared" si="44"/>
        <v>887</v>
      </c>
      <c r="O129" s="8">
        <f t="shared" si="44"/>
        <v>887</v>
      </c>
      <c r="P129" s="8">
        <f t="shared" si="44"/>
        <v>887</v>
      </c>
      <c r="Q129" s="8">
        <f t="shared" si="44"/>
        <v>887</v>
      </c>
      <c r="R129" s="8">
        <f t="shared" si="44"/>
        <v>887</v>
      </c>
      <c r="S129" s="8">
        <f t="shared" si="44"/>
        <v>887</v>
      </c>
      <c r="T129" s="8">
        <f t="shared" si="44"/>
        <v>887</v>
      </c>
      <c r="U129" s="8">
        <f t="shared" si="44"/>
        <v>887</v>
      </c>
      <c r="V129" s="8">
        <f t="shared" si="44"/>
        <v>887</v>
      </c>
      <c r="W129" s="8">
        <f t="shared" si="44"/>
        <v>887</v>
      </c>
      <c r="X129" s="8">
        <f t="shared" si="44"/>
        <v>887</v>
      </c>
      <c r="Y129" s="8">
        <f t="shared" si="44"/>
        <v>887</v>
      </c>
      <c r="Z129" s="8">
        <f t="shared" si="44"/>
        <v>887</v>
      </c>
      <c r="AA129" s="8">
        <f t="shared" si="44"/>
        <v>887</v>
      </c>
      <c r="AB129" s="8">
        <f t="shared" si="44"/>
        <v>887</v>
      </c>
      <c r="AC129" s="8">
        <f t="shared" si="44"/>
        <v>887</v>
      </c>
      <c r="AD129" s="8">
        <f t="shared" si="44"/>
        <v>887</v>
      </c>
      <c r="AE129" s="8">
        <f t="shared" si="44"/>
        <v>887</v>
      </c>
      <c r="AF129" s="8">
        <f t="shared" si="44"/>
        <v>887</v>
      </c>
      <c r="AG129" s="8">
        <f t="shared" si="44"/>
        <v>887</v>
      </c>
      <c r="AH129" s="8">
        <f t="shared" si="44"/>
        <v>887</v>
      </c>
      <c r="AI129" s="8">
        <f t="shared" si="44"/>
        <v>887</v>
      </c>
      <c r="AJ129" s="8">
        <f t="shared" si="44"/>
        <v>887</v>
      </c>
      <c r="AK129" s="8">
        <f t="shared" si="44"/>
        <v>887</v>
      </c>
    </row>
    <row r="130" spans="1:37" ht="16.350000000000001" customHeight="1" x14ac:dyDescent="0.3">
      <c r="A130" s="38" t="s">
        <v>107</v>
      </c>
      <c r="B130" s="50">
        <f>IFERROR(INDEX($H$6:$V$6,1,MATCH("RM12",$H$3:$V$3,0)),0)</f>
        <v>5500</v>
      </c>
      <c r="C130" s="38">
        <f>$B130+C128+C132-C127</f>
        <v>5500</v>
      </c>
      <c r="D130" s="38">
        <f t="shared" ref="D130:AK130" si="45">C130+D128+D132-D127</f>
        <v>4084</v>
      </c>
      <c r="E130" s="38">
        <f t="shared" si="45"/>
        <v>3184</v>
      </c>
      <c r="F130" s="38">
        <f t="shared" si="45"/>
        <v>1090</v>
      </c>
      <c r="G130" s="38">
        <f t="shared" si="45"/>
        <v>1090</v>
      </c>
      <c r="H130" s="38">
        <f t="shared" si="45"/>
        <v>887</v>
      </c>
      <c r="I130" s="38">
        <f t="shared" si="45"/>
        <v>887</v>
      </c>
      <c r="J130" s="38">
        <f t="shared" si="45"/>
        <v>887</v>
      </c>
      <c r="K130" s="8">
        <f t="shared" si="45"/>
        <v>887</v>
      </c>
      <c r="L130" s="8">
        <f t="shared" si="45"/>
        <v>887</v>
      </c>
      <c r="M130" s="8">
        <f t="shared" si="45"/>
        <v>887</v>
      </c>
      <c r="N130" s="8">
        <f t="shared" si="45"/>
        <v>887</v>
      </c>
      <c r="O130" s="8">
        <f t="shared" si="45"/>
        <v>887</v>
      </c>
      <c r="P130" s="8">
        <f t="shared" si="45"/>
        <v>887</v>
      </c>
      <c r="Q130" s="8">
        <f t="shared" si="45"/>
        <v>887</v>
      </c>
      <c r="R130" s="8">
        <f t="shared" si="45"/>
        <v>887</v>
      </c>
      <c r="S130" s="8">
        <f t="shared" si="45"/>
        <v>887</v>
      </c>
      <c r="T130" s="8">
        <f t="shared" si="45"/>
        <v>887</v>
      </c>
      <c r="U130" s="8">
        <f t="shared" si="45"/>
        <v>887</v>
      </c>
      <c r="V130" s="8">
        <f t="shared" si="45"/>
        <v>887</v>
      </c>
      <c r="W130" s="8">
        <f t="shared" si="45"/>
        <v>887</v>
      </c>
      <c r="X130" s="8">
        <f t="shared" si="45"/>
        <v>887</v>
      </c>
      <c r="Y130" s="8">
        <f t="shared" si="45"/>
        <v>887</v>
      </c>
      <c r="Z130" s="8">
        <f t="shared" si="45"/>
        <v>887</v>
      </c>
      <c r="AA130" s="8">
        <f t="shared" si="45"/>
        <v>887</v>
      </c>
      <c r="AB130" s="8">
        <f t="shared" si="45"/>
        <v>887</v>
      </c>
      <c r="AC130" s="8">
        <f t="shared" si="45"/>
        <v>887</v>
      </c>
      <c r="AD130" s="8">
        <f t="shared" si="45"/>
        <v>887</v>
      </c>
      <c r="AE130" s="8">
        <f t="shared" si="45"/>
        <v>887</v>
      </c>
      <c r="AF130" s="8">
        <f t="shared" si="45"/>
        <v>887</v>
      </c>
      <c r="AG130" s="8">
        <f t="shared" si="45"/>
        <v>887</v>
      </c>
      <c r="AH130" s="8">
        <f t="shared" si="45"/>
        <v>887</v>
      </c>
      <c r="AI130" s="8">
        <f t="shared" si="45"/>
        <v>887</v>
      </c>
      <c r="AJ130" s="8">
        <f t="shared" si="45"/>
        <v>887</v>
      </c>
      <c r="AK130" s="8">
        <f t="shared" si="45"/>
        <v>887</v>
      </c>
    </row>
    <row r="131" spans="1:37" ht="16.350000000000001" customHeight="1" x14ac:dyDescent="0.3">
      <c r="A131" s="38" t="s">
        <v>108</v>
      </c>
      <c r="B131" s="50"/>
      <c r="C131" s="38">
        <f>MAX(C127+C129-($B130+C128),0)</f>
        <v>0</v>
      </c>
      <c r="D131" s="38">
        <f t="shared" ref="D131:AK131" si="46">MAX(D127+D129-(C130+D128),0)</f>
        <v>0</v>
      </c>
      <c r="E131" s="38">
        <f t="shared" si="46"/>
        <v>0</v>
      </c>
      <c r="F131" s="38">
        <f t="shared" si="46"/>
        <v>0</v>
      </c>
      <c r="G131" s="38">
        <f t="shared" si="46"/>
        <v>0</v>
      </c>
      <c r="H131" s="38">
        <f t="shared" si="46"/>
        <v>697</v>
      </c>
      <c r="I131" s="38">
        <f t="shared" si="46"/>
        <v>0</v>
      </c>
      <c r="J131" s="38">
        <f t="shared" si="46"/>
        <v>0</v>
      </c>
      <c r="K131" s="8">
        <f t="shared" si="46"/>
        <v>900</v>
      </c>
      <c r="L131" s="8">
        <f t="shared" si="46"/>
        <v>0</v>
      </c>
      <c r="M131" s="8">
        <f t="shared" si="46"/>
        <v>2100</v>
      </c>
      <c r="N131" s="8">
        <f t="shared" si="46"/>
        <v>900</v>
      </c>
      <c r="O131" s="8">
        <f t="shared" si="46"/>
        <v>900</v>
      </c>
      <c r="P131" s="8">
        <f t="shared" si="46"/>
        <v>900</v>
      </c>
      <c r="Q131" s="8">
        <f t="shared" si="46"/>
        <v>0</v>
      </c>
      <c r="R131" s="8">
        <f t="shared" si="46"/>
        <v>0</v>
      </c>
      <c r="S131" s="8">
        <f t="shared" si="46"/>
        <v>900</v>
      </c>
      <c r="T131" s="8">
        <f t="shared" si="46"/>
        <v>0</v>
      </c>
      <c r="U131" s="8">
        <f t="shared" si="46"/>
        <v>0</v>
      </c>
      <c r="V131" s="8">
        <f t="shared" si="46"/>
        <v>900</v>
      </c>
      <c r="W131" s="8">
        <f t="shared" si="46"/>
        <v>0</v>
      </c>
      <c r="X131" s="8">
        <f t="shared" si="46"/>
        <v>0</v>
      </c>
      <c r="Y131" s="8">
        <f t="shared" si="46"/>
        <v>0</v>
      </c>
      <c r="Z131" s="8">
        <f t="shared" si="46"/>
        <v>900</v>
      </c>
      <c r="AA131" s="8">
        <f t="shared" si="46"/>
        <v>0</v>
      </c>
      <c r="AB131" s="8">
        <f t="shared" si="46"/>
        <v>0</v>
      </c>
      <c r="AC131" s="8">
        <f t="shared" si="46"/>
        <v>0</v>
      </c>
      <c r="AD131" s="8">
        <f t="shared" si="46"/>
        <v>0</v>
      </c>
      <c r="AE131" s="8">
        <f t="shared" si="46"/>
        <v>900</v>
      </c>
      <c r="AF131" s="8">
        <f t="shared" si="46"/>
        <v>0</v>
      </c>
      <c r="AG131" s="8">
        <f t="shared" si="46"/>
        <v>0</v>
      </c>
      <c r="AH131" s="8">
        <f t="shared" si="46"/>
        <v>0</v>
      </c>
      <c r="AI131" s="8">
        <f t="shared" si="46"/>
        <v>900</v>
      </c>
      <c r="AJ131" s="8">
        <f t="shared" si="46"/>
        <v>0</v>
      </c>
      <c r="AK131" s="8">
        <f t="shared" si="46"/>
        <v>0</v>
      </c>
    </row>
    <row r="132" spans="1:37" ht="16.350000000000001" customHeight="1" x14ac:dyDescent="0.3">
      <c r="A132" s="124" t="s">
        <v>109</v>
      </c>
      <c r="B132" s="122"/>
      <c r="C132" s="38">
        <f t="shared" ref="C132:AK132" si="47">C131</f>
        <v>0</v>
      </c>
      <c r="D132" s="38">
        <f t="shared" si="47"/>
        <v>0</v>
      </c>
      <c r="E132" s="38">
        <f t="shared" si="47"/>
        <v>0</v>
      </c>
      <c r="F132" s="38">
        <f t="shared" si="47"/>
        <v>0</v>
      </c>
      <c r="G132" s="38">
        <f t="shared" si="47"/>
        <v>0</v>
      </c>
      <c r="H132" s="38">
        <f t="shared" si="47"/>
        <v>697</v>
      </c>
      <c r="I132" s="38">
        <f t="shared" si="47"/>
        <v>0</v>
      </c>
      <c r="J132" s="38">
        <f t="shared" si="47"/>
        <v>0</v>
      </c>
      <c r="K132" s="8">
        <f t="shared" si="47"/>
        <v>900</v>
      </c>
      <c r="L132" s="8">
        <f t="shared" si="47"/>
        <v>0</v>
      </c>
      <c r="M132" s="8">
        <f t="shared" si="47"/>
        <v>2100</v>
      </c>
      <c r="N132" s="8">
        <f t="shared" si="47"/>
        <v>900</v>
      </c>
      <c r="O132" s="8">
        <f t="shared" si="47"/>
        <v>900</v>
      </c>
      <c r="P132" s="8">
        <f t="shared" si="47"/>
        <v>900</v>
      </c>
      <c r="Q132" s="8">
        <f t="shared" si="47"/>
        <v>0</v>
      </c>
      <c r="R132" s="8">
        <f t="shared" si="47"/>
        <v>0</v>
      </c>
      <c r="S132" s="8">
        <f t="shared" si="47"/>
        <v>900</v>
      </c>
      <c r="T132" s="8">
        <f t="shared" si="47"/>
        <v>0</v>
      </c>
      <c r="U132" s="8">
        <f t="shared" si="47"/>
        <v>0</v>
      </c>
      <c r="V132" s="8">
        <f t="shared" si="47"/>
        <v>900</v>
      </c>
      <c r="W132" s="8">
        <f t="shared" si="47"/>
        <v>0</v>
      </c>
      <c r="X132" s="8">
        <f t="shared" si="47"/>
        <v>0</v>
      </c>
      <c r="Y132" s="8">
        <f t="shared" si="47"/>
        <v>0</v>
      </c>
      <c r="Z132" s="8">
        <f t="shared" si="47"/>
        <v>900</v>
      </c>
      <c r="AA132" s="8">
        <f t="shared" si="47"/>
        <v>0</v>
      </c>
      <c r="AB132" s="8">
        <f t="shared" si="47"/>
        <v>0</v>
      </c>
      <c r="AC132" s="8">
        <f t="shared" si="47"/>
        <v>0</v>
      </c>
      <c r="AD132" s="8">
        <f t="shared" si="47"/>
        <v>0</v>
      </c>
      <c r="AE132" s="8">
        <f t="shared" si="47"/>
        <v>900</v>
      </c>
      <c r="AF132" s="8">
        <f t="shared" si="47"/>
        <v>0</v>
      </c>
      <c r="AG132" s="8">
        <f t="shared" si="47"/>
        <v>0</v>
      </c>
      <c r="AH132" s="8">
        <f t="shared" si="47"/>
        <v>0</v>
      </c>
      <c r="AI132" s="8">
        <f t="shared" si="47"/>
        <v>900</v>
      </c>
      <c r="AJ132" s="8">
        <f t="shared" si="47"/>
        <v>0</v>
      </c>
      <c r="AK132" s="8">
        <f t="shared" si="47"/>
        <v>0</v>
      </c>
    </row>
    <row r="133" spans="1:37" ht="16.350000000000001" customHeight="1" x14ac:dyDescent="0.3">
      <c r="A133" s="38" t="s">
        <v>110</v>
      </c>
      <c r="B133" s="50"/>
      <c r="C133" s="38">
        <f>IFERROR(INDEX($C$132:$AK$132,1,1+ROUND(INDEX($H$5:$V$5,1,MATCH("RM12",$H$3:$V$3,0))/7,0)),0)</f>
        <v>900</v>
      </c>
      <c r="D133" s="38">
        <f>IFERROR(INDEX($C$132:$AK$132,1,2+ROUND(INDEX($H$5:$V$5,1,MATCH("RM12",$H$3:$V$3,0))/7,0)),0)</f>
        <v>0</v>
      </c>
      <c r="E133" s="38">
        <f>IFERROR(INDEX($C$132:$AK$132,1,3+ROUND(INDEX($H$5:$V$5,1,MATCH("RM12",$H$3:$V$3,0))/7,0)),0)</f>
        <v>2100</v>
      </c>
      <c r="F133" s="38">
        <f>IFERROR(INDEX($C$132:$AK$132,1,4+ROUND(INDEX($H$5:$V$5,1,MATCH("RM12",$H$3:$V$3,0))/7,0)),0)</f>
        <v>900</v>
      </c>
      <c r="G133" s="38">
        <f>IFERROR(INDEX($C$132:$AK$132,1,5+ROUND(INDEX($H$5:$V$5,1,MATCH("RM12",$H$3:$V$3,0))/7,0)),0)</f>
        <v>900</v>
      </c>
      <c r="H133" s="38">
        <f>IFERROR(INDEX($C$132:$AK$132,1,6+ROUND(INDEX($H$5:$V$5,1,MATCH("RM12",$H$3:$V$3,0))/7,0)),0)</f>
        <v>900</v>
      </c>
      <c r="I133" s="38">
        <f>IFERROR(INDEX($C$132:$AK$132,1,7+ROUND(INDEX($H$5:$V$5,1,MATCH("RM12",$H$3:$V$3,0))/7,0)),0)</f>
        <v>0</v>
      </c>
      <c r="J133" s="38">
        <f>IFERROR(INDEX($C$132:$AK$132,1,8+ROUND(INDEX($H$5:$V$5,1,MATCH("RM12",$H$3:$V$3,0))/7,0)),0)</f>
        <v>0</v>
      </c>
      <c r="K133" s="8">
        <f>IFERROR(INDEX($C$132:$AK$132,1,9+ROUND(INDEX($H$5:$V$5,1,MATCH("RM12",$H$3:$V$3,0))/7,0)),0)</f>
        <v>900</v>
      </c>
      <c r="L133" s="8">
        <f>IFERROR(INDEX($C$132:$AK$132,1,10+ROUND(INDEX($H$5:$V$5,1,MATCH("RM12",$H$3:$V$3,0))/7,0)),0)</f>
        <v>0</v>
      </c>
      <c r="M133" s="8">
        <f>IFERROR(INDEX($C$132:$AK$132,1,11+ROUND(INDEX($H$5:$V$5,1,MATCH("RM12",$H$3:$V$3,0))/7,0)),0)</f>
        <v>0</v>
      </c>
      <c r="N133" s="8">
        <f>IFERROR(INDEX($C$132:$AK$132,1,12+ROUND(INDEX($H$5:$V$5,1,MATCH("RM12",$H$3:$V$3,0))/7,0)),0)</f>
        <v>900</v>
      </c>
      <c r="O133" s="8">
        <f>IFERROR(INDEX($C$132:$AK$132,1,13+ROUND(INDEX($H$5:$V$5,1,MATCH("RM12",$H$3:$V$3,0))/7,0)),0)</f>
        <v>0</v>
      </c>
      <c r="P133" s="8">
        <f>IFERROR(INDEX($C$132:$AK$132,1,14+ROUND(INDEX($H$5:$V$5,1,MATCH("RM12",$H$3:$V$3,0))/7,0)),0)</f>
        <v>0</v>
      </c>
      <c r="Q133" s="8">
        <f>IFERROR(INDEX($C$132:$AK$132,1,15+ROUND(INDEX($H$5:$V$5,1,MATCH("RM12",$H$3:$V$3,0))/7,0)),0)</f>
        <v>0</v>
      </c>
      <c r="R133" s="8">
        <f>IFERROR(INDEX($C$132:$AK$132,1,16+ROUND(INDEX($H$5:$V$5,1,MATCH("RM12",$H$3:$V$3,0))/7,0)),0)</f>
        <v>900</v>
      </c>
      <c r="S133" s="8">
        <f>IFERROR(INDEX($C$132:$AK$132,1,17+ROUND(INDEX($H$5:$V$5,1,MATCH("RM12",$H$3:$V$3,0))/7,0)),0)</f>
        <v>0</v>
      </c>
      <c r="T133" s="8">
        <f>IFERROR(INDEX($C$132:$AK$132,1,18+ROUND(INDEX($H$5:$V$5,1,MATCH("RM12",$H$3:$V$3,0))/7,0)),0)</f>
        <v>0</v>
      </c>
      <c r="U133" s="8">
        <f>IFERROR(INDEX($C$132:$AK$132,1,19+ROUND(INDEX($H$5:$V$5,1,MATCH("RM12",$H$3:$V$3,0))/7,0)),0)</f>
        <v>0</v>
      </c>
      <c r="V133" s="8">
        <f>IFERROR(INDEX($C$132:$AK$132,1,20+ROUND(INDEX($H$5:$V$5,1,MATCH("RM12",$H$3:$V$3,0))/7,0)),0)</f>
        <v>0</v>
      </c>
      <c r="W133" s="8">
        <f>IFERROR(INDEX($C$132:$AK$132,1,21+ROUND(INDEX($H$5:$V$5,1,MATCH("RM12",$H$3:$V$3,0))/7,0)),0)</f>
        <v>900</v>
      </c>
      <c r="X133" s="8">
        <f>IFERROR(INDEX($C$132:$AK$132,1,22+ROUND(INDEX($H$5:$V$5,1,MATCH("RM12",$H$3:$V$3,0))/7,0)),0)</f>
        <v>0</v>
      </c>
      <c r="Y133" s="8">
        <f>IFERROR(INDEX($C$132:$AK$132,1,23+ROUND(INDEX($H$5:$V$5,1,MATCH("RM12",$H$3:$V$3,0))/7,0)),0)</f>
        <v>0</v>
      </c>
      <c r="Z133" s="8">
        <f>IFERROR(INDEX($C$132:$AK$132,1,24+ROUND(INDEX($H$5:$V$5,1,MATCH("RM12",$H$3:$V$3,0))/7,0)),0)</f>
        <v>0</v>
      </c>
      <c r="AA133" s="8">
        <f>IFERROR(INDEX($C$132:$AK$132,1,25+ROUND(INDEX($H$5:$V$5,1,MATCH("RM12",$H$3:$V$3,0))/7,0)),0)</f>
        <v>900</v>
      </c>
      <c r="AB133" s="8">
        <f>IFERROR(INDEX($C$132:$AK$132,1,26+ROUND(INDEX($H$5:$V$5,1,MATCH("RM12",$H$3:$V$3,0))/7,0)),0)</f>
        <v>0</v>
      </c>
      <c r="AC133" s="8">
        <f>IFERROR(INDEX($C$132:$AK$132,1,27+ROUND(INDEX($H$5:$V$5,1,MATCH("RM12",$H$3:$V$3,0))/7,0)),0)</f>
        <v>0</v>
      </c>
      <c r="AD133" s="8">
        <f>IFERROR(INDEX($C$132:$AK$132,1,28+ROUND(INDEX($H$5:$V$5,1,MATCH("RM12",$H$3:$V$3,0))/7,0)),0)</f>
        <v>0</v>
      </c>
      <c r="AE133" s="8">
        <f>IFERROR(INDEX($C$132:$AK$132,1,29+ROUND(INDEX($H$5:$V$5,1,MATCH("RM12",$H$3:$V$3,0))/7,0)),0)</f>
        <v>0</v>
      </c>
      <c r="AF133" s="8">
        <f>IFERROR(INDEX($C$132:$AK$132,1,30+ROUND(INDEX($H$5:$V$5,1,MATCH("RM12",$H$3:$V$3,0))/7,0)),0)</f>
        <v>0</v>
      </c>
      <c r="AG133" s="8">
        <f>IFERROR(INDEX($C$132:$AK$132,1,31+ROUND(INDEX($H$5:$V$5,1,MATCH("RM12",$H$3:$V$3,0))/7,0)),0)</f>
        <v>0</v>
      </c>
      <c r="AH133" s="8">
        <f>IFERROR(INDEX($C$132:$AK$132,1,32+ROUND(INDEX($H$5:$V$5,1,MATCH("RM12",$H$3:$V$3,0))/7,0)),0)</f>
        <v>0</v>
      </c>
      <c r="AI133" s="8">
        <f>IFERROR(INDEX($C$132:$AK$132,1,33+ROUND(INDEX($H$5:$V$5,1,MATCH("RM12",$H$3:$V$3,0))/7,0)),0)</f>
        <v>0</v>
      </c>
      <c r="AJ133" s="8">
        <f>IFERROR(INDEX($C$132:$AK$132,1,34+ROUND(INDEX($H$5:$V$5,1,MATCH("RM12",$H$3:$V$3,0))/7,0)),0)</f>
        <v>0</v>
      </c>
      <c r="AK133" s="8">
        <f>IFERROR(INDEX($C$132:$AK$132,1,35+ROUND(INDEX($H$5:$V$5,1,MATCH("RM12",$H$3:$V$3,0))/7,0)),0)</f>
        <v>0</v>
      </c>
    </row>
    <row r="135" spans="1:37" ht="16.350000000000001" customHeight="1" x14ac:dyDescent="0.3">
      <c r="A135" s="51" t="s">
        <v>122</v>
      </c>
      <c r="B135" s="51" t="s">
        <v>104</v>
      </c>
      <c r="C135" s="123" t="s">
        <v>63</v>
      </c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2"/>
    </row>
    <row r="136" spans="1:37" ht="16.350000000000001" customHeight="1" x14ac:dyDescent="0.3">
      <c r="A136" s="51" t="s">
        <v>105</v>
      </c>
      <c r="B136" s="51" t="str">
        <f>"LT: "&amp;ROUND(INDEX($H$5:$V$5,1,MATCH("RM13",$H$3:$V$3,0))/7,0)</f>
        <v>LT: 5</v>
      </c>
      <c r="C136" s="52">
        <f t="array" ref="C136:AK136">TRANSPOSE([3]BOM_demand!$A$2:$A$36)</f>
        <v>46132</v>
      </c>
      <c r="D136" s="52">
        <v>46139</v>
      </c>
      <c r="E136" s="52">
        <v>46146</v>
      </c>
      <c r="F136" s="52">
        <v>46153</v>
      </c>
      <c r="G136" s="52">
        <v>46160</v>
      </c>
      <c r="H136" s="52">
        <v>46167</v>
      </c>
      <c r="I136" s="52">
        <v>46174</v>
      </c>
      <c r="J136" s="52">
        <v>46181</v>
      </c>
      <c r="K136" s="52">
        <v>46188</v>
      </c>
      <c r="L136" s="52">
        <v>46195</v>
      </c>
      <c r="M136" s="52">
        <v>46202</v>
      </c>
      <c r="N136" s="52">
        <v>46209</v>
      </c>
      <c r="O136" s="52">
        <v>46216</v>
      </c>
      <c r="P136" s="52">
        <v>46223</v>
      </c>
      <c r="Q136" s="52">
        <v>46230</v>
      </c>
      <c r="R136" s="52">
        <v>46237</v>
      </c>
      <c r="S136" s="52">
        <v>46244</v>
      </c>
      <c r="T136" s="52">
        <v>46251</v>
      </c>
      <c r="U136" s="52">
        <v>46258</v>
      </c>
      <c r="V136" s="52">
        <v>46265</v>
      </c>
      <c r="W136" s="52">
        <v>46272</v>
      </c>
      <c r="X136" s="52">
        <v>46279</v>
      </c>
      <c r="Y136" s="52">
        <v>46286</v>
      </c>
      <c r="Z136" s="52">
        <v>46293</v>
      </c>
      <c r="AA136" s="52">
        <v>46300</v>
      </c>
      <c r="AB136" s="52">
        <v>46307</v>
      </c>
      <c r="AC136" s="52">
        <v>46314</v>
      </c>
      <c r="AD136" s="52">
        <v>46321</v>
      </c>
      <c r="AE136" s="52">
        <v>46328</v>
      </c>
      <c r="AF136" s="52">
        <v>46335</v>
      </c>
      <c r="AG136" s="52">
        <v>46342</v>
      </c>
      <c r="AH136" s="52">
        <v>46349</v>
      </c>
      <c r="AI136" s="52">
        <v>46356</v>
      </c>
      <c r="AJ136" s="52">
        <v>46363</v>
      </c>
      <c r="AK136" s="52">
        <v>46370</v>
      </c>
    </row>
    <row r="137" spans="1:37" ht="16.350000000000001" customHeight="1" x14ac:dyDescent="0.3">
      <c r="A137" s="55" t="s">
        <v>106</v>
      </c>
      <c r="C137" s="38">
        <f t="array" ref="C137:AK137">TRANSPOSE([3]BOM_demand!$T$2:$T$36)</f>
        <v>0</v>
      </c>
      <c r="D137" s="38">
        <v>1888</v>
      </c>
      <c r="E137" s="38">
        <v>1200</v>
      </c>
      <c r="F137" s="38">
        <v>2792</v>
      </c>
      <c r="G137" s="38">
        <v>0</v>
      </c>
      <c r="H137" s="38">
        <v>1200</v>
      </c>
      <c r="I137" s="38">
        <v>0</v>
      </c>
      <c r="J137" s="38">
        <v>0</v>
      </c>
      <c r="K137" s="38">
        <v>1200</v>
      </c>
      <c r="L137" s="38">
        <v>0</v>
      </c>
      <c r="M137" s="38">
        <v>2800</v>
      </c>
      <c r="N137" s="38">
        <v>1200</v>
      </c>
      <c r="O137" s="38">
        <v>1200</v>
      </c>
      <c r="P137" s="38">
        <v>1200</v>
      </c>
      <c r="Q137" s="38">
        <v>0</v>
      </c>
      <c r="R137" s="38">
        <v>0</v>
      </c>
      <c r="S137" s="38">
        <v>1200</v>
      </c>
      <c r="T137" s="38">
        <v>0</v>
      </c>
      <c r="U137" s="38">
        <v>0</v>
      </c>
      <c r="V137" s="38">
        <v>1200</v>
      </c>
      <c r="W137" s="38">
        <v>0</v>
      </c>
      <c r="X137" s="38">
        <v>0</v>
      </c>
      <c r="Y137" s="38">
        <v>0</v>
      </c>
      <c r="Z137" s="38">
        <v>1200</v>
      </c>
      <c r="AA137" s="38">
        <v>0</v>
      </c>
      <c r="AB137" s="38">
        <v>0</v>
      </c>
      <c r="AC137" s="38">
        <v>0</v>
      </c>
      <c r="AD137" s="38">
        <v>0</v>
      </c>
      <c r="AE137" s="38">
        <v>1200</v>
      </c>
      <c r="AF137" s="38">
        <v>0</v>
      </c>
      <c r="AG137" s="38">
        <v>0</v>
      </c>
      <c r="AH137" s="38">
        <v>0</v>
      </c>
      <c r="AI137" s="38">
        <v>1200</v>
      </c>
      <c r="AJ137" s="38">
        <v>0</v>
      </c>
      <c r="AK137" s="38">
        <v>0</v>
      </c>
    </row>
    <row r="138" spans="1:37" ht="16.350000000000001" customHeight="1" x14ac:dyDescent="0.3">
      <c r="A138" s="124" t="s">
        <v>100</v>
      </c>
      <c r="B138" s="122"/>
      <c r="C138" s="38">
        <f>IFERROR(INDEX($H$7:$V$7,1,MATCH("RM13",$H$3:$V$3,0)),0)</f>
        <v>1000</v>
      </c>
      <c r="D138" s="38">
        <f>0</f>
        <v>0</v>
      </c>
      <c r="E138" s="38">
        <f>0</f>
        <v>0</v>
      </c>
      <c r="F138" s="38">
        <f>0</f>
        <v>0</v>
      </c>
      <c r="G138" s="38">
        <f>0</f>
        <v>0</v>
      </c>
      <c r="H138" s="38">
        <f>0</f>
        <v>0</v>
      </c>
      <c r="I138" s="38">
        <f>0</f>
        <v>0</v>
      </c>
      <c r="J138" s="38">
        <f>0</f>
        <v>0</v>
      </c>
      <c r="K138" s="8">
        <f>0</f>
        <v>0</v>
      </c>
      <c r="L138" s="8">
        <f>0</f>
        <v>0</v>
      </c>
      <c r="M138" s="8">
        <f>0</f>
        <v>0</v>
      </c>
      <c r="N138" s="8">
        <f>0</f>
        <v>0</v>
      </c>
      <c r="O138" s="8">
        <f>0</f>
        <v>0</v>
      </c>
      <c r="P138" s="8">
        <f>0</f>
        <v>0</v>
      </c>
      <c r="Q138" s="8">
        <f>0</f>
        <v>0</v>
      </c>
      <c r="R138" s="8">
        <f>0</f>
        <v>0</v>
      </c>
      <c r="S138" s="8">
        <f>0</f>
        <v>0</v>
      </c>
      <c r="T138" s="8">
        <f>0</f>
        <v>0</v>
      </c>
      <c r="U138" s="8">
        <f>0</f>
        <v>0</v>
      </c>
      <c r="V138" s="8">
        <f>0</f>
        <v>0</v>
      </c>
      <c r="W138" s="8">
        <f>0</f>
        <v>0</v>
      </c>
      <c r="X138" s="8">
        <f>0</f>
        <v>0</v>
      </c>
      <c r="Y138" s="8">
        <f>0</f>
        <v>0</v>
      </c>
      <c r="Z138" s="8">
        <f>0</f>
        <v>0</v>
      </c>
      <c r="AA138" s="8">
        <f>0</f>
        <v>0</v>
      </c>
      <c r="AB138" s="8">
        <f>0</f>
        <v>0</v>
      </c>
      <c r="AC138" s="8">
        <f>0</f>
        <v>0</v>
      </c>
      <c r="AD138" s="8">
        <f>0</f>
        <v>0</v>
      </c>
      <c r="AE138" s="8">
        <f>0</f>
        <v>0</v>
      </c>
      <c r="AF138" s="8">
        <f>0</f>
        <v>0</v>
      </c>
      <c r="AG138" s="8">
        <f>0</f>
        <v>0</v>
      </c>
      <c r="AH138" s="8">
        <f>0</f>
        <v>0</v>
      </c>
      <c r="AI138" s="8">
        <f>0</f>
        <v>0</v>
      </c>
      <c r="AJ138" s="8">
        <f>0</f>
        <v>0</v>
      </c>
      <c r="AK138" s="8">
        <f>0</f>
        <v>0</v>
      </c>
    </row>
    <row r="139" spans="1:37" ht="16.350000000000001" customHeight="1" x14ac:dyDescent="0.3">
      <c r="A139" s="38" t="s">
        <v>101</v>
      </c>
      <c r="B139" s="50">
        <f>IFERROR(INDEX($H$8:$V$8,1,MATCH("RM13",$H$3:$V$3,0)),0)</f>
        <v>1182</v>
      </c>
      <c r="C139" s="38">
        <f t="shared" ref="C139:AK139" si="48">$B139</f>
        <v>1182</v>
      </c>
      <c r="D139" s="38">
        <f t="shared" si="48"/>
        <v>1182</v>
      </c>
      <c r="E139" s="38">
        <f t="shared" si="48"/>
        <v>1182</v>
      </c>
      <c r="F139" s="38">
        <f t="shared" si="48"/>
        <v>1182</v>
      </c>
      <c r="G139" s="38">
        <f t="shared" si="48"/>
        <v>1182</v>
      </c>
      <c r="H139" s="38">
        <f t="shared" si="48"/>
        <v>1182</v>
      </c>
      <c r="I139" s="38">
        <f t="shared" si="48"/>
        <v>1182</v>
      </c>
      <c r="J139" s="38">
        <f t="shared" si="48"/>
        <v>1182</v>
      </c>
      <c r="K139" s="8">
        <f t="shared" si="48"/>
        <v>1182</v>
      </c>
      <c r="L139" s="8">
        <f t="shared" si="48"/>
        <v>1182</v>
      </c>
      <c r="M139" s="8">
        <f t="shared" si="48"/>
        <v>1182</v>
      </c>
      <c r="N139" s="8">
        <f t="shared" si="48"/>
        <v>1182</v>
      </c>
      <c r="O139" s="8">
        <f t="shared" si="48"/>
        <v>1182</v>
      </c>
      <c r="P139" s="8">
        <f t="shared" si="48"/>
        <v>1182</v>
      </c>
      <c r="Q139" s="8">
        <f t="shared" si="48"/>
        <v>1182</v>
      </c>
      <c r="R139" s="8">
        <f t="shared" si="48"/>
        <v>1182</v>
      </c>
      <c r="S139" s="8">
        <f t="shared" si="48"/>
        <v>1182</v>
      </c>
      <c r="T139" s="8">
        <f t="shared" si="48"/>
        <v>1182</v>
      </c>
      <c r="U139" s="8">
        <f t="shared" si="48"/>
        <v>1182</v>
      </c>
      <c r="V139" s="8">
        <f t="shared" si="48"/>
        <v>1182</v>
      </c>
      <c r="W139" s="8">
        <f t="shared" si="48"/>
        <v>1182</v>
      </c>
      <c r="X139" s="8">
        <f t="shared" si="48"/>
        <v>1182</v>
      </c>
      <c r="Y139" s="8">
        <f t="shared" si="48"/>
        <v>1182</v>
      </c>
      <c r="Z139" s="8">
        <f t="shared" si="48"/>
        <v>1182</v>
      </c>
      <c r="AA139" s="8">
        <f t="shared" si="48"/>
        <v>1182</v>
      </c>
      <c r="AB139" s="8">
        <f t="shared" si="48"/>
        <v>1182</v>
      </c>
      <c r="AC139" s="8">
        <f t="shared" si="48"/>
        <v>1182</v>
      </c>
      <c r="AD139" s="8">
        <f t="shared" si="48"/>
        <v>1182</v>
      </c>
      <c r="AE139" s="8">
        <f t="shared" si="48"/>
        <v>1182</v>
      </c>
      <c r="AF139" s="8">
        <f t="shared" si="48"/>
        <v>1182</v>
      </c>
      <c r="AG139" s="8">
        <f t="shared" si="48"/>
        <v>1182</v>
      </c>
      <c r="AH139" s="8">
        <f t="shared" si="48"/>
        <v>1182</v>
      </c>
      <c r="AI139" s="8">
        <f t="shared" si="48"/>
        <v>1182</v>
      </c>
      <c r="AJ139" s="8">
        <f t="shared" si="48"/>
        <v>1182</v>
      </c>
      <c r="AK139" s="8">
        <f t="shared" si="48"/>
        <v>1182</v>
      </c>
    </row>
    <row r="140" spans="1:37" ht="16.350000000000001" customHeight="1" x14ac:dyDescent="0.3">
      <c r="A140" s="38" t="s">
        <v>107</v>
      </c>
      <c r="B140" s="50">
        <f>IFERROR(INDEX($H$6:$V$6,1,MATCH("RM13",$H$3:$V$3,0)),0)</f>
        <v>6000</v>
      </c>
      <c r="C140" s="38">
        <f>$B140+C138+C142-C137</f>
        <v>7000</v>
      </c>
      <c r="D140" s="38">
        <f t="shared" ref="D140:AK140" si="49">C140+D138+D142-D137</f>
        <v>5112</v>
      </c>
      <c r="E140" s="38">
        <f t="shared" si="49"/>
        <v>3912</v>
      </c>
      <c r="F140" s="38">
        <f t="shared" si="49"/>
        <v>1182</v>
      </c>
      <c r="G140" s="38">
        <f t="shared" si="49"/>
        <v>1182</v>
      </c>
      <c r="H140" s="38">
        <f t="shared" si="49"/>
        <v>1182</v>
      </c>
      <c r="I140" s="38">
        <f t="shared" si="49"/>
        <v>1182</v>
      </c>
      <c r="J140" s="38">
        <f t="shared" si="49"/>
        <v>1182</v>
      </c>
      <c r="K140" s="8">
        <f t="shared" si="49"/>
        <v>1182</v>
      </c>
      <c r="L140" s="8">
        <f t="shared" si="49"/>
        <v>1182</v>
      </c>
      <c r="M140" s="8">
        <f t="shared" si="49"/>
        <v>1182</v>
      </c>
      <c r="N140" s="8">
        <f t="shared" si="49"/>
        <v>1182</v>
      </c>
      <c r="O140" s="8">
        <f t="shared" si="49"/>
        <v>1182</v>
      </c>
      <c r="P140" s="8">
        <f t="shared" si="49"/>
        <v>1182</v>
      </c>
      <c r="Q140" s="8">
        <f t="shared" si="49"/>
        <v>1182</v>
      </c>
      <c r="R140" s="8">
        <f t="shared" si="49"/>
        <v>1182</v>
      </c>
      <c r="S140" s="8">
        <f t="shared" si="49"/>
        <v>1182</v>
      </c>
      <c r="T140" s="8">
        <f t="shared" si="49"/>
        <v>1182</v>
      </c>
      <c r="U140" s="8">
        <f t="shared" si="49"/>
        <v>1182</v>
      </c>
      <c r="V140" s="8">
        <f t="shared" si="49"/>
        <v>1182</v>
      </c>
      <c r="W140" s="8">
        <f t="shared" si="49"/>
        <v>1182</v>
      </c>
      <c r="X140" s="8">
        <f t="shared" si="49"/>
        <v>1182</v>
      </c>
      <c r="Y140" s="8">
        <f t="shared" si="49"/>
        <v>1182</v>
      </c>
      <c r="Z140" s="8">
        <f t="shared" si="49"/>
        <v>1182</v>
      </c>
      <c r="AA140" s="8">
        <f t="shared" si="49"/>
        <v>1182</v>
      </c>
      <c r="AB140" s="8">
        <f t="shared" si="49"/>
        <v>1182</v>
      </c>
      <c r="AC140" s="8">
        <f t="shared" si="49"/>
        <v>1182</v>
      </c>
      <c r="AD140" s="8">
        <f t="shared" si="49"/>
        <v>1182</v>
      </c>
      <c r="AE140" s="8">
        <f t="shared" si="49"/>
        <v>1182</v>
      </c>
      <c r="AF140" s="8">
        <f t="shared" si="49"/>
        <v>1182</v>
      </c>
      <c r="AG140" s="8">
        <f t="shared" si="49"/>
        <v>1182</v>
      </c>
      <c r="AH140" s="8">
        <f t="shared" si="49"/>
        <v>1182</v>
      </c>
      <c r="AI140" s="8">
        <f t="shared" si="49"/>
        <v>1182</v>
      </c>
      <c r="AJ140" s="8">
        <f t="shared" si="49"/>
        <v>1182</v>
      </c>
      <c r="AK140" s="8">
        <f t="shared" si="49"/>
        <v>1182</v>
      </c>
    </row>
    <row r="141" spans="1:37" ht="16.350000000000001" customHeight="1" x14ac:dyDescent="0.3">
      <c r="A141" s="38" t="s">
        <v>108</v>
      </c>
      <c r="B141" s="50"/>
      <c r="C141" s="38">
        <f>MAX(C137+C139-($B140+C138),0)</f>
        <v>0</v>
      </c>
      <c r="D141" s="38">
        <f t="shared" ref="D141:AK141" si="50">MAX(D137+D139-(C140+D138),0)</f>
        <v>0</v>
      </c>
      <c r="E141" s="38">
        <f t="shared" si="50"/>
        <v>0</v>
      </c>
      <c r="F141" s="38">
        <f t="shared" si="50"/>
        <v>62</v>
      </c>
      <c r="G141" s="38">
        <f t="shared" si="50"/>
        <v>0</v>
      </c>
      <c r="H141" s="38">
        <f t="shared" si="50"/>
        <v>1200</v>
      </c>
      <c r="I141" s="38">
        <f t="shared" si="50"/>
        <v>0</v>
      </c>
      <c r="J141" s="38">
        <f t="shared" si="50"/>
        <v>0</v>
      </c>
      <c r="K141" s="8">
        <f t="shared" si="50"/>
        <v>1200</v>
      </c>
      <c r="L141" s="8">
        <f t="shared" si="50"/>
        <v>0</v>
      </c>
      <c r="M141" s="8">
        <f t="shared" si="50"/>
        <v>2800</v>
      </c>
      <c r="N141" s="8">
        <f t="shared" si="50"/>
        <v>1200</v>
      </c>
      <c r="O141" s="8">
        <f t="shared" si="50"/>
        <v>1200</v>
      </c>
      <c r="P141" s="8">
        <f t="shared" si="50"/>
        <v>1200</v>
      </c>
      <c r="Q141" s="8">
        <f t="shared" si="50"/>
        <v>0</v>
      </c>
      <c r="R141" s="8">
        <f t="shared" si="50"/>
        <v>0</v>
      </c>
      <c r="S141" s="8">
        <f t="shared" si="50"/>
        <v>1200</v>
      </c>
      <c r="T141" s="8">
        <f t="shared" si="50"/>
        <v>0</v>
      </c>
      <c r="U141" s="8">
        <f t="shared" si="50"/>
        <v>0</v>
      </c>
      <c r="V141" s="8">
        <f t="shared" si="50"/>
        <v>1200</v>
      </c>
      <c r="W141" s="8">
        <f t="shared" si="50"/>
        <v>0</v>
      </c>
      <c r="X141" s="8">
        <f t="shared" si="50"/>
        <v>0</v>
      </c>
      <c r="Y141" s="8">
        <f t="shared" si="50"/>
        <v>0</v>
      </c>
      <c r="Z141" s="8">
        <f t="shared" si="50"/>
        <v>1200</v>
      </c>
      <c r="AA141" s="8">
        <f t="shared" si="50"/>
        <v>0</v>
      </c>
      <c r="AB141" s="8">
        <f t="shared" si="50"/>
        <v>0</v>
      </c>
      <c r="AC141" s="8">
        <f t="shared" si="50"/>
        <v>0</v>
      </c>
      <c r="AD141" s="8">
        <f t="shared" si="50"/>
        <v>0</v>
      </c>
      <c r="AE141" s="8">
        <f t="shared" si="50"/>
        <v>1200</v>
      </c>
      <c r="AF141" s="8">
        <f t="shared" si="50"/>
        <v>0</v>
      </c>
      <c r="AG141" s="8">
        <f t="shared" si="50"/>
        <v>0</v>
      </c>
      <c r="AH141" s="8">
        <f t="shared" si="50"/>
        <v>0</v>
      </c>
      <c r="AI141" s="8">
        <f t="shared" si="50"/>
        <v>1200</v>
      </c>
      <c r="AJ141" s="8">
        <f t="shared" si="50"/>
        <v>0</v>
      </c>
      <c r="AK141" s="8">
        <f t="shared" si="50"/>
        <v>0</v>
      </c>
    </row>
    <row r="142" spans="1:37" ht="16.350000000000001" customHeight="1" x14ac:dyDescent="0.3">
      <c r="A142" s="124" t="s">
        <v>109</v>
      </c>
      <c r="B142" s="122"/>
      <c r="C142" s="38">
        <f t="shared" ref="C142:AK142" si="51">C141</f>
        <v>0</v>
      </c>
      <c r="D142" s="38">
        <f t="shared" si="51"/>
        <v>0</v>
      </c>
      <c r="E142" s="38">
        <f t="shared" si="51"/>
        <v>0</v>
      </c>
      <c r="F142" s="38">
        <f t="shared" si="51"/>
        <v>62</v>
      </c>
      <c r="G142" s="38">
        <f t="shared" si="51"/>
        <v>0</v>
      </c>
      <c r="H142" s="38">
        <f t="shared" si="51"/>
        <v>1200</v>
      </c>
      <c r="I142" s="38">
        <f t="shared" si="51"/>
        <v>0</v>
      </c>
      <c r="J142" s="38">
        <f t="shared" si="51"/>
        <v>0</v>
      </c>
      <c r="K142" s="8">
        <f t="shared" si="51"/>
        <v>1200</v>
      </c>
      <c r="L142" s="8">
        <f t="shared" si="51"/>
        <v>0</v>
      </c>
      <c r="M142" s="8">
        <f t="shared" si="51"/>
        <v>2800</v>
      </c>
      <c r="N142" s="8">
        <f t="shared" si="51"/>
        <v>1200</v>
      </c>
      <c r="O142" s="8">
        <f t="shared" si="51"/>
        <v>1200</v>
      </c>
      <c r="P142" s="8">
        <f t="shared" si="51"/>
        <v>1200</v>
      </c>
      <c r="Q142" s="8">
        <f t="shared" si="51"/>
        <v>0</v>
      </c>
      <c r="R142" s="8">
        <f t="shared" si="51"/>
        <v>0</v>
      </c>
      <c r="S142" s="8">
        <f t="shared" si="51"/>
        <v>1200</v>
      </c>
      <c r="T142" s="8">
        <f t="shared" si="51"/>
        <v>0</v>
      </c>
      <c r="U142" s="8">
        <f t="shared" si="51"/>
        <v>0</v>
      </c>
      <c r="V142" s="8">
        <f t="shared" si="51"/>
        <v>1200</v>
      </c>
      <c r="W142" s="8">
        <f t="shared" si="51"/>
        <v>0</v>
      </c>
      <c r="X142" s="8">
        <f t="shared" si="51"/>
        <v>0</v>
      </c>
      <c r="Y142" s="8">
        <f t="shared" si="51"/>
        <v>0</v>
      </c>
      <c r="Z142" s="8">
        <f t="shared" si="51"/>
        <v>1200</v>
      </c>
      <c r="AA142" s="8">
        <f t="shared" si="51"/>
        <v>0</v>
      </c>
      <c r="AB142" s="8">
        <f t="shared" si="51"/>
        <v>0</v>
      </c>
      <c r="AC142" s="8">
        <f t="shared" si="51"/>
        <v>0</v>
      </c>
      <c r="AD142" s="8">
        <f t="shared" si="51"/>
        <v>0</v>
      </c>
      <c r="AE142" s="8">
        <f t="shared" si="51"/>
        <v>1200</v>
      </c>
      <c r="AF142" s="8">
        <f t="shared" si="51"/>
        <v>0</v>
      </c>
      <c r="AG142" s="8">
        <f t="shared" si="51"/>
        <v>0</v>
      </c>
      <c r="AH142" s="8">
        <f t="shared" si="51"/>
        <v>0</v>
      </c>
      <c r="AI142" s="8">
        <f t="shared" si="51"/>
        <v>1200</v>
      </c>
      <c r="AJ142" s="8">
        <f t="shared" si="51"/>
        <v>0</v>
      </c>
      <c r="AK142" s="8">
        <f t="shared" si="51"/>
        <v>0</v>
      </c>
    </row>
    <row r="143" spans="1:37" ht="16.350000000000001" customHeight="1" x14ac:dyDescent="0.3">
      <c r="A143" s="38" t="s">
        <v>110</v>
      </c>
      <c r="B143" s="50"/>
      <c r="C143" s="38">
        <f>IFERROR(INDEX($C$142:$AK$142,1,1+ROUND(INDEX($H$5:$V$5,1,MATCH("RM13",$H$3:$V$3,0))/7,0)),0)</f>
        <v>1200</v>
      </c>
      <c r="D143" s="38">
        <f>IFERROR(INDEX($C$142:$AK$142,1,2+ROUND(INDEX($H$5:$V$5,1,MATCH("RM13",$H$3:$V$3,0))/7,0)),0)</f>
        <v>0</v>
      </c>
      <c r="E143" s="38">
        <f>IFERROR(INDEX($C$142:$AK$142,1,3+ROUND(INDEX($H$5:$V$5,1,MATCH("RM13",$H$3:$V$3,0))/7,0)),0)</f>
        <v>0</v>
      </c>
      <c r="F143" s="38">
        <f>IFERROR(INDEX($C$142:$AK$142,1,4+ROUND(INDEX($H$5:$V$5,1,MATCH("RM13",$H$3:$V$3,0))/7,0)),0)</f>
        <v>1200</v>
      </c>
      <c r="G143" s="38">
        <f>IFERROR(INDEX($C$142:$AK$142,1,5+ROUND(INDEX($H$5:$V$5,1,MATCH("RM13",$H$3:$V$3,0))/7,0)),0)</f>
        <v>0</v>
      </c>
      <c r="H143" s="38">
        <f>IFERROR(INDEX($C$142:$AK$142,1,6+ROUND(INDEX($H$5:$V$5,1,MATCH("RM13",$H$3:$V$3,0))/7,0)),0)</f>
        <v>2800</v>
      </c>
      <c r="I143" s="38">
        <f>IFERROR(INDEX($C$142:$AK$142,1,7+ROUND(INDEX($H$5:$V$5,1,MATCH("RM13",$H$3:$V$3,0))/7,0)),0)</f>
        <v>1200</v>
      </c>
      <c r="J143" s="38">
        <f>IFERROR(INDEX($C$142:$AK$142,1,8+ROUND(INDEX($H$5:$V$5,1,MATCH("RM13",$H$3:$V$3,0))/7,0)),0)</f>
        <v>1200</v>
      </c>
      <c r="K143" s="8">
        <f>IFERROR(INDEX($C$142:$AK$142,1,9+ROUND(INDEX($H$5:$V$5,1,MATCH("RM13",$H$3:$V$3,0))/7,0)),0)</f>
        <v>1200</v>
      </c>
      <c r="L143" s="8">
        <f>IFERROR(INDEX($C$142:$AK$142,1,10+ROUND(INDEX($H$5:$V$5,1,MATCH("RM13",$H$3:$V$3,0))/7,0)),0)</f>
        <v>0</v>
      </c>
      <c r="M143" s="8">
        <f>IFERROR(INDEX($C$142:$AK$142,1,11+ROUND(INDEX($H$5:$V$5,1,MATCH("RM13",$H$3:$V$3,0))/7,0)),0)</f>
        <v>0</v>
      </c>
      <c r="N143" s="8">
        <f>IFERROR(INDEX($C$142:$AK$142,1,12+ROUND(INDEX($H$5:$V$5,1,MATCH("RM13",$H$3:$V$3,0))/7,0)),0)</f>
        <v>1200</v>
      </c>
      <c r="O143" s="8">
        <f>IFERROR(INDEX($C$142:$AK$142,1,13+ROUND(INDEX($H$5:$V$5,1,MATCH("RM13",$H$3:$V$3,0))/7,0)),0)</f>
        <v>0</v>
      </c>
      <c r="P143" s="8">
        <f>IFERROR(INDEX($C$142:$AK$142,1,14+ROUND(INDEX($H$5:$V$5,1,MATCH("RM13",$H$3:$V$3,0))/7,0)),0)</f>
        <v>0</v>
      </c>
      <c r="Q143" s="8">
        <f>IFERROR(INDEX($C$142:$AK$142,1,15+ROUND(INDEX($H$5:$V$5,1,MATCH("RM13",$H$3:$V$3,0))/7,0)),0)</f>
        <v>1200</v>
      </c>
      <c r="R143" s="8">
        <f>IFERROR(INDEX($C$142:$AK$142,1,16+ROUND(INDEX($H$5:$V$5,1,MATCH("RM13",$H$3:$V$3,0))/7,0)),0)</f>
        <v>0</v>
      </c>
      <c r="S143" s="8">
        <f>IFERROR(INDEX($C$142:$AK$142,1,17+ROUND(INDEX($H$5:$V$5,1,MATCH("RM13",$H$3:$V$3,0))/7,0)),0)</f>
        <v>0</v>
      </c>
      <c r="T143" s="8">
        <f>IFERROR(INDEX($C$142:$AK$142,1,18+ROUND(INDEX($H$5:$V$5,1,MATCH("RM13",$H$3:$V$3,0))/7,0)),0)</f>
        <v>0</v>
      </c>
      <c r="U143" s="8">
        <f>IFERROR(INDEX($C$142:$AK$142,1,19+ROUND(INDEX($H$5:$V$5,1,MATCH("RM13",$H$3:$V$3,0))/7,0)),0)</f>
        <v>1200</v>
      </c>
      <c r="V143" s="8">
        <f>IFERROR(INDEX($C$142:$AK$142,1,20+ROUND(INDEX($H$5:$V$5,1,MATCH("RM13",$H$3:$V$3,0))/7,0)),0)</f>
        <v>0</v>
      </c>
      <c r="W143" s="8">
        <f>IFERROR(INDEX($C$142:$AK$142,1,21+ROUND(INDEX($H$5:$V$5,1,MATCH("RM13",$H$3:$V$3,0))/7,0)),0)</f>
        <v>0</v>
      </c>
      <c r="X143" s="8">
        <f>IFERROR(INDEX($C$142:$AK$142,1,22+ROUND(INDEX($H$5:$V$5,1,MATCH("RM13",$H$3:$V$3,0))/7,0)),0)</f>
        <v>0</v>
      </c>
      <c r="Y143" s="8">
        <f>IFERROR(INDEX($C$142:$AK$142,1,23+ROUND(INDEX($H$5:$V$5,1,MATCH("RM13",$H$3:$V$3,0))/7,0)),0)</f>
        <v>0</v>
      </c>
      <c r="Z143" s="8">
        <f>IFERROR(INDEX($C$142:$AK$142,1,24+ROUND(INDEX($H$5:$V$5,1,MATCH("RM13",$H$3:$V$3,0))/7,0)),0)</f>
        <v>1200</v>
      </c>
      <c r="AA143" s="8">
        <f>IFERROR(INDEX($C$142:$AK$142,1,25+ROUND(INDEX($H$5:$V$5,1,MATCH("RM13",$H$3:$V$3,0))/7,0)),0)</f>
        <v>0</v>
      </c>
      <c r="AB143" s="8">
        <f>IFERROR(INDEX($C$142:$AK$142,1,26+ROUND(INDEX($H$5:$V$5,1,MATCH("RM13",$H$3:$V$3,0))/7,0)),0)</f>
        <v>0</v>
      </c>
      <c r="AC143" s="8">
        <f>IFERROR(INDEX($C$142:$AK$142,1,27+ROUND(INDEX($H$5:$V$5,1,MATCH("RM13",$H$3:$V$3,0))/7,0)),0)</f>
        <v>0</v>
      </c>
      <c r="AD143" s="8">
        <f>IFERROR(INDEX($C$142:$AK$142,1,28+ROUND(INDEX($H$5:$V$5,1,MATCH("RM13",$H$3:$V$3,0))/7,0)),0)</f>
        <v>1200</v>
      </c>
      <c r="AE143" s="8">
        <f>IFERROR(INDEX($C$142:$AK$142,1,29+ROUND(INDEX($H$5:$V$5,1,MATCH("RM13",$H$3:$V$3,0))/7,0)),0)</f>
        <v>0</v>
      </c>
      <c r="AF143" s="8">
        <f>IFERROR(INDEX($C$142:$AK$142,1,30+ROUND(INDEX($H$5:$V$5,1,MATCH("RM13",$H$3:$V$3,0))/7,0)),0)</f>
        <v>0</v>
      </c>
      <c r="AG143" s="8">
        <f>IFERROR(INDEX($C$142:$AK$142,1,31+ROUND(INDEX($H$5:$V$5,1,MATCH("RM13",$H$3:$V$3,0))/7,0)),0)</f>
        <v>0</v>
      </c>
      <c r="AH143" s="8">
        <f>IFERROR(INDEX($C$142:$AK$142,1,32+ROUND(INDEX($H$5:$V$5,1,MATCH("RM13",$H$3:$V$3,0))/7,0)),0)</f>
        <v>0</v>
      </c>
      <c r="AI143" s="8">
        <f>IFERROR(INDEX($C$142:$AK$142,1,33+ROUND(INDEX($H$5:$V$5,1,MATCH("RM13",$H$3:$V$3,0))/7,0)),0)</f>
        <v>0</v>
      </c>
      <c r="AJ143" s="8">
        <f>IFERROR(INDEX($C$142:$AK$142,1,34+ROUND(INDEX($H$5:$V$5,1,MATCH("RM13",$H$3:$V$3,0))/7,0)),0)</f>
        <v>0</v>
      </c>
      <c r="AK143" s="8">
        <f>IFERROR(INDEX($C$142:$AK$142,1,35+ROUND(INDEX($H$5:$V$5,1,MATCH("RM13",$H$3:$V$3,0))/7,0)),0)</f>
        <v>0</v>
      </c>
    </row>
    <row r="145" spans="1:37" ht="16.350000000000001" customHeight="1" x14ac:dyDescent="0.3">
      <c r="A145" s="51" t="s">
        <v>123</v>
      </c>
      <c r="B145" s="51" t="s">
        <v>104</v>
      </c>
      <c r="C145" s="123" t="s">
        <v>63</v>
      </c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2"/>
    </row>
    <row r="146" spans="1:37" ht="16.350000000000001" customHeight="1" x14ac:dyDescent="0.3">
      <c r="A146" s="51" t="s">
        <v>105</v>
      </c>
      <c r="B146" s="51" t="str">
        <f>"LT: "&amp;ROUND(INDEX($H$5:$V$5,1,MATCH("RM14",$H$3:$V$3,0))/7,0)</f>
        <v>LT: 9</v>
      </c>
      <c r="C146" s="52">
        <f t="array" ref="C146:AK146">TRANSPOSE([3]BOM_demand!$A$2:$A$36)</f>
        <v>46132</v>
      </c>
      <c r="D146" s="52">
        <v>46139</v>
      </c>
      <c r="E146" s="52">
        <v>46146</v>
      </c>
      <c r="F146" s="52">
        <v>46153</v>
      </c>
      <c r="G146" s="52">
        <v>46160</v>
      </c>
      <c r="H146" s="52">
        <v>46167</v>
      </c>
      <c r="I146" s="52">
        <v>46174</v>
      </c>
      <c r="J146" s="52">
        <v>46181</v>
      </c>
      <c r="K146" s="52">
        <v>46188</v>
      </c>
      <c r="L146" s="52">
        <v>46195</v>
      </c>
      <c r="M146" s="52">
        <v>46202</v>
      </c>
      <c r="N146" s="52">
        <v>46209</v>
      </c>
      <c r="O146" s="52">
        <v>46216</v>
      </c>
      <c r="P146" s="52">
        <v>46223</v>
      </c>
      <c r="Q146" s="52">
        <v>46230</v>
      </c>
      <c r="R146" s="52">
        <v>46237</v>
      </c>
      <c r="S146" s="52">
        <v>46244</v>
      </c>
      <c r="T146" s="52">
        <v>46251</v>
      </c>
      <c r="U146" s="52">
        <v>46258</v>
      </c>
      <c r="V146" s="52">
        <v>46265</v>
      </c>
      <c r="W146" s="52">
        <v>46272</v>
      </c>
      <c r="X146" s="52">
        <v>46279</v>
      </c>
      <c r="Y146" s="52">
        <v>46286</v>
      </c>
      <c r="Z146" s="52">
        <v>46293</v>
      </c>
      <c r="AA146" s="52">
        <v>46300</v>
      </c>
      <c r="AB146" s="52">
        <v>46307</v>
      </c>
      <c r="AC146" s="52">
        <v>46314</v>
      </c>
      <c r="AD146" s="52">
        <v>46321</v>
      </c>
      <c r="AE146" s="52">
        <v>46328</v>
      </c>
      <c r="AF146" s="52">
        <v>46335</v>
      </c>
      <c r="AG146" s="52">
        <v>46342</v>
      </c>
      <c r="AH146" s="52">
        <v>46349</v>
      </c>
      <c r="AI146" s="52">
        <v>46356</v>
      </c>
      <c r="AJ146" s="52">
        <v>46363</v>
      </c>
      <c r="AK146" s="52">
        <v>46370</v>
      </c>
    </row>
    <row r="147" spans="1:37" ht="16.350000000000001" customHeight="1" x14ac:dyDescent="0.3">
      <c r="A147" s="55" t="s">
        <v>106</v>
      </c>
      <c r="C147" s="38">
        <f t="array" ref="C147:AK147">TRANSPOSE([3]BOM_demand!$U$2:$U$36)</f>
        <v>2940</v>
      </c>
      <c r="D147" s="38">
        <v>20140</v>
      </c>
      <c r="E147" s="38">
        <v>21000</v>
      </c>
      <c r="F147" s="38">
        <v>19010</v>
      </c>
      <c r="G147" s="38">
        <v>22500</v>
      </c>
      <c r="H147" s="38">
        <v>21000</v>
      </c>
      <c r="I147" s="38">
        <v>22500</v>
      </c>
      <c r="J147" s="38">
        <v>22500</v>
      </c>
      <c r="K147" s="38">
        <v>11000</v>
      </c>
      <c r="L147" s="38">
        <v>25000</v>
      </c>
      <c r="M147" s="38">
        <v>21500</v>
      </c>
      <c r="N147" s="38">
        <v>23500</v>
      </c>
      <c r="O147" s="38">
        <v>23730</v>
      </c>
      <c r="P147" s="38">
        <v>21500</v>
      </c>
      <c r="Q147" s="38">
        <v>2380</v>
      </c>
      <c r="R147" s="38">
        <v>6490</v>
      </c>
      <c r="S147" s="38">
        <v>6500</v>
      </c>
      <c r="T147" s="38">
        <v>6490</v>
      </c>
      <c r="U147" s="38">
        <v>7530</v>
      </c>
      <c r="V147" s="38">
        <v>7530</v>
      </c>
      <c r="W147" s="38">
        <v>7530</v>
      </c>
      <c r="X147" s="38">
        <v>7530</v>
      </c>
      <c r="Y147" s="38">
        <v>7230</v>
      </c>
      <c r="Z147" s="38">
        <v>0</v>
      </c>
      <c r="AA147" s="38">
        <v>0</v>
      </c>
      <c r="AB147" s="38">
        <v>7240</v>
      </c>
      <c r="AC147" s="38">
        <v>7240</v>
      </c>
      <c r="AD147" s="38">
        <v>7240</v>
      </c>
      <c r="AE147" s="38">
        <v>8770</v>
      </c>
      <c r="AF147" s="38">
        <v>8780</v>
      </c>
      <c r="AG147" s="38">
        <v>8780</v>
      </c>
      <c r="AH147" s="38">
        <v>8780</v>
      </c>
      <c r="AI147" s="38">
        <v>9640</v>
      </c>
      <c r="AJ147" s="38">
        <v>9650</v>
      </c>
      <c r="AK147" s="38">
        <v>9640</v>
      </c>
    </row>
    <row r="148" spans="1:37" ht="16.350000000000001" customHeight="1" x14ac:dyDescent="0.3">
      <c r="A148" s="124" t="s">
        <v>100</v>
      </c>
      <c r="B148" s="122"/>
      <c r="C148" s="38">
        <f>IFERROR(INDEX($H$7:$V$7,1,MATCH("RM14",$H$3:$V$3,0)),0)</f>
        <v>0</v>
      </c>
      <c r="D148" s="38">
        <f>0</f>
        <v>0</v>
      </c>
      <c r="E148" s="38">
        <f>0</f>
        <v>0</v>
      </c>
      <c r="F148" s="38">
        <f>0</f>
        <v>0</v>
      </c>
      <c r="G148" s="38">
        <f>0</f>
        <v>0</v>
      </c>
      <c r="H148" s="38">
        <f>0</f>
        <v>0</v>
      </c>
      <c r="I148" s="38">
        <f>0</f>
        <v>0</v>
      </c>
      <c r="J148" s="38">
        <f>0</f>
        <v>0</v>
      </c>
      <c r="K148" s="8">
        <f>0</f>
        <v>0</v>
      </c>
      <c r="L148" s="8">
        <f>0</f>
        <v>0</v>
      </c>
      <c r="M148" s="8">
        <f>0</f>
        <v>0</v>
      </c>
      <c r="N148" s="8">
        <f>0</f>
        <v>0</v>
      </c>
      <c r="O148" s="8">
        <f>0</f>
        <v>0</v>
      </c>
      <c r="P148" s="8">
        <f>0</f>
        <v>0</v>
      </c>
      <c r="Q148" s="8">
        <f>0</f>
        <v>0</v>
      </c>
      <c r="R148" s="8">
        <f>0</f>
        <v>0</v>
      </c>
      <c r="S148" s="8">
        <f>0</f>
        <v>0</v>
      </c>
      <c r="T148" s="8">
        <f>0</f>
        <v>0</v>
      </c>
      <c r="U148" s="8">
        <f>0</f>
        <v>0</v>
      </c>
      <c r="V148" s="8">
        <f>0</f>
        <v>0</v>
      </c>
      <c r="W148" s="8">
        <f>0</f>
        <v>0</v>
      </c>
      <c r="X148" s="8">
        <f>0</f>
        <v>0</v>
      </c>
      <c r="Y148" s="8">
        <f>0</f>
        <v>0</v>
      </c>
      <c r="Z148" s="8">
        <f>0</f>
        <v>0</v>
      </c>
      <c r="AA148" s="8">
        <f>0</f>
        <v>0</v>
      </c>
      <c r="AB148" s="8">
        <f>0</f>
        <v>0</v>
      </c>
      <c r="AC148" s="8">
        <f>0</f>
        <v>0</v>
      </c>
      <c r="AD148" s="8">
        <f>0</f>
        <v>0</v>
      </c>
      <c r="AE148" s="8">
        <f>0</f>
        <v>0</v>
      </c>
      <c r="AF148" s="8">
        <f>0</f>
        <v>0</v>
      </c>
      <c r="AG148" s="8">
        <f>0</f>
        <v>0</v>
      </c>
      <c r="AH148" s="8">
        <f>0</f>
        <v>0</v>
      </c>
      <c r="AI148" s="8">
        <f>0</f>
        <v>0</v>
      </c>
      <c r="AJ148" s="8">
        <f>0</f>
        <v>0</v>
      </c>
      <c r="AK148" s="8">
        <f>0</f>
        <v>0</v>
      </c>
    </row>
    <row r="149" spans="1:37" ht="16.350000000000001" customHeight="1" x14ac:dyDescent="0.3">
      <c r="A149" s="38" t="s">
        <v>101</v>
      </c>
      <c r="B149" s="50">
        <f>IFERROR(INDEX($H$8:$V$8,1,MATCH("RM14",$H$3:$V$3,0)),0)</f>
        <v>24160</v>
      </c>
      <c r="C149" s="38">
        <f t="shared" ref="C149:AK149" si="52">$B149</f>
        <v>24160</v>
      </c>
      <c r="D149" s="38">
        <f t="shared" si="52"/>
        <v>24160</v>
      </c>
      <c r="E149" s="38">
        <f t="shared" si="52"/>
        <v>24160</v>
      </c>
      <c r="F149" s="38">
        <f t="shared" si="52"/>
        <v>24160</v>
      </c>
      <c r="G149" s="38">
        <f t="shared" si="52"/>
        <v>24160</v>
      </c>
      <c r="H149" s="38">
        <f t="shared" si="52"/>
        <v>24160</v>
      </c>
      <c r="I149" s="38">
        <f t="shared" si="52"/>
        <v>24160</v>
      </c>
      <c r="J149" s="38">
        <f t="shared" si="52"/>
        <v>24160</v>
      </c>
      <c r="K149" s="8">
        <f t="shared" si="52"/>
        <v>24160</v>
      </c>
      <c r="L149" s="8">
        <f t="shared" si="52"/>
        <v>24160</v>
      </c>
      <c r="M149" s="8">
        <f t="shared" si="52"/>
        <v>24160</v>
      </c>
      <c r="N149" s="8">
        <f t="shared" si="52"/>
        <v>24160</v>
      </c>
      <c r="O149" s="8">
        <f t="shared" si="52"/>
        <v>24160</v>
      </c>
      <c r="P149" s="8">
        <f t="shared" si="52"/>
        <v>24160</v>
      </c>
      <c r="Q149" s="8">
        <f t="shared" si="52"/>
        <v>24160</v>
      </c>
      <c r="R149" s="8">
        <f t="shared" si="52"/>
        <v>24160</v>
      </c>
      <c r="S149" s="8">
        <f t="shared" si="52"/>
        <v>24160</v>
      </c>
      <c r="T149" s="8">
        <f t="shared" si="52"/>
        <v>24160</v>
      </c>
      <c r="U149" s="8">
        <f t="shared" si="52"/>
        <v>24160</v>
      </c>
      <c r="V149" s="8">
        <f t="shared" si="52"/>
        <v>24160</v>
      </c>
      <c r="W149" s="8">
        <f t="shared" si="52"/>
        <v>24160</v>
      </c>
      <c r="X149" s="8">
        <f t="shared" si="52"/>
        <v>24160</v>
      </c>
      <c r="Y149" s="8">
        <f t="shared" si="52"/>
        <v>24160</v>
      </c>
      <c r="Z149" s="8">
        <f t="shared" si="52"/>
        <v>24160</v>
      </c>
      <c r="AA149" s="8">
        <f t="shared" si="52"/>
        <v>24160</v>
      </c>
      <c r="AB149" s="8">
        <f t="shared" si="52"/>
        <v>24160</v>
      </c>
      <c r="AC149" s="8">
        <f t="shared" si="52"/>
        <v>24160</v>
      </c>
      <c r="AD149" s="8">
        <f t="shared" si="52"/>
        <v>24160</v>
      </c>
      <c r="AE149" s="8">
        <f t="shared" si="52"/>
        <v>24160</v>
      </c>
      <c r="AF149" s="8">
        <f t="shared" si="52"/>
        <v>24160</v>
      </c>
      <c r="AG149" s="8">
        <f t="shared" si="52"/>
        <v>24160</v>
      </c>
      <c r="AH149" s="8">
        <f t="shared" si="52"/>
        <v>24160</v>
      </c>
      <c r="AI149" s="8">
        <f t="shared" si="52"/>
        <v>24160</v>
      </c>
      <c r="AJ149" s="8">
        <f t="shared" si="52"/>
        <v>24160</v>
      </c>
      <c r="AK149" s="8">
        <f t="shared" si="52"/>
        <v>24160</v>
      </c>
    </row>
    <row r="150" spans="1:37" ht="16.350000000000001" customHeight="1" x14ac:dyDescent="0.3">
      <c r="A150" s="38" t="s">
        <v>107</v>
      </c>
      <c r="B150" s="50">
        <f>IFERROR(INDEX($H$6:$V$6,1,MATCH("RM14",$H$3:$V$3,0)),0)</f>
        <v>130000</v>
      </c>
      <c r="C150" s="38">
        <f>$B150+C148+C152-C147</f>
        <v>127060</v>
      </c>
      <c r="D150" s="38">
        <f t="shared" ref="D150:AK150" si="53">C150+D148+D152-D147</f>
        <v>106920</v>
      </c>
      <c r="E150" s="38">
        <f t="shared" si="53"/>
        <v>85920</v>
      </c>
      <c r="F150" s="38">
        <f t="shared" si="53"/>
        <v>66910</v>
      </c>
      <c r="G150" s="38">
        <f t="shared" si="53"/>
        <v>44410</v>
      </c>
      <c r="H150" s="38">
        <f t="shared" si="53"/>
        <v>24160</v>
      </c>
      <c r="I150" s="38">
        <f t="shared" si="53"/>
        <v>24160</v>
      </c>
      <c r="J150" s="38">
        <f t="shared" si="53"/>
        <v>24160</v>
      </c>
      <c r="K150" s="8">
        <f t="shared" si="53"/>
        <v>24160</v>
      </c>
      <c r="L150" s="8">
        <f t="shared" si="53"/>
        <v>24160</v>
      </c>
      <c r="M150" s="8">
        <f t="shared" si="53"/>
        <v>24160</v>
      </c>
      <c r="N150" s="8">
        <f t="shared" si="53"/>
        <v>24160</v>
      </c>
      <c r="O150" s="8">
        <f t="shared" si="53"/>
        <v>24160</v>
      </c>
      <c r="P150" s="8">
        <f t="shared" si="53"/>
        <v>24160</v>
      </c>
      <c r="Q150" s="8">
        <f t="shared" si="53"/>
        <v>24160</v>
      </c>
      <c r="R150" s="8">
        <f t="shared" si="53"/>
        <v>24160</v>
      </c>
      <c r="S150" s="8">
        <f t="shared" si="53"/>
        <v>24160</v>
      </c>
      <c r="T150" s="8">
        <f t="shared" si="53"/>
        <v>24160</v>
      </c>
      <c r="U150" s="8">
        <f t="shared" si="53"/>
        <v>24160</v>
      </c>
      <c r="V150" s="8">
        <f t="shared" si="53"/>
        <v>24160</v>
      </c>
      <c r="W150" s="8">
        <f t="shared" si="53"/>
        <v>24160</v>
      </c>
      <c r="X150" s="8">
        <f t="shared" si="53"/>
        <v>24160</v>
      </c>
      <c r="Y150" s="8">
        <f t="shared" si="53"/>
        <v>24160</v>
      </c>
      <c r="Z150" s="8">
        <f t="shared" si="53"/>
        <v>24160</v>
      </c>
      <c r="AA150" s="8">
        <f t="shared" si="53"/>
        <v>24160</v>
      </c>
      <c r="AB150" s="8">
        <f t="shared" si="53"/>
        <v>24160</v>
      </c>
      <c r="AC150" s="8">
        <f t="shared" si="53"/>
        <v>24160</v>
      </c>
      <c r="AD150" s="8">
        <f t="shared" si="53"/>
        <v>24160</v>
      </c>
      <c r="AE150" s="8">
        <f t="shared" si="53"/>
        <v>24160</v>
      </c>
      <c r="AF150" s="8">
        <f t="shared" si="53"/>
        <v>24160</v>
      </c>
      <c r="AG150" s="8">
        <f t="shared" si="53"/>
        <v>24160</v>
      </c>
      <c r="AH150" s="8">
        <f t="shared" si="53"/>
        <v>24160</v>
      </c>
      <c r="AI150" s="8">
        <f t="shared" si="53"/>
        <v>24160</v>
      </c>
      <c r="AJ150" s="8">
        <f t="shared" si="53"/>
        <v>24160</v>
      </c>
      <c r="AK150" s="8">
        <f t="shared" si="53"/>
        <v>24160</v>
      </c>
    </row>
    <row r="151" spans="1:37" ht="16.350000000000001" customHeight="1" x14ac:dyDescent="0.3">
      <c r="A151" s="38" t="s">
        <v>108</v>
      </c>
      <c r="B151" s="50"/>
      <c r="C151" s="38">
        <f>MAX(C147+C149-($B150+C148),0)</f>
        <v>0</v>
      </c>
      <c r="D151" s="38">
        <f t="shared" ref="D151:AK151" si="54">MAX(D147+D149-(C150+D148),0)</f>
        <v>0</v>
      </c>
      <c r="E151" s="38">
        <f t="shared" si="54"/>
        <v>0</v>
      </c>
      <c r="F151" s="38">
        <f t="shared" si="54"/>
        <v>0</v>
      </c>
      <c r="G151" s="38">
        <f t="shared" si="54"/>
        <v>0</v>
      </c>
      <c r="H151" s="38">
        <f t="shared" si="54"/>
        <v>750</v>
      </c>
      <c r="I151" s="38">
        <f t="shared" si="54"/>
        <v>22500</v>
      </c>
      <c r="J151" s="38">
        <f t="shared" si="54"/>
        <v>22500</v>
      </c>
      <c r="K151" s="8">
        <f t="shared" si="54"/>
        <v>11000</v>
      </c>
      <c r="L151" s="8">
        <f t="shared" si="54"/>
        <v>25000</v>
      </c>
      <c r="M151" s="8">
        <f t="shared" si="54"/>
        <v>21500</v>
      </c>
      <c r="N151" s="8">
        <f t="shared" si="54"/>
        <v>23500</v>
      </c>
      <c r="O151" s="8">
        <f t="shared" si="54"/>
        <v>23730</v>
      </c>
      <c r="P151" s="8">
        <f t="shared" si="54"/>
        <v>21500</v>
      </c>
      <c r="Q151" s="8">
        <f t="shared" si="54"/>
        <v>2380</v>
      </c>
      <c r="R151" s="8">
        <f t="shared" si="54"/>
        <v>6490</v>
      </c>
      <c r="S151" s="8">
        <f t="shared" si="54"/>
        <v>6500</v>
      </c>
      <c r="T151" s="8">
        <f t="shared" si="54"/>
        <v>6490</v>
      </c>
      <c r="U151" s="8">
        <f t="shared" si="54"/>
        <v>7530</v>
      </c>
      <c r="V151" s="8">
        <f t="shared" si="54"/>
        <v>7530</v>
      </c>
      <c r="W151" s="8">
        <f t="shared" si="54"/>
        <v>7530</v>
      </c>
      <c r="X151" s="8">
        <f t="shared" si="54"/>
        <v>7530</v>
      </c>
      <c r="Y151" s="8">
        <f t="shared" si="54"/>
        <v>7230</v>
      </c>
      <c r="Z151" s="8">
        <f t="shared" si="54"/>
        <v>0</v>
      </c>
      <c r="AA151" s="8">
        <f t="shared" si="54"/>
        <v>0</v>
      </c>
      <c r="AB151" s="8">
        <f t="shared" si="54"/>
        <v>7240</v>
      </c>
      <c r="AC151" s="8">
        <f t="shared" si="54"/>
        <v>7240</v>
      </c>
      <c r="AD151" s="8">
        <f t="shared" si="54"/>
        <v>7240</v>
      </c>
      <c r="AE151" s="8">
        <f t="shared" si="54"/>
        <v>8770</v>
      </c>
      <c r="AF151" s="8">
        <f t="shared" si="54"/>
        <v>8780</v>
      </c>
      <c r="AG151" s="8">
        <f t="shared" si="54"/>
        <v>8780</v>
      </c>
      <c r="AH151" s="8">
        <f t="shared" si="54"/>
        <v>8780</v>
      </c>
      <c r="AI151" s="8">
        <f t="shared" si="54"/>
        <v>9640</v>
      </c>
      <c r="AJ151" s="8">
        <f t="shared" si="54"/>
        <v>9650</v>
      </c>
      <c r="AK151" s="8">
        <f t="shared" si="54"/>
        <v>9640</v>
      </c>
    </row>
    <row r="152" spans="1:37" ht="16.350000000000001" customHeight="1" x14ac:dyDescent="0.3">
      <c r="A152" s="124" t="s">
        <v>109</v>
      </c>
      <c r="B152" s="122"/>
      <c r="C152" s="38">
        <f t="shared" ref="C152:AK152" si="55">C151</f>
        <v>0</v>
      </c>
      <c r="D152" s="38">
        <f t="shared" si="55"/>
        <v>0</v>
      </c>
      <c r="E152" s="38">
        <f t="shared" si="55"/>
        <v>0</v>
      </c>
      <c r="F152" s="38">
        <f t="shared" si="55"/>
        <v>0</v>
      </c>
      <c r="G152" s="38">
        <f t="shared" si="55"/>
        <v>0</v>
      </c>
      <c r="H152" s="38">
        <f t="shared" si="55"/>
        <v>750</v>
      </c>
      <c r="I152" s="38">
        <f t="shared" si="55"/>
        <v>22500</v>
      </c>
      <c r="J152" s="38">
        <f t="shared" si="55"/>
        <v>22500</v>
      </c>
      <c r="K152" s="8">
        <f t="shared" si="55"/>
        <v>11000</v>
      </c>
      <c r="L152" s="8">
        <f t="shared" si="55"/>
        <v>25000</v>
      </c>
      <c r="M152" s="8">
        <f t="shared" si="55"/>
        <v>21500</v>
      </c>
      <c r="N152" s="8">
        <f t="shared" si="55"/>
        <v>23500</v>
      </c>
      <c r="O152" s="8">
        <f t="shared" si="55"/>
        <v>23730</v>
      </c>
      <c r="P152" s="8">
        <f t="shared" si="55"/>
        <v>21500</v>
      </c>
      <c r="Q152" s="8">
        <f t="shared" si="55"/>
        <v>2380</v>
      </c>
      <c r="R152" s="8">
        <f t="shared" si="55"/>
        <v>6490</v>
      </c>
      <c r="S152" s="8">
        <f t="shared" si="55"/>
        <v>6500</v>
      </c>
      <c r="T152" s="8">
        <f t="shared" si="55"/>
        <v>6490</v>
      </c>
      <c r="U152" s="8">
        <f t="shared" si="55"/>
        <v>7530</v>
      </c>
      <c r="V152" s="8">
        <f t="shared" si="55"/>
        <v>7530</v>
      </c>
      <c r="W152" s="8">
        <f t="shared" si="55"/>
        <v>7530</v>
      </c>
      <c r="X152" s="8">
        <f t="shared" si="55"/>
        <v>7530</v>
      </c>
      <c r="Y152" s="8">
        <f t="shared" si="55"/>
        <v>7230</v>
      </c>
      <c r="Z152" s="8">
        <f t="shared" si="55"/>
        <v>0</v>
      </c>
      <c r="AA152" s="8">
        <f t="shared" si="55"/>
        <v>0</v>
      </c>
      <c r="AB152" s="8">
        <f t="shared" si="55"/>
        <v>7240</v>
      </c>
      <c r="AC152" s="8">
        <f t="shared" si="55"/>
        <v>7240</v>
      </c>
      <c r="AD152" s="8">
        <f t="shared" si="55"/>
        <v>7240</v>
      </c>
      <c r="AE152" s="8">
        <f t="shared" si="55"/>
        <v>8770</v>
      </c>
      <c r="AF152" s="8">
        <f t="shared" si="55"/>
        <v>8780</v>
      </c>
      <c r="AG152" s="8">
        <f t="shared" si="55"/>
        <v>8780</v>
      </c>
      <c r="AH152" s="8">
        <f t="shared" si="55"/>
        <v>8780</v>
      </c>
      <c r="AI152" s="8">
        <f t="shared" si="55"/>
        <v>9640</v>
      </c>
      <c r="AJ152" s="8">
        <f t="shared" si="55"/>
        <v>9650</v>
      </c>
      <c r="AK152" s="8">
        <f t="shared" si="55"/>
        <v>9640</v>
      </c>
    </row>
    <row r="153" spans="1:37" ht="16.350000000000001" customHeight="1" x14ac:dyDescent="0.3">
      <c r="A153" s="38" t="s">
        <v>110</v>
      </c>
      <c r="B153" s="50"/>
      <c r="C153" s="38">
        <f>IFERROR(INDEX($C$152:$AK$152,1,1+ROUND(INDEX($H$5:$V$5,1,MATCH("RM14",$H$3:$V$3,0))/7,0)),0)</f>
        <v>25000</v>
      </c>
      <c r="D153" s="38">
        <f>IFERROR(INDEX($C$152:$AK$152,1,2+ROUND(INDEX($H$5:$V$5,1,MATCH("RM14",$H$3:$V$3,0))/7,0)),0)</f>
        <v>21500</v>
      </c>
      <c r="E153" s="38">
        <f>IFERROR(INDEX($C$152:$AK$152,1,3+ROUND(INDEX($H$5:$V$5,1,MATCH("RM14",$H$3:$V$3,0))/7,0)),0)</f>
        <v>23500</v>
      </c>
      <c r="F153" s="38">
        <f>IFERROR(INDEX($C$152:$AK$152,1,4+ROUND(INDEX($H$5:$V$5,1,MATCH("RM14",$H$3:$V$3,0))/7,0)),0)</f>
        <v>23730</v>
      </c>
      <c r="G153" s="38">
        <f>IFERROR(INDEX($C$152:$AK$152,1,5+ROUND(INDEX($H$5:$V$5,1,MATCH("RM14",$H$3:$V$3,0))/7,0)),0)</f>
        <v>21500</v>
      </c>
      <c r="H153" s="38">
        <f>IFERROR(INDEX($C$152:$AK$152,1,6+ROUND(INDEX($H$5:$V$5,1,MATCH("RM14",$H$3:$V$3,0))/7,0)),0)</f>
        <v>2380</v>
      </c>
      <c r="I153" s="38">
        <f>IFERROR(INDEX($C$152:$AK$152,1,7+ROUND(INDEX($H$5:$V$5,1,MATCH("RM14",$H$3:$V$3,0))/7,0)),0)</f>
        <v>6490</v>
      </c>
      <c r="J153" s="38">
        <f>IFERROR(INDEX($C$152:$AK$152,1,8+ROUND(INDEX($H$5:$V$5,1,MATCH("RM14",$H$3:$V$3,0))/7,0)),0)</f>
        <v>6500</v>
      </c>
      <c r="K153" s="8">
        <f>IFERROR(INDEX($C$152:$AK$152,1,9+ROUND(INDEX($H$5:$V$5,1,MATCH("RM14",$H$3:$V$3,0))/7,0)),0)</f>
        <v>6490</v>
      </c>
      <c r="L153" s="8">
        <f>IFERROR(INDEX($C$152:$AK$152,1,10+ROUND(INDEX($H$5:$V$5,1,MATCH("RM14",$H$3:$V$3,0))/7,0)),0)</f>
        <v>7530</v>
      </c>
      <c r="M153" s="8">
        <f>IFERROR(INDEX($C$152:$AK$152,1,11+ROUND(INDEX($H$5:$V$5,1,MATCH("RM14",$H$3:$V$3,0))/7,0)),0)</f>
        <v>7530</v>
      </c>
      <c r="N153" s="8">
        <f>IFERROR(INDEX($C$152:$AK$152,1,12+ROUND(INDEX($H$5:$V$5,1,MATCH("RM14",$H$3:$V$3,0))/7,0)),0)</f>
        <v>7530</v>
      </c>
      <c r="O153" s="8">
        <f>IFERROR(INDEX($C$152:$AK$152,1,13+ROUND(INDEX($H$5:$V$5,1,MATCH("RM14",$H$3:$V$3,0))/7,0)),0)</f>
        <v>7530</v>
      </c>
      <c r="P153" s="8">
        <f>IFERROR(INDEX($C$152:$AK$152,1,14+ROUND(INDEX($H$5:$V$5,1,MATCH("RM14",$H$3:$V$3,0))/7,0)),0)</f>
        <v>7230</v>
      </c>
      <c r="Q153" s="8">
        <f>IFERROR(INDEX($C$152:$AK$152,1,15+ROUND(INDEX($H$5:$V$5,1,MATCH("RM14",$H$3:$V$3,0))/7,0)),0)</f>
        <v>0</v>
      </c>
      <c r="R153" s="8">
        <f>IFERROR(INDEX($C$152:$AK$152,1,16+ROUND(INDEX($H$5:$V$5,1,MATCH("RM14",$H$3:$V$3,0))/7,0)),0)</f>
        <v>0</v>
      </c>
      <c r="S153" s="8">
        <f>IFERROR(INDEX($C$152:$AK$152,1,17+ROUND(INDEX($H$5:$V$5,1,MATCH("RM14",$H$3:$V$3,0))/7,0)),0)</f>
        <v>7240</v>
      </c>
      <c r="T153" s="8">
        <f>IFERROR(INDEX($C$152:$AK$152,1,18+ROUND(INDEX($H$5:$V$5,1,MATCH("RM14",$H$3:$V$3,0))/7,0)),0)</f>
        <v>7240</v>
      </c>
      <c r="U153" s="8">
        <f>IFERROR(INDEX($C$152:$AK$152,1,19+ROUND(INDEX($H$5:$V$5,1,MATCH("RM14",$H$3:$V$3,0))/7,0)),0)</f>
        <v>7240</v>
      </c>
      <c r="V153" s="8">
        <f>IFERROR(INDEX($C$152:$AK$152,1,20+ROUND(INDEX($H$5:$V$5,1,MATCH("RM14",$H$3:$V$3,0))/7,0)),0)</f>
        <v>8770</v>
      </c>
      <c r="W153" s="8">
        <f>IFERROR(INDEX($C$152:$AK$152,1,21+ROUND(INDEX($H$5:$V$5,1,MATCH("RM14",$H$3:$V$3,0))/7,0)),0)</f>
        <v>8780</v>
      </c>
      <c r="X153" s="8">
        <f>IFERROR(INDEX($C$152:$AK$152,1,22+ROUND(INDEX($H$5:$V$5,1,MATCH("RM14",$H$3:$V$3,0))/7,0)),0)</f>
        <v>8780</v>
      </c>
      <c r="Y153" s="8">
        <f>IFERROR(INDEX($C$152:$AK$152,1,23+ROUND(INDEX($H$5:$V$5,1,MATCH("RM14",$H$3:$V$3,0))/7,0)),0)</f>
        <v>8780</v>
      </c>
      <c r="Z153" s="8">
        <f>IFERROR(INDEX($C$152:$AK$152,1,24+ROUND(INDEX($H$5:$V$5,1,MATCH("RM14",$H$3:$V$3,0))/7,0)),0)</f>
        <v>9640</v>
      </c>
      <c r="AA153" s="8">
        <f>IFERROR(INDEX($C$152:$AK$152,1,25+ROUND(INDEX($H$5:$V$5,1,MATCH("RM14",$H$3:$V$3,0))/7,0)),0)</f>
        <v>9650</v>
      </c>
      <c r="AB153" s="8">
        <f>IFERROR(INDEX($C$152:$AK$152,1,26+ROUND(INDEX($H$5:$V$5,1,MATCH("RM14",$H$3:$V$3,0))/7,0)),0)</f>
        <v>9640</v>
      </c>
      <c r="AC153" s="8">
        <f>IFERROR(INDEX($C$152:$AK$152,1,27+ROUND(INDEX($H$5:$V$5,1,MATCH("RM14",$H$3:$V$3,0))/7,0)),0)</f>
        <v>0</v>
      </c>
      <c r="AD153" s="8">
        <f>IFERROR(INDEX($C$152:$AK$152,1,28+ROUND(INDEX($H$5:$V$5,1,MATCH("RM14",$H$3:$V$3,0))/7,0)),0)</f>
        <v>0</v>
      </c>
      <c r="AE153" s="8">
        <f>IFERROR(INDEX($C$152:$AK$152,1,29+ROUND(INDEX($H$5:$V$5,1,MATCH("RM14",$H$3:$V$3,0))/7,0)),0)</f>
        <v>0</v>
      </c>
      <c r="AF153" s="8">
        <f>IFERROR(INDEX($C$152:$AK$152,1,30+ROUND(INDEX($H$5:$V$5,1,MATCH("RM14",$H$3:$V$3,0))/7,0)),0)</f>
        <v>0</v>
      </c>
      <c r="AG153" s="8">
        <f>IFERROR(INDEX($C$152:$AK$152,1,31+ROUND(INDEX($H$5:$V$5,1,MATCH("RM14",$H$3:$V$3,0))/7,0)),0)</f>
        <v>0</v>
      </c>
      <c r="AH153" s="8">
        <f>IFERROR(INDEX($C$152:$AK$152,1,32+ROUND(INDEX($H$5:$V$5,1,MATCH("RM14",$H$3:$V$3,0))/7,0)),0)</f>
        <v>0</v>
      </c>
      <c r="AI153" s="8">
        <f>IFERROR(INDEX($C$152:$AK$152,1,33+ROUND(INDEX($H$5:$V$5,1,MATCH("RM14",$H$3:$V$3,0))/7,0)),0)</f>
        <v>0</v>
      </c>
      <c r="AJ153" s="8">
        <f>IFERROR(INDEX($C$152:$AK$152,1,34+ROUND(INDEX($H$5:$V$5,1,MATCH("RM14",$H$3:$V$3,0))/7,0)),0)</f>
        <v>0</v>
      </c>
      <c r="AK153" s="8">
        <f>IFERROR(INDEX($C$152:$AK$152,1,35+ROUND(INDEX($H$5:$V$5,1,MATCH("RM14",$H$3:$V$3,0))/7,0)),0)</f>
        <v>0</v>
      </c>
    </row>
    <row r="155" spans="1:37" ht="16.350000000000001" customHeight="1" x14ac:dyDescent="0.3">
      <c r="A155" s="51" t="s">
        <v>124</v>
      </c>
      <c r="B155" s="51" t="s">
        <v>104</v>
      </c>
      <c r="C155" s="123" t="s">
        <v>63</v>
      </c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2"/>
    </row>
    <row r="156" spans="1:37" ht="16.350000000000001" customHeight="1" x14ac:dyDescent="0.3">
      <c r="A156" s="51" t="s">
        <v>105</v>
      </c>
      <c r="B156" s="51" t="str">
        <f>"LT: "&amp;ROUND(INDEX($H$5:$V$5,1,MATCH("RM15",$H$3:$V$3,0))/7,0)</f>
        <v>LT: 7</v>
      </c>
      <c r="C156" s="52">
        <f t="array" ref="C156:AK156">TRANSPOSE([3]BOM_demand!$A$2:$A$36)</f>
        <v>46132</v>
      </c>
      <c r="D156" s="52">
        <v>46139</v>
      </c>
      <c r="E156" s="52">
        <v>46146</v>
      </c>
      <c r="F156" s="52">
        <v>46153</v>
      </c>
      <c r="G156" s="52">
        <v>46160</v>
      </c>
      <c r="H156" s="52">
        <v>46167</v>
      </c>
      <c r="I156" s="52">
        <v>46174</v>
      </c>
      <c r="J156" s="52">
        <v>46181</v>
      </c>
      <c r="K156" s="52">
        <v>46188</v>
      </c>
      <c r="L156" s="52">
        <v>46195</v>
      </c>
      <c r="M156" s="52">
        <v>46202</v>
      </c>
      <c r="N156" s="52">
        <v>46209</v>
      </c>
      <c r="O156" s="52">
        <v>46216</v>
      </c>
      <c r="P156" s="52">
        <v>46223</v>
      </c>
      <c r="Q156" s="52">
        <v>46230</v>
      </c>
      <c r="R156" s="52">
        <v>46237</v>
      </c>
      <c r="S156" s="52">
        <v>46244</v>
      </c>
      <c r="T156" s="52">
        <v>46251</v>
      </c>
      <c r="U156" s="52">
        <v>46258</v>
      </c>
      <c r="V156" s="52">
        <v>46265</v>
      </c>
      <c r="W156" s="52">
        <v>46272</v>
      </c>
      <c r="X156" s="52">
        <v>46279</v>
      </c>
      <c r="Y156" s="52">
        <v>46286</v>
      </c>
      <c r="Z156" s="52">
        <v>46293</v>
      </c>
      <c r="AA156" s="52">
        <v>46300</v>
      </c>
      <c r="AB156" s="52">
        <v>46307</v>
      </c>
      <c r="AC156" s="52">
        <v>46314</v>
      </c>
      <c r="AD156" s="52">
        <v>46321</v>
      </c>
      <c r="AE156" s="52">
        <v>46328</v>
      </c>
      <c r="AF156" s="52">
        <v>46335</v>
      </c>
      <c r="AG156" s="52">
        <v>46342</v>
      </c>
      <c r="AH156" s="52">
        <v>46349</v>
      </c>
      <c r="AI156" s="52">
        <v>46356</v>
      </c>
      <c r="AJ156" s="52">
        <v>46363</v>
      </c>
      <c r="AK156" s="52">
        <v>46370</v>
      </c>
    </row>
    <row r="157" spans="1:37" ht="16.350000000000001" customHeight="1" x14ac:dyDescent="0.3">
      <c r="A157" s="55" t="s">
        <v>106</v>
      </c>
      <c r="C157" s="38">
        <f t="array" ref="C157:AK157">TRANSPOSE([3]BOM_demand!$V$2:$V$36)</f>
        <v>1176</v>
      </c>
      <c r="D157" s="38">
        <v>8056</v>
      </c>
      <c r="E157" s="38">
        <v>8400</v>
      </c>
      <c r="F157" s="38">
        <v>7604</v>
      </c>
      <c r="G157" s="38">
        <v>9000</v>
      </c>
      <c r="H157" s="38">
        <v>8400</v>
      </c>
      <c r="I157" s="38">
        <v>9000</v>
      </c>
      <c r="J157" s="38">
        <v>9000</v>
      </c>
      <c r="K157" s="38">
        <v>4400</v>
      </c>
      <c r="L157" s="38">
        <v>10000</v>
      </c>
      <c r="M157" s="38">
        <v>8600</v>
      </c>
      <c r="N157" s="38">
        <v>9400</v>
      </c>
      <c r="O157" s="38">
        <v>9492</v>
      </c>
      <c r="P157" s="38">
        <v>8600</v>
      </c>
      <c r="Q157" s="38">
        <v>952</v>
      </c>
      <c r="R157" s="38">
        <v>2596</v>
      </c>
      <c r="S157" s="38">
        <v>2600</v>
      </c>
      <c r="T157" s="38">
        <v>2596</v>
      </c>
      <c r="U157" s="38">
        <v>3012</v>
      </c>
      <c r="V157" s="38">
        <v>3012</v>
      </c>
      <c r="W157" s="38">
        <v>3012</v>
      </c>
      <c r="X157" s="38">
        <v>3012</v>
      </c>
      <c r="Y157" s="38">
        <v>2892</v>
      </c>
      <c r="Z157" s="38">
        <v>0</v>
      </c>
      <c r="AA157" s="38">
        <v>0</v>
      </c>
      <c r="AB157" s="38">
        <v>2896</v>
      </c>
      <c r="AC157" s="38">
        <v>2896</v>
      </c>
      <c r="AD157" s="38">
        <v>2896</v>
      </c>
      <c r="AE157" s="38">
        <v>3508</v>
      </c>
      <c r="AF157" s="38">
        <v>3512</v>
      </c>
      <c r="AG157" s="38">
        <v>3512</v>
      </c>
      <c r="AH157" s="38">
        <v>3512</v>
      </c>
      <c r="AI157" s="38">
        <v>3856</v>
      </c>
      <c r="AJ157" s="38">
        <v>3860</v>
      </c>
      <c r="AK157" s="38">
        <v>3856</v>
      </c>
    </row>
    <row r="158" spans="1:37" ht="16.350000000000001" customHeight="1" x14ac:dyDescent="0.3">
      <c r="A158" s="124" t="s">
        <v>100</v>
      </c>
      <c r="B158" s="122"/>
      <c r="C158" s="38">
        <f>IFERROR(INDEX($H$7:$V$7,1,MATCH("RM15",$H$3:$V$3,0)),0)</f>
        <v>21000</v>
      </c>
      <c r="D158" s="38">
        <f>0</f>
        <v>0</v>
      </c>
      <c r="E158" s="38">
        <f>0</f>
        <v>0</v>
      </c>
      <c r="F158" s="38">
        <f>0</f>
        <v>0</v>
      </c>
      <c r="G158" s="38">
        <f>0</f>
        <v>0</v>
      </c>
      <c r="H158" s="38">
        <f>0</f>
        <v>0</v>
      </c>
      <c r="I158" s="38">
        <f>0</f>
        <v>0</v>
      </c>
      <c r="J158" s="38">
        <f>0</f>
        <v>0</v>
      </c>
      <c r="K158" s="8">
        <f>0</f>
        <v>0</v>
      </c>
      <c r="L158" s="8">
        <f>0</f>
        <v>0</v>
      </c>
      <c r="M158" s="8">
        <f>0</f>
        <v>0</v>
      </c>
      <c r="N158" s="8">
        <f>0</f>
        <v>0</v>
      </c>
      <c r="O158" s="8">
        <f>0</f>
        <v>0</v>
      </c>
      <c r="P158" s="8">
        <f>0</f>
        <v>0</v>
      </c>
      <c r="Q158" s="8">
        <f>0</f>
        <v>0</v>
      </c>
      <c r="R158" s="8">
        <f>0</f>
        <v>0</v>
      </c>
      <c r="S158" s="8">
        <f>0</f>
        <v>0</v>
      </c>
      <c r="T158" s="8">
        <f>0</f>
        <v>0</v>
      </c>
      <c r="U158" s="8">
        <f>0</f>
        <v>0</v>
      </c>
      <c r="V158" s="8">
        <f>0</f>
        <v>0</v>
      </c>
      <c r="W158" s="8">
        <f>0</f>
        <v>0</v>
      </c>
      <c r="X158" s="8">
        <f>0</f>
        <v>0</v>
      </c>
      <c r="Y158" s="8">
        <f>0</f>
        <v>0</v>
      </c>
      <c r="Z158" s="8">
        <f>0</f>
        <v>0</v>
      </c>
      <c r="AA158" s="8">
        <f>0</f>
        <v>0</v>
      </c>
      <c r="AB158" s="8">
        <f>0</f>
        <v>0</v>
      </c>
      <c r="AC158" s="8">
        <f>0</f>
        <v>0</v>
      </c>
      <c r="AD158" s="8">
        <f>0</f>
        <v>0</v>
      </c>
      <c r="AE158" s="8">
        <f>0</f>
        <v>0</v>
      </c>
      <c r="AF158" s="8">
        <f>0</f>
        <v>0</v>
      </c>
      <c r="AG158" s="8">
        <f>0</f>
        <v>0</v>
      </c>
      <c r="AH158" s="8">
        <f>0</f>
        <v>0</v>
      </c>
      <c r="AI158" s="8">
        <f>0</f>
        <v>0</v>
      </c>
      <c r="AJ158" s="8">
        <f>0</f>
        <v>0</v>
      </c>
      <c r="AK158" s="8">
        <f>0</f>
        <v>0</v>
      </c>
    </row>
    <row r="159" spans="1:37" ht="16.350000000000001" customHeight="1" x14ac:dyDescent="0.3">
      <c r="A159" s="38" t="s">
        <v>101</v>
      </c>
      <c r="B159" s="50">
        <f>IFERROR(INDEX($H$8:$V$8,1,MATCH("RM15",$H$3:$V$3,0)),0)</f>
        <v>9664</v>
      </c>
      <c r="C159" s="38">
        <f t="shared" ref="C159:AK159" si="56">$B159</f>
        <v>9664</v>
      </c>
      <c r="D159" s="38">
        <f t="shared" si="56"/>
        <v>9664</v>
      </c>
      <c r="E159" s="38">
        <f t="shared" si="56"/>
        <v>9664</v>
      </c>
      <c r="F159" s="38">
        <f t="shared" si="56"/>
        <v>9664</v>
      </c>
      <c r="G159" s="38">
        <f t="shared" si="56"/>
        <v>9664</v>
      </c>
      <c r="H159" s="38">
        <f t="shared" si="56"/>
        <v>9664</v>
      </c>
      <c r="I159" s="38">
        <f t="shared" si="56"/>
        <v>9664</v>
      </c>
      <c r="J159" s="38">
        <f t="shared" si="56"/>
        <v>9664</v>
      </c>
      <c r="K159" s="8">
        <f t="shared" si="56"/>
        <v>9664</v>
      </c>
      <c r="L159" s="8">
        <f t="shared" si="56"/>
        <v>9664</v>
      </c>
      <c r="M159" s="8">
        <f t="shared" si="56"/>
        <v>9664</v>
      </c>
      <c r="N159" s="8">
        <f t="shared" si="56"/>
        <v>9664</v>
      </c>
      <c r="O159" s="8">
        <f t="shared" si="56"/>
        <v>9664</v>
      </c>
      <c r="P159" s="8">
        <f t="shared" si="56"/>
        <v>9664</v>
      </c>
      <c r="Q159" s="8">
        <f t="shared" si="56"/>
        <v>9664</v>
      </c>
      <c r="R159" s="8">
        <f t="shared" si="56"/>
        <v>9664</v>
      </c>
      <c r="S159" s="8">
        <f t="shared" si="56"/>
        <v>9664</v>
      </c>
      <c r="T159" s="8">
        <f t="shared" si="56"/>
        <v>9664</v>
      </c>
      <c r="U159" s="8">
        <f t="shared" si="56"/>
        <v>9664</v>
      </c>
      <c r="V159" s="8">
        <f t="shared" si="56"/>
        <v>9664</v>
      </c>
      <c r="W159" s="8">
        <f t="shared" si="56"/>
        <v>9664</v>
      </c>
      <c r="X159" s="8">
        <f t="shared" si="56"/>
        <v>9664</v>
      </c>
      <c r="Y159" s="8">
        <f t="shared" si="56"/>
        <v>9664</v>
      </c>
      <c r="Z159" s="8">
        <f t="shared" si="56"/>
        <v>9664</v>
      </c>
      <c r="AA159" s="8">
        <f t="shared" si="56"/>
        <v>9664</v>
      </c>
      <c r="AB159" s="8">
        <f t="shared" si="56"/>
        <v>9664</v>
      </c>
      <c r="AC159" s="8">
        <f t="shared" si="56"/>
        <v>9664</v>
      </c>
      <c r="AD159" s="8">
        <f t="shared" si="56"/>
        <v>9664</v>
      </c>
      <c r="AE159" s="8">
        <f t="shared" si="56"/>
        <v>9664</v>
      </c>
      <c r="AF159" s="8">
        <f t="shared" si="56"/>
        <v>9664</v>
      </c>
      <c r="AG159" s="8">
        <f t="shared" si="56"/>
        <v>9664</v>
      </c>
      <c r="AH159" s="8">
        <f t="shared" si="56"/>
        <v>9664</v>
      </c>
      <c r="AI159" s="8">
        <f t="shared" si="56"/>
        <v>9664</v>
      </c>
      <c r="AJ159" s="8">
        <f t="shared" si="56"/>
        <v>9664</v>
      </c>
      <c r="AK159" s="8">
        <f t="shared" si="56"/>
        <v>9664</v>
      </c>
    </row>
    <row r="160" spans="1:37" ht="16.350000000000001" customHeight="1" x14ac:dyDescent="0.3">
      <c r="A160" s="38" t="s">
        <v>107</v>
      </c>
      <c r="B160" s="50">
        <f>IFERROR(INDEX($H$6:$V$6,1,MATCH("RM15",$H$3:$V$3,0)),0)</f>
        <v>20000</v>
      </c>
      <c r="C160" s="38">
        <f>$B160+C158+C162-C157</f>
        <v>39824</v>
      </c>
      <c r="D160" s="38">
        <f t="shared" ref="D160:AK160" si="57">C160+D158+D162-D157</f>
        <v>31768</v>
      </c>
      <c r="E160" s="38">
        <f t="shared" si="57"/>
        <v>23368</v>
      </c>
      <c r="F160" s="38">
        <f t="shared" si="57"/>
        <v>15764</v>
      </c>
      <c r="G160" s="38">
        <f t="shared" si="57"/>
        <v>9664</v>
      </c>
      <c r="H160" s="38">
        <f t="shared" si="57"/>
        <v>9664</v>
      </c>
      <c r="I160" s="38">
        <f t="shared" si="57"/>
        <v>9664</v>
      </c>
      <c r="J160" s="38">
        <f t="shared" si="57"/>
        <v>9664</v>
      </c>
      <c r="K160" s="8">
        <f t="shared" si="57"/>
        <v>9664</v>
      </c>
      <c r="L160" s="8">
        <f t="shared" si="57"/>
        <v>9664</v>
      </c>
      <c r="M160" s="8">
        <f t="shared" si="57"/>
        <v>9664</v>
      </c>
      <c r="N160" s="8">
        <f t="shared" si="57"/>
        <v>9664</v>
      </c>
      <c r="O160" s="8">
        <f t="shared" si="57"/>
        <v>9664</v>
      </c>
      <c r="P160" s="8">
        <f t="shared" si="57"/>
        <v>9664</v>
      </c>
      <c r="Q160" s="8">
        <f t="shared" si="57"/>
        <v>9664</v>
      </c>
      <c r="R160" s="8">
        <f t="shared" si="57"/>
        <v>9664</v>
      </c>
      <c r="S160" s="8">
        <f t="shared" si="57"/>
        <v>9664</v>
      </c>
      <c r="T160" s="8">
        <f t="shared" si="57"/>
        <v>9664</v>
      </c>
      <c r="U160" s="8">
        <f t="shared" si="57"/>
        <v>9664</v>
      </c>
      <c r="V160" s="8">
        <f t="shared" si="57"/>
        <v>9664</v>
      </c>
      <c r="W160" s="8">
        <f t="shared" si="57"/>
        <v>9664</v>
      </c>
      <c r="X160" s="8">
        <f t="shared" si="57"/>
        <v>9664</v>
      </c>
      <c r="Y160" s="8">
        <f t="shared" si="57"/>
        <v>9664</v>
      </c>
      <c r="Z160" s="8">
        <f t="shared" si="57"/>
        <v>9664</v>
      </c>
      <c r="AA160" s="8">
        <f t="shared" si="57"/>
        <v>9664</v>
      </c>
      <c r="AB160" s="8">
        <f t="shared" si="57"/>
        <v>9664</v>
      </c>
      <c r="AC160" s="8">
        <f t="shared" si="57"/>
        <v>9664</v>
      </c>
      <c r="AD160" s="8">
        <f t="shared" si="57"/>
        <v>9664</v>
      </c>
      <c r="AE160" s="8">
        <f t="shared" si="57"/>
        <v>9664</v>
      </c>
      <c r="AF160" s="8">
        <f t="shared" si="57"/>
        <v>9664</v>
      </c>
      <c r="AG160" s="8">
        <f t="shared" si="57"/>
        <v>9664</v>
      </c>
      <c r="AH160" s="8">
        <f t="shared" si="57"/>
        <v>9664</v>
      </c>
      <c r="AI160" s="8">
        <f t="shared" si="57"/>
        <v>9664</v>
      </c>
      <c r="AJ160" s="8">
        <f t="shared" si="57"/>
        <v>9664</v>
      </c>
      <c r="AK160" s="8">
        <f t="shared" si="57"/>
        <v>9664</v>
      </c>
    </row>
    <row r="161" spans="1:37" ht="16.350000000000001" customHeight="1" x14ac:dyDescent="0.3">
      <c r="A161" s="38" t="s">
        <v>108</v>
      </c>
      <c r="B161" s="50"/>
      <c r="C161" s="38">
        <f>MAX(C157+C159-($B160+C158),0)</f>
        <v>0</v>
      </c>
      <c r="D161" s="38">
        <f t="shared" ref="D161:AK161" si="58">MAX(D157+D159-(C160+D158),0)</f>
        <v>0</v>
      </c>
      <c r="E161" s="38">
        <f t="shared" si="58"/>
        <v>0</v>
      </c>
      <c r="F161" s="38">
        <f t="shared" si="58"/>
        <v>0</v>
      </c>
      <c r="G161" s="38">
        <f t="shared" si="58"/>
        <v>2900</v>
      </c>
      <c r="H161" s="38">
        <f t="shared" si="58"/>
        <v>8400</v>
      </c>
      <c r="I161" s="38">
        <f t="shared" si="58"/>
        <v>9000</v>
      </c>
      <c r="J161" s="38">
        <f t="shared" si="58"/>
        <v>9000</v>
      </c>
      <c r="K161" s="8">
        <f t="shared" si="58"/>
        <v>4400</v>
      </c>
      <c r="L161" s="8">
        <f t="shared" si="58"/>
        <v>10000</v>
      </c>
      <c r="M161" s="8">
        <f t="shared" si="58"/>
        <v>8600</v>
      </c>
      <c r="N161" s="8">
        <f t="shared" si="58"/>
        <v>9400</v>
      </c>
      <c r="O161" s="8">
        <f t="shared" si="58"/>
        <v>9492</v>
      </c>
      <c r="P161" s="8">
        <f t="shared" si="58"/>
        <v>8600</v>
      </c>
      <c r="Q161" s="8">
        <f t="shared" si="58"/>
        <v>952</v>
      </c>
      <c r="R161" s="8">
        <f t="shared" si="58"/>
        <v>2596</v>
      </c>
      <c r="S161" s="8">
        <f t="shared" si="58"/>
        <v>2600</v>
      </c>
      <c r="T161" s="8">
        <f t="shared" si="58"/>
        <v>2596</v>
      </c>
      <c r="U161" s="8">
        <f t="shared" si="58"/>
        <v>3012</v>
      </c>
      <c r="V161" s="8">
        <f t="shared" si="58"/>
        <v>3012</v>
      </c>
      <c r="W161" s="8">
        <f t="shared" si="58"/>
        <v>3012</v>
      </c>
      <c r="X161" s="8">
        <f t="shared" si="58"/>
        <v>3012</v>
      </c>
      <c r="Y161" s="8">
        <f t="shared" si="58"/>
        <v>2892</v>
      </c>
      <c r="Z161" s="8">
        <f t="shared" si="58"/>
        <v>0</v>
      </c>
      <c r="AA161" s="8">
        <f t="shared" si="58"/>
        <v>0</v>
      </c>
      <c r="AB161" s="8">
        <f t="shared" si="58"/>
        <v>2896</v>
      </c>
      <c r="AC161" s="8">
        <f t="shared" si="58"/>
        <v>2896</v>
      </c>
      <c r="AD161" s="8">
        <f t="shared" si="58"/>
        <v>2896</v>
      </c>
      <c r="AE161" s="8">
        <f t="shared" si="58"/>
        <v>3508</v>
      </c>
      <c r="AF161" s="8">
        <f t="shared" si="58"/>
        <v>3512</v>
      </c>
      <c r="AG161" s="8">
        <f t="shared" si="58"/>
        <v>3512</v>
      </c>
      <c r="AH161" s="8">
        <f t="shared" si="58"/>
        <v>3512</v>
      </c>
      <c r="AI161" s="8">
        <f t="shared" si="58"/>
        <v>3856</v>
      </c>
      <c r="AJ161" s="8">
        <f t="shared" si="58"/>
        <v>3860</v>
      </c>
      <c r="AK161" s="8">
        <f t="shared" si="58"/>
        <v>3856</v>
      </c>
    </row>
    <row r="162" spans="1:37" ht="16.350000000000001" customHeight="1" x14ac:dyDescent="0.3">
      <c r="A162" s="124" t="s">
        <v>109</v>
      </c>
      <c r="B162" s="122"/>
      <c r="C162" s="38">
        <f t="shared" ref="C162:AK162" si="59">C161</f>
        <v>0</v>
      </c>
      <c r="D162" s="38">
        <f t="shared" si="59"/>
        <v>0</v>
      </c>
      <c r="E162" s="38">
        <f t="shared" si="59"/>
        <v>0</v>
      </c>
      <c r="F162" s="38">
        <f t="shared" si="59"/>
        <v>0</v>
      </c>
      <c r="G162" s="38">
        <f t="shared" si="59"/>
        <v>2900</v>
      </c>
      <c r="H162" s="38">
        <f t="shared" si="59"/>
        <v>8400</v>
      </c>
      <c r="I162" s="38">
        <f t="shared" si="59"/>
        <v>9000</v>
      </c>
      <c r="J162" s="38">
        <f t="shared" si="59"/>
        <v>9000</v>
      </c>
      <c r="K162" s="8">
        <f t="shared" si="59"/>
        <v>4400</v>
      </c>
      <c r="L162" s="8">
        <f t="shared" si="59"/>
        <v>10000</v>
      </c>
      <c r="M162" s="8">
        <f t="shared" si="59"/>
        <v>8600</v>
      </c>
      <c r="N162" s="8">
        <f t="shared" si="59"/>
        <v>9400</v>
      </c>
      <c r="O162" s="8">
        <f t="shared" si="59"/>
        <v>9492</v>
      </c>
      <c r="P162" s="8">
        <f t="shared" si="59"/>
        <v>8600</v>
      </c>
      <c r="Q162" s="8">
        <f t="shared" si="59"/>
        <v>952</v>
      </c>
      <c r="R162" s="8">
        <f t="shared" si="59"/>
        <v>2596</v>
      </c>
      <c r="S162" s="8">
        <f t="shared" si="59"/>
        <v>2600</v>
      </c>
      <c r="T162" s="8">
        <f t="shared" si="59"/>
        <v>2596</v>
      </c>
      <c r="U162" s="8">
        <f t="shared" si="59"/>
        <v>3012</v>
      </c>
      <c r="V162" s="8">
        <f t="shared" si="59"/>
        <v>3012</v>
      </c>
      <c r="W162" s="8">
        <f t="shared" si="59"/>
        <v>3012</v>
      </c>
      <c r="X162" s="8">
        <f t="shared" si="59"/>
        <v>3012</v>
      </c>
      <c r="Y162" s="8">
        <f t="shared" si="59"/>
        <v>2892</v>
      </c>
      <c r="Z162" s="8">
        <f t="shared" si="59"/>
        <v>0</v>
      </c>
      <c r="AA162" s="8">
        <f t="shared" si="59"/>
        <v>0</v>
      </c>
      <c r="AB162" s="8">
        <f t="shared" si="59"/>
        <v>2896</v>
      </c>
      <c r="AC162" s="8">
        <f t="shared" si="59"/>
        <v>2896</v>
      </c>
      <c r="AD162" s="8">
        <f t="shared" si="59"/>
        <v>2896</v>
      </c>
      <c r="AE162" s="8">
        <f t="shared" si="59"/>
        <v>3508</v>
      </c>
      <c r="AF162" s="8">
        <f t="shared" si="59"/>
        <v>3512</v>
      </c>
      <c r="AG162" s="8">
        <f t="shared" si="59"/>
        <v>3512</v>
      </c>
      <c r="AH162" s="8">
        <f t="shared" si="59"/>
        <v>3512</v>
      </c>
      <c r="AI162" s="8">
        <f t="shared" si="59"/>
        <v>3856</v>
      </c>
      <c r="AJ162" s="8">
        <f t="shared" si="59"/>
        <v>3860</v>
      </c>
      <c r="AK162" s="8">
        <f t="shared" si="59"/>
        <v>3856</v>
      </c>
    </row>
    <row r="163" spans="1:37" ht="16.350000000000001" customHeight="1" x14ac:dyDescent="0.3">
      <c r="A163" s="38" t="s">
        <v>110</v>
      </c>
      <c r="B163" s="50"/>
      <c r="C163" s="38">
        <f>IFERROR(INDEX($C$162:$AK$162,1,1+ROUND(INDEX($H$5:$V$5,1,MATCH("RM15",$H$3:$V$3,0))/7,0)),0)</f>
        <v>9000</v>
      </c>
      <c r="D163" s="38">
        <f>IFERROR(INDEX($C$162:$AK$162,1,2+ROUND(INDEX($H$5:$V$5,1,MATCH("RM15",$H$3:$V$3,0))/7,0)),0)</f>
        <v>4400</v>
      </c>
      <c r="E163" s="38">
        <f>IFERROR(INDEX($C$162:$AK$162,1,3+ROUND(INDEX($H$5:$V$5,1,MATCH("RM15",$H$3:$V$3,0))/7,0)),0)</f>
        <v>10000</v>
      </c>
      <c r="F163" s="38">
        <f>IFERROR(INDEX($C$162:$AK$162,1,4+ROUND(INDEX($H$5:$V$5,1,MATCH("RM15",$H$3:$V$3,0))/7,0)),0)</f>
        <v>8600</v>
      </c>
      <c r="G163" s="38">
        <f>IFERROR(INDEX($C$162:$AK$162,1,5+ROUND(INDEX($H$5:$V$5,1,MATCH("RM15",$H$3:$V$3,0))/7,0)),0)</f>
        <v>9400</v>
      </c>
      <c r="H163" s="38">
        <f>IFERROR(INDEX($C$162:$AK$162,1,6+ROUND(INDEX($H$5:$V$5,1,MATCH("RM15",$H$3:$V$3,0))/7,0)),0)</f>
        <v>9492</v>
      </c>
      <c r="I163" s="38">
        <f>IFERROR(INDEX($C$162:$AK$162,1,7+ROUND(INDEX($H$5:$V$5,1,MATCH("RM15",$H$3:$V$3,0))/7,0)),0)</f>
        <v>8600</v>
      </c>
      <c r="J163" s="38">
        <f>IFERROR(INDEX($C$162:$AK$162,1,8+ROUND(INDEX($H$5:$V$5,1,MATCH("RM15",$H$3:$V$3,0))/7,0)),0)</f>
        <v>952</v>
      </c>
      <c r="K163" s="8">
        <f>IFERROR(INDEX($C$162:$AK$162,1,9+ROUND(INDEX($H$5:$V$5,1,MATCH("RM15",$H$3:$V$3,0))/7,0)),0)</f>
        <v>2596</v>
      </c>
      <c r="L163" s="8">
        <f>IFERROR(INDEX($C$162:$AK$162,1,10+ROUND(INDEX($H$5:$V$5,1,MATCH("RM15",$H$3:$V$3,0))/7,0)),0)</f>
        <v>2600</v>
      </c>
      <c r="M163" s="8">
        <f>IFERROR(INDEX($C$162:$AK$162,1,11+ROUND(INDEX($H$5:$V$5,1,MATCH("RM15",$H$3:$V$3,0))/7,0)),0)</f>
        <v>2596</v>
      </c>
      <c r="N163" s="8">
        <f>IFERROR(INDEX($C$162:$AK$162,1,12+ROUND(INDEX($H$5:$V$5,1,MATCH("RM15",$H$3:$V$3,0))/7,0)),0)</f>
        <v>3012</v>
      </c>
      <c r="O163" s="8">
        <f>IFERROR(INDEX($C$162:$AK$162,1,13+ROUND(INDEX($H$5:$V$5,1,MATCH("RM15",$H$3:$V$3,0))/7,0)),0)</f>
        <v>3012</v>
      </c>
      <c r="P163" s="8">
        <f>IFERROR(INDEX($C$162:$AK$162,1,14+ROUND(INDEX($H$5:$V$5,1,MATCH("RM15",$H$3:$V$3,0))/7,0)),0)</f>
        <v>3012</v>
      </c>
      <c r="Q163" s="8">
        <f>IFERROR(INDEX($C$162:$AK$162,1,15+ROUND(INDEX($H$5:$V$5,1,MATCH("RM15",$H$3:$V$3,0))/7,0)),0)</f>
        <v>3012</v>
      </c>
      <c r="R163" s="8">
        <f>IFERROR(INDEX($C$162:$AK$162,1,16+ROUND(INDEX($H$5:$V$5,1,MATCH("RM15",$H$3:$V$3,0))/7,0)),0)</f>
        <v>2892</v>
      </c>
      <c r="S163" s="8">
        <f>IFERROR(INDEX($C$162:$AK$162,1,17+ROUND(INDEX($H$5:$V$5,1,MATCH("RM15",$H$3:$V$3,0))/7,0)),0)</f>
        <v>0</v>
      </c>
      <c r="T163" s="8">
        <f>IFERROR(INDEX($C$162:$AK$162,1,18+ROUND(INDEX($H$5:$V$5,1,MATCH("RM15",$H$3:$V$3,0))/7,0)),0)</f>
        <v>0</v>
      </c>
      <c r="U163" s="8">
        <f>IFERROR(INDEX($C$162:$AK$162,1,19+ROUND(INDEX($H$5:$V$5,1,MATCH("RM15",$H$3:$V$3,0))/7,0)),0)</f>
        <v>2896</v>
      </c>
      <c r="V163" s="8">
        <f>IFERROR(INDEX($C$162:$AK$162,1,20+ROUND(INDEX($H$5:$V$5,1,MATCH("RM15",$H$3:$V$3,0))/7,0)),0)</f>
        <v>2896</v>
      </c>
      <c r="W163" s="8">
        <f>IFERROR(INDEX($C$162:$AK$162,1,21+ROUND(INDEX($H$5:$V$5,1,MATCH("RM15",$H$3:$V$3,0))/7,0)),0)</f>
        <v>2896</v>
      </c>
      <c r="X163" s="8">
        <f>IFERROR(INDEX($C$162:$AK$162,1,22+ROUND(INDEX($H$5:$V$5,1,MATCH("RM15",$H$3:$V$3,0))/7,0)),0)</f>
        <v>3508</v>
      </c>
      <c r="Y163" s="8">
        <f>IFERROR(INDEX($C$162:$AK$162,1,23+ROUND(INDEX($H$5:$V$5,1,MATCH("RM15",$H$3:$V$3,0))/7,0)),0)</f>
        <v>3512</v>
      </c>
      <c r="Z163" s="8">
        <f>IFERROR(INDEX($C$162:$AK$162,1,24+ROUND(INDEX($H$5:$V$5,1,MATCH("RM15",$H$3:$V$3,0))/7,0)),0)</f>
        <v>3512</v>
      </c>
      <c r="AA163" s="8">
        <f>IFERROR(INDEX($C$162:$AK$162,1,25+ROUND(INDEX($H$5:$V$5,1,MATCH("RM15",$H$3:$V$3,0))/7,0)),0)</f>
        <v>3512</v>
      </c>
      <c r="AB163" s="8">
        <f>IFERROR(INDEX($C$162:$AK$162,1,26+ROUND(INDEX($H$5:$V$5,1,MATCH("RM15",$H$3:$V$3,0))/7,0)),0)</f>
        <v>3856</v>
      </c>
      <c r="AC163" s="8">
        <f>IFERROR(INDEX($C$162:$AK$162,1,27+ROUND(INDEX($H$5:$V$5,1,MATCH("RM15",$H$3:$V$3,0))/7,0)),0)</f>
        <v>3860</v>
      </c>
      <c r="AD163" s="8">
        <f>IFERROR(INDEX($C$162:$AK$162,1,28+ROUND(INDEX($H$5:$V$5,1,MATCH("RM15",$H$3:$V$3,0))/7,0)),0)</f>
        <v>3856</v>
      </c>
      <c r="AE163" s="8">
        <f>IFERROR(INDEX($C$162:$AK$162,1,29+ROUND(INDEX($H$5:$V$5,1,MATCH("RM15",$H$3:$V$3,0))/7,0)),0)</f>
        <v>0</v>
      </c>
      <c r="AF163" s="8">
        <f>IFERROR(INDEX($C$162:$AK$162,1,30+ROUND(INDEX($H$5:$V$5,1,MATCH("RM15",$H$3:$V$3,0))/7,0)),0)</f>
        <v>0</v>
      </c>
      <c r="AG163" s="8">
        <f>IFERROR(INDEX($C$162:$AK$162,1,31+ROUND(INDEX($H$5:$V$5,1,MATCH("RM15",$H$3:$V$3,0))/7,0)),0)</f>
        <v>0</v>
      </c>
      <c r="AH163" s="8">
        <f>IFERROR(INDEX($C$162:$AK$162,1,32+ROUND(INDEX($H$5:$V$5,1,MATCH("RM15",$H$3:$V$3,0))/7,0)),0)</f>
        <v>0</v>
      </c>
      <c r="AI163" s="8">
        <f>IFERROR(INDEX($C$162:$AK$162,1,33+ROUND(INDEX($H$5:$V$5,1,MATCH("RM15",$H$3:$V$3,0))/7,0)),0)</f>
        <v>0</v>
      </c>
      <c r="AJ163" s="8">
        <f>IFERROR(INDEX($C$162:$AK$162,1,34+ROUND(INDEX($H$5:$V$5,1,MATCH("RM15",$H$3:$V$3,0))/7,0)),0)</f>
        <v>0</v>
      </c>
      <c r="AK163" s="8">
        <f>IFERROR(INDEX($C$162:$AK$162,1,35+ROUND(INDEX($H$5:$V$5,1,MATCH("RM15",$H$3:$V$3,0))/7,0)),0)</f>
        <v>0</v>
      </c>
    </row>
  </sheetData>
  <mergeCells count="46">
    <mergeCell ref="A92:B92"/>
    <mergeCell ref="C125:AK125"/>
    <mergeCell ref="A148:B148"/>
    <mergeCell ref="A82:B82"/>
    <mergeCell ref="A88:B88"/>
    <mergeCell ref="C155:AK155"/>
    <mergeCell ref="A142:B142"/>
    <mergeCell ref="A98:B98"/>
    <mergeCell ref="A138:B138"/>
    <mergeCell ref="C145:AK145"/>
    <mergeCell ref="A132:B132"/>
    <mergeCell ref="A112:B112"/>
    <mergeCell ref="A152:B152"/>
    <mergeCell ref="C135:AK135"/>
    <mergeCell ref="A162:B162"/>
    <mergeCell ref="C15:AK15"/>
    <mergeCell ref="A78:B78"/>
    <mergeCell ref="A128:B128"/>
    <mergeCell ref="A108:B108"/>
    <mergeCell ref="C45:AK45"/>
    <mergeCell ref="C35:AK35"/>
    <mergeCell ref="A118:B118"/>
    <mergeCell ref="A18:B18"/>
    <mergeCell ref="A158:B158"/>
    <mergeCell ref="C85:AK85"/>
    <mergeCell ref="C65:AK65"/>
    <mergeCell ref="C25:AK25"/>
    <mergeCell ref="C55:AK55"/>
    <mergeCell ref="A122:B122"/>
    <mergeCell ref="C115:AK115"/>
    <mergeCell ref="B5:G5"/>
    <mergeCell ref="C75:AK75"/>
    <mergeCell ref="A42:B42"/>
    <mergeCell ref="A32:B32"/>
    <mergeCell ref="C105:AK105"/>
    <mergeCell ref="A22:B22"/>
    <mergeCell ref="A62:B62"/>
    <mergeCell ref="C95:AK95"/>
    <mergeCell ref="A38:B38"/>
    <mergeCell ref="A72:B72"/>
    <mergeCell ref="A52:B52"/>
    <mergeCell ref="A68:B68"/>
    <mergeCell ref="A28:B28"/>
    <mergeCell ref="A102:B102"/>
    <mergeCell ref="A58:B58"/>
    <mergeCell ref="A48:B4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5:M35"/>
  <sheetViews>
    <sheetView zoomScale="60" workbookViewId="0">
      <selection activeCell="O6" sqref="O6"/>
    </sheetView>
  </sheetViews>
  <sheetFormatPr defaultRowHeight="14.4" x14ac:dyDescent="0.3"/>
  <cols>
    <col min="3" max="3" width="6.21875" customWidth="1"/>
    <col min="4" max="4" width="16.21875" customWidth="1"/>
    <col min="5" max="5" width="20.77734375" bestFit="1" customWidth="1"/>
    <col min="6" max="6" width="16.44140625" bestFit="1" customWidth="1"/>
    <col min="7" max="7" width="16.44140625" customWidth="1"/>
    <col min="8" max="8" width="13.44140625" customWidth="1"/>
    <col min="9" max="9" width="11.77734375" bestFit="1" customWidth="1"/>
    <col min="11" max="11" width="14.21875" bestFit="1" customWidth="1"/>
  </cols>
  <sheetData>
    <row r="5" spans="3:13" x14ac:dyDescent="0.3">
      <c r="C5" s="2" t="s">
        <v>125</v>
      </c>
      <c r="D5" s="2" t="s">
        <v>126</v>
      </c>
      <c r="E5" s="14" t="s">
        <v>127</v>
      </c>
      <c r="F5" s="2" t="s">
        <v>128</v>
      </c>
      <c r="G5" s="2" t="s">
        <v>129</v>
      </c>
      <c r="H5" s="2" t="s">
        <v>130</v>
      </c>
      <c r="I5" s="15" t="s">
        <v>131</v>
      </c>
      <c r="J5" s="15" t="s">
        <v>132</v>
      </c>
      <c r="K5" s="15" t="s">
        <v>133</v>
      </c>
      <c r="L5" s="15" t="s">
        <v>134</v>
      </c>
      <c r="M5" s="15" t="s">
        <v>135</v>
      </c>
    </row>
    <row r="6" spans="3:13" x14ac:dyDescent="0.3">
      <c r="C6">
        <v>1</v>
      </c>
      <c r="D6" t="s">
        <v>14</v>
      </c>
      <c r="E6" t="s">
        <v>79</v>
      </c>
      <c r="F6" t="s">
        <v>136</v>
      </c>
      <c r="G6" t="s">
        <v>137</v>
      </c>
      <c r="H6">
        <v>1</v>
      </c>
      <c r="I6">
        <v>7</v>
      </c>
      <c r="J6">
        <v>588</v>
      </c>
      <c r="K6">
        <v>0</v>
      </c>
      <c r="L6">
        <v>0.2</v>
      </c>
      <c r="M6" t="s">
        <v>138</v>
      </c>
    </row>
    <row r="7" spans="3:13" x14ac:dyDescent="0.3">
      <c r="C7">
        <v>2</v>
      </c>
      <c r="D7" t="s">
        <v>14</v>
      </c>
      <c r="E7" t="s">
        <v>80</v>
      </c>
      <c r="F7" t="s">
        <v>139</v>
      </c>
      <c r="G7" t="s">
        <v>137</v>
      </c>
      <c r="H7">
        <v>0.25</v>
      </c>
      <c r="I7">
        <v>14</v>
      </c>
      <c r="J7">
        <v>1443</v>
      </c>
      <c r="K7">
        <v>0</v>
      </c>
      <c r="L7">
        <v>4</v>
      </c>
      <c r="M7" t="s">
        <v>140</v>
      </c>
    </row>
    <row r="8" spans="3:13" x14ac:dyDescent="0.3">
      <c r="C8">
        <v>3</v>
      </c>
      <c r="D8" t="s">
        <v>14</v>
      </c>
      <c r="E8" t="s">
        <v>81</v>
      </c>
      <c r="F8" t="s">
        <v>141</v>
      </c>
      <c r="G8" t="s">
        <v>137</v>
      </c>
      <c r="H8">
        <v>1</v>
      </c>
      <c r="I8">
        <v>21</v>
      </c>
      <c r="J8">
        <v>42524</v>
      </c>
      <c r="K8">
        <v>0</v>
      </c>
      <c r="L8">
        <v>5</v>
      </c>
      <c r="M8" t="s">
        <v>142</v>
      </c>
    </row>
    <row r="9" spans="3:13" x14ac:dyDescent="0.3">
      <c r="C9">
        <v>4</v>
      </c>
      <c r="D9" t="s">
        <v>14</v>
      </c>
      <c r="E9" t="s">
        <v>82</v>
      </c>
      <c r="F9" t="s">
        <v>143</v>
      </c>
      <c r="G9" t="s">
        <v>144</v>
      </c>
      <c r="H9">
        <v>2</v>
      </c>
      <c r="I9">
        <v>140</v>
      </c>
      <c r="J9">
        <v>340000</v>
      </c>
      <c r="K9" s="16">
        <v>30000</v>
      </c>
      <c r="L9">
        <v>15</v>
      </c>
      <c r="M9" t="s">
        <v>138</v>
      </c>
    </row>
    <row r="10" spans="3:13" x14ac:dyDescent="0.3">
      <c r="C10">
        <v>5</v>
      </c>
      <c r="D10" t="s">
        <v>14</v>
      </c>
      <c r="E10" t="s">
        <v>83</v>
      </c>
      <c r="F10" t="s">
        <v>145</v>
      </c>
      <c r="G10" t="s">
        <v>144</v>
      </c>
      <c r="H10">
        <v>1</v>
      </c>
      <c r="I10">
        <v>70</v>
      </c>
      <c r="J10">
        <v>90000</v>
      </c>
      <c r="K10">
        <v>0</v>
      </c>
      <c r="L10">
        <v>25</v>
      </c>
      <c r="M10" t="s">
        <v>138</v>
      </c>
    </row>
    <row r="11" spans="3:13" x14ac:dyDescent="0.3">
      <c r="C11">
        <v>6</v>
      </c>
      <c r="D11" t="s">
        <v>22</v>
      </c>
      <c r="E11" t="s">
        <v>79</v>
      </c>
      <c r="F11" t="s">
        <v>136</v>
      </c>
      <c r="G11" t="s">
        <v>137</v>
      </c>
      <c r="H11">
        <v>1</v>
      </c>
      <c r="I11">
        <v>7</v>
      </c>
      <c r="J11">
        <v>588</v>
      </c>
      <c r="K11">
        <v>0</v>
      </c>
      <c r="L11">
        <v>0.2</v>
      </c>
      <c r="M11" t="s">
        <v>138</v>
      </c>
    </row>
    <row r="12" spans="3:13" x14ac:dyDescent="0.3">
      <c r="C12">
        <v>7</v>
      </c>
      <c r="D12" t="s">
        <v>22</v>
      </c>
      <c r="E12" t="s">
        <v>80</v>
      </c>
      <c r="F12" t="s">
        <v>139</v>
      </c>
      <c r="G12" t="s">
        <v>137</v>
      </c>
      <c r="H12">
        <v>0.25</v>
      </c>
      <c r="I12">
        <v>14</v>
      </c>
      <c r="J12">
        <v>1443</v>
      </c>
      <c r="K12">
        <v>0</v>
      </c>
      <c r="L12">
        <v>4</v>
      </c>
      <c r="M12" t="s">
        <v>140</v>
      </c>
    </row>
    <row r="13" spans="3:13" x14ac:dyDescent="0.3">
      <c r="C13">
        <v>8</v>
      </c>
      <c r="D13" t="s">
        <v>22</v>
      </c>
      <c r="E13" t="s">
        <v>81</v>
      </c>
      <c r="F13" t="s">
        <v>141</v>
      </c>
      <c r="G13" t="s">
        <v>137</v>
      </c>
      <c r="H13">
        <v>1</v>
      </c>
      <c r="I13">
        <v>21</v>
      </c>
      <c r="J13">
        <v>42524</v>
      </c>
      <c r="K13">
        <v>0</v>
      </c>
      <c r="L13">
        <v>5</v>
      </c>
      <c r="M13" t="s">
        <v>142</v>
      </c>
    </row>
    <row r="14" spans="3:13" x14ac:dyDescent="0.3">
      <c r="C14">
        <v>9</v>
      </c>
      <c r="D14" t="s">
        <v>22</v>
      </c>
      <c r="E14" t="s">
        <v>84</v>
      </c>
      <c r="F14" t="s">
        <v>146</v>
      </c>
      <c r="G14" t="s">
        <v>144</v>
      </c>
      <c r="H14">
        <v>2.5</v>
      </c>
      <c r="I14">
        <v>35</v>
      </c>
      <c r="J14" s="16">
        <v>76000</v>
      </c>
      <c r="K14">
        <v>0</v>
      </c>
      <c r="L14">
        <v>10</v>
      </c>
      <c r="M14" t="s">
        <v>147</v>
      </c>
    </row>
    <row r="15" spans="3:13" x14ac:dyDescent="0.3">
      <c r="C15">
        <v>10</v>
      </c>
      <c r="D15" t="s">
        <v>22</v>
      </c>
      <c r="E15" t="s">
        <v>85</v>
      </c>
      <c r="F15" t="s">
        <v>148</v>
      </c>
      <c r="G15" t="s">
        <v>144</v>
      </c>
      <c r="H15">
        <v>1.5</v>
      </c>
      <c r="I15">
        <v>42</v>
      </c>
      <c r="J15" s="16">
        <v>50000</v>
      </c>
      <c r="K15">
        <v>0</v>
      </c>
      <c r="L15">
        <v>7</v>
      </c>
      <c r="M15" t="s">
        <v>149</v>
      </c>
    </row>
    <row r="16" spans="3:13" x14ac:dyDescent="0.3">
      <c r="C16">
        <v>11</v>
      </c>
      <c r="D16" t="s">
        <v>25</v>
      </c>
      <c r="E16" t="s">
        <v>79</v>
      </c>
      <c r="F16" t="s">
        <v>136</v>
      </c>
      <c r="G16" t="s">
        <v>137</v>
      </c>
      <c r="H16">
        <v>1</v>
      </c>
      <c r="I16">
        <v>7</v>
      </c>
      <c r="J16">
        <v>588</v>
      </c>
      <c r="K16">
        <v>0</v>
      </c>
      <c r="L16">
        <v>0.2</v>
      </c>
      <c r="M16" t="s">
        <v>138</v>
      </c>
    </row>
    <row r="17" spans="3:13" x14ac:dyDescent="0.3">
      <c r="C17">
        <v>12</v>
      </c>
      <c r="D17" t="s">
        <v>25</v>
      </c>
      <c r="E17" t="s">
        <v>80</v>
      </c>
      <c r="F17" t="s">
        <v>139</v>
      </c>
      <c r="G17" t="s">
        <v>137</v>
      </c>
      <c r="H17">
        <v>0.5</v>
      </c>
      <c r="I17">
        <v>14</v>
      </c>
      <c r="J17">
        <v>2886</v>
      </c>
      <c r="K17">
        <v>0</v>
      </c>
      <c r="L17">
        <v>4</v>
      </c>
      <c r="M17" t="s">
        <v>140</v>
      </c>
    </row>
    <row r="18" spans="3:13" x14ac:dyDescent="0.3">
      <c r="C18">
        <v>13</v>
      </c>
      <c r="D18" t="s">
        <v>25</v>
      </c>
      <c r="E18" t="s">
        <v>81</v>
      </c>
      <c r="F18" t="s">
        <v>141</v>
      </c>
      <c r="G18" t="s">
        <v>137</v>
      </c>
      <c r="H18">
        <v>1</v>
      </c>
      <c r="I18">
        <v>21</v>
      </c>
      <c r="J18">
        <v>42524</v>
      </c>
      <c r="K18">
        <v>0</v>
      </c>
      <c r="L18">
        <v>5</v>
      </c>
      <c r="M18" t="s">
        <v>142</v>
      </c>
    </row>
    <row r="19" spans="3:13" x14ac:dyDescent="0.3">
      <c r="C19">
        <v>14</v>
      </c>
      <c r="D19" t="s">
        <v>25</v>
      </c>
      <c r="E19" t="s">
        <v>86</v>
      </c>
      <c r="F19" t="s">
        <v>150</v>
      </c>
      <c r="G19" t="s">
        <v>144</v>
      </c>
      <c r="H19">
        <v>3</v>
      </c>
      <c r="I19">
        <v>63</v>
      </c>
      <c r="J19" s="16">
        <v>123000</v>
      </c>
      <c r="K19" s="16">
        <v>38000</v>
      </c>
      <c r="L19">
        <v>7</v>
      </c>
      <c r="M19" t="s">
        <v>151</v>
      </c>
    </row>
    <row r="20" spans="3:13" x14ac:dyDescent="0.3">
      <c r="C20">
        <v>15</v>
      </c>
      <c r="D20" t="s">
        <v>25</v>
      </c>
      <c r="E20" t="s">
        <v>87</v>
      </c>
      <c r="F20" t="s">
        <v>152</v>
      </c>
      <c r="G20" t="s">
        <v>144</v>
      </c>
      <c r="H20">
        <v>0.5</v>
      </c>
      <c r="I20">
        <v>28</v>
      </c>
      <c r="J20" s="16">
        <v>6500</v>
      </c>
      <c r="K20">
        <v>0</v>
      </c>
      <c r="L20">
        <v>40</v>
      </c>
      <c r="M20" t="s">
        <v>153</v>
      </c>
    </row>
    <row r="21" spans="3:13" x14ac:dyDescent="0.3">
      <c r="C21">
        <v>16</v>
      </c>
      <c r="D21" t="s">
        <v>30</v>
      </c>
      <c r="E21" t="s">
        <v>79</v>
      </c>
      <c r="F21" t="s">
        <v>136</v>
      </c>
      <c r="G21" t="s">
        <v>137</v>
      </c>
      <c r="H21">
        <v>1</v>
      </c>
      <c r="I21">
        <v>7</v>
      </c>
      <c r="J21">
        <v>588</v>
      </c>
      <c r="K21">
        <v>0</v>
      </c>
      <c r="L21">
        <v>0.2</v>
      </c>
      <c r="M21" t="s">
        <v>138</v>
      </c>
    </row>
    <row r="22" spans="3:13" x14ac:dyDescent="0.3">
      <c r="C22">
        <v>17</v>
      </c>
      <c r="D22" t="s">
        <v>30</v>
      </c>
      <c r="E22" t="s">
        <v>80</v>
      </c>
      <c r="F22" t="s">
        <v>139</v>
      </c>
      <c r="G22" t="s">
        <v>137</v>
      </c>
      <c r="H22">
        <v>0.25</v>
      </c>
      <c r="I22">
        <v>14</v>
      </c>
      <c r="J22">
        <v>1443</v>
      </c>
      <c r="K22">
        <v>0</v>
      </c>
      <c r="L22">
        <v>4</v>
      </c>
      <c r="M22" t="s">
        <v>140</v>
      </c>
    </row>
    <row r="23" spans="3:13" x14ac:dyDescent="0.3">
      <c r="C23">
        <v>18</v>
      </c>
      <c r="D23" t="s">
        <v>30</v>
      </c>
      <c r="E23" t="s">
        <v>81</v>
      </c>
      <c r="F23" t="s">
        <v>141</v>
      </c>
      <c r="G23" t="s">
        <v>137</v>
      </c>
      <c r="H23">
        <v>1</v>
      </c>
      <c r="I23">
        <v>21</v>
      </c>
      <c r="J23">
        <v>42524</v>
      </c>
      <c r="K23">
        <v>0</v>
      </c>
      <c r="L23">
        <v>5</v>
      </c>
      <c r="M23" t="s">
        <v>142</v>
      </c>
    </row>
    <row r="24" spans="3:13" x14ac:dyDescent="0.3">
      <c r="C24">
        <v>19</v>
      </c>
      <c r="D24" t="s">
        <v>30</v>
      </c>
      <c r="E24" t="s">
        <v>88</v>
      </c>
      <c r="F24" t="s">
        <v>154</v>
      </c>
      <c r="G24" t="s">
        <v>144</v>
      </c>
      <c r="H24">
        <v>2</v>
      </c>
      <c r="I24">
        <v>77</v>
      </c>
      <c r="J24" s="16">
        <v>60000</v>
      </c>
      <c r="K24" s="16">
        <v>5000</v>
      </c>
      <c r="L24">
        <v>10</v>
      </c>
      <c r="M24" t="s">
        <v>138</v>
      </c>
    </row>
    <row r="25" spans="3:13" x14ac:dyDescent="0.3">
      <c r="C25">
        <v>20</v>
      </c>
      <c r="D25" t="s">
        <v>30</v>
      </c>
      <c r="E25" t="s">
        <v>89</v>
      </c>
      <c r="F25" t="s">
        <v>155</v>
      </c>
      <c r="G25" t="s">
        <v>144</v>
      </c>
      <c r="H25">
        <v>1.5</v>
      </c>
      <c r="I25">
        <v>21</v>
      </c>
      <c r="J25">
        <v>100000</v>
      </c>
      <c r="K25">
        <v>0</v>
      </c>
      <c r="L25">
        <v>0.2</v>
      </c>
      <c r="M25" t="s">
        <v>149</v>
      </c>
    </row>
    <row r="26" spans="3:13" x14ac:dyDescent="0.3">
      <c r="C26">
        <v>21</v>
      </c>
      <c r="D26" t="s">
        <v>18</v>
      </c>
      <c r="E26" t="s">
        <v>79</v>
      </c>
      <c r="F26" t="s">
        <v>136</v>
      </c>
      <c r="G26" t="s">
        <v>137</v>
      </c>
      <c r="H26">
        <v>1</v>
      </c>
      <c r="I26">
        <v>7</v>
      </c>
      <c r="J26">
        <v>588</v>
      </c>
      <c r="K26">
        <v>0</v>
      </c>
      <c r="L26">
        <v>0.2</v>
      </c>
      <c r="M26" t="s">
        <v>138</v>
      </c>
    </row>
    <row r="27" spans="3:13" x14ac:dyDescent="0.3">
      <c r="C27">
        <v>22</v>
      </c>
      <c r="D27" t="s">
        <v>18</v>
      </c>
      <c r="E27" t="s">
        <v>80</v>
      </c>
      <c r="F27" t="s">
        <v>139</v>
      </c>
      <c r="G27" t="s">
        <v>137</v>
      </c>
      <c r="H27">
        <v>0.5</v>
      </c>
      <c r="I27">
        <v>14</v>
      </c>
      <c r="J27">
        <v>2886</v>
      </c>
      <c r="K27">
        <v>0</v>
      </c>
      <c r="L27">
        <v>4</v>
      </c>
      <c r="M27" t="s">
        <v>140</v>
      </c>
    </row>
    <row r="28" spans="3:13" x14ac:dyDescent="0.3">
      <c r="C28">
        <v>23</v>
      </c>
      <c r="D28" t="s">
        <v>18</v>
      </c>
      <c r="E28" t="s">
        <v>81</v>
      </c>
      <c r="F28" t="s">
        <v>141</v>
      </c>
      <c r="G28" t="s">
        <v>137</v>
      </c>
      <c r="H28">
        <v>1</v>
      </c>
      <c r="I28">
        <v>21</v>
      </c>
      <c r="J28">
        <v>42524</v>
      </c>
      <c r="K28">
        <v>0</v>
      </c>
      <c r="L28">
        <v>5</v>
      </c>
      <c r="M28" t="s">
        <v>142</v>
      </c>
    </row>
    <row r="29" spans="3:13" x14ac:dyDescent="0.3">
      <c r="C29">
        <v>24</v>
      </c>
      <c r="D29" t="s">
        <v>18</v>
      </c>
      <c r="E29" t="s">
        <v>90</v>
      </c>
      <c r="F29" t="s">
        <v>156</v>
      </c>
      <c r="G29" t="s">
        <v>144</v>
      </c>
      <c r="H29">
        <v>3</v>
      </c>
      <c r="I29">
        <v>56</v>
      </c>
      <c r="J29" s="16">
        <v>5500</v>
      </c>
      <c r="K29">
        <v>0</v>
      </c>
      <c r="L29">
        <v>5</v>
      </c>
      <c r="M29" t="s">
        <v>147</v>
      </c>
    </row>
    <row r="30" spans="3:13" x14ac:dyDescent="0.3">
      <c r="C30">
        <v>25</v>
      </c>
      <c r="D30" t="s">
        <v>18</v>
      </c>
      <c r="E30" t="s">
        <v>91</v>
      </c>
      <c r="F30" t="s">
        <v>157</v>
      </c>
      <c r="G30" t="s">
        <v>144</v>
      </c>
      <c r="H30">
        <v>4</v>
      </c>
      <c r="I30">
        <v>35</v>
      </c>
      <c r="J30" s="16">
        <v>6000</v>
      </c>
      <c r="K30" s="16">
        <v>1000</v>
      </c>
      <c r="L30">
        <v>1</v>
      </c>
      <c r="M30" t="s">
        <v>138</v>
      </c>
    </row>
    <row r="31" spans="3:13" x14ac:dyDescent="0.3">
      <c r="C31">
        <v>26</v>
      </c>
      <c r="D31" t="s">
        <v>9</v>
      </c>
      <c r="E31" t="s">
        <v>79</v>
      </c>
      <c r="F31" t="s">
        <v>136</v>
      </c>
      <c r="G31" t="s">
        <v>137</v>
      </c>
      <c r="H31">
        <v>1</v>
      </c>
      <c r="I31">
        <v>7</v>
      </c>
      <c r="J31">
        <v>588</v>
      </c>
      <c r="K31">
        <v>0</v>
      </c>
      <c r="L31">
        <v>0.2</v>
      </c>
      <c r="M31" t="s">
        <v>138</v>
      </c>
    </row>
    <row r="32" spans="3:13" x14ac:dyDescent="0.3">
      <c r="C32">
        <v>27</v>
      </c>
      <c r="D32" t="s">
        <v>9</v>
      </c>
      <c r="E32" t="s">
        <v>80</v>
      </c>
      <c r="F32" t="s">
        <v>139</v>
      </c>
      <c r="G32" t="s">
        <v>137</v>
      </c>
      <c r="H32">
        <v>0.125</v>
      </c>
      <c r="I32">
        <v>14</v>
      </c>
      <c r="J32">
        <v>721.5</v>
      </c>
      <c r="K32">
        <v>0</v>
      </c>
      <c r="L32">
        <v>4</v>
      </c>
      <c r="M32" t="s">
        <v>140</v>
      </c>
    </row>
    <row r="33" spans="3:13" x14ac:dyDescent="0.3">
      <c r="C33">
        <v>28</v>
      </c>
      <c r="D33" t="s">
        <v>9</v>
      </c>
      <c r="E33" t="s">
        <v>81</v>
      </c>
      <c r="F33" t="s">
        <v>141</v>
      </c>
      <c r="G33" t="s">
        <v>137</v>
      </c>
      <c r="H33">
        <v>1</v>
      </c>
      <c r="I33">
        <v>21</v>
      </c>
      <c r="J33">
        <v>42524</v>
      </c>
      <c r="K33">
        <v>0</v>
      </c>
      <c r="L33">
        <v>5</v>
      </c>
      <c r="M33" t="s">
        <v>142</v>
      </c>
    </row>
    <row r="34" spans="3:13" x14ac:dyDescent="0.3">
      <c r="C34">
        <v>29</v>
      </c>
      <c r="D34" t="s">
        <v>9</v>
      </c>
      <c r="E34" t="s">
        <v>92</v>
      </c>
      <c r="F34" t="s">
        <v>158</v>
      </c>
      <c r="G34" t="s">
        <v>144</v>
      </c>
      <c r="H34">
        <v>5</v>
      </c>
      <c r="I34">
        <v>63</v>
      </c>
      <c r="J34" s="16">
        <v>130000</v>
      </c>
      <c r="K34">
        <v>0</v>
      </c>
      <c r="L34">
        <v>10</v>
      </c>
      <c r="M34" t="s">
        <v>138</v>
      </c>
    </row>
    <row r="35" spans="3:13" x14ac:dyDescent="0.3">
      <c r="C35">
        <v>30</v>
      </c>
      <c r="D35" t="s">
        <v>9</v>
      </c>
      <c r="E35" t="s">
        <v>93</v>
      </c>
      <c r="F35" t="s">
        <v>159</v>
      </c>
      <c r="G35" t="s">
        <v>144</v>
      </c>
      <c r="H35">
        <v>2</v>
      </c>
      <c r="I35">
        <v>49</v>
      </c>
      <c r="J35" s="16">
        <v>20000</v>
      </c>
      <c r="K35" s="16">
        <v>21000</v>
      </c>
      <c r="L35">
        <v>6</v>
      </c>
      <c r="M35" t="s">
        <v>138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26"/>
  <sheetViews>
    <sheetView topLeftCell="E1" workbookViewId="0">
      <selection activeCell="G17" sqref="G17"/>
    </sheetView>
  </sheetViews>
  <sheetFormatPr defaultRowHeight="14.4" x14ac:dyDescent="0.3"/>
  <cols>
    <col min="2" max="2" width="14.77734375" customWidth="1"/>
    <col min="3" max="3" width="33.77734375" customWidth="1"/>
    <col min="4" max="5" width="27.21875" customWidth="1"/>
    <col min="6" max="6" width="16.77734375" customWidth="1"/>
    <col min="7" max="7" width="18.5546875" customWidth="1"/>
    <col min="8" max="8" width="14" customWidth="1"/>
  </cols>
  <sheetData>
    <row r="2" spans="2:8" ht="28.8" customHeight="1" x14ac:dyDescent="0.3">
      <c r="B2" s="19" t="s">
        <v>0</v>
      </c>
      <c r="C2" s="19" t="s">
        <v>1</v>
      </c>
      <c r="D2" s="19" t="s">
        <v>60</v>
      </c>
      <c r="E2" s="19" t="s">
        <v>61</v>
      </c>
      <c r="F2" s="20" t="s">
        <v>160</v>
      </c>
      <c r="G2" t="s">
        <v>2</v>
      </c>
    </row>
    <row r="3" spans="2:8" x14ac:dyDescent="0.3">
      <c r="B3" s="18" t="s">
        <v>14</v>
      </c>
      <c r="C3" t="s">
        <v>15</v>
      </c>
      <c r="D3">
        <v>4</v>
      </c>
      <c r="E3" s="17">
        <v>1</v>
      </c>
      <c r="F3">
        <v>105</v>
      </c>
      <c r="G3" t="s">
        <v>11</v>
      </c>
      <c r="H3" s="21"/>
    </row>
    <row r="4" spans="2:8" x14ac:dyDescent="0.3">
      <c r="B4" s="18" t="s">
        <v>22</v>
      </c>
      <c r="C4" t="s">
        <v>23</v>
      </c>
      <c r="D4">
        <v>4</v>
      </c>
      <c r="E4" s="17">
        <v>0.625</v>
      </c>
      <c r="F4">
        <v>55</v>
      </c>
      <c r="G4" t="s">
        <v>11</v>
      </c>
      <c r="H4" s="21"/>
    </row>
    <row r="5" spans="2:8" x14ac:dyDescent="0.3">
      <c r="B5" s="18" t="s">
        <v>25</v>
      </c>
      <c r="C5" t="s">
        <v>26</v>
      </c>
      <c r="D5">
        <v>2</v>
      </c>
      <c r="E5" s="17">
        <v>1</v>
      </c>
      <c r="F5">
        <v>80</v>
      </c>
      <c r="G5" t="s">
        <v>27</v>
      </c>
      <c r="H5" s="21"/>
    </row>
    <row r="6" spans="2:8" x14ac:dyDescent="0.3">
      <c r="B6" s="18" t="s">
        <v>30</v>
      </c>
      <c r="C6" t="s">
        <v>31</v>
      </c>
      <c r="D6">
        <v>4</v>
      </c>
      <c r="E6" s="17">
        <v>0.625</v>
      </c>
      <c r="F6">
        <v>40</v>
      </c>
      <c r="G6" t="s">
        <v>27</v>
      </c>
      <c r="H6" s="21"/>
    </row>
    <row r="7" spans="2:8" x14ac:dyDescent="0.3">
      <c r="B7" s="18" t="s">
        <v>18</v>
      </c>
      <c r="C7" t="s">
        <v>19</v>
      </c>
      <c r="D7">
        <v>2</v>
      </c>
      <c r="E7" s="17">
        <v>0.625</v>
      </c>
      <c r="F7">
        <v>30</v>
      </c>
      <c r="G7" t="s">
        <v>161</v>
      </c>
      <c r="H7" s="21"/>
    </row>
    <row r="8" spans="2:8" x14ac:dyDescent="0.3">
      <c r="B8" s="18" t="s">
        <v>9</v>
      </c>
      <c r="C8" t="s">
        <v>10</v>
      </c>
      <c r="D8">
        <v>8</v>
      </c>
      <c r="E8" s="17">
        <v>0.78125</v>
      </c>
      <c r="F8">
        <v>90</v>
      </c>
      <c r="G8" t="s">
        <v>11</v>
      </c>
      <c r="H8" s="21"/>
    </row>
    <row r="10" spans="2:8" x14ac:dyDescent="0.3">
      <c r="E10" s="21"/>
    </row>
    <row r="11" spans="2:8" x14ac:dyDescent="0.3">
      <c r="G11" s="21"/>
    </row>
    <row r="12" spans="2:8" x14ac:dyDescent="0.3">
      <c r="G12" s="21"/>
    </row>
    <row r="15" spans="2:8" x14ac:dyDescent="0.3">
      <c r="B15" s="22" t="s">
        <v>162</v>
      </c>
    </row>
    <row r="17" spans="2:6" ht="28.8" customHeight="1" x14ac:dyDescent="0.3">
      <c r="B17" s="23" t="s">
        <v>163</v>
      </c>
      <c r="C17" s="23" t="s">
        <v>11</v>
      </c>
      <c r="D17" s="23" t="s">
        <v>27</v>
      </c>
      <c r="E17" s="23" t="s">
        <v>164</v>
      </c>
      <c r="F17" s="28" t="s">
        <v>165</v>
      </c>
    </row>
    <row r="18" spans="2:6" x14ac:dyDescent="0.3">
      <c r="B18" s="24" t="s">
        <v>166</v>
      </c>
      <c r="C18" s="25">
        <v>5200</v>
      </c>
      <c r="D18" s="25">
        <v>4200</v>
      </c>
      <c r="E18" s="25">
        <v>2000</v>
      </c>
      <c r="F18" s="29">
        <v>65</v>
      </c>
    </row>
    <row r="19" spans="2:6" x14ac:dyDescent="0.3">
      <c r="B19" s="24" t="s">
        <v>167</v>
      </c>
      <c r="C19" s="25">
        <v>3000</v>
      </c>
      <c r="D19" s="25">
        <v>2500</v>
      </c>
      <c r="E19" s="25">
        <v>1100</v>
      </c>
      <c r="F19" s="29">
        <v>28</v>
      </c>
    </row>
    <row r="20" spans="2:6" x14ac:dyDescent="0.3">
      <c r="B20" s="24" t="s">
        <v>168</v>
      </c>
      <c r="C20" s="24">
        <v>50</v>
      </c>
      <c r="D20" s="24">
        <v>40</v>
      </c>
      <c r="E20" s="24">
        <v>25</v>
      </c>
      <c r="F20" s="24"/>
    </row>
    <row r="21" spans="2:6" x14ac:dyDescent="0.3">
      <c r="B21" s="24"/>
      <c r="C21" s="24"/>
      <c r="D21" s="24"/>
      <c r="E21" s="24"/>
      <c r="F21" s="24"/>
    </row>
    <row r="22" spans="2:6" x14ac:dyDescent="0.3">
      <c r="B22" s="27" t="s">
        <v>169</v>
      </c>
      <c r="C22" s="24"/>
      <c r="D22" s="24"/>
      <c r="E22" s="24"/>
      <c r="F22" s="24"/>
    </row>
    <row r="23" spans="2:6" x14ac:dyDescent="0.3">
      <c r="B23" s="24" t="s">
        <v>170</v>
      </c>
      <c r="C23" s="25">
        <v>200</v>
      </c>
      <c r="D23" s="25">
        <v>70</v>
      </c>
      <c r="E23" s="25">
        <v>35</v>
      </c>
      <c r="F23" s="25"/>
    </row>
    <row r="24" spans="2:6" x14ac:dyDescent="0.3">
      <c r="B24" s="24" t="s">
        <v>168</v>
      </c>
      <c r="C24" s="26">
        <v>55</v>
      </c>
      <c r="D24" s="26">
        <v>45</v>
      </c>
      <c r="E24" s="26">
        <v>30</v>
      </c>
      <c r="F24" s="26"/>
    </row>
    <row r="26" spans="2:6" x14ac:dyDescent="0.3">
      <c r="B26" s="22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1C7-2A02-42D7-84C4-8034DAAB245D}">
  <dimension ref="A1:AP63"/>
  <sheetViews>
    <sheetView tabSelected="1" topLeftCell="B6" zoomScale="44" zoomScaleNormal="55" workbookViewId="0">
      <selection activeCell="R6" sqref="R6"/>
    </sheetView>
  </sheetViews>
  <sheetFormatPr defaultColWidth="8.5546875" defaultRowHeight="14.25" customHeight="1" x14ac:dyDescent="0.3"/>
  <cols>
    <col min="1" max="1" width="33.88671875" style="73" customWidth="1"/>
    <col min="2" max="2" width="47.109375" style="73" customWidth="1"/>
    <col min="3" max="3" width="11.109375" style="73" customWidth="1"/>
    <col min="4" max="4" width="32.77734375" style="73" customWidth="1"/>
    <col min="5" max="5" width="12.5546875" style="73" customWidth="1"/>
    <col min="6" max="6" width="23.88671875" style="73" customWidth="1"/>
    <col min="7" max="7" width="15.44140625" style="73" customWidth="1"/>
    <col min="8" max="8" width="25.5546875" style="73" customWidth="1"/>
    <col min="9" max="9" width="27" style="73" customWidth="1"/>
    <col min="10" max="10" width="28.5546875" style="73" customWidth="1"/>
    <col min="11" max="12" width="13.5546875" style="73" customWidth="1"/>
    <col min="13" max="13" width="21.21875" style="73" customWidth="1"/>
    <col min="14" max="14" width="17.5546875" style="73" customWidth="1"/>
    <col min="15" max="15" width="25.77734375" style="73" customWidth="1"/>
    <col min="16" max="16" width="17.109375" style="73" customWidth="1"/>
    <col min="17" max="17" width="15.5546875" style="73" customWidth="1"/>
    <col min="18" max="18" width="17.109375" style="73" customWidth="1"/>
    <col min="19" max="19" width="23.21875" style="73" customWidth="1"/>
    <col min="20" max="26" width="9" style="73" customWidth="1"/>
    <col min="27" max="37" width="9.5546875" style="73" customWidth="1"/>
    <col min="38" max="38" width="15.88671875" style="73" customWidth="1"/>
    <col min="39" max="39" width="13.88671875" style="73" customWidth="1"/>
    <col min="40" max="40" width="25.6640625" style="73" bestFit="1" customWidth="1"/>
    <col min="41" max="41" width="12" style="73" customWidth="1"/>
    <col min="42" max="42" width="25.6640625" style="73" bestFit="1" customWidth="1"/>
    <col min="43" max="16384" width="8.5546875" style="73"/>
  </cols>
  <sheetData>
    <row r="1" spans="1:19" ht="39" customHeight="1" x14ac:dyDescent="0.3">
      <c r="A1" s="114" t="s">
        <v>172</v>
      </c>
      <c r="B1" s="114"/>
      <c r="C1" s="114"/>
      <c r="D1" s="114"/>
      <c r="E1" s="114"/>
      <c r="F1" s="114"/>
      <c r="G1" s="114"/>
      <c r="H1" s="114"/>
      <c r="J1" s="115" t="s">
        <v>173</v>
      </c>
      <c r="K1" s="115"/>
      <c r="L1" s="115"/>
      <c r="M1" s="115"/>
      <c r="N1" s="115"/>
      <c r="O1" s="115"/>
    </row>
    <row r="2" spans="1:19" ht="16.5" customHeight="1" x14ac:dyDescent="0.3">
      <c r="A2" s="114"/>
      <c r="B2" s="114"/>
      <c r="C2" s="114"/>
      <c r="D2" s="114"/>
      <c r="E2" s="114"/>
      <c r="F2" s="114"/>
      <c r="G2" s="114"/>
      <c r="H2" s="114"/>
      <c r="J2" s="81" t="s">
        <v>174</v>
      </c>
      <c r="K2" s="81" t="s">
        <v>175</v>
      </c>
      <c r="L2" s="81" t="s">
        <v>176</v>
      </c>
      <c r="M2" s="81" t="s">
        <v>177</v>
      </c>
      <c r="N2" s="81" t="s">
        <v>178</v>
      </c>
      <c r="O2" s="81" t="s">
        <v>179</v>
      </c>
    </row>
    <row r="3" spans="1:19" ht="27" customHeight="1" x14ac:dyDescent="0.3">
      <c r="A3" s="82" t="s">
        <v>180</v>
      </c>
      <c r="B3" s="116">
        <v>46127</v>
      </c>
      <c r="C3" s="116"/>
      <c r="D3" s="116"/>
      <c r="E3" s="116"/>
      <c r="F3" s="116"/>
      <c r="G3" s="116"/>
      <c r="H3" s="116"/>
      <c r="J3" s="83" t="s">
        <v>181</v>
      </c>
      <c r="K3" s="106">
        <f>$B$3</f>
        <v>46127</v>
      </c>
      <c r="L3" s="106">
        <f>MIN(B3+($B$5-WEEKDAY(B3,2)), $B$4)</f>
        <v>46130</v>
      </c>
      <c r="M3" s="84">
        <f>L3-K3+1</f>
        <v>4</v>
      </c>
      <c r="N3" s="84">
        <v>0.67</v>
      </c>
      <c r="O3" s="85" t="s">
        <v>182</v>
      </c>
    </row>
    <row r="4" spans="1:19" ht="27" customHeight="1" x14ac:dyDescent="0.3">
      <c r="A4" s="82" t="s">
        <v>183</v>
      </c>
      <c r="B4" s="116">
        <v>46157</v>
      </c>
      <c r="C4" s="116"/>
      <c r="D4" s="116"/>
      <c r="E4" s="116"/>
      <c r="F4" s="116"/>
      <c r="G4" s="116"/>
      <c r="H4" s="116"/>
      <c r="J4" s="83" t="s">
        <v>184</v>
      </c>
      <c r="K4" s="106">
        <f>L3+2</f>
        <v>46132</v>
      </c>
      <c r="L4" s="106">
        <f>K4+5</f>
        <v>46137</v>
      </c>
      <c r="M4" s="84">
        <f>L4-K4+1</f>
        <v>6</v>
      </c>
      <c r="N4" s="84">
        <v>1</v>
      </c>
      <c r="O4" s="85" t="s">
        <v>182</v>
      </c>
    </row>
    <row r="5" spans="1:19" ht="27" customHeight="1" x14ac:dyDescent="0.3">
      <c r="A5" s="82" t="s">
        <v>185</v>
      </c>
      <c r="B5" s="117">
        <v>6</v>
      </c>
      <c r="C5" s="117"/>
      <c r="D5" s="117"/>
      <c r="E5" s="117"/>
      <c r="F5" s="117"/>
      <c r="G5" s="117"/>
      <c r="H5" s="117"/>
      <c r="J5" s="83" t="s">
        <v>186</v>
      </c>
      <c r="K5" s="106">
        <f>L4+2</f>
        <v>46139</v>
      </c>
      <c r="L5" s="106">
        <f>K5+5</f>
        <v>46144</v>
      </c>
      <c r="M5" s="84">
        <f>L5-K5+1</f>
        <v>6</v>
      </c>
      <c r="N5" s="84">
        <v>1</v>
      </c>
      <c r="O5" s="85" t="s">
        <v>182</v>
      </c>
    </row>
    <row r="6" spans="1:19" ht="27" customHeight="1" x14ac:dyDescent="0.3">
      <c r="A6" s="82" t="s">
        <v>187</v>
      </c>
      <c r="B6" s="117">
        <v>2</v>
      </c>
      <c r="C6" s="117"/>
      <c r="D6" s="117"/>
      <c r="E6" s="117"/>
      <c r="F6" s="117"/>
      <c r="G6" s="117"/>
      <c r="H6" s="117"/>
      <c r="J6" s="83" t="s">
        <v>188</v>
      </c>
      <c r="K6" s="106">
        <f>L5+2</f>
        <v>46146</v>
      </c>
      <c r="L6" s="106">
        <f>K6+5</f>
        <v>46151</v>
      </c>
      <c r="M6" s="84">
        <f>L6-K6+1</f>
        <v>6</v>
      </c>
      <c r="N6" s="84">
        <v>1</v>
      </c>
      <c r="O6" s="85" t="s">
        <v>182</v>
      </c>
    </row>
    <row r="7" spans="1:19" ht="27" customHeight="1" x14ac:dyDescent="0.3">
      <c r="A7" s="82" t="s">
        <v>189</v>
      </c>
      <c r="B7" s="117">
        <v>7</v>
      </c>
      <c r="C7" s="117"/>
      <c r="D7" s="117"/>
      <c r="E7" s="117"/>
      <c r="F7" s="117"/>
      <c r="G7" s="117"/>
      <c r="H7" s="117"/>
      <c r="J7" s="83" t="s">
        <v>190</v>
      </c>
      <c r="K7" s="106">
        <f>L6+2</f>
        <v>46153</v>
      </c>
      <c r="L7" s="106">
        <f>$B$4</f>
        <v>46157</v>
      </c>
      <c r="M7" s="84">
        <f>L7-K7+1</f>
        <v>5</v>
      </c>
      <c r="N7" s="84">
        <v>0.83</v>
      </c>
      <c r="O7" s="85" t="s">
        <v>182</v>
      </c>
    </row>
    <row r="8" spans="1:19" ht="16.5" customHeight="1" x14ac:dyDescent="0.3">
      <c r="A8" s="82" t="s">
        <v>191</v>
      </c>
      <c r="B8" s="117">
        <v>14</v>
      </c>
      <c r="C8" s="117"/>
      <c r="D8" s="117"/>
      <c r="E8" s="117"/>
      <c r="F8" s="117"/>
      <c r="G8" s="117"/>
      <c r="H8" s="117"/>
    </row>
    <row r="9" spans="1:19" ht="16.5" customHeight="1" x14ac:dyDescent="0.3">
      <c r="A9" s="82" t="s">
        <v>192</v>
      </c>
      <c r="B9" s="117" t="s">
        <v>193</v>
      </c>
      <c r="C9" s="117"/>
      <c r="D9" s="117"/>
      <c r="E9" s="117"/>
      <c r="F9" s="117"/>
      <c r="G9" s="117"/>
      <c r="H9" s="117"/>
    </row>
    <row r="10" spans="1:19" ht="23.25" customHeight="1" x14ac:dyDescent="0.3">
      <c r="A10" s="118" t="s">
        <v>194</v>
      </c>
      <c r="B10" s="118"/>
      <c r="C10" s="118"/>
      <c r="D10" s="118"/>
      <c r="E10" s="118"/>
      <c r="F10" s="118"/>
      <c r="G10" s="118"/>
      <c r="H10" s="118"/>
    </row>
    <row r="11" spans="1:19" ht="21.75" customHeight="1" x14ac:dyDescent="0.3">
      <c r="A11" s="86" t="s">
        <v>195</v>
      </c>
      <c r="B11" s="119">
        <f>(B4-B3-4)+1</f>
        <v>27</v>
      </c>
      <c r="C11" s="119"/>
      <c r="D11" s="119"/>
      <c r="E11" s="119"/>
      <c r="F11" s="119"/>
      <c r="G11" s="119"/>
      <c r="H11" s="119"/>
    </row>
    <row r="12" spans="1:19" ht="39" customHeight="1" x14ac:dyDescent="0.3">
      <c r="A12" s="87" t="s">
        <v>196</v>
      </c>
      <c r="B12" s="113" t="str">
        <f>TEXT(B3+B7,"dd/mm")&amp;" - "&amp;TEXT(B4+B8,"dd/mm")</f>
        <v>22/04 - 29/05</v>
      </c>
      <c r="C12" s="113"/>
      <c r="D12" s="113"/>
      <c r="E12" s="113"/>
      <c r="F12" s="113"/>
      <c r="G12" s="113"/>
      <c r="H12" s="113"/>
    </row>
    <row r="13" spans="1:19" ht="24.6" customHeight="1" x14ac:dyDescent="0.3">
      <c r="L13" s="125" t="s">
        <v>220</v>
      </c>
      <c r="M13" s="126"/>
      <c r="N13" s="126"/>
      <c r="O13" s="126"/>
      <c r="P13" s="126"/>
      <c r="Q13" s="126"/>
      <c r="R13" s="126"/>
      <c r="S13" s="127"/>
    </row>
    <row r="14" spans="1:19" ht="37.5" customHeight="1" x14ac:dyDescent="0.3">
      <c r="A14" s="111" t="s">
        <v>197</v>
      </c>
      <c r="B14" s="111"/>
      <c r="C14" s="111"/>
      <c r="D14" s="111"/>
      <c r="E14" s="111"/>
      <c r="F14" s="111"/>
      <c r="G14" s="111"/>
      <c r="H14" s="111"/>
      <c r="I14" s="111"/>
      <c r="J14" s="111"/>
      <c r="L14" s="88" t="s">
        <v>5</v>
      </c>
      <c r="M14" s="88" t="s">
        <v>198</v>
      </c>
      <c r="N14" s="88" t="s">
        <v>199</v>
      </c>
      <c r="O14" s="88" t="s">
        <v>200</v>
      </c>
      <c r="P14" s="88" t="s">
        <v>186</v>
      </c>
      <c r="Q14" s="88" t="s">
        <v>188</v>
      </c>
      <c r="R14" s="88" t="s">
        <v>190</v>
      </c>
      <c r="S14" s="88" t="s">
        <v>201</v>
      </c>
    </row>
    <row r="15" spans="1:19" ht="26.25" customHeight="1" x14ac:dyDescent="0.3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L15" s="89" t="s">
        <v>17</v>
      </c>
      <c r="M15" s="90">
        <f>_xlfn.XLOOKUP(L15,Table1[Fixture],Table1[Weekly Capcity])</f>
        <v>15000</v>
      </c>
      <c r="N15" s="91">
        <f>M15*$M$3/6</f>
        <v>10000</v>
      </c>
      <c r="O15" s="91">
        <f>M15*$M$4/6</f>
        <v>15000</v>
      </c>
      <c r="P15" s="91">
        <f>M15*$M$5/6</f>
        <v>15000</v>
      </c>
      <c r="Q15" s="91">
        <f>M15*$M$6/6</f>
        <v>15000</v>
      </c>
      <c r="R15" s="91">
        <f>M15*$M$7/6</f>
        <v>12500</v>
      </c>
      <c r="S15" s="92">
        <f>SUM(N15:R15)</f>
        <v>67500</v>
      </c>
    </row>
    <row r="16" spans="1:19" ht="36" customHeight="1" x14ac:dyDescent="0.3">
      <c r="A16" s="88" t="s">
        <v>62</v>
      </c>
      <c r="B16" s="88" t="s">
        <v>128</v>
      </c>
      <c r="C16" s="88" t="s">
        <v>202</v>
      </c>
      <c r="D16" s="88" t="s">
        <v>4</v>
      </c>
      <c r="E16" s="88" t="s">
        <v>5</v>
      </c>
      <c r="F16" s="88" t="s">
        <v>198</v>
      </c>
      <c r="G16" s="88" t="s">
        <v>203</v>
      </c>
      <c r="H16" s="88" t="s">
        <v>204</v>
      </c>
      <c r="I16" s="88" t="s">
        <v>205</v>
      </c>
      <c r="J16" s="88" t="s">
        <v>206</v>
      </c>
      <c r="L16" s="89" t="s">
        <v>29</v>
      </c>
      <c r="M16" s="90">
        <f>_xlfn.XLOOKUP(L16,Table1[Fixture],Table1[Weekly Capcity])</f>
        <v>5000</v>
      </c>
      <c r="N16" s="91">
        <f>M16*$M$3/6</f>
        <v>3333.3333333333335</v>
      </c>
      <c r="O16" s="91">
        <f>M16*$M$4/6</f>
        <v>5000</v>
      </c>
      <c r="P16" s="91">
        <f>M16*$M$5/6</f>
        <v>5000</v>
      </c>
      <c r="Q16" s="91">
        <f>M16*$M$6/6</f>
        <v>5000</v>
      </c>
      <c r="R16" s="91">
        <f>M16*$M$7/6</f>
        <v>4166.666666666667</v>
      </c>
      <c r="S16" s="92">
        <f>SUM(N16:R16)</f>
        <v>22500.000000000004</v>
      </c>
    </row>
    <row r="17" spans="1:19" ht="30.75" customHeight="1" x14ac:dyDescent="0.3">
      <c r="A17" s="93" t="s">
        <v>14</v>
      </c>
      <c r="B17" s="94" t="s">
        <v>15</v>
      </c>
      <c r="C17" s="94" t="s">
        <v>11</v>
      </c>
      <c r="D17" s="94" t="s">
        <v>16</v>
      </c>
      <c r="E17" s="94" t="s">
        <v>17</v>
      </c>
      <c r="F17" s="91">
        <v>15000</v>
      </c>
      <c r="G17" s="107">
        <v>46150</v>
      </c>
      <c r="H17" s="91">
        <f>SUMIFS('Demand for Production Plan'!$I:$I,'Demand for Production Plan'!$A:$A,$A17,'Demand for Production Plan'!$C:$C,$C17,'Demand for Production Plan'!$F:$F,$E17,'Demand for Production Plan'!$H:$H,$G17)</f>
        <v>684</v>
      </c>
      <c r="I17" s="107">
        <f t="shared" ref="I17:I37" si="0">G17-$B$8</f>
        <v>46136</v>
      </c>
      <c r="J17" s="107">
        <f t="shared" ref="J17:J37" si="1">G17-$B$7</f>
        <v>46143</v>
      </c>
      <c r="L17" s="89" t="s">
        <v>13</v>
      </c>
      <c r="M17" s="90">
        <f>_xlfn.XLOOKUP(L17,Table1[Fixture],Table1[Weekly Capcity])</f>
        <v>3000</v>
      </c>
      <c r="N17" s="91">
        <f>M17*$M$3/6</f>
        <v>2000</v>
      </c>
      <c r="O17" s="91">
        <f>M17*$M$4/6</f>
        <v>3000</v>
      </c>
      <c r="P17" s="91">
        <f>M17*$M$5/6</f>
        <v>3000</v>
      </c>
      <c r="Q17" s="91">
        <f>M17*$M$6/6</f>
        <v>3000</v>
      </c>
      <c r="R17" s="91">
        <f>M17*$M$7/6</f>
        <v>2500</v>
      </c>
      <c r="S17" s="92">
        <f>SUM(N17:R17)</f>
        <v>13500</v>
      </c>
    </row>
    <row r="18" spans="1:19" ht="24.75" customHeight="1" x14ac:dyDescent="0.3">
      <c r="A18" s="93" t="s">
        <v>14</v>
      </c>
      <c r="B18" s="94" t="s">
        <v>15</v>
      </c>
      <c r="C18" s="94" t="s">
        <v>11</v>
      </c>
      <c r="D18" s="94" t="s">
        <v>16</v>
      </c>
      <c r="E18" s="94" t="s">
        <v>17</v>
      </c>
      <c r="F18" s="91">
        <v>15000</v>
      </c>
      <c r="G18" s="107">
        <v>46157</v>
      </c>
      <c r="H18" s="91">
        <f>SUMIFS('Demand for Production Plan'!$I:$I,'Demand for Production Plan'!$A:$A,$A18,'Demand for Production Plan'!$C:$C,$C18,'Demand for Production Plan'!$F:$F,$E18,'Demand for Production Plan'!$H:$H,$G18)</f>
        <v>20000</v>
      </c>
      <c r="I18" s="107">
        <f t="shared" si="0"/>
        <v>46143</v>
      </c>
      <c r="J18" s="107">
        <f t="shared" si="1"/>
        <v>46150</v>
      </c>
    </row>
    <row r="19" spans="1:19" ht="24.75" customHeight="1" x14ac:dyDescent="0.3">
      <c r="A19" s="93" t="s">
        <v>14</v>
      </c>
      <c r="B19" s="94" t="s">
        <v>15</v>
      </c>
      <c r="C19" s="94" t="s">
        <v>11</v>
      </c>
      <c r="D19" s="94" t="s">
        <v>16</v>
      </c>
      <c r="E19" s="94" t="s">
        <v>17</v>
      </c>
      <c r="F19" s="91">
        <v>15000</v>
      </c>
      <c r="G19" s="107">
        <v>46164</v>
      </c>
      <c r="H19" s="91">
        <f>SUMIFS('Demand for Production Plan'!$I:$I,'Demand for Production Plan'!$A:$A,$A19,'Demand for Production Plan'!$C:$C,$C19,'Demand for Production Plan'!$F:$F,$E19,'Demand for Production Plan'!$H:$H,$G19)</f>
        <v>20000</v>
      </c>
      <c r="I19" s="107">
        <f t="shared" si="0"/>
        <v>46150</v>
      </c>
      <c r="J19" s="107">
        <f t="shared" si="1"/>
        <v>46157</v>
      </c>
    </row>
    <row r="20" spans="1:19" ht="24.75" customHeight="1" x14ac:dyDescent="0.3">
      <c r="A20" s="93" t="s">
        <v>14</v>
      </c>
      <c r="B20" s="94" t="s">
        <v>15</v>
      </c>
      <c r="C20" s="94" t="s">
        <v>11</v>
      </c>
      <c r="D20" s="94" t="s">
        <v>16</v>
      </c>
      <c r="E20" s="94" t="s">
        <v>17</v>
      </c>
      <c r="F20" s="91">
        <v>15000</v>
      </c>
      <c r="G20" s="107">
        <v>46171</v>
      </c>
      <c r="H20" s="91">
        <f>SUMIFS('Demand for Production Plan'!$I:$I,'Demand for Production Plan'!$A:$A,$A20,'Demand for Production Plan'!$C:$C,$C20,'Demand for Production Plan'!$F:$F,$E20,'Demand for Production Plan'!$H:$H,$G20)</f>
        <v>11000</v>
      </c>
      <c r="I20" s="107">
        <f t="shared" si="0"/>
        <v>46157</v>
      </c>
      <c r="J20" s="107">
        <f t="shared" si="1"/>
        <v>46164</v>
      </c>
    </row>
    <row r="21" spans="1:19" ht="24.75" customHeight="1" x14ac:dyDescent="0.3">
      <c r="A21" s="93" t="s">
        <v>22</v>
      </c>
      <c r="B21" s="94" t="s">
        <v>23</v>
      </c>
      <c r="C21" s="94" t="s">
        <v>11</v>
      </c>
      <c r="D21" s="94" t="s">
        <v>24</v>
      </c>
      <c r="E21" s="94" t="s">
        <v>17</v>
      </c>
      <c r="F21" s="91">
        <v>15000</v>
      </c>
      <c r="G21" s="107">
        <v>46157</v>
      </c>
      <c r="H21" s="91">
        <f>SUMIFS('Demand for Production Plan'!$I:$I,'Demand for Production Plan'!$A:$A,$A21,'Demand for Production Plan'!$C:$C,$C21,'Demand for Production Plan'!$F:$F,$E21,'Demand for Production Plan'!$H:$H,$G21)</f>
        <v>5502</v>
      </c>
      <c r="I21" s="107">
        <f t="shared" si="0"/>
        <v>46143</v>
      </c>
      <c r="J21" s="107">
        <f t="shared" si="1"/>
        <v>46150</v>
      </c>
    </row>
    <row r="22" spans="1:19" ht="24.75" customHeight="1" x14ac:dyDescent="0.3">
      <c r="A22" s="93" t="s">
        <v>22</v>
      </c>
      <c r="B22" s="94" t="s">
        <v>23</v>
      </c>
      <c r="C22" s="94" t="s">
        <v>11</v>
      </c>
      <c r="D22" s="94" t="s">
        <v>24</v>
      </c>
      <c r="E22" s="94" t="s">
        <v>17</v>
      </c>
      <c r="F22" s="91">
        <v>15000</v>
      </c>
      <c r="G22" s="107">
        <v>46164</v>
      </c>
      <c r="H22" s="91">
        <f>SUMIFS('Demand for Production Plan'!$I:$I,'Demand for Production Plan'!$A:$A,$A22,'Demand for Production Plan'!$C:$C,$C22,'Demand for Production Plan'!$F:$F,$E22,'Demand for Production Plan'!$H:$H,$G22)</f>
        <v>15658</v>
      </c>
      <c r="I22" s="107">
        <f t="shared" si="0"/>
        <v>46150</v>
      </c>
      <c r="J22" s="107">
        <f t="shared" si="1"/>
        <v>46157</v>
      </c>
    </row>
    <row r="23" spans="1:19" ht="24.75" customHeight="1" x14ac:dyDescent="0.3">
      <c r="A23" s="93" t="s">
        <v>22</v>
      </c>
      <c r="B23" s="94" t="s">
        <v>23</v>
      </c>
      <c r="C23" s="94" t="s">
        <v>11</v>
      </c>
      <c r="D23" s="94" t="s">
        <v>24</v>
      </c>
      <c r="E23" s="94" t="s">
        <v>17</v>
      </c>
      <c r="F23" s="91">
        <v>15000</v>
      </c>
      <c r="G23" s="107">
        <v>46171</v>
      </c>
      <c r="H23" s="91">
        <f>SUMIFS('Demand for Production Plan'!$I:$I,'Demand for Production Plan'!$A:$A,$A23,'Demand for Production Plan'!$C:$C,$C23,'Demand for Production Plan'!$F:$F,$E23,'Demand for Production Plan'!$H:$H,$G23)</f>
        <v>8865</v>
      </c>
      <c r="I23" s="107">
        <f t="shared" si="0"/>
        <v>46157</v>
      </c>
      <c r="J23" s="107">
        <f t="shared" si="1"/>
        <v>46164</v>
      </c>
    </row>
    <row r="24" spans="1:19" ht="24.75" customHeight="1" x14ac:dyDescent="0.3">
      <c r="A24" s="93" t="s">
        <v>25</v>
      </c>
      <c r="B24" s="94" t="s">
        <v>26</v>
      </c>
      <c r="C24" s="94" t="s">
        <v>27</v>
      </c>
      <c r="D24" s="94" t="s">
        <v>28</v>
      </c>
      <c r="E24" s="94" t="s">
        <v>29</v>
      </c>
      <c r="F24" s="91">
        <v>5000</v>
      </c>
      <c r="G24" s="107">
        <v>46157</v>
      </c>
      <c r="H24" s="91">
        <f>SUMIFS('Demand for Production Plan'!$I:$I,'Demand for Production Plan'!$A:$A,$A24,'Demand for Production Plan'!$C:$C,$C24,'Demand for Production Plan'!$F:$F,$E24,'Demand for Production Plan'!$H:$H,$G24)</f>
        <v>4320</v>
      </c>
      <c r="I24" s="107">
        <f t="shared" si="0"/>
        <v>46143</v>
      </c>
      <c r="J24" s="107">
        <f t="shared" si="1"/>
        <v>46150</v>
      </c>
    </row>
    <row r="25" spans="1:19" ht="24.75" customHeight="1" x14ac:dyDescent="0.3">
      <c r="A25" s="93" t="s">
        <v>25</v>
      </c>
      <c r="B25" s="94" t="s">
        <v>26</v>
      </c>
      <c r="C25" s="94" t="s">
        <v>27</v>
      </c>
      <c r="D25" s="94" t="s">
        <v>28</v>
      </c>
      <c r="E25" s="94" t="s">
        <v>29</v>
      </c>
      <c r="F25" s="91">
        <v>5000</v>
      </c>
      <c r="G25" s="107">
        <v>46164</v>
      </c>
      <c r="H25" s="91">
        <f>SUMIFS('Demand for Production Plan'!$I:$I,'Demand for Production Plan'!$A:$A,$A25,'Demand for Production Plan'!$C:$C,$C25,'Demand for Production Plan'!$F:$F,$E25,'Demand for Production Plan'!$H:$H,$G25)</f>
        <v>8370</v>
      </c>
      <c r="I25" s="107">
        <f t="shared" si="0"/>
        <v>46150</v>
      </c>
      <c r="J25" s="107">
        <f t="shared" si="1"/>
        <v>46157</v>
      </c>
    </row>
    <row r="26" spans="1:19" ht="24.75" customHeight="1" x14ac:dyDescent="0.3">
      <c r="A26" s="93" t="s">
        <v>25</v>
      </c>
      <c r="B26" s="94" t="s">
        <v>26</v>
      </c>
      <c r="C26" s="94" t="s">
        <v>27</v>
      </c>
      <c r="D26" s="94" t="s">
        <v>28</v>
      </c>
      <c r="E26" s="94" t="s">
        <v>29</v>
      </c>
      <c r="F26" s="91">
        <v>5000</v>
      </c>
      <c r="G26" s="107">
        <v>46171</v>
      </c>
      <c r="H26" s="91">
        <f>SUMIFS('Demand for Production Plan'!$I:$I,'Demand for Production Plan'!$A:$A,$A26,'Demand for Production Plan'!$C:$C,$C26,'Demand for Production Plan'!$F:$F,$E26,'Demand for Production Plan'!$H:$H,$G26)</f>
        <v>11782</v>
      </c>
      <c r="I26" s="107">
        <f t="shared" si="0"/>
        <v>46157</v>
      </c>
      <c r="J26" s="107">
        <f t="shared" si="1"/>
        <v>46164</v>
      </c>
    </row>
    <row r="27" spans="1:19" ht="24.75" customHeight="1" x14ac:dyDescent="0.3">
      <c r="A27" s="93" t="s">
        <v>30</v>
      </c>
      <c r="B27" s="94" t="s">
        <v>31</v>
      </c>
      <c r="C27" s="94" t="s">
        <v>27</v>
      </c>
      <c r="D27" s="94" t="s">
        <v>32</v>
      </c>
      <c r="E27" s="94" t="s">
        <v>29</v>
      </c>
      <c r="F27" s="91">
        <v>5000</v>
      </c>
      <c r="G27" s="107">
        <v>46157</v>
      </c>
      <c r="H27" s="91">
        <f>SUMIFS('Demand for Production Plan'!$I:$I,'Demand for Production Plan'!$A:$A,$A27,'Demand for Production Plan'!$C:$C,$C27,'Demand for Production Plan'!$F:$F,$E27,'Demand for Production Plan'!$H:$H,$G27)</f>
        <v>2430</v>
      </c>
      <c r="I27" s="107">
        <f t="shared" si="0"/>
        <v>46143</v>
      </c>
      <c r="J27" s="107">
        <f t="shared" si="1"/>
        <v>46150</v>
      </c>
    </row>
    <row r="28" spans="1:19" ht="24.75" customHeight="1" x14ac:dyDescent="0.3">
      <c r="A28" s="93" t="s">
        <v>30</v>
      </c>
      <c r="B28" s="94" t="s">
        <v>31</v>
      </c>
      <c r="C28" s="94" t="s">
        <v>27</v>
      </c>
      <c r="D28" s="94" t="s">
        <v>32</v>
      </c>
      <c r="E28" s="94" t="s">
        <v>29</v>
      </c>
      <c r="F28" s="91">
        <v>5000</v>
      </c>
      <c r="G28" s="107">
        <v>46164</v>
      </c>
      <c r="H28" s="91">
        <f>SUMIFS('Demand for Production Plan'!$I:$I,'Demand for Production Plan'!$A:$A,$A28,'Demand for Production Plan'!$C:$C,$C28,'Demand for Production Plan'!$F:$F,$E28,'Demand for Production Plan'!$H:$H,$G28)</f>
        <v>9990</v>
      </c>
      <c r="I28" s="107">
        <f t="shared" si="0"/>
        <v>46150</v>
      </c>
      <c r="J28" s="107">
        <f t="shared" si="1"/>
        <v>46157</v>
      </c>
    </row>
    <row r="29" spans="1:19" ht="24.75" customHeight="1" x14ac:dyDescent="0.3">
      <c r="A29" s="93" t="s">
        <v>30</v>
      </c>
      <c r="B29" s="94" t="s">
        <v>31</v>
      </c>
      <c r="C29" s="94" t="s">
        <v>27</v>
      </c>
      <c r="D29" s="94" t="s">
        <v>32</v>
      </c>
      <c r="E29" s="94" t="s">
        <v>29</v>
      </c>
      <c r="F29" s="91">
        <v>5000</v>
      </c>
      <c r="G29" s="107">
        <v>46171</v>
      </c>
      <c r="H29" s="91">
        <f>SUMIFS('Demand for Production Plan'!$I:$I,'Demand for Production Plan'!$A:$A,$A29,'Demand for Production Plan'!$C:$C,$C29,'Demand for Production Plan'!$F:$F,$E29,'Demand for Production Plan'!$H:$H,$G29)</f>
        <v>5840</v>
      </c>
      <c r="I29" s="107">
        <f t="shared" si="0"/>
        <v>46157</v>
      </c>
      <c r="J29" s="107">
        <f t="shared" si="1"/>
        <v>46164</v>
      </c>
    </row>
    <row r="30" spans="1:19" ht="24.75" customHeight="1" x14ac:dyDescent="0.3">
      <c r="A30" s="93" t="s">
        <v>18</v>
      </c>
      <c r="B30" s="94" t="s">
        <v>19</v>
      </c>
      <c r="C30" s="94" t="s">
        <v>20</v>
      </c>
      <c r="D30" s="94" t="s">
        <v>21</v>
      </c>
      <c r="E30" s="94" t="s">
        <v>13</v>
      </c>
      <c r="F30" s="91">
        <v>3000</v>
      </c>
      <c r="G30" s="107">
        <v>46150</v>
      </c>
      <c r="H30" s="91">
        <f>SUMIFS('Demand for Production Plan'!$I:$I,'Demand for Production Plan'!$A:$A,$A30,'Demand for Production Plan'!$C:$C,$C30,'Demand for Production Plan'!$F:$F,$E30,'Demand for Production Plan'!$H:$H,$G30)</f>
        <v>472</v>
      </c>
      <c r="I30" s="107">
        <f t="shared" si="0"/>
        <v>46136</v>
      </c>
      <c r="J30" s="107">
        <f t="shared" si="1"/>
        <v>46143</v>
      </c>
    </row>
    <row r="31" spans="1:19" ht="24.75" customHeight="1" x14ac:dyDescent="0.3">
      <c r="A31" s="93" t="s">
        <v>18</v>
      </c>
      <c r="B31" s="94" t="s">
        <v>19</v>
      </c>
      <c r="C31" s="94" t="s">
        <v>20</v>
      </c>
      <c r="D31" s="94" t="s">
        <v>21</v>
      </c>
      <c r="E31" s="94" t="s">
        <v>13</v>
      </c>
      <c r="F31" s="91">
        <v>3000</v>
      </c>
      <c r="G31" s="107">
        <v>46157</v>
      </c>
      <c r="H31" s="91">
        <f>SUMIFS('Demand for Production Plan'!$I:$I,'Demand for Production Plan'!$A:$A,$A31,'Demand for Production Plan'!$C:$C,$C31,'Demand for Production Plan'!$F:$F,$E31,'Demand for Production Plan'!$H:$H,$G31)</f>
        <v>300</v>
      </c>
      <c r="I31" s="107">
        <f t="shared" si="0"/>
        <v>46143</v>
      </c>
      <c r="J31" s="107">
        <f t="shared" si="1"/>
        <v>46150</v>
      </c>
    </row>
    <row r="32" spans="1:19" ht="27.75" customHeight="1" x14ac:dyDescent="0.3">
      <c r="A32" s="93" t="s">
        <v>18</v>
      </c>
      <c r="B32" s="94" t="s">
        <v>19</v>
      </c>
      <c r="C32" s="94" t="s">
        <v>20</v>
      </c>
      <c r="D32" s="94" t="s">
        <v>21</v>
      </c>
      <c r="E32" s="94" t="s">
        <v>13</v>
      </c>
      <c r="F32" s="91">
        <v>3000</v>
      </c>
      <c r="G32" s="107">
        <v>46164</v>
      </c>
      <c r="H32" s="91">
        <f>SUMIFS('Demand for Production Plan'!$I:$I,'Demand for Production Plan'!$A:$A,$A32,'Demand for Production Plan'!$C:$C,$C32,'Demand for Production Plan'!$F:$F,$E32,'Demand for Production Plan'!$H:$H,$G32)</f>
        <v>698</v>
      </c>
      <c r="I32" s="107">
        <f t="shared" si="0"/>
        <v>46150</v>
      </c>
      <c r="J32" s="107">
        <f t="shared" si="1"/>
        <v>46157</v>
      </c>
    </row>
    <row r="33" spans="1:42" ht="33" customHeight="1" x14ac:dyDescent="0.3">
      <c r="A33" s="93" t="s">
        <v>9</v>
      </c>
      <c r="B33" s="94" t="s">
        <v>10</v>
      </c>
      <c r="C33" s="94" t="s">
        <v>11</v>
      </c>
      <c r="D33" s="94" t="s">
        <v>12</v>
      </c>
      <c r="E33" s="94" t="s">
        <v>13</v>
      </c>
      <c r="F33" s="91">
        <v>3000</v>
      </c>
      <c r="G33" s="107">
        <v>46143</v>
      </c>
      <c r="H33" s="91">
        <f>SUMIFS('Demand for Production Plan'!$I:$I,'Demand for Production Plan'!$A:$A,$A33,'Demand for Production Plan'!$C:$C,$C33,'Demand for Production Plan'!$F:$F,$E33,'Demand for Production Plan'!$H:$H,$G33)</f>
        <v>588</v>
      </c>
      <c r="I33" s="107">
        <f t="shared" si="0"/>
        <v>46129</v>
      </c>
      <c r="J33" s="107">
        <f t="shared" si="1"/>
        <v>46136</v>
      </c>
    </row>
    <row r="34" spans="1:42" ht="33" customHeight="1" x14ac:dyDescent="0.3">
      <c r="A34" s="93" t="s">
        <v>9</v>
      </c>
      <c r="B34" s="94" t="s">
        <v>10</v>
      </c>
      <c r="C34" s="94" t="s">
        <v>11</v>
      </c>
      <c r="D34" s="94" t="s">
        <v>12</v>
      </c>
      <c r="E34" s="94" t="s">
        <v>13</v>
      </c>
      <c r="F34" s="91">
        <v>3000</v>
      </c>
      <c r="G34" s="107">
        <v>46150</v>
      </c>
      <c r="H34" s="91">
        <f>SUMIFS('Demand for Production Plan'!$I:$I,'Demand for Production Plan'!$A:$A,$A34,'Demand for Production Plan'!$C:$C,$C34,'Demand for Production Plan'!$F:$F,$E34,'Demand for Production Plan'!$H:$H,$G34)</f>
        <v>4028</v>
      </c>
      <c r="I34" s="107">
        <f t="shared" si="0"/>
        <v>46136</v>
      </c>
      <c r="J34" s="107">
        <f t="shared" si="1"/>
        <v>46143</v>
      </c>
    </row>
    <row r="35" spans="1:42" ht="33" customHeight="1" x14ac:dyDescent="0.3">
      <c r="A35" s="93" t="s">
        <v>9</v>
      </c>
      <c r="B35" s="94" t="s">
        <v>10</v>
      </c>
      <c r="C35" s="94" t="s">
        <v>11</v>
      </c>
      <c r="D35" s="94" t="s">
        <v>12</v>
      </c>
      <c r="E35" s="94" t="s">
        <v>13</v>
      </c>
      <c r="F35" s="91">
        <v>3000</v>
      </c>
      <c r="G35" s="107">
        <v>46157</v>
      </c>
      <c r="H35" s="91">
        <f>SUMIFS('Demand for Production Plan'!$I:$I,'Demand for Production Plan'!$A:$A,$A35,'Demand for Production Plan'!$C:$C,$C35,'Demand for Production Plan'!$F:$F,$E35,'Demand for Production Plan'!$H:$H,$G35)</f>
        <v>4200</v>
      </c>
      <c r="I35" s="107">
        <f t="shared" si="0"/>
        <v>46143</v>
      </c>
      <c r="J35" s="107">
        <f t="shared" si="1"/>
        <v>46150</v>
      </c>
    </row>
    <row r="36" spans="1:42" ht="33" customHeight="1" x14ac:dyDescent="0.3">
      <c r="A36" s="93" t="s">
        <v>9</v>
      </c>
      <c r="B36" s="94" t="s">
        <v>10</v>
      </c>
      <c r="C36" s="94" t="s">
        <v>11</v>
      </c>
      <c r="D36" s="94" t="s">
        <v>12</v>
      </c>
      <c r="E36" s="94" t="s">
        <v>13</v>
      </c>
      <c r="F36" s="91">
        <v>3000</v>
      </c>
      <c r="G36" s="107">
        <v>46164</v>
      </c>
      <c r="H36" s="91">
        <f>SUMIFS('Demand for Production Plan'!$I:$I,'Demand for Production Plan'!$A:$A,$A36,'Demand for Production Plan'!$C:$C,$C36,'Demand for Production Plan'!$F:$F,$E36,'Demand for Production Plan'!$H:$H,$G36)</f>
        <v>3802</v>
      </c>
      <c r="I36" s="107">
        <f t="shared" si="0"/>
        <v>46150</v>
      </c>
      <c r="J36" s="107">
        <f t="shared" si="1"/>
        <v>46157</v>
      </c>
    </row>
    <row r="37" spans="1:42" ht="33" customHeight="1" x14ac:dyDescent="0.3">
      <c r="A37" s="93" t="s">
        <v>9</v>
      </c>
      <c r="B37" s="94" t="s">
        <v>10</v>
      </c>
      <c r="C37" s="94" t="s">
        <v>11</v>
      </c>
      <c r="D37" s="94" t="s">
        <v>12</v>
      </c>
      <c r="E37" s="94" t="s">
        <v>13</v>
      </c>
      <c r="F37" s="91">
        <v>3000</v>
      </c>
      <c r="G37" s="107">
        <v>46171</v>
      </c>
      <c r="H37" s="91">
        <f>SUMIFS('Demand for Production Plan'!$I:$I,'Demand for Production Plan'!$A:$A,$A37,'Demand for Production Plan'!$C:$C,$C37,'Demand for Production Plan'!$F:$F,$E37,'Demand for Production Plan'!$H:$H,$G37)</f>
        <v>4500</v>
      </c>
      <c r="I37" s="107">
        <f t="shared" si="0"/>
        <v>46157</v>
      </c>
      <c r="J37" s="107">
        <f t="shared" si="1"/>
        <v>46164</v>
      </c>
    </row>
    <row r="39" spans="1:42" ht="14.4" x14ac:dyDescent="0.3">
      <c r="A39" s="112" t="s">
        <v>207</v>
      </c>
      <c r="B39" s="112"/>
      <c r="C39" s="112"/>
      <c r="D39" s="112"/>
      <c r="E39" s="112"/>
      <c r="F39" s="112"/>
      <c r="G39" s="112"/>
      <c r="H39" s="112"/>
      <c r="I39" s="112"/>
      <c r="J39" s="112"/>
    </row>
    <row r="40" spans="1:42" ht="14.4" x14ac:dyDescent="0.3">
      <c r="A40" s="112"/>
      <c r="B40" s="112"/>
      <c r="C40" s="112"/>
      <c r="D40" s="112"/>
      <c r="E40" s="112"/>
      <c r="F40" s="112"/>
      <c r="G40" s="112"/>
      <c r="H40" s="112"/>
      <c r="I40" s="112"/>
      <c r="J40" s="112"/>
    </row>
    <row r="41" spans="1:42" ht="16.5" customHeight="1" x14ac:dyDescent="0.3">
      <c r="A41" s="110" t="s">
        <v>62</v>
      </c>
      <c r="B41" s="110" t="s">
        <v>128</v>
      </c>
      <c r="C41" s="110" t="s">
        <v>202</v>
      </c>
      <c r="D41" s="110" t="s">
        <v>4</v>
      </c>
      <c r="E41" s="110" t="s">
        <v>5</v>
      </c>
      <c r="F41" s="110" t="s">
        <v>208</v>
      </c>
      <c r="G41" s="110" t="s">
        <v>203</v>
      </c>
      <c r="H41" s="110" t="s">
        <v>204</v>
      </c>
      <c r="I41" s="110" t="s">
        <v>209</v>
      </c>
      <c r="J41" s="110" t="s">
        <v>210</v>
      </c>
      <c r="K41" s="109" t="s">
        <v>211</v>
      </c>
      <c r="L41" s="109"/>
      <c r="M41" s="109"/>
      <c r="N41" s="109"/>
      <c r="O41" s="109" t="s">
        <v>212</v>
      </c>
      <c r="P41" s="109"/>
      <c r="Q41" s="109"/>
      <c r="R41" s="109"/>
      <c r="S41" s="109"/>
      <c r="T41" s="109"/>
      <c r="U41" s="109" t="s">
        <v>213</v>
      </c>
      <c r="V41" s="109"/>
      <c r="W41" s="109"/>
      <c r="X41" s="109"/>
      <c r="Y41" s="109"/>
      <c r="Z41" s="109"/>
      <c r="AA41" s="109" t="s">
        <v>214</v>
      </c>
      <c r="AB41" s="109"/>
      <c r="AC41" s="109"/>
      <c r="AD41" s="109"/>
      <c r="AE41" s="109"/>
      <c r="AF41" s="109"/>
      <c r="AG41" s="109" t="s">
        <v>215</v>
      </c>
      <c r="AH41" s="109"/>
      <c r="AI41" s="109"/>
      <c r="AJ41" s="109"/>
      <c r="AK41" s="109"/>
      <c r="AL41" s="110" t="s">
        <v>216</v>
      </c>
      <c r="AM41" s="110" t="s">
        <v>71</v>
      </c>
      <c r="AN41" s="110" t="s">
        <v>217</v>
      </c>
      <c r="AO41" s="95" t="s">
        <v>218</v>
      </c>
      <c r="AP41" s="95" t="s">
        <v>219</v>
      </c>
    </row>
    <row r="42" spans="1:42" ht="16.5" customHeight="1" x14ac:dyDescent="0.3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96">
        <v>46127</v>
      </c>
      <c r="L42" s="96">
        <v>46128</v>
      </c>
      <c r="M42" s="96">
        <v>46129</v>
      </c>
      <c r="N42" s="96">
        <v>46130</v>
      </c>
      <c r="O42" s="96">
        <v>46132</v>
      </c>
      <c r="P42" s="96">
        <v>46133</v>
      </c>
      <c r="Q42" s="96">
        <v>46134</v>
      </c>
      <c r="R42" s="96">
        <v>46135</v>
      </c>
      <c r="S42" s="96">
        <v>46136</v>
      </c>
      <c r="T42" s="96">
        <v>46137</v>
      </c>
      <c r="U42" s="96">
        <v>46139</v>
      </c>
      <c r="V42" s="96">
        <v>46140</v>
      </c>
      <c r="W42" s="96">
        <v>46141</v>
      </c>
      <c r="X42" s="96">
        <v>46142</v>
      </c>
      <c r="Y42" s="96">
        <v>46143</v>
      </c>
      <c r="Z42" s="96">
        <v>46144</v>
      </c>
      <c r="AA42" s="96">
        <v>46146</v>
      </c>
      <c r="AB42" s="96">
        <v>46147</v>
      </c>
      <c r="AC42" s="96">
        <v>46148</v>
      </c>
      <c r="AD42" s="96">
        <v>46149</v>
      </c>
      <c r="AE42" s="96">
        <v>46150</v>
      </c>
      <c r="AF42" s="96">
        <v>46151</v>
      </c>
      <c r="AG42" s="96">
        <v>46153</v>
      </c>
      <c r="AH42" s="96">
        <v>46154</v>
      </c>
      <c r="AI42" s="96">
        <v>46155</v>
      </c>
      <c r="AJ42" s="96">
        <v>46156</v>
      </c>
      <c r="AK42" s="96">
        <v>46157</v>
      </c>
      <c r="AL42" s="110"/>
      <c r="AM42" s="110"/>
      <c r="AN42" s="110"/>
      <c r="AO42" s="97"/>
      <c r="AP42" s="97"/>
    </row>
    <row r="43" spans="1:42" ht="16.5" customHeight="1" x14ac:dyDescent="0.3">
      <c r="A43" s="98" t="s">
        <v>9</v>
      </c>
      <c r="B43" s="99" t="s">
        <v>10</v>
      </c>
      <c r="C43" s="99" t="s">
        <v>11</v>
      </c>
      <c r="D43" s="99" t="s">
        <v>12</v>
      </c>
      <c r="E43" s="99" t="s">
        <v>13</v>
      </c>
      <c r="F43" s="100">
        <v>3000</v>
      </c>
      <c r="G43" s="108">
        <v>46143</v>
      </c>
      <c r="H43" s="100">
        <v>588</v>
      </c>
      <c r="I43" s="108">
        <f t="shared" ref="I43:I63" si="2">G43-$B$8</f>
        <v>46129</v>
      </c>
      <c r="J43" s="108">
        <f t="shared" ref="J43:J63" si="3">G43-$B$7</f>
        <v>46136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88</v>
      </c>
      <c r="R43" s="101">
        <v>500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X43" s="101">
        <v>0</v>
      </c>
      <c r="Y43" s="101">
        <v>0</v>
      </c>
      <c r="Z43" s="101">
        <v>0</v>
      </c>
      <c r="AA43" s="101">
        <v>0</v>
      </c>
      <c r="AB43" s="101">
        <v>0</v>
      </c>
      <c r="AC43" s="101">
        <v>0</v>
      </c>
      <c r="AD43" s="101">
        <v>0</v>
      </c>
      <c r="AE43" s="101">
        <v>0</v>
      </c>
      <c r="AF43" s="101">
        <v>0</v>
      </c>
      <c r="AG43" s="101">
        <v>0</v>
      </c>
      <c r="AH43" s="101">
        <v>0</v>
      </c>
      <c r="AI43" s="101">
        <v>0</v>
      </c>
      <c r="AJ43" s="101">
        <v>0</v>
      </c>
      <c r="AK43" s="101">
        <v>0</v>
      </c>
      <c r="AL43" s="102">
        <f t="shared" ref="AL43:AL63" si="4">SUM(K43:AK43)</f>
        <v>588</v>
      </c>
      <c r="AM43" s="103">
        <f t="shared" ref="AM43:AM63" si="5">MAX(0,$H43-AL43)</f>
        <v>0</v>
      </c>
      <c r="AN43" s="104" t="str">
        <f t="shared" ref="AN43:AN63" si="6">IF($AP43="WITHIN_HORIZON",IF(AND($AM43&gt;0,$AO43&gt;0),"SHORTAGE + LATE",IF($AM43&gt;0,"SHORTAGE",IF($AO43&gt;0,"LATE","OK"))),IF(AND($AP43="PARTIAL_HORIZON",$AM43=0,$AO43=0),"OK","OUT_OF_HORIZON"))</f>
        <v>OK</v>
      </c>
      <c r="AO43" s="105">
        <f t="shared" ref="AO43:AO63" si="7">SUMPRODUCT(($K$42:$AK$42&gt;$J43)*(K43:AK43))</f>
        <v>0</v>
      </c>
      <c r="AP43" s="104" t="str">
        <f t="shared" ref="AP43:AP63" si="8">IF($I43&gt;$AK$42,"OUT_OF_HORIZON",IF($J43&gt;$AK$42,"PARTIAL_HORIZON","WITHIN_HORIZON"))</f>
        <v>WITHIN_HORIZON</v>
      </c>
    </row>
    <row r="44" spans="1:42" ht="16.5" customHeight="1" x14ac:dyDescent="0.3">
      <c r="A44" s="98" t="s">
        <v>14</v>
      </c>
      <c r="B44" s="99" t="s">
        <v>15</v>
      </c>
      <c r="C44" s="99" t="s">
        <v>11</v>
      </c>
      <c r="D44" s="99" t="s">
        <v>16</v>
      </c>
      <c r="E44" s="99" t="s">
        <v>17</v>
      </c>
      <c r="F44" s="100">
        <v>15000</v>
      </c>
      <c r="G44" s="108">
        <v>46150</v>
      </c>
      <c r="H44" s="100">
        <v>684</v>
      </c>
      <c r="I44" s="108">
        <f t="shared" si="2"/>
        <v>46136</v>
      </c>
      <c r="J44" s="108">
        <f t="shared" si="3"/>
        <v>46143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X44" s="101">
        <v>684</v>
      </c>
      <c r="Y44" s="101">
        <v>0</v>
      </c>
      <c r="Z44" s="101">
        <v>0</v>
      </c>
      <c r="AA44" s="101">
        <v>0</v>
      </c>
      <c r="AB44" s="101">
        <v>0</v>
      </c>
      <c r="AC44" s="101">
        <v>0</v>
      </c>
      <c r="AD44" s="101">
        <v>0</v>
      </c>
      <c r="AE44" s="101">
        <v>0</v>
      </c>
      <c r="AF44" s="101">
        <v>0</v>
      </c>
      <c r="AG44" s="101">
        <v>0</v>
      </c>
      <c r="AH44" s="101">
        <v>0</v>
      </c>
      <c r="AI44" s="101">
        <v>0</v>
      </c>
      <c r="AJ44" s="101">
        <v>0</v>
      </c>
      <c r="AK44" s="101">
        <v>0</v>
      </c>
      <c r="AL44" s="102">
        <f t="shared" si="4"/>
        <v>684</v>
      </c>
      <c r="AM44" s="103">
        <f t="shared" si="5"/>
        <v>0</v>
      </c>
      <c r="AN44" s="104" t="str">
        <f t="shared" si="6"/>
        <v>OK</v>
      </c>
      <c r="AO44" s="105">
        <f t="shared" si="7"/>
        <v>0</v>
      </c>
      <c r="AP44" s="104" t="str">
        <f t="shared" si="8"/>
        <v>WITHIN_HORIZON</v>
      </c>
    </row>
    <row r="45" spans="1:42" ht="16.5" customHeight="1" x14ac:dyDescent="0.3">
      <c r="A45" s="98" t="s">
        <v>18</v>
      </c>
      <c r="B45" s="99" t="s">
        <v>19</v>
      </c>
      <c r="C45" s="99" t="s">
        <v>20</v>
      </c>
      <c r="D45" s="99" t="s">
        <v>21</v>
      </c>
      <c r="E45" s="99" t="s">
        <v>13</v>
      </c>
      <c r="F45" s="100">
        <v>3000</v>
      </c>
      <c r="G45" s="108">
        <v>46150</v>
      </c>
      <c r="H45" s="100">
        <v>472</v>
      </c>
      <c r="I45" s="108">
        <f t="shared" si="2"/>
        <v>46136</v>
      </c>
      <c r="J45" s="108">
        <f t="shared" si="3"/>
        <v>46143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0</v>
      </c>
      <c r="R45" s="101">
        <v>0</v>
      </c>
      <c r="S45" s="101">
        <v>472</v>
      </c>
      <c r="T45" s="101">
        <v>0</v>
      </c>
      <c r="U45" s="101">
        <v>0</v>
      </c>
      <c r="V45" s="101">
        <v>0</v>
      </c>
      <c r="W45" s="101">
        <v>0</v>
      </c>
      <c r="X45" s="101">
        <v>0</v>
      </c>
      <c r="Y45" s="101">
        <v>0</v>
      </c>
      <c r="Z45" s="101">
        <v>0</v>
      </c>
      <c r="AA45" s="101">
        <v>0</v>
      </c>
      <c r="AB45" s="101">
        <v>0</v>
      </c>
      <c r="AC45" s="101">
        <v>0</v>
      </c>
      <c r="AD45" s="101">
        <v>0</v>
      </c>
      <c r="AE45" s="101">
        <v>0</v>
      </c>
      <c r="AF45" s="101">
        <v>0</v>
      </c>
      <c r="AG45" s="101">
        <v>0</v>
      </c>
      <c r="AH45" s="101">
        <v>0</v>
      </c>
      <c r="AI45" s="101">
        <v>0</v>
      </c>
      <c r="AJ45" s="101">
        <v>0</v>
      </c>
      <c r="AK45" s="101">
        <v>0</v>
      </c>
      <c r="AL45" s="102">
        <f t="shared" si="4"/>
        <v>472</v>
      </c>
      <c r="AM45" s="103">
        <f t="shared" si="5"/>
        <v>0</v>
      </c>
      <c r="AN45" s="104" t="str">
        <f t="shared" si="6"/>
        <v>OK</v>
      </c>
      <c r="AO45" s="105">
        <f t="shared" si="7"/>
        <v>0</v>
      </c>
      <c r="AP45" s="104" t="str">
        <f t="shared" si="8"/>
        <v>WITHIN_HORIZON</v>
      </c>
    </row>
    <row r="46" spans="1:42" ht="16.5" customHeight="1" x14ac:dyDescent="0.3">
      <c r="A46" s="98" t="s">
        <v>9</v>
      </c>
      <c r="B46" s="99" t="s">
        <v>10</v>
      </c>
      <c r="C46" s="99" t="s">
        <v>11</v>
      </c>
      <c r="D46" s="99" t="s">
        <v>12</v>
      </c>
      <c r="E46" s="99" t="s">
        <v>13</v>
      </c>
      <c r="F46" s="100">
        <v>3000</v>
      </c>
      <c r="G46" s="108">
        <v>46150</v>
      </c>
      <c r="H46" s="100">
        <v>4028</v>
      </c>
      <c r="I46" s="108">
        <f t="shared" si="2"/>
        <v>46136</v>
      </c>
      <c r="J46" s="108">
        <f t="shared" si="3"/>
        <v>46143</v>
      </c>
      <c r="K46" s="101">
        <v>0</v>
      </c>
      <c r="L46" s="101">
        <v>0</v>
      </c>
      <c r="M46" s="101">
        <v>0</v>
      </c>
      <c r="N46" s="101">
        <v>0</v>
      </c>
      <c r="O46" s="101">
        <v>0</v>
      </c>
      <c r="P46" s="101">
        <v>0</v>
      </c>
      <c r="Q46" s="101">
        <v>0</v>
      </c>
      <c r="R46" s="101">
        <v>0</v>
      </c>
      <c r="S46" s="101">
        <v>28</v>
      </c>
      <c r="T46" s="101">
        <v>500</v>
      </c>
      <c r="U46" s="101">
        <v>500</v>
      </c>
      <c r="V46" s="101">
        <v>500</v>
      </c>
      <c r="W46" s="101">
        <v>500</v>
      </c>
      <c r="X46" s="101">
        <v>500</v>
      </c>
      <c r="Y46" s="101">
        <v>500</v>
      </c>
      <c r="Z46" s="101">
        <v>0</v>
      </c>
      <c r="AA46" s="101">
        <v>0</v>
      </c>
      <c r="AB46" s="101">
        <v>0</v>
      </c>
      <c r="AC46" s="101">
        <v>0</v>
      </c>
      <c r="AD46" s="101">
        <v>0</v>
      </c>
      <c r="AE46" s="101">
        <v>0</v>
      </c>
      <c r="AF46" s="101">
        <v>0</v>
      </c>
      <c r="AG46" s="101">
        <v>0</v>
      </c>
      <c r="AH46" s="101">
        <v>0</v>
      </c>
      <c r="AI46" s="101">
        <v>0</v>
      </c>
      <c r="AJ46" s="101">
        <v>0</v>
      </c>
      <c r="AK46" s="101">
        <v>0</v>
      </c>
      <c r="AL46" s="102">
        <f t="shared" si="4"/>
        <v>3028</v>
      </c>
      <c r="AM46" s="103">
        <f t="shared" si="5"/>
        <v>1000</v>
      </c>
      <c r="AN46" s="104" t="str">
        <f t="shared" si="6"/>
        <v>SHORTAGE</v>
      </c>
      <c r="AO46" s="105">
        <f t="shared" si="7"/>
        <v>0</v>
      </c>
      <c r="AP46" s="104" t="str">
        <f t="shared" si="8"/>
        <v>WITHIN_HORIZON</v>
      </c>
    </row>
    <row r="47" spans="1:42" ht="16.5" customHeight="1" x14ac:dyDescent="0.3">
      <c r="A47" s="98" t="s">
        <v>14</v>
      </c>
      <c r="B47" s="99" t="s">
        <v>15</v>
      </c>
      <c r="C47" s="99" t="s">
        <v>11</v>
      </c>
      <c r="D47" s="99" t="s">
        <v>16</v>
      </c>
      <c r="E47" s="99" t="s">
        <v>17</v>
      </c>
      <c r="F47" s="100">
        <v>15000</v>
      </c>
      <c r="G47" s="108">
        <v>46157</v>
      </c>
      <c r="H47" s="100">
        <v>20000</v>
      </c>
      <c r="I47" s="108">
        <f t="shared" si="2"/>
        <v>46143</v>
      </c>
      <c r="J47" s="108">
        <f t="shared" si="3"/>
        <v>46150</v>
      </c>
      <c r="K47" s="101">
        <v>0</v>
      </c>
      <c r="L47" s="101">
        <v>0</v>
      </c>
      <c r="M47" s="101">
        <v>0</v>
      </c>
      <c r="N47" s="101">
        <v>0</v>
      </c>
      <c r="O47" s="101">
        <v>0</v>
      </c>
      <c r="P47" s="101">
        <v>0</v>
      </c>
      <c r="Q47" s="101">
        <v>0</v>
      </c>
      <c r="R47" s="101">
        <v>0</v>
      </c>
      <c r="S47" s="101">
        <v>0</v>
      </c>
      <c r="T47" s="101">
        <v>0</v>
      </c>
      <c r="U47" s="101">
        <v>0</v>
      </c>
      <c r="V47" s="101">
        <v>0</v>
      </c>
      <c r="W47" s="101">
        <v>0</v>
      </c>
      <c r="X47" s="101">
        <v>0</v>
      </c>
      <c r="Y47" s="101">
        <v>2500</v>
      </c>
      <c r="Z47" s="101">
        <v>2500</v>
      </c>
      <c r="AA47" s="101">
        <v>2500</v>
      </c>
      <c r="AB47" s="101">
        <v>2500</v>
      </c>
      <c r="AC47" s="101">
        <v>1998</v>
      </c>
      <c r="AD47" s="101">
        <v>0</v>
      </c>
      <c r="AE47" s="101">
        <v>0</v>
      </c>
      <c r="AF47" s="101">
        <v>0</v>
      </c>
      <c r="AG47" s="101">
        <v>0</v>
      </c>
      <c r="AH47" s="101">
        <v>0</v>
      </c>
      <c r="AI47" s="101">
        <v>0</v>
      </c>
      <c r="AJ47" s="101">
        <v>0</v>
      </c>
      <c r="AK47" s="101">
        <v>0</v>
      </c>
      <c r="AL47" s="102">
        <f t="shared" si="4"/>
        <v>11998</v>
      </c>
      <c r="AM47" s="103">
        <f t="shared" si="5"/>
        <v>8002</v>
      </c>
      <c r="AN47" s="104" t="str">
        <f t="shared" si="6"/>
        <v>SHORTAGE</v>
      </c>
      <c r="AO47" s="105">
        <f t="shared" si="7"/>
        <v>0</v>
      </c>
      <c r="AP47" s="104" t="str">
        <f t="shared" si="8"/>
        <v>WITHIN_HORIZON</v>
      </c>
    </row>
    <row r="48" spans="1:42" ht="16.5" customHeight="1" x14ac:dyDescent="0.3">
      <c r="A48" s="98" t="s">
        <v>22</v>
      </c>
      <c r="B48" s="99" t="s">
        <v>23</v>
      </c>
      <c r="C48" s="99" t="s">
        <v>11</v>
      </c>
      <c r="D48" s="99" t="s">
        <v>24</v>
      </c>
      <c r="E48" s="99" t="s">
        <v>17</v>
      </c>
      <c r="F48" s="100">
        <v>15000</v>
      </c>
      <c r="G48" s="108">
        <v>46157</v>
      </c>
      <c r="H48" s="100">
        <v>5502</v>
      </c>
      <c r="I48" s="108">
        <f t="shared" si="2"/>
        <v>46143</v>
      </c>
      <c r="J48" s="108">
        <f t="shared" si="3"/>
        <v>46150</v>
      </c>
      <c r="K48" s="101">
        <v>0</v>
      </c>
      <c r="L48" s="101">
        <v>0</v>
      </c>
      <c r="M48" s="101">
        <v>0</v>
      </c>
      <c r="N48" s="101">
        <v>0</v>
      </c>
      <c r="O48" s="101">
        <v>0</v>
      </c>
      <c r="P48" s="101">
        <v>0</v>
      </c>
      <c r="Q48" s="101">
        <v>0</v>
      </c>
      <c r="R48" s="101">
        <v>0</v>
      </c>
      <c r="S48" s="101">
        <v>0</v>
      </c>
      <c r="T48" s="101">
        <v>0</v>
      </c>
      <c r="U48" s="101">
        <v>0</v>
      </c>
      <c r="V48" s="101">
        <v>0</v>
      </c>
      <c r="W48" s="101">
        <v>0</v>
      </c>
      <c r="X48" s="101">
        <v>0</v>
      </c>
      <c r="Y48" s="101">
        <v>0</v>
      </c>
      <c r="Z48" s="101">
        <v>0</v>
      </c>
      <c r="AA48" s="101">
        <v>0</v>
      </c>
      <c r="AB48" s="101">
        <v>0</v>
      </c>
      <c r="AC48" s="101">
        <v>502</v>
      </c>
      <c r="AD48" s="101">
        <v>2500</v>
      </c>
      <c r="AE48" s="101">
        <v>2500</v>
      </c>
      <c r="AF48" s="101">
        <v>0</v>
      </c>
      <c r="AG48" s="101">
        <v>0</v>
      </c>
      <c r="AH48" s="101">
        <v>0</v>
      </c>
      <c r="AI48" s="101">
        <v>0</v>
      </c>
      <c r="AJ48" s="101">
        <v>0</v>
      </c>
      <c r="AK48" s="101">
        <v>0</v>
      </c>
      <c r="AL48" s="102">
        <f t="shared" si="4"/>
        <v>5502</v>
      </c>
      <c r="AM48" s="103">
        <f t="shared" si="5"/>
        <v>0</v>
      </c>
      <c r="AN48" s="104" t="str">
        <f t="shared" si="6"/>
        <v>OK</v>
      </c>
      <c r="AO48" s="105">
        <f t="shared" si="7"/>
        <v>0</v>
      </c>
      <c r="AP48" s="104" t="str">
        <f t="shared" si="8"/>
        <v>WITHIN_HORIZON</v>
      </c>
    </row>
    <row r="49" spans="1:42" ht="16.5" customHeight="1" x14ac:dyDescent="0.3">
      <c r="A49" s="98" t="s">
        <v>25</v>
      </c>
      <c r="B49" s="99" t="s">
        <v>26</v>
      </c>
      <c r="C49" s="99" t="s">
        <v>27</v>
      </c>
      <c r="D49" s="99" t="s">
        <v>28</v>
      </c>
      <c r="E49" s="99" t="s">
        <v>29</v>
      </c>
      <c r="F49" s="100">
        <v>5000</v>
      </c>
      <c r="G49" s="108">
        <v>46157</v>
      </c>
      <c r="H49" s="100">
        <v>4320</v>
      </c>
      <c r="I49" s="108">
        <f t="shared" si="2"/>
        <v>46143</v>
      </c>
      <c r="J49" s="108">
        <f t="shared" si="3"/>
        <v>46150</v>
      </c>
      <c r="K49" s="101">
        <v>0</v>
      </c>
      <c r="L49" s="101">
        <v>0</v>
      </c>
      <c r="M49" s="101">
        <v>0</v>
      </c>
      <c r="N49" s="101">
        <v>0</v>
      </c>
      <c r="O49" s="101">
        <v>0</v>
      </c>
      <c r="P49" s="101">
        <v>0</v>
      </c>
      <c r="Q49" s="101">
        <v>0</v>
      </c>
      <c r="R49" s="101">
        <v>0</v>
      </c>
      <c r="S49" s="101">
        <v>0</v>
      </c>
      <c r="T49" s="101">
        <v>0</v>
      </c>
      <c r="U49" s="101">
        <v>0</v>
      </c>
      <c r="V49" s="101">
        <v>0</v>
      </c>
      <c r="W49" s="101">
        <v>0</v>
      </c>
      <c r="X49" s="101">
        <v>0</v>
      </c>
      <c r="Y49" s="101">
        <v>0</v>
      </c>
      <c r="Z49" s="101">
        <v>833</v>
      </c>
      <c r="AA49" s="101">
        <v>833</v>
      </c>
      <c r="AB49" s="101">
        <v>833</v>
      </c>
      <c r="AC49" s="101">
        <v>69</v>
      </c>
      <c r="AD49" s="101">
        <v>833</v>
      </c>
      <c r="AE49" s="101">
        <v>0</v>
      </c>
      <c r="AF49" s="101">
        <v>0</v>
      </c>
      <c r="AG49" s="101">
        <v>0</v>
      </c>
      <c r="AH49" s="101">
        <v>0</v>
      </c>
      <c r="AI49" s="101">
        <v>0</v>
      </c>
      <c r="AJ49" s="101">
        <v>0</v>
      </c>
      <c r="AK49" s="101">
        <v>0</v>
      </c>
      <c r="AL49" s="102">
        <f t="shared" si="4"/>
        <v>3401</v>
      </c>
      <c r="AM49" s="103">
        <f t="shared" si="5"/>
        <v>919</v>
      </c>
      <c r="AN49" s="104" t="str">
        <f t="shared" si="6"/>
        <v>SHORTAGE</v>
      </c>
      <c r="AO49" s="105">
        <f t="shared" si="7"/>
        <v>0</v>
      </c>
      <c r="AP49" s="104" t="str">
        <f t="shared" si="8"/>
        <v>WITHIN_HORIZON</v>
      </c>
    </row>
    <row r="50" spans="1:42" ht="16.5" customHeight="1" x14ac:dyDescent="0.3">
      <c r="A50" s="98" t="s">
        <v>30</v>
      </c>
      <c r="B50" s="99" t="s">
        <v>31</v>
      </c>
      <c r="C50" s="99" t="s">
        <v>27</v>
      </c>
      <c r="D50" s="99" t="s">
        <v>32</v>
      </c>
      <c r="E50" s="99" t="s">
        <v>29</v>
      </c>
      <c r="F50" s="100">
        <v>5000</v>
      </c>
      <c r="G50" s="108">
        <v>46157</v>
      </c>
      <c r="H50" s="100">
        <v>2430</v>
      </c>
      <c r="I50" s="108">
        <f t="shared" si="2"/>
        <v>46143</v>
      </c>
      <c r="J50" s="108">
        <f t="shared" si="3"/>
        <v>46150</v>
      </c>
      <c r="K50" s="101">
        <v>0</v>
      </c>
      <c r="L50" s="101">
        <v>0</v>
      </c>
      <c r="M50" s="101">
        <v>0</v>
      </c>
      <c r="N50" s="101">
        <v>0</v>
      </c>
      <c r="O50" s="101">
        <v>0</v>
      </c>
      <c r="P50" s="101">
        <v>0</v>
      </c>
      <c r="Q50" s="101">
        <v>0</v>
      </c>
      <c r="R50" s="101">
        <v>0</v>
      </c>
      <c r="S50" s="101">
        <v>0</v>
      </c>
      <c r="T50" s="101">
        <v>0</v>
      </c>
      <c r="U50" s="101">
        <v>0</v>
      </c>
      <c r="V50" s="101">
        <v>0</v>
      </c>
      <c r="W50" s="101">
        <v>0</v>
      </c>
      <c r="X50" s="101">
        <v>0</v>
      </c>
      <c r="Y50" s="101">
        <v>833</v>
      </c>
      <c r="Z50" s="101">
        <v>0</v>
      </c>
      <c r="AA50" s="101">
        <v>0</v>
      </c>
      <c r="AB50" s="101">
        <v>0</v>
      </c>
      <c r="AC50" s="101">
        <v>764</v>
      </c>
      <c r="AD50" s="101">
        <v>0</v>
      </c>
      <c r="AE50" s="101">
        <v>833</v>
      </c>
      <c r="AF50" s="101">
        <v>0</v>
      </c>
      <c r="AG50" s="101">
        <v>0</v>
      </c>
      <c r="AH50" s="101">
        <v>0</v>
      </c>
      <c r="AI50" s="101">
        <v>0</v>
      </c>
      <c r="AJ50" s="101">
        <v>0</v>
      </c>
      <c r="AK50" s="101">
        <v>0</v>
      </c>
      <c r="AL50" s="102">
        <f t="shared" si="4"/>
        <v>2430</v>
      </c>
      <c r="AM50" s="103">
        <f t="shared" si="5"/>
        <v>0</v>
      </c>
      <c r="AN50" s="104" t="str">
        <f t="shared" si="6"/>
        <v>OK</v>
      </c>
      <c r="AO50" s="105">
        <f t="shared" si="7"/>
        <v>0</v>
      </c>
      <c r="AP50" s="104" t="str">
        <f t="shared" si="8"/>
        <v>WITHIN_HORIZON</v>
      </c>
    </row>
    <row r="51" spans="1:42" ht="16.5" customHeight="1" x14ac:dyDescent="0.3">
      <c r="A51" s="98" t="s">
        <v>18</v>
      </c>
      <c r="B51" s="99" t="s">
        <v>19</v>
      </c>
      <c r="C51" s="99" t="s">
        <v>20</v>
      </c>
      <c r="D51" s="99" t="s">
        <v>21</v>
      </c>
      <c r="E51" s="99" t="s">
        <v>13</v>
      </c>
      <c r="F51" s="100">
        <v>3000</v>
      </c>
      <c r="G51" s="108">
        <v>46157</v>
      </c>
      <c r="H51" s="100">
        <v>300</v>
      </c>
      <c r="I51" s="108">
        <f t="shared" si="2"/>
        <v>46143</v>
      </c>
      <c r="J51" s="108">
        <f t="shared" si="3"/>
        <v>46150</v>
      </c>
      <c r="K51" s="101">
        <v>0</v>
      </c>
      <c r="L51" s="101">
        <v>0</v>
      </c>
      <c r="M51" s="101">
        <v>0</v>
      </c>
      <c r="N51" s="101">
        <v>0</v>
      </c>
      <c r="O51" s="101">
        <v>0</v>
      </c>
      <c r="P51" s="101">
        <v>0</v>
      </c>
      <c r="Q51" s="101">
        <v>0</v>
      </c>
      <c r="R51" s="101">
        <v>0</v>
      </c>
      <c r="S51" s="101">
        <v>0</v>
      </c>
      <c r="T51" s="101">
        <v>0</v>
      </c>
      <c r="U51" s="101">
        <v>0</v>
      </c>
      <c r="V51" s="101">
        <v>0</v>
      </c>
      <c r="W51" s="101">
        <v>0</v>
      </c>
      <c r="X51" s="101">
        <v>0</v>
      </c>
      <c r="Y51" s="101">
        <v>0</v>
      </c>
      <c r="Z51" s="101">
        <v>300</v>
      </c>
      <c r="AA51" s="101">
        <v>0</v>
      </c>
      <c r="AB51" s="101">
        <v>0</v>
      </c>
      <c r="AC51" s="101">
        <v>0</v>
      </c>
      <c r="AD51" s="101">
        <v>0</v>
      </c>
      <c r="AE51" s="101">
        <v>0</v>
      </c>
      <c r="AF51" s="101">
        <v>0</v>
      </c>
      <c r="AG51" s="101">
        <v>0</v>
      </c>
      <c r="AH51" s="101">
        <v>0</v>
      </c>
      <c r="AI51" s="101">
        <v>0</v>
      </c>
      <c r="AJ51" s="101">
        <v>0</v>
      </c>
      <c r="AK51" s="101">
        <v>0</v>
      </c>
      <c r="AL51" s="102">
        <f t="shared" si="4"/>
        <v>300</v>
      </c>
      <c r="AM51" s="103">
        <f t="shared" si="5"/>
        <v>0</v>
      </c>
      <c r="AN51" s="104" t="str">
        <f t="shared" si="6"/>
        <v>OK</v>
      </c>
      <c r="AO51" s="105">
        <f t="shared" si="7"/>
        <v>0</v>
      </c>
      <c r="AP51" s="104" t="str">
        <f t="shared" si="8"/>
        <v>WITHIN_HORIZON</v>
      </c>
    </row>
    <row r="52" spans="1:42" ht="16.5" customHeight="1" x14ac:dyDescent="0.3">
      <c r="A52" s="98" t="s">
        <v>9</v>
      </c>
      <c r="B52" s="99" t="s">
        <v>10</v>
      </c>
      <c r="C52" s="99" t="s">
        <v>11</v>
      </c>
      <c r="D52" s="99" t="s">
        <v>12</v>
      </c>
      <c r="E52" s="99" t="s">
        <v>13</v>
      </c>
      <c r="F52" s="100">
        <v>3000</v>
      </c>
      <c r="G52" s="108">
        <v>46157</v>
      </c>
      <c r="H52" s="100">
        <v>4200</v>
      </c>
      <c r="I52" s="108">
        <f t="shared" si="2"/>
        <v>46143</v>
      </c>
      <c r="J52" s="108">
        <f t="shared" si="3"/>
        <v>46150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Z52" s="101">
        <v>200</v>
      </c>
      <c r="AA52" s="101">
        <v>500</v>
      </c>
      <c r="AB52" s="101">
        <v>500</v>
      </c>
      <c r="AC52" s="101">
        <v>500</v>
      </c>
      <c r="AD52" s="101">
        <v>500</v>
      </c>
      <c r="AE52" s="101">
        <v>302</v>
      </c>
      <c r="AF52" s="101">
        <v>0</v>
      </c>
      <c r="AG52" s="101">
        <v>0</v>
      </c>
      <c r="AH52" s="101">
        <v>0</v>
      </c>
      <c r="AI52" s="101">
        <v>0</v>
      </c>
      <c r="AJ52" s="101">
        <v>0</v>
      </c>
      <c r="AK52" s="101">
        <v>0</v>
      </c>
      <c r="AL52" s="102">
        <f t="shared" si="4"/>
        <v>2502</v>
      </c>
      <c r="AM52" s="103">
        <f t="shared" si="5"/>
        <v>1698</v>
      </c>
      <c r="AN52" s="104" t="str">
        <f t="shared" si="6"/>
        <v>SHORTAGE</v>
      </c>
      <c r="AO52" s="105">
        <f t="shared" si="7"/>
        <v>0</v>
      </c>
      <c r="AP52" s="104" t="str">
        <f t="shared" si="8"/>
        <v>WITHIN_HORIZON</v>
      </c>
    </row>
    <row r="53" spans="1:42" ht="16.5" customHeight="1" x14ac:dyDescent="0.3">
      <c r="A53" s="98" t="s">
        <v>14</v>
      </c>
      <c r="B53" s="99" t="s">
        <v>15</v>
      </c>
      <c r="C53" s="99" t="s">
        <v>11</v>
      </c>
      <c r="D53" s="99" t="s">
        <v>16</v>
      </c>
      <c r="E53" s="99" t="s">
        <v>17</v>
      </c>
      <c r="F53" s="100">
        <v>15000</v>
      </c>
      <c r="G53" s="108">
        <v>46164</v>
      </c>
      <c r="H53" s="100">
        <v>20000</v>
      </c>
      <c r="I53" s="108">
        <f t="shared" si="2"/>
        <v>46150</v>
      </c>
      <c r="J53" s="108">
        <f t="shared" si="3"/>
        <v>46157</v>
      </c>
      <c r="K53" s="101">
        <v>0</v>
      </c>
      <c r="L53" s="101">
        <v>0</v>
      </c>
      <c r="M53" s="101">
        <v>0</v>
      </c>
      <c r="N53" s="101">
        <v>0</v>
      </c>
      <c r="O53" s="101">
        <v>0</v>
      </c>
      <c r="P53" s="101">
        <v>0</v>
      </c>
      <c r="Q53" s="101">
        <v>0</v>
      </c>
      <c r="R53" s="101">
        <v>0</v>
      </c>
      <c r="S53" s="101">
        <v>0</v>
      </c>
      <c r="T53" s="101">
        <v>0</v>
      </c>
      <c r="U53" s="101">
        <v>0</v>
      </c>
      <c r="V53" s="101">
        <v>0</v>
      </c>
      <c r="W53" s="101">
        <v>0</v>
      </c>
      <c r="X53" s="101">
        <v>0</v>
      </c>
      <c r="Y53" s="101">
        <v>0</v>
      </c>
      <c r="Z53" s="101">
        <v>0</v>
      </c>
      <c r="AA53" s="101">
        <v>0</v>
      </c>
      <c r="AB53" s="101">
        <v>0</v>
      </c>
      <c r="AC53" s="101">
        <v>0</v>
      </c>
      <c r="AD53" s="101">
        <v>0</v>
      </c>
      <c r="AE53" s="101">
        <v>0</v>
      </c>
      <c r="AF53" s="101">
        <v>0</v>
      </c>
      <c r="AG53" s="101">
        <v>2500</v>
      </c>
      <c r="AH53" s="101">
        <v>0</v>
      </c>
      <c r="AI53" s="101">
        <v>0</v>
      </c>
      <c r="AJ53" s="101">
        <v>0</v>
      </c>
      <c r="AK53" s="101">
        <v>1135</v>
      </c>
      <c r="AL53" s="102">
        <f t="shared" si="4"/>
        <v>3635</v>
      </c>
      <c r="AM53" s="103">
        <f t="shared" si="5"/>
        <v>16365</v>
      </c>
      <c r="AN53" s="104" t="str">
        <f t="shared" si="6"/>
        <v>SHORTAGE</v>
      </c>
      <c r="AO53" s="105">
        <f t="shared" si="7"/>
        <v>0</v>
      </c>
      <c r="AP53" s="104" t="str">
        <f t="shared" si="8"/>
        <v>WITHIN_HORIZON</v>
      </c>
    </row>
    <row r="54" spans="1:42" ht="16.5" customHeight="1" x14ac:dyDescent="0.3">
      <c r="A54" s="98" t="s">
        <v>22</v>
      </c>
      <c r="B54" s="99" t="s">
        <v>23</v>
      </c>
      <c r="C54" s="99" t="s">
        <v>11</v>
      </c>
      <c r="D54" s="99" t="s">
        <v>24</v>
      </c>
      <c r="E54" s="99" t="s">
        <v>17</v>
      </c>
      <c r="F54" s="100">
        <v>15000</v>
      </c>
      <c r="G54" s="108">
        <v>46164</v>
      </c>
      <c r="H54" s="100">
        <v>15658</v>
      </c>
      <c r="I54" s="108">
        <f t="shared" si="2"/>
        <v>46150</v>
      </c>
      <c r="J54" s="108">
        <f t="shared" si="3"/>
        <v>46157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Z54" s="101">
        <v>0</v>
      </c>
      <c r="AA54" s="101">
        <v>0</v>
      </c>
      <c r="AB54" s="101">
        <v>0</v>
      </c>
      <c r="AC54" s="101">
        <v>0</v>
      </c>
      <c r="AD54" s="101">
        <v>0</v>
      </c>
      <c r="AE54" s="101">
        <v>0</v>
      </c>
      <c r="AF54" s="101">
        <v>2500</v>
      </c>
      <c r="AG54" s="101">
        <v>0</v>
      </c>
      <c r="AH54" s="101">
        <v>2500</v>
      </c>
      <c r="AI54" s="101">
        <v>2500</v>
      </c>
      <c r="AJ54" s="101">
        <v>2500</v>
      </c>
      <c r="AK54" s="101">
        <v>1365</v>
      </c>
      <c r="AL54" s="102">
        <f t="shared" si="4"/>
        <v>11365</v>
      </c>
      <c r="AM54" s="103">
        <f t="shared" si="5"/>
        <v>4293</v>
      </c>
      <c r="AN54" s="104" t="str">
        <f t="shared" si="6"/>
        <v>SHORTAGE</v>
      </c>
      <c r="AO54" s="105">
        <f t="shared" si="7"/>
        <v>0</v>
      </c>
      <c r="AP54" s="104" t="str">
        <f t="shared" si="8"/>
        <v>WITHIN_HORIZON</v>
      </c>
    </row>
    <row r="55" spans="1:42" ht="16.5" customHeight="1" x14ac:dyDescent="0.3">
      <c r="A55" s="98" t="s">
        <v>25</v>
      </c>
      <c r="B55" s="99" t="s">
        <v>26</v>
      </c>
      <c r="C55" s="99" t="s">
        <v>27</v>
      </c>
      <c r="D55" s="99" t="s">
        <v>28</v>
      </c>
      <c r="E55" s="99" t="s">
        <v>29</v>
      </c>
      <c r="F55" s="100">
        <v>5000</v>
      </c>
      <c r="G55" s="108">
        <v>46164</v>
      </c>
      <c r="H55" s="100">
        <v>8370</v>
      </c>
      <c r="I55" s="108">
        <f t="shared" si="2"/>
        <v>46150</v>
      </c>
      <c r="J55" s="108">
        <f t="shared" si="3"/>
        <v>46157</v>
      </c>
      <c r="K55" s="101">
        <v>0</v>
      </c>
      <c r="L55" s="101">
        <v>0</v>
      </c>
      <c r="M55" s="101">
        <v>0</v>
      </c>
      <c r="N55" s="101">
        <v>0</v>
      </c>
      <c r="O55" s="101">
        <v>0</v>
      </c>
      <c r="P55" s="101">
        <v>0</v>
      </c>
      <c r="Q55" s="101">
        <v>0</v>
      </c>
      <c r="R55" s="101">
        <v>0</v>
      </c>
      <c r="S55" s="101">
        <v>0</v>
      </c>
      <c r="T55" s="101">
        <v>0</v>
      </c>
      <c r="U55" s="101">
        <v>0</v>
      </c>
      <c r="V55" s="101">
        <v>0</v>
      </c>
      <c r="W55" s="101">
        <v>0</v>
      </c>
      <c r="X55" s="101">
        <v>0</v>
      </c>
      <c r="Y55" s="101">
        <v>0</v>
      </c>
      <c r="Z55" s="101">
        <v>0</v>
      </c>
      <c r="AA55" s="101">
        <v>0</v>
      </c>
      <c r="AB55" s="101">
        <v>0</v>
      </c>
      <c r="AC55" s="101">
        <v>0</v>
      </c>
      <c r="AD55" s="101">
        <v>0</v>
      </c>
      <c r="AE55" s="101">
        <v>0</v>
      </c>
      <c r="AF55" s="101">
        <v>833</v>
      </c>
      <c r="AG55" s="101">
        <v>833</v>
      </c>
      <c r="AH55" s="101">
        <v>833</v>
      </c>
      <c r="AI55" s="101">
        <v>833</v>
      </c>
      <c r="AJ55" s="101">
        <v>833</v>
      </c>
      <c r="AK55" s="101">
        <v>833</v>
      </c>
      <c r="AL55" s="102">
        <f t="shared" si="4"/>
        <v>4998</v>
      </c>
      <c r="AM55" s="103">
        <f t="shared" si="5"/>
        <v>3372</v>
      </c>
      <c r="AN55" s="104" t="str">
        <f t="shared" si="6"/>
        <v>SHORTAGE</v>
      </c>
      <c r="AO55" s="105">
        <f t="shared" si="7"/>
        <v>0</v>
      </c>
      <c r="AP55" s="104" t="str">
        <f t="shared" si="8"/>
        <v>WITHIN_HORIZON</v>
      </c>
    </row>
    <row r="56" spans="1:42" ht="16.5" customHeight="1" x14ac:dyDescent="0.3">
      <c r="A56" s="98" t="s">
        <v>30</v>
      </c>
      <c r="B56" s="99" t="s">
        <v>31</v>
      </c>
      <c r="C56" s="99" t="s">
        <v>27</v>
      </c>
      <c r="D56" s="99" t="s">
        <v>32</v>
      </c>
      <c r="E56" s="99" t="s">
        <v>29</v>
      </c>
      <c r="F56" s="100">
        <v>5000</v>
      </c>
      <c r="G56" s="108">
        <v>46164</v>
      </c>
      <c r="H56" s="100">
        <v>9990</v>
      </c>
      <c r="I56" s="108">
        <f t="shared" si="2"/>
        <v>46150</v>
      </c>
      <c r="J56" s="108">
        <f t="shared" si="3"/>
        <v>46157</v>
      </c>
      <c r="K56" s="101">
        <v>0</v>
      </c>
      <c r="L56" s="101">
        <v>0</v>
      </c>
      <c r="M56" s="101">
        <v>0</v>
      </c>
      <c r="N56" s="101">
        <v>0</v>
      </c>
      <c r="O56" s="101">
        <v>0</v>
      </c>
      <c r="P56" s="101">
        <v>0</v>
      </c>
      <c r="Q56" s="101">
        <v>0</v>
      </c>
      <c r="R56" s="101">
        <v>0</v>
      </c>
      <c r="S56" s="101">
        <v>0</v>
      </c>
      <c r="T56" s="101">
        <v>0</v>
      </c>
      <c r="U56" s="101">
        <v>0</v>
      </c>
      <c r="V56" s="101">
        <v>0</v>
      </c>
      <c r="W56" s="101">
        <v>0</v>
      </c>
      <c r="X56" s="101">
        <v>0</v>
      </c>
      <c r="Y56" s="101">
        <v>0</v>
      </c>
      <c r="Z56" s="101">
        <v>0</v>
      </c>
      <c r="AA56" s="101">
        <v>0</v>
      </c>
      <c r="AB56" s="101">
        <v>0</v>
      </c>
      <c r="AC56" s="101">
        <v>0</v>
      </c>
      <c r="AD56" s="101">
        <v>0</v>
      </c>
      <c r="AE56" s="101">
        <v>0</v>
      </c>
      <c r="AF56" s="101">
        <v>0</v>
      </c>
      <c r="AG56" s="101">
        <v>0</v>
      </c>
      <c r="AH56" s="101">
        <v>0</v>
      </c>
      <c r="AI56" s="101">
        <v>0</v>
      </c>
      <c r="AJ56" s="101">
        <v>0</v>
      </c>
      <c r="AK56" s="101">
        <v>0</v>
      </c>
      <c r="AL56" s="102">
        <f t="shared" si="4"/>
        <v>0</v>
      </c>
      <c r="AM56" s="103">
        <f t="shared" si="5"/>
        <v>9990</v>
      </c>
      <c r="AN56" s="104" t="str">
        <f t="shared" si="6"/>
        <v>SHORTAGE</v>
      </c>
      <c r="AO56" s="105">
        <f t="shared" si="7"/>
        <v>0</v>
      </c>
      <c r="AP56" s="104" t="str">
        <f t="shared" si="8"/>
        <v>WITHIN_HORIZON</v>
      </c>
    </row>
    <row r="57" spans="1:42" ht="16.5" customHeight="1" x14ac:dyDescent="0.3">
      <c r="A57" s="98" t="s">
        <v>18</v>
      </c>
      <c r="B57" s="99" t="s">
        <v>19</v>
      </c>
      <c r="C57" s="99" t="s">
        <v>20</v>
      </c>
      <c r="D57" s="99" t="s">
        <v>21</v>
      </c>
      <c r="E57" s="99" t="s">
        <v>13</v>
      </c>
      <c r="F57" s="100">
        <v>3000</v>
      </c>
      <c r="G57" s="108">
        <v>46164</v>
      </c>
      <c r="H57" s="100">
        <v>698</v>
      </c>
      <c r="I57" s="108">
        <f t="shared" si="2"/>
        <v>46150</v>
      </c>
      <c r="J57" s="108">
        <f t="shared" si="3"/>
        <v>46157</v>
      </c>
      <c r="K57" s="101">
        <v>0</v>
      </c>
      <c r="L57" s="101">
        <v>0</v>
      </c>
      <c r="M57" s="101">
        <v>0</v>
      </c>
      <c r="N57" s="101">
        <v>0</v>
      </c>
      <c r="O57" s="101">
        <v>0</v>
      </c>
      <c r="P57" s="101">
        <v>0</v>
      </c>
      <c r="Q57" s="101">
        <v>0</v>
      </c>
      <c r="R57" s="101">
        <v>0</v>
      </c>
      <c r="S57" s="101">
        <v>0</v>
      </c>
      <c r="T57" s="101">
        <v>0</v>
      </c>
      <c r="U57" s="101">
        <v>0</v>
      </c>
      <c r="V57" s="101">
        <v>0</v>
      </c>
      <c r="W57" s="101">
        <v>0</v>
      </c>
      <c r="X57" s="101">
        <v>0</v>
      </c>
      <c r="Y57" s="101">
        <v>0</v>
      </c>
      <c r="Z57" s="101">
        <v>0</v>
      </c>
      <c r="AA57" s="101">
        <v>0</v>
      </c>
      <c r="AB57" s="101">
        <v>0</v>
      </c>
      <c r="AC57" s="101">
        <v>0</v>
      </c>
      <c r="AD57" s="101">
        <v>0</v>
      </c>
      <c r="AE57" s="101">
        <v>198</v>
      </c>
      <c r="AF57" s="101">
        <v>500</v>
      </c>
      <c r="AG57" s="101">
        <v>0</v>
      </c>
      <c r="AH57" s="101">
        <v>0</v>
      </c>
      <c r="AI57" s="101">
        <v>0</v>
      </c>
      <c r="AJ57" s="101">
        <v>0</v>
      </c>
      <c r="AK57" s="101">
        <v>0</v>
      </c>
      <c r="AL57" s="102">
        <f t="shared" si="4"/>
        <v>698</v>
      </c>
      <c r="AM57" s="103">
        <f t="shared" si="5"/>
        <v>0</v>
      </c>
      <c r="AN57" s="104" t="str">
        <f t="shared" si="6"/>
        <v>OK</v>
      </c>
      <c r="AO57" s="105">
        <f t="shared" si="7"/>
        <v>0</v>
      </c>
      <c r="AP57" s="104" t="str">
        <f t="shared" si="8"/>
        <v>WITHIN_HORIZON</v>
      </c>
    </row>
    <row r="58" spans="1:42" ht="16.5" customHeight="1" x14ac:dyDescent="0.3">
      <c r="A58" s="98" t="s">
        <v>9</v>
      </c>
      <c r="B58" s="99" t="s">
        <v>10</v>
      </c>
      <c r="C58" s="99" t="s">
        <v>11</v>
      </c>
      <c r="D58" s="99" t="s">
        <v>12</v>
      </c>
      <c r="E58" s="99" t="s">
        <v>13</v>
      </c>
      <c r="F58" s="100">
        <v>3000</v>
      </c>
      <c r="G58" s="108">
        <v>46164</v>
      </c>
      <c r="H58" s="100">
        <v>3802</v>
      </c>
      <c r="I58" s="108">
        <f t="shared" si="2"/>
        <v>46150</v>
      </c>
      <c r="J58" s="108">
        <f t="shared" si="3"/>
        <v>46157</v>
      </c>
      <c r="K58" s="101">
        <v>0</v>
      </c>
      <c r="L58" s="101">
        <v>0</v>
      </c>
      <c r="M58" s="101">
        <v>0</v>
      </c>
      <c r="N58" s="101">
        <v>0</v>
      </c>
      <c r="O58" s="101">
        <v>0</v>
      </c>
      <c r="P58" s="101">
        <v>0</v>
      </c>
      <c r="Q58" s="101">
        <v>0</v>
      </c>
      <c r="R58" s="101">
        <v>0</v>
      </c>
      <c r="S58" s="101">
        <v>0</v>
      </c>
      <c r="T58" s="101">
        <v>0</v>
      </c>
      <c r="U58" s="101">
        <v>0</v>
      </c>
      <c r="V58" s="101">
        <v>0</v>
      </c>
      <c r="W58" s="101">
        <v>0</v>
      </c>
      <c r="X58" s="101">
        <v>0</v>
      </c>
      <c r="Y58" s="101">
        <v>0</v>
      </c>
      <c r="Z58" s="101">
        <v>0</v>
      </c>
      <c r="AA58" s="101">
        <v>0</v>
      </c>
      <c r="AB58" s="101">
        <v>0</v>
      </c>
      <c r="AC58" s="101">
        <v>0</v>
      </c>
      <c r="AD58" s="101">
        <v>0</v>
      </c>
      <c r="AE58" s="101">
        <v>0</v>
      </c>
      <c r="AF58" s="101">
        <v>0</v>
      </c>
      <c r="AG58" s="101">
        <v>500</v>
      </c>
      <c r="AH58" s="101">
        <v>500</v>
      </c>
      <c r="AI58" s="101">
        <v>500</v>
      </c>
      <c r="AJ58" s="101">
        <v>500</v>
      </c>
      <c r="AK58" s="101">
        <v>500</v>
      </c>
      <c r="AL58" s="102">
        <f t="shared" si="4"/>
        <v>2500</v>
      </c>
      <c r="AM58" s="103">
        <f t="shared" si="5"/>
        <v>1302</v>
      </c>
      <c r="AN58" s="104" t="str">
        <f t="shared" si="6"/>
        <v>SHORTAGE</v>
      </c>
      <c r="AO58" s="105">
        <f t="shared" si="7"/>
        <v>0</v>
      </c>
      <c r="AP58" s="104" t="str">
        <f t="shared" si="8"/>
        <v>WITHIN_HORIZON</v>
      </c>
    </row>
    <row r="59" spans="1:42" ht="16.5" customHeight="1" x14ac:dyDescent="0.3">
      <c r="A59" s="98" t="s">
        <v>14</v>
      </c>
      <c r="B59" s="99" t="s">
        <v>15</v>
      </c>
      <c r="C59" s="99" t="s">
        <v>11</v>
      </c>
      <c r="D59" s="99" t="s">
        <v>16</v>
      </c>
      <c r="E59" s="99" t="s">
        <v>17</v>
      </c>
      <c r="F59" s="100">
        <v>15000</v>
      </c>
      <c r="G59" s="108">
        <v>46171</v>
      </c>
      <c r="H59" s="100">
        <v>11000</v>
      </c>
      <c r="I59" s="108">
        <f t="shared" si="2"/>
        <v>46157</v>
      </c>
      <c r="J59" s="108">
        <f t="shared" si="3"/>
        <v>46164</v>
      </c>
      <c r="K59" s="101">
        <v>0</v>
      </c>
      <c r="L59" s="101">
        <v>0</v>
      </c>
      <c r="M59" s="101">
        <v>0</v>
      </c>
      <c r="N59" s="101">
        <v>0</v>
      </c>
      <c r="O59" s="101">
        <v>0</v>
      </c>
      <c r="P59" s="101">
        <v>0</v>
      </c>
      <c r="Q59" s="101">
        <v>0</v>
      </c>
      <c r="R59" s="101">
        <v>0</v>
      </c>
      <c r="S59" s="101">
        <v>0</v>
      </c>
      <c r="T59" s="101">
        <v>0</v>
      </c>
      <c r="U59" s="101">
        <v>0</v>
      </c>
      <c r="V59" s="101">
        <v>0</v>
      </c>
      <c r="W59" s="101">
        <v>0</v>
      </c>
      <c r="X59" s="101">
        <v>0</v>
      </c>
      <c r="Y59" s="101">
        <v>0</v>
      </c>
      <c r="Z59" s="101">
        <v>0</v>
      </c>
      <c r="AA59" s="101">
        <v>0</v>
      </c>
      <c r="AB59" s="101">
        <v>0</v>
      </c>
      <c r="AC59" s="101">
        <v>0</v>
      </c>
      <c r="AD59" s="101">
        <v>0</v>
      </c>
      <c r="AE59" s="101">
        <v>0</v>
      </c>
      <c r="AF59" s="101">
        <v>0</v>
      </c>
      <c r="AG59" s="101">
        <v>0</v>
      </c>
      <c r="AH59" s="101">
        <v>0</v>
      </c>
      <c r="AI59" s="101">
        <v>0</v>
      </c>
      <c r="AJ59" s="101">
        <v>0</v>
      </c>
      <c r="AK59" s="101">
        <v>0</v>
      </c>
      <c r="AL59" s="102">
        <f t="shared" si="4"/>
        <v>0</v>
      </c>
      <c r="AM59" s="103">
        <f t="shared" si="5"/>
        <v>11000</v>
      </c>
      <c r="AN59" s="104" t="str">
        <f t="shared" si="6"/>
        <v>OUT_OF_HORIZON</v>
      </c>
      <c r="AO59" s="105">
        <f t="shared" si="7"/>
        <v>0</v>
      </c>
      <c r="AP59" s="104" t="str">
        <f t="shared" si="8"/>
        <v>PARTIAL_HORIZON</v>
      </c>
    </row>
    <row r="60" spans="1:42" ht="16.5" customHeight="1" x14ac:dyDescent="0.3">
      <c r="A60" s="98" t="s">
        <v>22</v>
      </c>
      <c r="B60" s="99" t="s">
        <v>23</v>
      </c>
      <c r="C60" s="99" t="s">
        <v>11</v>
      </c>
      <c r="D60" s="99" t="s">
        <v>24</v>
      </c>
      <c r="E60" s="99" t="s">
        <v>17</v>
      </c>
      <c r="F60" s="100">
        <v>15000</v>
      </c>
      <c r="G60" s="108">
        <v>46171</v>
      </c>
      <c r="H60" s="100">
        <v>8865</v>
      </c>
      <c r="I60" s="108">
        <f t="shared" si="2"/>
        <v>46157</v>
      </c>
      <c r="J60" s="108">
        <f t="shared" si="3"/>
        <v>46164</v>
      </c>
      <c r="K60" s="101">
        <v>0</v>
      </c>
      <c r="L60" s="101">
        <v>0</v>
      </c>
      <c r="M60" s="101">
        <v>0</v>
      </c>
      <c r="N60" s="101">
        <v>0</v>
      </c>
      <c r="O60" s="101">
        <v>0</v>
      </c>
      <c r="P60" s="101">
        <v>0</v>
      </c>
      <c r="Q60" s="101">
        <v>0</v>
      </c>
      <c r="R60" s="101">
        <v>0</v>
      </c>
      <c r="S60" s="101">
        <v>0</v>
      </c>
      <c r="T60" s="101">
        <v>0</v>
      </c>
      <c r="U60" s="101">
        <v>0</v>
      </c>
      <c r="V60" s="101">
        <v>0</v>
      </c>
      <c r="W60" s="101">
        <v>0</v>
      </c>
      <c r="X60" s="101">
        <v>0</v>
      </c>
      <c r="Y60" s="101">
        <v>0</v>
      </c>
      <c r="Z60" s="101">
        <v>0</v>
      </c>
      <c r="AA60" s="101">
        <v>0</v>
      </c>
      <c r="AB60" s="101">
        <v>0</v>
      </c>
      <c r="AC60" s="101">
        <v>0</v>
      </c>
      <c r="AD60" s="101">
        <v>0</v>
      </c>
      <c r="AE60" s="101">
        <v>0</v>
      </c>
      <c r="AF60" s="101">
        <v>0</v>
      </c>
      <c r="AG60" s="101">
        <v>0</v>
      </c>
      <c r="AH60" s="101">
        <v>0</v>
      </c>
      <c r="AI60" s="101">
        <v>0</v>
      </c>
      <c r="AJ60" s="101">
        <v>0</v>
      </c>
      <c r="AK60" s="101">
        <v>0</v>
      </c>
      <c r="AL60" s="102">
        <f t="shared" si="4"/>
        <v>0</v>
      </c>
      <c r="AM60" s="103">
        <f t="shared" si="5"/>
        <v>8865</v>
      </c>
      <c r="AN60" s="104" t="str">
        <f t="shared" si="6"/>
        <v>OUT_OF_HORIZON</v>
      </c>
      <c r="AO60" s="105">
        <f t="shared" si="7"/>
        <v>0</v>
      </c>
      <c r="AP60" s="104" t="str">
        <f t="shared" si="8"/>
        <v>PARTIAL_HORIZON</v>
      </c>
    </row>
    <row r="61" spans="1:42" ht="16.5" customHeight="1" x14ac:dyDescent="0.3">
      <c r="A61" s="98" t="s">
        <v>25</v>
      </c>
      <c r="B61" s="99" t="s">
        <v>26</v>
      </c>
      <c r="C61" s="99" t="s">
        <v>27</v>
      </c>
      <c r="D61" s="99" t="s">
        <v>28</v>
      </c>
      <c r="E61" s="99" t="s">
        <v>29</v>
      </c>
      <c r="F61" s="100">
        <v>5000</v>
      </c>
      <c r="G61" s="108">
        <v>46171</v>
      </c>
      <c r="H61" s="100">
        <v>11782</v>
      </c>
      <c r="I61" s="108">
        <f t="shared" si="2"/>
        <v>46157</v>
      </c>
      <c r="J61" s="108">
        <f t="shared" si="3"/>
        <v>46164</v>
      </c>
      <c r="K61" s="101">
        <v>0</v>
      </c>
      <c r="L61" s="101">
        <v>0</v>
      </c>
      <c r="M61" s="101">
        <v>0</v>
      </c>
      <c r="N61" s="101">
        <v>0</v>
      </c>
      <c r="O61" s="101">
        <v>0</v>
      </c>
      <c r="P61" s="101">
        <v>0</v>
      </c>
      <c r="Q61" s="101">
        <v>0</v>
      </c>
      <c r="R61" s="101">
        <v>0</v>
      </c>
      <c r="S61" s="101">
        <v>0</v>
      </c>
      <c r="T61" s="101">
        <v>0</v>
      </c>
      <c r="U61" s="101">
        <v>0</v>
      </c>
      <c r="V61" s="101">
        <v>0</v>
      </c>
      <c r="W61" s="101">
        <v>0</v>
      </c>
      <c r="X61" s="101">
        <v>0</v>
      </c>
      <c r="Y61" s="101">
        <v>0</v>
      </c>
      <c r="Z61" s="101">
        <v>0</v>
      </c>
      <c r="AA61" s="101">
        <v>0</v>
      </c>
      <c r="AB61" s="101">
        <v>0</v>
      </c>
      <c r="AC61" s="101">
        <v>0</v>
      </c>
      <c r="AD61" s="101">
        <v>0</v>
      </c>
      <c r="AE61" s="101">
        <v>0</v>
      </c>
      <c r="AF61" s="101">
        <v>0</v>
      </c>
      <c r="AG61" s="101">
        <v>0</v>
      </c>
      <c r="AH61" s="101">
        <v>0</v>
      </c>
      <c r="AI61" s="101">
        <v>0</v>
      </c>
      <c r="AJ61" s="101">
        <v>0</v>
      </c>
      <c r="AK61" s="101">
        <v>0</v>
      </c>
      <c r="AL61" s="102">
        <f t="shared" si="4"/>
        <v>0</v>
      </c>
      <c r="AM61" s="103">
        <f t="shared" si="5"/>
        <v>11782</v>
      </c>
      <c r="AN61" s="104" t="str">
        <f t="shared" si="6"/>
        <v>OUT_OF_HORIZON</v>
      </c>
      <c r="AO61" s="105">
        <f t="shared" si="7"/>
        <v>0</v>
      </c>
      <c r="AP61" s="104" t="str">
        <f t="shared" si="8"/>
        <v>PARTIAL_HORIZON</v>
      </c>
    </row>
    <row r="62" spans="1:42" ht="16.5" customHeight="1" x14ac:dyDescent="0.3">
      <c r="A62" s="98" t="s">
        <v>30</v>
      </c>
      <c r="B62" s="99" t="s">
        <v>31</v>
      </c>
      <c r="C62" s="99" t="s">
        <v>27</v>
      </c>
      <c r="D62" s="99" t="s">
        <v>32</v>
      </c>
      <c r="E62" s="99" t="s">
        <v>29</v>
      </c>
      <c r="F62" s="100">
        <v>5000</v>
      </c>
      <c r="G62" s="108">
        <v>46171</v>
      </c>
      <c r="H62" s="100">
        <v>5840</v>
      </c>
      <c r="I62" s="108">
        <f t="shared" si="2"/>
        <v>46157</v>
      </c>
      <c r="J62" s="108">
        <f t="shared" si="3"/>
        <v>46164</v>
      </c>
      <c r="K62" s="101">
        <v>0</v>
      </c>
      <c r="L62" s="101">
        <v>0</v>
      </c>
      <c r="M62" s="101">
        <v>0</v>
      </c>
      <c r="N62" s="101">
        <v>0</v>
      </c>
      <c r="O62" s="101">
        <v>0</v>
      </c>
      <c r="P62" s="101">
        <v>0</v>
      </c>
      <c r="Q62" s="101">
        <v>0</v>
      </c>
      <c r="R62" s="101">
        <v>0</v>
      </c>
      <c r="S62" s="101">
        <v>0</v>
      </c>
      <c r="T62" s="101">
        <v>0</v>
      </c>
      <c r="U62" s="101">
        <v>0</v>
      </c>
      <c r="V62" s="101">
        <v>0</v>
      </c>
      <c r="W62" s="101">
        <v>0</v>
      </c>
      <c r="X62" s="101">
        <v>0</v>
      </c>
      <c r="Y62" s="101">
        <v>0</v>
      </c>
      <c r="Z62" s="101">
        <v>0</v>
      </c>
      <c r="AA62" s="101">
        <v>0</v>
      </c>
      <c r="AB62" s="101">
        <v>0</v>
      </c>
      <c r="AC62" s="101">
        <v>0</v>
      </c>
      <c r="AD62" s="101">
        <v>0</v>
      </c>
      <c r="AE62" s="101">
        <v>0</v>
      </c>
      <c r="AF62" s="101">
        <v>0</v>
      </c>
      <c r="AG62" s="101">
        <v>0</v>
      </c>
      <c r="AH62" s="101">
        <v>0</v>
      </c>
      <c r="AI62" s="101">
        <v>0</v>
      </c>
      <c r="AJ62" s="101">
        <v>0</v>
      </c>
      <c r="AK62" s="101">
        <v>0</v>
      </c>
      <c r="AL62" s="102">
        <f t="shared" si="4"/>
        <v>0</v>
      </c>
      <c r="AM62" s="103">
        <f t="shared" si="5"/>
        <v>5840</v>
      </c>
      <c r="AN62" s="104" t="str">
        <f t="shared" si="6"/>
        <v>OUT_OF_HORIZON</v>
      </c>
      <c r="AO62" s="105">
        <f t="shared" si="7"/>
        <v>0</v>
      </c>
      <c r="AP62" s="104" t="str">
        <f t="shared" si="8"/>
        <v>PARTIAL_HORIZON</v>
      </c>
    </row>
    <row r="63" spans="1:42" ht="16.5" customHeight="1" x14ac:dyDescent="0.3">
      <c r="A63" s="98" t="s">
        <v>9</v>
      </c>
      <c r="B63" s="99" t="s">
        <v>10</v>
      </c>
      <c r="C63" s="99" t="s">
        <v>11</v>
      </c>
      <c r="D63" s="99" t="s">
        <v>12</v>
      </c>
      <c r="E63" s="99" t="s">
        <v>13</v>
      </c>
      <c r="F63" s="100">
        <v>3000</v>
      </c>
      <c r="G63" s="108">
        <v>46171</v>
      </c>
      <c r="H63" s="100">
        <v>4500</v>
      </c>
      <c r="I63" s="108">
        <f t="shared" si="2"/>
        <v>46157</v>
      </c>
      <c r="J63" s="108">
        <f t="shared" si="3"/>
        <v>46164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Z63" s="101">
        <v>0</v>
      </c>
      <c r="AA63" s="101">
        <v>0</v>
      </c>
      <c r="AB63" s="101">
        <v>0</v>
      </c>
      <c r="AC63" s="101">
        <v>0</v>
      </c>
      <c r="AD63" s="101">
        <v>0</v>
      </c>
      <c r="AE63" s="101">
        <v>0</v>
      </c>
      <c r="AF63" s="101">
        <v>0</v>
      </c>
      <c r="AG63" s="101">
        <v>0</v>
      </c>
      <c r="AH63" s="101">
        <v>0</v>
      </c>
      <c r="AI63" s="101">
        <v>0</v>
      </c>
      <c r="AJ63" s="101">
        <v>0</v>
      </c>
      <c r="AK63" s="101">
        <v>0</v>
      </c>
      <c r="AL63" s="102">
        <f t="shared" si="4"/>
        <v>0</v>
      </c>
      <c r="AM63" s="103">
        <f t="shared" si="5"/>
        <v>4500</v>
      </c>
      <c r="AN63" s="104" t="str">
        <f t="shared" si="6"/>
        <v>OUT_OF_HORIZON</v>
      </c>
      <c r="AO63" s="105">
        <f t="shared" si="7"/>
        <v>0</v>
      </c>
      <c r="AP63" s="104" t="str">
        <f t="shared" si="8"/>
        <v>PARTIAL_HORIZON</v>
      </c>
    </row>
  </sheetData>
  <mergeCells count="33">
    <mergeCell ref="B12:H12"/>
    <mergeCell ref="A1:H2"/>
    <mergeCell ref="J1:O1"/>
    <mergeCell ref="B3:H3"/>
    <mergeCell ref="B4:H4"/>
    <mergeCell ref="B5:H5"/>
    <mergeCell ref="B6:H6"/>
    <mergeCell ref="B7:H7"/>
    <mergeCell ref="B8:H8"/>
    <mergeCell ref="B9:H9"/>
    <mergeCell ref="A10:H10"/>
    <mergeCell ref="B11:H11"/>
    <mergeCell ref="U41:Z41"/>
    <mergeCell ref="L13:S13"/>
    <mergeCell ref="A14:J15"/>
    <mergeCell ref="A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K41:N41"/>
    <mergeCell ref="O41:T41"/>
    <mergeCell ref="AA41:AF41"/>
    <mergeCell ref="AG41:AK41"/>
    <mergeCell ref="AL41:AL42"/>
    <mergeCell ref="AM41:AM42"/>
    <mergeCell ref="AN41:AN42"/>
  </mergeCells>
  <conditionalFormatting sqref="AN43:AN63">
    <cfRule type="expression" dxfId="7" priority="1">
      <formula>AN43="OK"</formula>
    </cfRule>
    <cfRule type="expression" dxfId="6" priority="2">
      <formula>AN43="LATE"</formula>
    </cfRule>
    <cfRule type="expression" dxfId="5" priority="3">
      <formula>AN43="SHORTAGE"</formula>
    </cfRule>
    <cfRule type="expression" dxfId="4" priority="4">
      <formula>AN43="SHORTAGE + LATE"</formula>
    </cfRule>
    <cfRule type="expression" dxfId="3" priority="5">
      <formula>AN43="OUT_OF_HORIZON"</formula>
    </cfRule>
  </conditionalFormatting>
  <conditionalFormatting sqref="AP43:AP63">
    <cfRule type="expression" dxfId="2" priority="6">
      <formula>AP43="WITHIN_HORIZON"</formula>
    </cfRule>
    <cfRule type="expression" dxfId="1" priority="7">
      <formula>AP43="PARTIAL_HORIZON"</formula>
    </cfRule>
    <cfRule type="expression" dxfId="0" priority="8">
      <formula>AP43="OUT_OF_HORIZON"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467"/>
  <sheetViews>
    <sheetView zoomScaleNormal="100" workbookViewId="0">
      <selection activeCell="A2" sqref="A2"/>
    </sheetView>
  </sheetViews>
  <sheetFormatPr defaultColWidth="8.5546875" defaultRowHeight="14.25" customHeight="1" x14ac:dyDescent="0.3"/>
  <cols>
    <col min="1" max="1" width="12.109375" style="73" customWidth="1"/>
    <col min="2" max="2" width="32.109375" style="73" customWidth="1"/>
    <col min="3" max="3" width="9.33203125" style="73" customWidth="1"/>
    <col min="4" max="4" width="10.21875" style="73" customWidth="1"/>
    <col min="5" max="5" width="22.88671875" style="73" customWidth="1"/>
    <col min="6" max="6" width="9" style="73" customWidth="1"/>
    <col min="7" max="7" width="16.21875" style="73" customWidth="1"/>
    <col min="8" max="8" width="18.5546875" style="73" customWidth="1"/>
    <col min="9" max="9" width="17.77734375" style="73" customWidth="1"/>
    <col min="10" max="10" width="8.5546875" style="73" customWidth="1"/>
    <col min="11" max="16384" width="8.5546875" style="73"/>
  </cols>
  <sheetData>
    <row r="2" spans="1:9" ht="14.4" customHeight="1" x14ac:dyDescent="0.3">
      <c r="A2" s="71" t="s">
        <v>0</v>
      </c>
      <c r="B2" s="71" t="s">
        <v>1</v>
      </c>
      <c r="C2" s="71" t="s">
        <v>2</v>
      </c>
      <c r="D2" s="71" t="s">
        <v>3</v>
      </c>
      <c r="E2" s="71" t="s">
        <v>4</v>
      </c>
      <c r="F2" s="72" t="s">
        <v>5</v>
      </c>
      <c r="G2" s="72" t="s">
        <v>6</v>
      </c>
      <c r="H2" s="72" t="s">
        <v>7</v>
      </c>
      <c r="I2" s="72" t="s">
        <v>8</v>
      </c>
    </row>
    <row r="3" spans="1:9" ht="14.4" customHeight="1" x14ac:dyDescent="0.3">
      <c r="A3" s="74" t="s">
        <v>14</v>
      </c>
      <c r="B3" s="74" t="s">
        <v>15</v>
      </c>
      <c r="C3" s="74" t="s">
        <v>11</v>
      </c>
      <c r="D3" s="74">
        <v>105</v>
      </c>
      <c r="E3" s="74" t="s">
        <v>16</v>
      </c>
      <c r="F3" s="73" t="s">
        <v>17</v>
      </c>
      <c r="G3" s="75">
        <v>15000</v>
      </c>
      <c r="H3" s="76">
        <v>46150</v>
      </c>
      <c r="I3" s="77">
        <v>684</v>
      </c>
    </row>
    <row r="4" spans="1:9" ht="14.4" customHeight="1" x14ac:dyDescent="0.3">
      <c r="A4" s="74" t="s">
        <v>14</v>
      </c>
      <c r="B4" s="74" t="s">
        <v>15</v>
      </c>
      <c r="C4" s="74" t="s">
        <v>11</v>
      </c>
      <c r="D4" s="74">
        <v>105</v>
      </c>
      <c r="E4" s="74" t="s">
        <v>16</v>
      </c>
      <c r="F4" s="73" t="s">
        <v>17</v>
      </c>
      <c r="G4" s="75">
        <v>15000</v>
      </c>
      <c r="H4" s="78">
        <v>46157</v>
      </c>
      <c r="I4" s="75">
        <v>20000</v>
      </c>
    </row>
    <row r="5" spans="1:9" ht="14.4" customHeight="1" x14ac:dyDescent="0.3">
      <c r="A5" s="74" t="s">
        <v>14</v>
      </c>
      <c r="B5" s="74" t="s">
        <v>15</v>
      </c>
      <c r="C5" s="74" t="s">
        <v>11</v>
      </c>
      <c r="D5" s="74">
        <v>105</v>
      </c>
      <c r="E5" s="74" t="s">
        <v>16</v>
      </c>
      <c r="F5" s="73" t="s">
        <v>17</v>
      </c>
      <c r="G5" s="75">
        <v>15000</v>
      </c>
      <c r="H5" s="78">
        <v>46164</v>
      </c>
      <c r="I5" s="75">
        <v>15000</v>
      </c>
    </row>
    <row r="6" spans="1:9" ht="14.4" customHeight="1" x14ac:dyDescent="0.3">
      <c r="A6" s="74" t="s">
        <v>14</v>
      </c>
      <c r="B6" s="74" t="s">
        <v>15</v>
      </c>
      <c r="C6" s="74" t="s">
        <v>11</v>
      </c>
      <c r="D6" s="74">
        <v>105</v>
      </c>
      <c r="E6" s="74" t="s">
        <v>16</v>
      </c>
      <c r="F6" s="73" t="s">
        <v>17</v>
      </c>
      <c r="G6" s="75">
        <v>15000</v>
      </c>
      <c r="H6" s="78">
        <v>46164</v>
      </c>
      <c r="I6" s="75">
        <v>5000</v>
      </c>
    </row>
    <row r="7" spans="1:9" ht="14.4" customHeight="1" x14ac:dyDescent="0.3">
      <c r="A7" s="74" t="s">
        <v>14</v>
      </c>
      <c r="B7" s="74" t="s">
        <v>15</v>
      </c>
      <c r="C7" s="74" t="s">
        <v>11</v>
      </c>
      <c r="D7" s="74">
        <v>105</v>
      </c>
      <c r="E7" s="74" t="s">
        <v>16</v>
      </c>
      <c r="F7" s="73" t="s">
        <v>17</v>
      </c>
      <c r="G7" s="75">
        <v>15000</v>
      </c>
      <c r="H7" s="78">
        <v>46171</v>
      </c>
      <c r="I7" s="75">
        <v>11000</v>
      </c>
    </row>
    <row r="8" spans="1:9" ht="14.4" hidden="1" customHeight="1" x14ac:dyDescent="0.3">
      <c r="A8" s="74" t="s">
        <v>14</v>
      </c>
      <c r="B8" s="74" t="s">
        <v>15</v>
      </c>
      <c r="C8" s="74" t="s">
        <v>11</v>
      </c>
      <c r="D8" s="74">
        <v>105</v>
      </c>
      <c r="E8" s="74" t="s">
        <v>16</v>
      </c>
      <c r="F8" s="73" t="s">
        <v>17</v>
      </c>
      <c r="G8" s="75">
        <v>15000</v>
      </c>
      <c r="H8" s="78">
        <v>46178</v>
      </c>
      <c r="I8" s="75">
        <v>13000</v>
      </c>
    </row>
    <row r="9" spans="1:9" ht="14.4" hidden="1" customHeight="1" x14ac:dyDescent="0.3">
      <c r="A9" s="74" t="s">
        <v>14</v>
      </c>
      <c r="B9" s="74" t="s">
        <v>15</v>
      </c>
      <c r="C9" s="74" t="s">
        <v>11</v>
      </c>
      <c r="D9" s="74">
        <v>105</v>
      </c>
      <c r="E9" s="74" t="s">
        <v>16</v>
      </c>
      <c r="F9" s="73" t="s">
        <v>17</v>
      </c>
      <c r="G9" s="75">
        <v>15000</v>
      </c>
      <c r="H9" s="78">
        <v>46185</v>
      </c>
      <c r="I9" s="75">
        <v>13773</v>
      </c>
    </row>
    <row r="10" spans="1:9" ht="14.4" hidden="1" customHeight="1" x14ac:dyDescent="0.3">
      <c r="A10" s="74" t="s">
        <v>14</v>
      </c>
      <c r="B10" s="74" t="s">
        <v>15</v>
      </c>
      <c r="C10" s="74" t="s">
        <v>11</v>
      </c>
      <c r="D10" s="74">
        <v>105</v>
      </c>
      <c r="E10" s="74" t="s">
        <v>16</v>
      </c>
      <c r="F10" s="73" t="s">
        <v>17</v>
      </c>
      <c r="G10" s="75">
        <v>15000</v>
      </c>
      <c r="H10" s="78">
        <v>46192</v>
      </c>
      <c r="I10" s="75">
        <v>7058</v>
      </c>
    </row>
    <row r="11" spans="1:9" ht="14.4" hidden="1" customHeight="1" x14ac:dyDescent="0.3">
      <c r="A11" s="74" t="s">
        <v>14</v>
      </c>
      <c r="B11" s="74" t="s">
        <v>15</v>
      </c>
      <c r="C11" s="74" t="s">
        <v>11</v>
      </c>
      <c r="D11" s="74">
        <v>105</v>
      </c>
      <c r="E11" s="74" t="s">
        <v>16</v>
      </c>
      <c r="F11" s="73" t="s">
        <v>17</v>
      </c>
      <c r="G11" s="75">
        <v>15000</v>
      </c>
      <c r="H11" s="78">
        <v>46199</v>
      </c>
      <c r="I11" s="75">
        <v>2040</v>
      </c>
    </row>
    <row r="12" spans="1:9" ht="14.4" hidden="1" customHeight="1" x14ac:dyDescent="0.3">
      <c r="A12" s="74" t="s">
        <v>14</v>
      </c>
      <c r="B12" s="74" t="s">
        <v>15</v>
      </c>
      <c r="C12" s="74" t="s">
        <v>11</v>
      </c>
      <c r="D12" s="74">
        <v>105</v>
      </c>
      <c r="E12" s="74" t="s">
        <v>16</v>
      </c>
      <c r="F12" s="73" t="s">
        <v>17</v>
      </c>
      <c r="G12" s="75">
        <v>15000</v>
      </c>
      <c r="H12" s="78">
        <v>46206</v>
      </c>
      <c r="I12" s="75">
        <v>1500</v>
      </c>
    </row>
    <row r="13" spans="1:9" ht="14.4" hidden="1" customHeight="1" x14ac:dyDescent="0.3">
      <c r="A13" s="74" t="s">
        <v>14</v>
      </c>
      <c r="B13" s="74" t="s">
        <v>15</v>
      </c>
      <c r="C13" s="74" t="s">
        <v>11</v>
      </c>
      <c r="D13" s="74">
        <v>105</v>
      </c>
      <c r="E13" s="74" t="s">
        <v>16</v>
      </c>
      <c r="F13" s="73" t="s">
        <v>17</v>
      </c>
      <c r="G13" s="75">
        <v>15000</v>
      </c>
      <c r="H13" s="78">
        <v>46206</v>
      </c>
      <c r="I13" s="75">
        <v>2041</v>
      </c>
    </row>
    <row r="14" spans="1:9" ht="14.4" hidden="1" customHeight="1" x14ac:dyDescent="0.3">
      <c r="A14" s="74" t="s">
        <v>14</v>
      </c>
      <c r="B14" s="74" t="s">
        <v>15</v>
      </c>
      <c r="C14" s="74" t="s">
        <v>11</v>
      </c>
      <c r="D14" s="74">
        <v>105</v>
      </c>
      <c r="E14" s="74" t="s">
        <v>16</v>
      </c>
      <c r="F14" s="73" t="s">
        <v>17</v>
      </c>
      <c r="G14" s="75">
        <v>15000</v>
      </c>
      <c r="H14" s="78">
        <v>46213</v>
      </c>
      <c r="I14" s="75">
        <v>2041</v>
      </c>
    </row>
    <row r="15" spans="1:9" ht="14.4" hidden="1" customHeight="1" x14ac:dyDescent="0.3">
      <c r="A15" s="74" t="s">
        <v>14</v>
      </c>
      <c r="B15" s="74" t="s">
        <v>15</v>
      </c>
      <c r="C15" s="74" t="s">
        <v>11</v>
      </c>
      <c r="D15" s="74">
        <v>105</v>
      </c>
      <c r="E15" s="74" t="s">
        <v>16</v>
      </c>
      <c r="F15" s="73" t="s">
        <v>17</v>
      </c>
      <c r="G15" s="75">
        <v>15000</v>
      </c>
      <c r="H15" s="78">
        <v>46213</v>
      </c>
      <c r="I15" s="75">
        <v>10000</v>
      </c>
    </row>
    <row r="16" spans="1:9" ht="14.4" hidden="1" customHeight="1" x14ac:dyDescent="0.3">
      <c r="A16" s="74" t="s">
        <v>14</v>
      </c>
      <c r="B16" s="74" t="s">
        <v>15</v>
      </c>
      <c r="C16" s="74" t="s">
        <v>11</v>
      </c>
      <c r="D16" s="74">
        <v>105</v>
      </c>
      <c r="E16" s="74" t="s">
        <v>16</v>
      </c>
      <c r="F16" s="73" t="s">
        <v>17</v>
      </c>
      <c r="G16" s="75">
        <v>15000</v>
      </c>
      <c r="H16" s="78">
        <v>46220</v>
      </c>
      <c r="I16" s="75">
        <v>2040</v>
      </c>
    </row>
    <row r="17" spans="1:9" ht="14.4" hidden="1" customHeight="1" x14ac:dyDescent="0.3">
      <c r="A17" s="74" t="s">
        <v>14</v>
      </c>
      <c r="B17" s="74" t="s">
        <v>15</v>
      </c>
      <c r="C17" s="74" t="s">
        <v>11</v>
      </c>
      <c r="D17" s="74">
        <v>105</v>
      </c>
      <c r="E17" s="74" t="s">
        <v>16</v>
      </c>
      <c r="F17" s="73" t="s">
        <v>17</v>
      </c>
      <c r="G17" s="75">
        <v>15000</v>
      </c>
      <c r="H17" s="78">
        <v>46220</v>
      </c>
      <c r="I17" s="75">
        <v>10000</v>
      </c>
    </row>
    <row r="18" spans="1:9" ht="14.4" hidden="1" customHeight="1" x14ac:dyDescent="0.3">
      <c r="A18" s="74" t="s">
        <v>14</v>
      </c>
      <c r="B18" s="74" t="s">
        <v>15</v>
      </c>
      <c r="C18" s="74" t="s">
        <v>11</v>
      </c>
      <c r="D18" s="74">
        <v>105</v>
      </c>
      <c r="E18" s="74" t="s">
        <v>16</v>
      </c>
      <c r="F18" s="73" t="s">
        <v>17</v>
      </c>
      <c r="G18" s="75">
        <v>15000</v>
      </c>
      <c r="H18" s="78">
        <v>46241</v>
      </c>
      <c r="I18" s="75">
        <v>15023</v>
      </c>
    </row>
    <row r="19" spans="1:9" ht="14.4" hidden="1" customHeight="1" x14ac:dyDescent="0.3">
      <c r="A19" s="74" t="s">
        <v>14</v>
      </c>
      <c r="B19" s="74" t="s">
        <v>15</v>
      </c>
      <c r="C19" s="74" t="s">
        <v>11</v>
      </c>
      <c r="D19" s="74">
        <v>105</v>
      </c>
      <c r="E19" s="74" t="s">
        <v>16</v>
      </c>
      <c r="F19" s="73" t="s">
        <v>17</v>
      </c>
      <c r="G19" s="75">
        <v>15000</v>
      </c>
      <c r="H19" s="78">
        <v>46241</v>
      </c>
      <c r="I19" s="75">
        <v>1737</v>
      </c>
    </row>
    <row r="20" spans="1:9" ht="14.4" hidden="1" customHeight="1" x14ac:dyDescent="0.3">
      <c r="A20" s="74" t="s">
        <v>14</v>
      </c>
      <c r="B20" s="74" t="s">
        <v>15</v>
      </c>
      <c r="C20" s="74" t="s">
        <v>11</v>
      </c>
      <c r="D20" s="74">
        <v>105</v>
      </c>
      <c r="E20" s="74" t="s">
        <v>16</v>
      </c>
      <c r="F20" s="73" t="s">
        <v>17</v>
      </c>
      <c r="G20" s="75">
        <v>15000</v>
      </c>
      <c r="H20" s="78">
        <v>46241</v>
      </c>
      <c r="I20" s="75">
        <v>11000</v>
      </c>
    </row>
    <row r="21" spans="1:9" ht="14.4" hidden="1" customHeight="1" x14ac:dyDescent="0.3">
      <c r="A21" s="74" t="s">
        <v>14</v>
      </c>
      <c r="B21" s="74" t="s">
        <v>15</v>
      </c>
      <c r="C21" s="74" t="s">
        <v>11</v>
      </c>
      <c r="D21" s="74">
        <v>105</v>
      </c>
      <c r="E21" s="74" t="s">
        <v>16</v>
      </c>
      <c r="F21" s="73" t="s">
        <v>17</v>
      </c>
      <c r="G21" s="75">
        <v>15000</v>
      </c>
      <c r="H21" s="78">
        <v>46248</v>
      </c>
      <c r="I21" s="75">
        <v>5629</v>
      </c>
    </row>
    <row r="22" spans="1:9" ht="14.4" hidden="1" customHeight="1" x14ac:dyDescent="0.3">
      <c r="A22" s="74" t="s">
        <v>14</v>
      </c>
      <c r="B22" s="74" t="s">
        <v>15</v>
      </c>
      <c r="C22" s="74" t="s">
        <v>11</v>
      </c>
      <c r="D22" s="74">
        <v>105</v>
      </c>
      <c r="E22" s="74" t="s">
        <v>16</v>
      </c>
      <c r="F22" s="73" t="s">
        <v>17</v>
      </c>
      <c r="G22" s="75">
        <v>15000</v>
      </c>
      <c r="H22" s="78">
        <v>46248</v>
      </c>
      <c r="I22" s="75">
        <v>1857</v>
      </c>
    </row>
    <row r="23" spans="1:9" ht="14.4" hidden="1" customHeight="1" x14ac:dyDescent="0.3">
      <c r="A23" s="74" t="s">
        <v>14</v>
      </c>
      <c r="B23" s="74" t="s">
        <v>15</v>
      </c>
      <c r="C23" s="74" t="s">
        <v>11</v>
      </c>
      <c r="D23" s="74">
        <v>105</v>
      </c>
      <c r="E23" s="74" t="s">
        <v>16</v>
      </c>
      <c r="F23" s="73" t="s">
        <v>17</v>
      </c>
      <c r="G23" s="75">
        <v>15000</v>
      </c>
      <c r="H23" s="78">
        <v>46248</v>
      </c>
      <c r="I23" s="75">
        <v>19000</v>
      </c>
    </row>
    <row r="24" spans="1:9" ht="14.4" hidden="1" customHeight="1" x14ac:dyDescent="0.3">
      <c r="A24" s="74" t="s">
        <v>14</v>
      </c>
      <c r="B24" s="74" t="s">
        <v>15</v>
      </c>
      <c r="C24" s="74" t="s">
        <v>11</v>
      </c>
      <c r="D24" s="74">
        <v>105</v>
      </c>
      <c r="E24" s="74" t="s">
        <v>16</v>
      </c>
      <c r="F24" s="73" t="s">
        <v>17</v>
      </c>
      <c r="G24" s="75">
        <v>15000</v>
      </c>
      <c r="H24" s="78">
        <v>46255</v>
      </c>
      <c r="I24" s="75">
        <v>2072</v>
      </c>
    </row>
    <row r="25" spans="1:9" ht="14.4" hidden="1" customHeight="1" x14ac:dyDescent="0.3">
      <c r="A25" s="74" t="s">
        <v>14</v>
      </c>
      <c r="B25" s="74" t="s">
        <v>15</v>
      </c>
      <c r="C25" s="74" t="s">
        <v>11</v>
      </c>
      <c r="D25" s="74">
        <v>105</v>
      </c>
      <c r="E25" s="74" t="s">
        <v>16</v>
      </c>
      <c r="F25" s="73" t="s">
        <v>17</v>
      </c>
      <c r="G25" s="75">
        <v>15000</v>
      </c>
      <c r="H25" s="78">
        <v>46255</v>
      </c>
      <c r="I25" s="75">
        <v>2176</v>
      </c>
    </row>
    <row r="26" spans="1:9" ht="14.4" hidden="1" customHeight="1" x14ac:dyDescent="0.3">
      <c r="A26" s="74" t="s">
        <v>14</v>
      </c>
      <c r="B26" s="74" t="s">
        <v>15</v>
      </c>
      <c r="C26" s="74" t="s">
        <v>11</v>
      </c>
      <c r="D26" s="74">
        <v>105</v>
      </c>
      <c r="E26" s="74" t="s">
        <v>16</v>
      </c>
      <c r="F26" s="73" t="s">
        <v>17</v>
      </c>
      <c r="G26" s="75">
        <v>15000</v>
      </c>
      <c r="H26" s="78">
        <v>46262</v>
      </c>
      <c r="I26" s="75">
        <v>4248</v>
      </c>
    </row>
    <row r="27" spans="1:9" ht="14.4" hidden="1" customHeight="1" x14ac:dyDescent="0.3">
      <c r="A27" s="74" t="s">
        <v>14</v>
      </c>
      <c r="B27" s="74" t="s">
        <v>15</v>
      </c>
      <c r="C27" s="74" t="s">
        <v>11</v>
      </c>
      <c r="D27" s="74">
        <v>105</v>
      </c>
      <c r="E27" s="74" t="s">
        <v>16</v>
      </c>
      <c r="F27" s="73" t="s">
        <v>17</v>
      </c>
      <c r="G27" s="75">
        <v>15000</v>
      </c>
      <c r="H27" s="78">
        <v>46269</v>
      </c>
      <c r="I27" s="75">
        <v>4249</v>
      </c>
    </row>
    <row r="28" spans="1:9" ht="14.4" hidden="1" customHeight="1" x14ac:dyDescent="0.3">
      <c r="A28" s="74" t="s">
        <v>14</v>
      </c>
      <c r="B28" s="74" t="s">
        <v>15</v>
      </c>
      <c r="C28" s="74" t="s">
        <v>11</v>
      </c>
      <c r="D28" s="74">
        <v>105</v>
      </c>
      <c r="E28" s="74" t="s">
        <v>16</v>
      </c>
      <c r="F28" s="73" t="s">
        <v>17</v>
      </c>
      <c r="G28" s="75">
        <v>15000</v>
      </c>
      <c r="H28" s="78">
        <v>46276</v>
      </c>
      <c r="I28" s="75">
        <v>4248</v>
      </c>
    </row>
    <row r="29" spans="1:9" ht="14.4" hidden="1" customHeight="1" x14ac:dyDescent="0.3">
      <c r="A29" s="74" t="s">
        <v>14</v>
      </c>
      <c r="B29" s="74" t="s">
        <v>15</v>
      </c>
      <c r="C29" s="74" t="s">
        <v>11</v>
      </c>
      <c r="D29" s="74">
        <v>105</v>
      </c>
      <c r="E29" s="74" t="s">
        <v>16</v>
      </c>
      <c r="F29" s="73" t="s">
        <v>17</v>
      </c>
      <c r="G29" s="75">
        <v>15000</v>
      </c>
      <c r="H29" s="78">
        <v>46283</v>
      </c>
      <c r="I29" s="75">
        <v>2391</v>
      </c>
    </row>
    <row r="30" spans="1:9" ht="14.4" hidden="1" customHeight="1" x14ac:dyDescent="0.3">
      <c r="A30" s="74" t="s">
        <v>14</v>
      </c>
      <c r="B30" s="74" t="s">
        <v>15</v>
      </c>
      <c r="C30" s="74" t="s">
        <v>11</v>
      </c>
      <c r="D30" s="74">
        <v>105</v>
      </c>
      <c r="E30" s="74" t="s">
        <v>16</v>
      </c>
      <c r="F30" s="73" t="s">
        <v>17</v>
      </c>
      <c r="G30" s="75">
        <v>15000</v>
      </c>
      <c r="H30" s="78">
        <v>46290</v>
      </c>
      <c r="I30" s="75">
        <v>2392</v>
      </c>
    </row>
    <row r="31" spans="1:9" ht="14.4" hidden="1" customHeight="1" x14ac:dyDescent="0.3">
      <c r="A31" s="74" t="s">
        <v>14</v>
      </c>
      <c r="B31" s="74" t="s">
        <v>15</v>
      </c>
      <c r="C31" s="74" t="s">
        <v>11</v>
      </c>
      <c r="D31" s="74">
        <v>105</v>
      </c>
      <c r="E31" s="74" t="s">
        <v>16</v>
      </c>
      <c r="F31" s="73" t="s">
        <v>17</v>
      </c>
      <c r="G31" s="75">
        <v>15000</v>
      </c>
      <c r="H31" s="78">
        <v>46297</v>
      </c>
      <c r="I31" s="75">
        <v>2391</v>
      </c>
    </row>
    <row r="32" spans="1:9" ht="14.4" hidden="1" customHeight="1" x14ac:dyDescent="0.3">
      <c r="A32" s="74" t="s">
        <v>14</v>
      </c>
      <c r="B32" s="74" t="s">
        <v>15</v>
      </c>
      <c r="C32" s="74" t="s">
        <v>11</v>
      </c>
      <c r="D32" s="74">
        <v>105</v>
      </c>
      <c r="E32" s="74" t="s">
        <v>16</v>
      </c>
      <c r="F32" s="73" t="s">
        <v>17</v>
      </c>
      <c r="G32" s="75">
        <v>15000</v>
      </c>
      <c r="H32" s="78">
        <v>46304</v>
      </c>
      <c r="I32" s="75">
        <v>2392</v>
      </c>
    </row>
    <row r="33" spans="1:9" ht="14.4" hidden="1" customHeight="1" x14ac:dyDescent="0.3">
      <c r="A33" s="74" t="s">
        <v>14</v>
      </c>
      <c r="B33" s="74" t="s">
        <v>15</v>
      </c>
      <c r="C33" s="74" t="s">
        <v>11</v>
      </c>
      <c r="D33" s="74">
        <v>105</v>
      </c>
      <c r="E33" s="74" t="s">
        <v>16</v>
      </c>
      <c r="F33" s="73" t="s">
        <v>17</v>
      </c>
      <c r="G33" s="75">
        <v>15000</v>
      </c>
      <c r="H33" s="78">
        <v>46311</v>
      </c>
      <c r="I33" s="75">
        <v>16017</v>
      </c>
    </row>
    <row r="34" spans="1:9" ht="14.4" hidden="1" customHeight="1" x14ac:dyDescent="0.3">
      <c r="A34" s="74" t="s">
        <v>14</v>
      </c>
      <c r="B34" s="74" t="s">
        <v>15</v>
      </c>
      <c r="C34" s="74" t="s">
        <v>11</v>
      </c>
      <c r="D34" s="74">
        <v>105</v>
      </c>
      <c r="E34" s="74" t="s">
        <v>16</v>
      </c>
      <c r="F34" s="73" t="s">
        <v>17</v>
      </c>
      <c r="G34" s="75">
        <v>15000</v>
      </c>
      <c r="H34" s="78">
        <v>46318</v>
      </c>
      <c r="I34" s="75">
        <v>16017</v>
      </c>
    </row>
    <row r="35" spans="1:9" ht="14.4" hidden="1" customHeight="1" x14ac:dyDescent="0.3">
      <c r="A35" s="74" t="s">
        <v>14</v>
      </c>
      <c r="B35" s="74" t="s">
        <v>15</v>
      </c>
      <c r="C35" s="74" t="s">
        <v>11</v>
      </c>
      <c r="D35" s="74">
        <v>105</v>
      </c>
      <c r="E35" s="74" t="s">
        <v>16</v>
      </c>
      <c r="F35" s="73" t="s">
        <v>17</v>
      </c>
      <c r="G35" s="75">
        <v>15000</v>
      </c>
      <c r="H35" s="78">
        <v>46325</v>
      </c>
      <c r="I35" s="75">
        <v>16016</v>
      </c>
    </row>
    <row r="36" spans="1:9" ht="14.4" hidden="1" customHeight="1" x14ac:dyDescent="0.3">
      <c r="A36" s="74" t="s">
        <v>14</v>
      </c>
      <c r="B36" s="74" t="s">
        <v>15</v>
      </c>
      <c r="C36" s="74" t="s">
        <v>11</v>
      </c>
      <c r="D36" s="74">
        <v>105</v>
      </c>
      <c r="E36" s="74" t="s">
        <v>16</v>
      </c>
      <c r="F36" s="73" t="s">
        <v>17</v>
      </c>
      <c r="G36" s="75">
        <v>15000</v>
      </c>
      <c r="H36" s="78">
        <v>46332</v>
      </c>
      <c r="I36" s="75">
        <v>16017</v>
      </c>
    </row>
    <row r="37" spans="1:9" ht="14.4" hidden="1" customHeight="1" x14ac:dyDescent="0.3">
      <c r="A37" s="74" t="s">
        <v>14</v>
      </c>
      <c r="B37" s="74" t="s">
        <v>15</v>
      </c>
      <c r="C37" s="74" t="s">
        <v>11</v>
      </c>
      <c r="D37" s="74">
        <v>105</v>
      </c>
      <c r="E37" s="74" t="s">
        <v>16</v>
      </c>
      <c r="F37" s="73" t="s">
        <v>17</v>
      </c>
      <c r="G37" s="75">
        <v>15000</v>
      </c>
      <c r="H37" s="78">
        <v>46339</v>
      </c>
      <c r="I37" s="75">
        <v>4281</v>
      </c>
    </row>
    <row r="38" spans="1:9" ht="14.4" hidden="1" customHeight="1" x14ac:dyDescent="0.3">
      <c r="A38" s="74" t="s">
        <v>14</v>
      </c>
      <c r="B38" s="74" t="s">
        <v>15</v>
      </c>
      <c r="C38" s="74" t="s">
        <v>11</v>
      </c>
      <c r="D38" s="74">
        <v>105</v>
      </c>
      <c r="E38" s="74" t="s">
        <v>16</v>
      </c>
      <c r="F38" s="73" t="s">
        <v>17</v>
      </c>
      <c r="G38" s="75">
        <v>15000</v>
      </c>
      <c r="H38" s="78">
        <v>46346</v>
      </c>
      <c r="I38" s="75">
        <v>4282</v>
      </c>
    </row>
    <row r="39" spans="1:9" ht="14.4" hidden="1" customHeight="1" x14ac:dyDescent="0.3">
      <c r="A39" s="74" t="s">
        <v>14</v>
      </c>
      <c r="B39" s="74" t="s">
        <v>15</v>
      </c>
      <c r="C39" s="74" t="s">
        <v>11</v>
      </c>
      <c r="D39" s="74">
        <v>105</v>
      </c>
      <c r="E39" s="74" t="s">
        <v>16</v>
      </c>
      <c r="F39" s="73" t="s">
        <v>17</v>
      </c>
      <c r="G39" s="75">
        <v>15000</v>
      </c>
      <c r="H39" s="78">
        <v>46353</v>
      </c>
      <c r="I39" s="75">
        <v>4281</v>
      </c>
    </row>
    <row r="40" spans="1:9" ht="14.4" hidden="1" customHeight="1" x14ac:dyDescent="0.3">
      <c r="A40" s="74" t="s">
        <v>14</v>
      </c>
      <c r="B40" s="74" t="s">
        <v>15</v>
      </c>
      <c r="C40" s="74" t="s">
        <v>11</v>
      </c>
      <c r="D40" s="74">
        <v>105</v>
      </c>
      <c r="E40" s="74" t="s">
        <v>16</v>
      </c>
      <c r="F40" s="73" t="s">
        <v>17</v>
      </c>
      <c r="G40" s="75">
        <v>15000</v>
      </c>
      <c r="H40" s="78">
        <v>46360</v>
      </c>
      <c r="I40" s="75">
        <v>4282</v>
      </c>
    </row>
    <row r="41" spans="1:9" ht="14.4" hidden="1" customHeight="1" x14ac:dyDescent="0.3">
      <c r="A41" s="74" t="s">
        <v>14</v>
      </c>
      <c r="B41" s="74" t="s">
        <v>15</v>
      </c>
      <c r="C41" s="74" t="s">
        <v>11</v>
      </c>
      <c r="D41" s="74">
        <v>105</v>
      </c>
      <c r="E41" s="74" t="s">
        <v>16</v>
      </c>
      <c r="F41" s="73" t="s">
        <v>17</v>
      </c>
      <c r="G41" s="75">
        <v>15000</v>
      </c>
      <c r="H41" s="78">
        <v>46367</v>
      </c>
      <c r="I41" s="75">
        <v>4281</v>
      </c>
    </row>
    <row r="42" spans="1:9" ht="14.4" hidden="1" customHeight="1" x14ac:dyDescent="0.3">
      <c r="A42" s="74" t="s">
        <v>14</v>
      </c>
      <c r="B42" s="74" t="s">
        <v>15</v>
      </c>
      <c r="C42" s="74" t="s">
        <v>11</v>
      </c>
      <c r="D42" s="74">
        <v>105</v>
      </c>
      <c r="E42" s="74" t="s">
        <v>16</v>
      </c>
      <c r="F42" s="73" t="s">
        <v>17</v>
      </c>
      <c r="G42" s="75">
        <v>15000</v>
      </c>
      <c r="H42" s="78">
        <v>46374</v>
      </c>
      <c r="I42" s="75">
        <v>8326</v>
      </c>
    </row>
    <row r="43" spans="1:9" ht="14.4" hidden="1" customHeight="1" x14ac:dyDescent="0.3">
      <c r="A43" s="74" t="s">
        <v>14</v>
      </c>
      <c r="B43" s="74" t="s">
        <v>15</v>
      </c>
      <c r="C43" s="74" t="s">
        <v>11</v>
      </c>
      <c r="D43" s="74">
        <v>105</v>
      </c>
      <c r="E43" s="74" t="s">
        <v>16</v>
      </c>
      <c r="F43" s="73" t="s">
        <v>17</v>
      </c>
      <c r="G43" s="75">
        <v>15000</v>
      </c>
      <c r="H43" s="78">
        <v>46381</v>
      </c>
      <c r="I43" s="75">
        <v>8325</v>
      </c>
    </row>
    <row r="44" spans="1:9" ht="14.4" customHeight="1" x14ac:dyDescent="0.3">
      <c r="A44" s="74" t="s">
        <v>22</v>
      </c>
      <c r="B44" s="74" t="s">
        <v>23</v>
      </c>
      <c r="C44" s="74" t="s">
        <v>11</v>
      </c>
      <c r="D44" s="74">
        <v>55</v>
      </c>
      <c r="E44" s="74" t="s">
        <v>24</v>
      </c>
      <c r="F44" s="73" t="s">
        <v>17</v>
      </c>
      <c r="G44" s="75">
        <v>15000</v>
      </c>
      <c r="H44" s="78">
        <v>46157</v>
      </c>
      <c r="I44" s="75">
        <v>2731</v>
      </c>
    </row>
    <row r="45" spans="1:9" ht="14.4" customHeight="1" x14ac:dyDescent="0.3">
      <c r="A45" s="74" t="s">
        <v>22</v>
      </c>
      <c r="B45" s="74" t="s">
        <v>23</v>
      </c>
      <c r="C45" s="74" t="s">
        <v>11</v>
      </c>
      <c r="D45" s="74">
        <v>55</v>
      </c>
      <c r="E45" s="74" t="s">
        <v>24</v>
      </c>
      <c r="F45" s="73" t="s">
        <v>17</v>
      </c>
      <c r="G45" s="75">
        <v>15000</v>
      </c>
      <c r="H45" s="78">
        <v>46157</v>
      </c>
      <c r="I45" s="75">
        <v>2771</v>
      </c>
    </row>
    <row r="46" spans="1:9" ht="14.4" customHeight="1" x14ac:dyDescent="0.3">
      <c r="A46" s="74" t="s">
        <v>22</v>
      </c>
      <c r="B46" s="74" t="s">
        <v>23</v>
      </c>
      <c r="C46" s="74" t="s">
        <v>11</v>
      </c>
      <c r="D46" s="74">
        <v>55</v>
      </c>
      <c r="E46" s="74" t="s">
        <v>24</v>
      </c>
      <c r="F46" s="73" t="s">
        <v>17</v>
      </c>
      <c r="G46" s="75">
        <v>15000</v>
      </c>
      <c r="H46" s="78">
        <v>46164</v>
      </c>
      <c r="I46" s="75">
        <v>2270</v>
      </c>
    </row>
    <row r="47" spans="1:9" ht="14.4" customHeight="1" x14ac:dyDescent="0.3">
      <c r="A47" s="74" t="s">
        <v>22</v>
      </c>
      <c r="B47" s="74" t="s">
        <v>23</v>
      </c>
      <c r="C47" s="74" t="s">
        <v>11</v>
      </c>
      <c r="D47" s="74">
        <v>55</v>
      </c>
      <c r="E47" s="74" t="s">
        <v>24</v>
      </c>
      <c r="F47" s="73" t="s">
        <v>17</v>
      </c>
      <c r="G47" s="75">
        <v>15000</v>
      </c>
      <c r="H47" s="78">
        <v>46164</v>
      </c>
      <c r="I47" s="75">
        <v>1687</v>
      </c>
    </row>
    <row r="48" spans="1:9" ht="14.4" customHeight="1" x14ac:dyDescent="0.3">
      <c r="A48" s="74" t="s">
        <v>22</v>
      </c>
      <c r="B48" s="74" t="s">
        <v>23</v>
      </c>
      <c r="C48" s="74" t="s">
        <v>11</v>
      </c>
      <c r="D48" s="74">
        <v>55</v>
      </c>
      <c r="E48" s="74" t="s">
        <v>24</v>
      </c>
      <c r="F48" s="73" t="s">
        <v>17</v>
      </c>
      <c r="G48" s="75">
        <v>15000</v>
      </c>
      <c r="H48" s="78">
        <v>46164</v>
      </c>
      <c r="I48" s="75">
        <v>2058</v>
      </c>
    </row>
    <row r="49" spans="1:9" ht="14.4" customHeight="1" x14ac:dyDescent="0.3">
      <c r="A49" s="74" t="s">
        <v>22</v>
      </c>
      <c r="B49" s="74" t="s">
        <v>23</v>
      </c>
      <c r="C49" s="74" t="s">
        <v>11</v>
      </c>
      <c r="D49" s="74">
        <v>55</v>
      </c>
      <c r="E49" s="74" t="s">
        <v>24</v>
      </c>
      <c r="F49" s="73" t="s">
        <v>17</v>
      </c>
      <c r="G49" s="75">
        <v>15000</v>
      </c>
      <c r="H49" s="78">
        <v>46164</v>
      </c>
      <c r="I49" s="75">
        <v>2771</v>
      </c>
    </row>
    <row r="50" spans="1:9" ht="14.4" customHeight="1" x14ac:dyDescent="0.3">
      <c r="A50" s="74" t="s">
        <v>22</v>
      </c>
      <c r="B50" s="74" t="s">
        <v>23</v>
      </c>
      <c r="C50" s="74" t="s">
        <v>11</v>
      </c>
      <c r="D50" s="74">
        <v>55</v>
      </c>
      <c r="E50" s="74" t="s">
        <v>24</v>
      </c>
      <c r="F50" s="73" t="s">
        <v>17</v>
      </c>
      <c r="G50" s="75">
        <v>15000</v>
      </c>
      <c r="H50" s="78">
        <v>46164</v>
      </c>
      <c r="I50" s="75">
        <v>450</v>
      </c>
    </row>
    <row r="51" spans="1:9" ht="14.4" customHeight="1" x14ac:dyDescent="0.3">
      <c r="A51" s="74" t="s">
        <v>22</v>
      </c>
      <c r="B51" s="74" t="s">
        <v>23</v>
      </c>
      <c r="C51" s="74" t="s">
        <v>11</v>
      </c>
      <c r="D51" s="74">
        <v>55</v>
      </c>
      <c r="E51" s="74" t="s">
        <v>24</v>
      </c>
      <c r="F51" s="73" t="s">
        <v>17</v>
      </c>
      <c r="G51" s="75">
        <v>15000</v>
      </c>
      <c r="H51" s="78">
        <v>46164</v>
      </c>
      <c r="I51" s="75">
        <v>2771</v>
      </c>
    </row>
    <row r="52" spans="1:9" ht="14.4" customHeight="1" x14ac:dyDescent="0.3">
      <c r="A52" s="74" t="s">
        <v>22</v>
      </c>
      <c r="B52" s="74" t="s">
        <v>23</v>
      </c>
      <c r="C52" s="74" t="s">
        <v>11</v>
      </c>
      <c r="D52" s="74">
        <v>55</v>
      </c>
      <c r="E52" s="74" t="s">
        <v>24</v>
      </c>
      <c r="F52" s="73" t="s">
        <v>17</v>
      </c>
      <c r="G52" s="75">
        <v>15000</v>
      </c>
      <c r="H52" s="78">
        <v>46164</v>
      </c>
      <c r="I52" s="75">
        <v>2771</v>
      </c>
    </row>
    <row r="53" spans="1:9" ht="14.4" customHeight="1" x14ac:dyDescent="0.3">
      <c r="A53" s="74" t="s">
        <v>22</v>
      </c>
      <c r="B53" s="74" t="s">
        <v>23</v>
      </c>
      <c r="C53" s="74" t="s">
        <v>11</v>
      </c>
      <c r="D53" s="74">
        <v>55</v>
      </c>
      <c r="E53" s="74" t="s">
        <v>24</v>
      </c>
      <c r="F53" s="73" t="s">
        <v>17</v>
      </c>
      <c r="G53" s="75">
        <v>15000</v>
      </c>
      <c r="H53" s="78">
        <v>46164</v>
      </c>
      <c r="I53" s="75">
        <v>880</v>
      </c>
    </row>
    <row r="54" spans="1:9" ht="14.4" customHeight="1" x14ac:dyDescent="0.3">
      <c r="A54" s="74" t="s">
        <v>22</v>
      </c>
      <c r="B54" s="74" t="s">
        <v>23</v>
      </c>
      <c r="C54" s="74" t="s">
        <v>11</v>
      </c>
      <c r="D54" s="74">
        <v>55</v>
      </c>
      <c r="E54" s="74" t="s">
        <v>24</v>
      </c>
      <c r="F54" s="73" t="s">
        <v>17</v>
      </c>
      <c r="G54" s="75">
        <v>15000</v>
      </c>
      <c r="H54" s="78">
        <v>46171</v>
      </c>
      <c r="I54" s="75">
        <v>2771</v>
      </c>
    </row>
    <row r="55" spans="1:9" ht="14.4" customHeight="1" x14ac:dyDescent="0.3">
      <c r="A55" s="74" t="s">
        <v>22</v>
      </c>
      <c r="B55" s="74" t="s">
        <v>23</v>
      </c>
      <c r="C55" s="74" t="s">
        <v>11</v>
      </c>
      <c r="D55" s="74">
        <v>55</v>
      </c>
      <c r="E55" s="74" t="s">
        <v>24</v>
      </c>
      <c r="F55" s="73" t="s">
        <v>17</v>
      </c>
      <c r="G55" s="75">
        <v>15000</v>
      </c>
      <c r="H55" s="78">
        <v>46171</v>
      </c>
      <c r="I55" s="75">
        <v>552</v>
      </c>
    </row>
    <row r="56" spans="1:9" ht="14.4" customHeight="1" x14ac:dyDescent="0.3">
      <c r="A56" s="74" t="s">
        <v>22</v>
      </c>
      <c r="B56" s="74" t="s">
        <v>23</v>
      </c>
      <c r="C56" s="74" t="s">
        <v>11</v>
      </c>
      <c r="D56" s="74">
        <v>55</v>
      </c>
      <c r="E56" s="74" t="s">
        <v>24</v>
      </c>
      <c r="F56" s="73" t="s">
        <v>17</v>
      </c>
      <c r="G56" s="75">
        <v>15000</v>
      </c>
      <c r="H56" s="78">
        <v>46171</v>
      </c>
      <c r="I56" s="75">
        <v>2771</v>
      </c>
    </row>
    <row r="57" spans="1:9" ht="14.4" customHeight="1" x14ac:dyDescent="0.3">
      <c r="A57" s="74" t="s">
        <v>22</v>
      </c>
      <c r="B57" s="74" t="s">
        <v>23</v>
      </c>
      <c r="C57" s="74" t="s">
        <v>11</v>
      </c>
      <c r="D57" s="74">
        <v>55</v>
      </c>
      <c r="E57" s="74" t="s">
        <v>24</v>
      </c>
      <c r="F57" s="73" t="s">
        <v>17</v>
      </c>
      <c r="G57" s="75">
        <v>15000</v>
      </c>
      <c r="H57" s="78">
        <v>46171</v>
      </c>
      <c r="I57" s="75">
        <v>2771</v>
      </c>
    </row>
    <row r="58" spans="1:9" ht="14.4" hidden="1" customHeight="1" x14ac:dyDescent="0.3">
      <c r="A58" s="74" t="s">
        <v>22</v>
      </c>
      <c r="B58" s="74" t="s">
        <v>23</v>
      </c>
      <c r="C58" s="74" t="s">
        <v>11</v>
      </c>
      <c r="D58" s="74">
        <v>55</v>
      </c>
      <c r="E58" s="74" t="s">
        <v>24</v>
      </c>
      <c r="F58" s="73" t="s">
        <v>17</v>
      </c>
      <c r="G58" s="75">
        <v>15000</v>
      </c>
      <c r="H58" s="78">
        <v>46178</v>
      </c>
      <c r="I58" s="75">
        <v>2146</v>
      </c>
    </row>
    <row r="59" spans="1:9" ht="14.4" hidden="1" customHeight="1" x14ac:dyDescent="0.3">
      <c r="A59" s="74" t="s">
        <v>22</v>
      </c>
      <c r="B59" s="74" t="s">
        <v>23</v>
      </c>
      <c r="C59" s="74" t="s">
        <v>11</v>
      </c>
      <c r="D59" s="74">
        <v>55</v>
      </c>
      <c r="E59" s="74" t="s">
        <v>24</v>
      </c>
      <c r="F59" s="73" t="s">
        <v>17</v>
      </c>
      <c r="G59" s="75">
        <v>15000</v>
      </c>
      <c r="H59" s="78">
        <v>46185</v>
      </c>
      <c r="I59" s="75">
        <v>7123</v>
      </c>
    </row>
    <row r="60" spans="1:9" ht="14.4" hidden="1" customHeight="1" x14ac:dyDescent="0.3">
      <c r="A60" s="74" t="s">
        <v>22</v>
      </c>
      <c r="B60" s="74" t="s">
        <v>23</v>
      </c>
      <c r="C60" s="74" t="s">
        <v>11</v>
      </c>
      <c r="D60" s="74">
        <v>55</v>
      </c>
      <c r="E60" s="74" t="s">
        <v>24</v>
      </c>
      <c r="F60" s="73" t="s">
        <v>17</v>
      </c>
      <c r="G60" s="75">
        <v>15000</v>
      </c>
      <c r="H60" s="78">
        <v>46192</v>
      </c>
      <c r="I60" s="75">
        <v>5309</v>
      </c>
    </row>
    <row r="61" spans="1:9" ht="14.4" hidden="1" customHeight="1" x14ac:dyDescent="0.3">
      <c r="A61" s="74" t="s">
        <v>22</v>
      </c>
      <c r="B61" s="74" t="s">
        <v>23</v>
      </c>
      <c r="C61" s="74" t="s">
        <v>11</v>
      </c>
      <c r="D61" s="74">
        <v>55</v>
      </c>
      <c r="E61" s="74" t="s">
        <v>24</v>
      </c>
      <c r="F61" s="73" t="s">
        <v>17</v>
      </c>
      <c r="G61" s="75">
        <v>15000</v>
      </c>
      <c r="H61" s="78">
        <v>46199</v>
      </c>
      <c r="I61" s="75">
        <v>5309</v>
      </c>
    </row>
    <row r="62" spans="1:9" ht="14.4" hidden="1" customHeight="1" x14ac:dyDescent="0.3">
      <c r="A62" s="74" t="s">
        <v>22</v>
      </c>
      <c r="B62" s="74" t="s">
        <v>23</v>
      </c>
      <c r="C62" s="74" t="s">
        <v>11</v>
      </c>
      <c r="D62" s="74">
        <v>55</v>
      </c>
      <c r="E62" s="74" t="s">
        <v>24</v>
      </c>
      <c r="F62" s="73" t="s">
        <v>17</v>
      </c>
      <c r="G62" s="75">
        <v>15000</v>
      </c>
      <c r="H62" s="78">
        <v>46206</v>
      </c>
      <c r="I62" s="75">
        <v>3000</v>
      </c>
    </row>
    <row r="63" spans="1:9" ht="14.4" hidden="1" customHeight="1" x14ac:dyDescent="0.3">
      <c r="A63" s="74" t="s">
        <v>22</v>
      </c>
      <c r="B63" s="74" t="s">
        <v>23</v>
      </c>
      <c r="C63" s="74" t="s">
        <v>11</v>
      </c>
      <c r="D63" s="74">
        <v>55</v>
      </c>
      <c r="E63" s="74" t="s">
        <v>24</v>
      </c>
      <c r="F63" s="73" t="s">
        <v>17</v>
      </c>
      <c r="G63" s="75">
        <v>15000</v>
      </c>
      <c r="H63" s="78">
        <v>46213</v>
      </c>
      <c r="I63" s="75">
        <v>3000</v>
      </c>
    </row>
    <row r="64" spans="1:9" ht="14.4" hidden="1" customHeight="1" x14ac:dyDescent="0.3">
      <c r="A64" s="74" t="s">
        <v>22</v>
      </c>
      <c r="B64" s="74" t="s">
        <v>23</v>
      </c>
      <c r="C64" s="74" t="s">
        <v>11</v>
      </c>
      <c r="D64" s="74">
        <v>55</v>
      </c>
      <c r="E64" s="74" t="s">
        <v>24</v>
      </c>
      <c r="F64" s="73" t="s">
        <v>17</v>
      </c>
      <c r="G64" s="75">
        <v>15000</v>
      </c>
      <c r="H64" s="78">
        <v>46220</v>
      </c>
      <c r="I64" s="75">
        <v>3000</v>
      </c>
    </row>
    <row r="65" spans="1:9" ht="14.4" hidden="1" customHeight="1" x14ac:dyDescent="0.3">
      <c r="A65" s="74" t="s">
        <v>22</v>
      </c>
      <c r="B65" s="74" t="s">
        <v>23</v>
      </c>
      <c r="C65" s="74" t="s">
        <v>11</v>
      </c>
      <c r="D65" s="74">
        <v>55</v>
      </c>
      <c r="E65" s="74" t="s">
        <v>24</v>
      </c>
      <c r="F65" s="73" t="s">
        <v>17</v>
      </c>
      <c r="G65" s="75">
        <v>15000</v>
      </c>
      <c r="H65" s="78">
        <v>46227</v>
      </c>
      <c r="I65" s="75">
        <v>3000</v>
      </c>
    </row>
    <row r="66" spans="1:9" ht="14.4" hidden="1" customHeight="1" x14ac:dyDescent="0.3">
      <c r="A66" s="74" t="s">
        <v>22</v>
      </c>
      <c r="B66" s="74" t="s">
        <v>23</v>
      </c>
      <c r="C66" s="74" t="s">
        <v>11</v>
      </c>
      <c r="D66" s="74">
        <v>55</v>
      </c>
      <c r="E66" s="74" t="s">
        <v>24</v>
      </c>
      <c r="F66" s="73" t="s">
        <v>17</v>
      </c>
      <c r="G66" s="75">
        <v>15000</v>
      </c>
      <c r="H66" s="78">
        <v>46234</v>
      </c>
      <c r="I66" s="75">
        <v>2400</v>
      </c>
    </row>
    <row r="67" spans="1:9" ht="14.4" hidden="1" customHeight="1" x14ac:dyDescent="0.3">
      <c r="A67" s="74" t="s">
        <v>22</v>
      </c>
      <c r="B67" s="74" t="s">
        <v>23</v>
      </c>
      <c r="C67" s="74" t="s">
        <v>11</v>
      </c>
      <c r="D67" s="74">
        <v>55</v>
      </c>
      <c r="E67" s="74" t="s">
        <v>24</v>
      </c>
      <c r="F67" s="73" t="s">
        <v>17</v>
      </c>
      <c r="G67" s="75">
        <v>15000</v>
      </c>
      <c r="H67" s="78">
        <v>46241</v>
      </c>
      <c r="I67" s="75">
        <v>2400</v>
      </c>
    </row>
    <row r="68" spans="1:9" ht="14.4" hidden="1" customHeight="1" x14ac:dyDescent="0.3">
      <c r="A68" s="74" t="s">
        <v>22</v>
      </c>
      <c r="B68" s="74" t="s">
        <v>23</v>
      </c>
      <c r="C68" s="74" t="s">
        <v>11</v>
      </c>
      <c r="D68" s="74">
        <v>55</v>
      </c>
      <c r="E68" s="74" t="s">
        <v>24</v>
      </c>
      <c r="F68" s="73" t="s">
        <v>17</v>
      </c>
      <c r="G68" s="75">
        <v>15000</v>
      </c>
      <c r="H68" s="78">
        <v>46255</v>
      </c>
      <c r="I68" s="75">
        <v>2400</v>
      </c>
    </row>
    <row r="69" spans="1:9" ht="14.4" hidden="1" customHeight="1" x14ac:dyDescent="0.3">
      <c r="A69" s="74" t="s">
        <v>22</v>
      </c>
      <c r="B69" s="74" t="s">
        <v>23</v>
      </c>
      <c r="C69" s="74" t="s">
        <v>11</v>
      </c>
      <c r="D69" s="74">
        <v>55</v>
      </c>
      <c r="E69" s="74" t="s">
        <v>24</v>
      </c>
      <c r="F69" s="73" t="s">
        <v>17</v>
      </c>
      <c r="G69" s="75">
        <v>15000</v>
      </c>
      <c r="H69" s="78">
        <v>46262</v>
      </c>
      <c r="I69" s="75">
        <v>2400</v>
      </c>
    </row>
    <row r="70" spans="1:9" ht="14.4" hidden="1" customHeight="1" x14ac:dyDescent="0.3">
      <c r="A70" s="74" t="s">
        <v>22</v>
      </c>
      <c r="B70" s="74" t="s">
        <v>23</v>
      </c>
      <c r="C70" s="74" t="s">
        <v>11</v>
      </c>
      <c r="D70" s="74">
        <v>55</v>
      </c>
      <c r="E70" s="74" t="s">
        <v>24</v>
      </c>
      <c r="F70" s="73" t="s">
        <v>17</v>
      </c>
      <c r="G70" s="75">
        <v>15000</v>
      </c>
      <c r="H70" s="78">
        <v>46269</v>
      </c>
      <c r="I70" s="75">
        <v>3750</v>
      </c>
    </row>
    <row r="71" spans="1:9" ht="14.4" hidden="1" customHeight="1" x14ac:dyDescent="0.3">
      <c r="A71" s="74" t="s">
        <v>22</v>
      </c>
      <c r="B71" s="74" t="s">
        <v>23</v>
      </c>
      <c r="C71" s="74" t="s">
        <v>11</v>
      </c>
      <c r="D71" s="74">
        <v>55</v>
      </c>
      <c r="E71" s="74" t="s">
        <v>24</v>
      </c>
      <c r="F71" s="73" t="s">
        <v>17</v>
      </c>
      <c r="G71" s="75">
        <v>15000</v>
      </c>
      <c r="H71" s="78">
        <v>46276</v>
      </c>
      <c r="I71" s="75">
        <v>3750</v>
      </c>
    </row>
    <row r="72" spans="1:9" ht="14.4" hidden="1" customHeight="1" x14ac:dyDescent="0.3">
      <c r="A72" s="74" t="s">
        <v>22</v>
      </c>
      <c r="B72" s="74" t="s">
        <v>23</v>
      </c>
      <c r="C72" s="74" t="s">
        <v>11</v>
      </c>
      <c r="D72" s="74">
        <v>55</v>
      </c>
      <c r="E72" s="74" t="s">
        <v>24</v>
      </c>
      <c r="F72" s="73" t="s">
        <v>17</v>
      </c>
      <c r="G72" s="75">
        <v>15000</v>
      </c>
      <c r="H72" s="78">
        <v>46283</v>
      </c>
      <c r="I72" s="75">
        <v>3750</v>
      </c>
    </row>
    <row r="73" spans="1:9" ht="14.4" hidden="1" customHeight="1" x14ac:dyDescent="0.3">
      <c r="A73" s="74" t="s">
        <v>22</v>
      </c>
      <c r="B73" s="74" t="s">
        <v>23</v>
      </c>
      <c r="C73" s="74" t="s">
        <v>11</v>
      </c>
      <c r="D73" s="74">
        <v>55</v>
      </c>
      <c r="E73" s="74" t="s">
        <v>24</v>
      </c>
      <c r="F73" s="73" t="s">
        <v>17</v>
      </c>
      <c r="G73" s="75">
        <v>15000</v>
      </c>
      <c r="H73" s="78">
        <v>46290</v>
      </c>
      <c r="I73" s="75">
        <v>3750</v>
      </c>
    </row>
    <row r="74" spans="1:9" ht="14.4" hidden="1" customHeight="1" x14ac:dyDescent="0.3">
      <c r="A74" s="74" t="s">
        <v>22</v>
      </c>
      <c r="B74" s="74" t="s">
        <v>23</v>
      </c>
      <c r="C74" s="74" t="s">
        <v>11</v>
      </c>
      <c r="D74" s="74">
        <v>55</v>
      </c>
      <c r="E74" s="74" t="s">
        <v>24</v>
      </c>
      <c r="F74" s="73" t="s">
        <v>17</v>
      </c>
      <c r="G74" s="75">
        <v>15000</v>
      </c>
      <c r="H74" s="78">
        <v>46297</v>
      </c>
      <c r="I74" s="75">
        <v>3000</v>
      </c>
    </row>
    <row r="75" spans="1:9" ht="14.4" hidden="1" customHeight="1" x14ac:dyDescent="0.3">
      <c r="A75" s="74" t="s">
        <v>22</v>
      </c>
      <c r="B75" s="74" t="s">
        <v>23</v>
      </c>
      <c r="C75" s="74" t="s">
        <v>11</v>
      </c>
      <c r="D75" s="74">
        <v>55</v>
      </c>
      <c r="E75" s="74" t="s">
        <v>24</v>
      </c>
      <c r="F75" s="73" t="s">
        <v>17</v>
      </c>
      <c r="G75" s="75">
        <v>15000</v>
      </c>
      <c r="H75" s="78">
        <v>46304</v>
      </c>
      <c r="I75" s="75">
        <v>3000</v>
      </c>
    </row>
    <row r="76" spans="1:9" ht="14.4" hidden="1" customHeight="1" x14ac:dyDescent="0.3">
      <c r="A76" s="74" t="s">
        <v>22</v>
      </c>
      <c r="B76" s="74" t="s">
        <v>23</v>
      </c>
      <c r="C76" s="74" t="s">
        <v>11</v>
      </c>
      <c r="D76" s="74">
        <v>55</v>
      </c>
      <c r="E76" s="74" t="s">
        <v>24</v>
      </c>
      <c r="F76" s="73" t="s">
        <v>17</v>
      </c>
      <c r="G76" s="75">
        <v>15000</v>
      </c>
      <c r="H76" s="78">
        <v>46311</v>
      </c>
      <c r="I76" s="75">
        <v>3000</v>
      </c>
    </row>
    <row r="77" spans="1:9" ht="14.4" hidden="1" customHeight="1" x14ac:dyDescent="0.3">
      <c r="A77" s="74" t="s">
        <v>22</v>
      </c>
      <c r="B77" s="74" t="s">
        <v>23</v>
      </c>
      <c r="C77" s="74" t="s">
        <v>11</v>
      </c>
      <c r="D77" s="74">
        <v>55</v>
      </c>
      <c r="E77" s="74" t="s">
        <v>24</v>
      </c>
      <c r="F77" s="73" t="s">
        <v>17</v>
      </c>
      <c r="G77" s="75">
        <v>15000</v>
      </c>
      <c r="H77" s="78">
        <v>46318</v>
      </c>
      <c r="I77" s="75">
        <v>3000</v>
      </c>
    </row>
    <row r="78" spans="1:9" ht="14.4" hidden="1" customHeight="1" x14ac:dyDescent="0.3">
      <c r="A78" s="74" t="s">
        <v>22</v>
      </c>
      <c r="B78" s="74" t="s">
        <v>23</v>
      </c>
      <c r="C78" s="74" t="s">
        <v>11</v>
      </c>
      <c r="D78" s="74">
        <v>55</v>
      </c>
      <c r="E78" s="74" t="s">
        <v>24</v>
      </c>
      <c r="F78" s="73" t="s">
        <v>17</v>
      </c>
      <c r="G78" s="75">
        <v>15000</v>
      </c>
      <c r="H78" s="78">
        <v>46325</v>
      </c>
      <c r="I78" s="75">
        <v>3000</v>
      </c>
    </row>
    <row r="79" spans="1:9" ht="14.4" hidden="1" customHeight="1" x14ac:dyDescent="0.3">
      <c r="A79" s="74" t="s">
        <v>22</v>
      </c>
      <c r="B79" s="74" t="s">
        <v>23</v>
      </c>
      <c r="C79" s="74" t="s">
        <v>11</v>
      </c>
      <c r="D79" s="74">
        <v>55</v>
      </c>
      <c r="E79" s="74" t="s">
        <v>24</v>
      </c>
      <c r="F79" s="73" t="s">
        <v>17</v>
      </c>
      <c r="G79" s="75">
        <v>15000</v>
      </c>
      <c r="H79" s="78">
        <v>46332</v>
      </c>
      <c r="I79" s="75">
        <v>6250</v>
      </c>
    </row>
    <row r="80" spans="1:9" ht="14.4" hidden="1" customHeight="1" x14ac:dyDescent="0.3">
      <c r="A80" s="74" t="s">
        <v>22</v>
      </c>
      <c r="B80" s="74" t="s">
        <v>23</v>
      </c>
      <c r="C80" s="74" t="s">
        <v>11</v>
      </c>
      <c r="D80" s="74">
        <v>55</v>
      </c>
      <c r="E80" s="74" t="s">
        <v>24</v>
      </c>
      <c r="F80" s="73" t="s">
        <v>17</v>
      </c>
      <c r="G80" s="75">
        <v>15000</v>
      </c>
      <c r="H80" s="78">
        <v>46339</v>
      </c>
      <c r="I80" s="75">
        <v>6250</v>
      </c>
    </row>
    <row r="81" spans="1:9" ht="14.4" hidden="1" customHeight="1" x14ac:dyDescent="0.3">
      <c r="A81" s="74" t="s">
        <v>22</v>
      </c>
      <c r="B81" s="74" t="s">
        <v>23</v>
      </c>
      <c r="C81" s="74" t="s">
        <v>11</v>
      </c>
      <c r="D81" s="74">
        <v>55</v>
      </c>
      <c r="E81" s="74" t="s">
        <v>24</v>
      </c>
      <c r="F81" s="73" t="s">
        <v>17</v>
      </c>
      <c r="G81" s="75">
        <v>15000</v>
      </c>
      <c r="H81" s="78">
        <v>46346</v>
      </c>
      <c r="I81" s="75">
        <v>6250</v>
      </c>
    </row>
    <row r="82" spans="1:9" ht="14.4" hidden="1" customHeight="1" x14ac:dyDescent="0.3">
      <c r="A82" s="74" t="s">
        <v>22</v>
      </c>
      <c r="B82" s="74" t="s">
        <v>23</v>
      </c>
      <c r="C82" s="74" t="s">
        <v>11</v>
      </c>
      <c r="D82" s="74">
        <v>55</v>
      </c>
      <c r="E82" s="74" t="s">
        <v>24</v>
      </c>
      <c r="F82" s="73" t="s">
        <v>17</v>
      </c>
      <c r="G82" s="75">
        <v>15000</v>
      </c>
      <c r="H82" s="78">
        <v>46353</v>
      </c>
      <c r="I82" s="75">
        <v>6250</v>
      </c>
    </row>
    <row r="83" spans="1:9" ht="14.4" hidden="1" customHeight="1" x14ac:dyDescent="0.3">
      <c r="A83" s="74" t="s">
        <v>22</v>
      </c>
      <c r="B83" s="74" t="s">
        <v>23</v>
      </c>
      <c r="C83" s="74" t="s">
        <v>11</v>
      </c>
      <c r="D83" s="74">
        <v>55</v>
      </c>
      <c r="E83" s="74" t="s">
        <v>24</v>
      </c>
      <c r="F83" s="73" t="s">
        <v>17</v>
      </c>
      <c r="G83" s="75">
        <v>15000</v>
      </c>
      <c r="H83" s="78">
        <v>46360</v>
      </c>
      <c r="I83" s="75">
        <v>6250</v>
      </c>
    </row>
    <row r="84" spans="1:9" ht="14.4" hidden="1" customHeight="1" x14ac:dyDescent="0.3">
      <c r="A84" s="74" t="s">
        <v>22</v>
      </c>
      <c r="B84" s="74" t="s">
        <v>23</v>
      </c>
      <c r="C84" s="74" t="s">
        <v>11</v>
      </c>
      <c r="D84" s="74">
        <v>55</v>
      </c>
      <c r="E84" s="74" t="s">
        <v>24</v>
      </c>
      <c r="F84" s="73" t="s">
        <v>17</v>
      </c>
      <c r="G84" s="75">
        <v>15000</v>
      </c>
      <c r="H84" s="78">
        <v>46367</v>
      </c>
      <c r="I84" s="75">
        <v>6250</v>
      </c>
    </row>
    <row r="85" spans="1:9" ht="14.4" hidden="1" customHeight="1" x14ac:dyDescent="0.3">
      <c r="A85" s="74" t="s">
        <v>22</v>
      </c>
      <c r="B85" s="74" t="s">
        <v>23</v>
      </c>
      <c r="C85" s="74" t="s">
        <v>11</v>
      </c>
      <c r="D85" s="74">
        <v>55</v>
      </c>
      <c r="E85" s="74" t="s">
        <v>24</v>
      </c>
      <c r="F85" s="73" t="s">
        <v>17</v>
      </c>
      <c r="G85" s="75">
        <v>15000</v>
      </c>
      <c r="H85" s="78">
        <v>46374</v>
      </c>
      <c r="I85" s="75">
        <v>6250</v>
      </c>
    </row>
    <row r="86" spans="1:9" ht="14.4" hidden="1" customHeight="1" x14ac:dyDescent="0.3">
      <c r="A86" s="74" t="s">
        <v>22</v>
      </c>
      <c r="B86" s="74" t="s">
        <v>23</v>
      </c>
      <c r="C86" s="74" t="s">
        <v>11</v>
      </c>
      <c r="D86" s="74">
        <v>55</v>
      </c>
      <c r="E86" s="74" t="s">
        <v>24</v>
      </c>
      <c r="F86" s="73" t="s">
        <v>17</v>
      </c>
      <c r="G86" s="75">
        <v>15000</v>
      </c>
      <c r="H86" s="78">
        <v>46381</v>
      </c>
      <c r="I86" s="75">
        <v>6250</v>
      </c>
    </row>
    <row r="87" spans="1:9" ht="14.4" customHeight="1" x14ac:dyDescent="0.3">
      <c r="A87" s="74" t="s">
        <v>25</v>
      </c>
      <c r="B87" s="74" t="s">
        <v>26</v>
      </c>
      <c r="C87" s="74" t="s">
        <v>27</v>
      </c>
      <c r="D87" s="74">
        <v>80</v>
      </c>
      <c r="E87" s="74" t="s">
        <v>28</v>
      </c>
      <c r="F87" s="73" t="s">
        <v>29</v>
      </c>
      <c r="G87" s="74">
        <v>5000</v>
      </c>
      <c r="H87" s="78">
        <v>46157</v>
      </c>
      <c r="I87" s="75">
        <v>270</v>
      </c>
    </row>
    <row r="88" spans="1:9" ht="14.4" customHeight="1" x14ac:dyDescent="0.3">
      <c r="A88" s="74" t="s">
        <v>25</v>
      </c>
      <c r="B88" s="74" t="s">
        <v>26</v>
      </c>
      <c r="C88" s="74" t="s">
        <v>27</v>
      </c>
      <c r="D88" s="74">
        <v>80</v>
      </c>
      <c r="E88" s="74" t="s">
        <v>28</v>
      </c>
      <c r="F88" s="73" t="s">
        <v>29</v>
      </c>
      <c r="G88" s="74">
        <v>5000</v>
      </c>
      <c r="H88" s="78">
        <v>46157</v>
      </c>
      <c r="I88" s="75">
        <v>270</v>
      </c>
    </row>
    <row r="89" spans="1:9" ht="14.4" customHeight="1" x14ac:dyDescent="0.3">
      <c r="A89" s="74" t="s">
        <v>25</v>
      </c>
      <c r="B89" s="74" t="s">
        <v>26</v>
      </c>
      <c r="C89" s="74" t="s">
        <v>27</v>
      </c>
      <c r="D89" s="74">
        <v>80</v>
      </c>
      <c r="E89" s="74" t="s">
        <v>28</v>
      </c>
      <c r="F89" s="73" t="s">
        <v>29</v>
      </c>
      <c r="G89" s="74">
        <v>5000</v>
      </c>
      <c r="H89" s="78">
        <v>46157</v>
      </c>
      <c r="I89" s="75">
        <v>270</v>
      </c>
    </row>
    <row r="90" spans="1:9" ht="14.4" customHeight="1" x14ac:dyDescent="0.3">
      <c r="A90" s="74" t="s">
        <v>25</v>
      </c>
      <c r="B90" s="74" t="s">
        <v>26</v>
      </c>
      <c r="C90" s="74" t="s">
        <v>27</v>
      </c>
      <c r="D90" s="74">
        <v>80</v>
      </c>
      <c r="E90" s="74" t="s">
        <v>28</v>
      </c>
      <c r="F90" s="73" t="s">
        <v>29</v>
      </c>
      <c r="G90" s="74">
        <v>5000</v>
      </c>
      <c r="H90" s="78">
        <v>46157</v>
      </c>
      <c r="I90" s="75">
        <v>270</v>
      </c>
    </row>
    <row r="91" spans="1:9" ht="14.4" customHeight="1" x14ac:dyDescent="0.3">
      <c r="A91" s="74" t="s">
        <v>25</v>
      </c>
      <c r="B91" s="74" t="s">
        <v>26</v>
      </c>
      <c r="C91" s="74" t="s">
        <v>27</v>
      </c>
      <c r="D91" s="74">
        <v>80</v>
      </c>
      <c r="E91" s="74" t="s">
        <v>28</v>
      </c>
      <c r="F91" s="73" t="s">
        <v>29</v>
      </c>
      <c r="G91" s="74">
        <v>5000</v>
      </c>
      <c r="H91" s="78">
        <v>46157</v>
      </c>
      <c r="I91" s="75">
        <v>270</v>
      </c>
    </row>
    <row r="92" spans="1:9" ht="14.4" customHeight="1" x14ac:dyDescent="0.3">
      <c r="A92" s="74" t="s">
        <v>25</v>
      </c>
      <c r="B92" s="74" t="s">
        <v>26</v>
      </c>
      <c r="C92" s="74" t="s">
        <v>27</v>
      </c>
      <c r="D92" s="74">
        <v>80</v>
      </c>
      <c r="E92" s="74" t="s">
        <v>28</v>
      </c>
      <c r="F92" s="73" t="s">
        <v>29</v>
      </c>
      <c r="G92" s="74">
        <v>5000</v>
      </c>
      <c r="H92" s="78">
        <v>46157</v>
      </c>
      <c r="I92" s="75">
        <v>270</v>
      </c>
    </row>
    <row r="93" spans="1:9" ht="14.4" customHeight="1" x14ac:dyDescent="0.3">
      <c r="A93" s="74" t="s">
        <v>25</v>
      </c>
      <c r="B93" s="74" t="s">
        <v>26</v>
      </c>
      <c r="C93" s="74" t="s">
        <v>27</v>
      </c>
      <c r="D93" s="74">
        <v>80</v>
      </c>
      <c r="E93" s="74" t="s">
        <v>28</v>
      </c>
      <c r="F93" s="73" t="s">
        <v>29</v>
      </c>
      <c r="G93" s="74">
        <v>5000</v>
      </c>
      <c r="H93" s="78">
        <v>46157</v>
      </c>
      <c r="I93" s="75">
        <v>270</v>
      </c>
    </row>
    <row r="94" spans="1:9" ht="14.4" customHeight="1" x14ac:dyDescent="0.3">
      <c r="A94" s="74" t="s">
        <v>25</v>
      </c>
      <c r="B94" s="74" t="s">
        <v>26</v>
      </c>
      <c r="C94" s="74" t="s">
        <v>27</v>
      </c>
      <c r="D94" s="74">
        <v>80</v>
      </c>
      <c r="E94" s="74" t="s">
        <v>28</v>
      </c>
      <c r="F94" s="73" t="s">
        <v>29</v>
      </c>
      <c r="G94" s="74">
        <v>5000</v>
      </c>
      <c r="H94" s="78">
        <v>46157</v>
      </c>
      <c r="I94" s="75">
        <v>270</v>
      </c>
    </row>
    <row r="95" spans="1:9" ht="14.4" customHeight="1" x14ac:dyDescent="0.3">
      <c r="A95" s="74" t="s">
        <v>25</v>
      </c>
      <c r="B95" s="74" t="s">
        <v>26</v>
      </c>
      <c r="C95" s="74" t="s">
        <v>27</v>
      </c>
      <c r="D95" s="74">
        <v>80</v>
      </c>
      <c r="E95" s="74" t="s">
        <v>28</v>
      </c>
      <c r="F95" s="73" t="s">
        <v>29</v>
      </c>
      <c r="G95" s="74">
        <v>5000</v>
      </c>
      <c r="H95" s="78">
        <v>46157</v>
      </c>
      <c r="I95" s="75">
        <v>270</v>
      </c>
    </row>
    <row r="96" spans="1:9" ht="14.4" customHeight="1" x14ac:dyDescent="0.3">
      <c r="A96" s="74" t="s">
        <v>25</v>
      </c>
      <c r="B96" s="74" t="s">
        <v>26</v>
      </c>
      <c r="C96" s="74" t="s">
        <v>27</v>
      </c>
      <c r="D96" s="74">
        <v>80</v>
      </c>
      <c r="E96" s="74" t="s">
        <v>28</v>
      </c>
      <c r="F96" s="73" t="s">
        <v>29</v>
      </c>
      <c r="G96" s="74">
        <v>5000</v>
      </c>
      <c r="H96" s="78">
        <v>46157</v>
      </c>
      <c r="I96" s="75">
        <v>270</v>
      </c>
    </row>
    <row r="97" spans="1:9" ht="14.4" customHeight="1" x14ac:dyDescent="0.3">
      <c r="A97" s="74" t="s">
        <v>25</v>
      </c>
      <c r="B97" s="74" t="s">
        <v>26</v>
      </c>
      <c r="C97" s="74" t="s">
        <v>27</v>
      </c>
      <c r="D97" s="74">
        <v>80</v>
      </c>
      <c r="E97" s="74" t="s">
        <v>28</v>
      </c>
      <c r="F97" s="73" t="s">
        <v>29</v>
      </c>
      <c r="G97" s="74">
        <v>5000</v>
      </c>
      <c r="H97" s="78">
        <v>46157</v>
      </c>
      <c r="I97" s="75">
        <v>270</v>
      </c>
    </row>
    <row r="98" spans="1:9" ht="14.4" customHeight="1" x14ac:dyDescent="0.3">
      <c r="A98" s="74" t="s">
        <v>25</v>
      </c>
      <c r="B98" s="74" t="s">
        <v>26</v>
      </c>
      <c r="C98" s="74" t="s">
        <v>27</v>
      </c>
      <c r="D98" s="74">
        <v>80</v>
      </c>
      <c r="E98" s="74" t="s">
        <v>28</v>
      </c>
      <c r="F98" s="73" t="s">
        <v>29</v>
      </c>
      <c r="G98" s="74">
        <v>5000</v>
      </c>
      <c r="H98" s="78">
        <v>46157</v>
      </c>
      <c r="I98" s="75">
        <v>270</v>
      </c>
    </row>
    <row r="99" spans="1:9" ht="14.4" customHeight="1" x14ac:dyDescent="0.3">
      <c r="A99" s="74" t="s">
        <v>25</v>
      </c>
      <c r="B99" s="74" t="s">
        <v>26</v>
      </c>
      <c r="C99" s="74" t="s">
        <v>27</v>
      </c>
      <c r="D99" s="74">
        <v>80</v>
      </c>
      <c r="E99" s="74" t="s">
        <v>28</v>
      </c>
      <c r="F99" s="73" t="s">
        <v>29</v>
      </c>
      <c r="G99" s="74">
        <v>5000</v>
      </c>
      <c r="H99" s="78">
        <v>46157</v>
      </c>
      <c r="I99" s="75">
        <v>270</v>
      </c>
    </row>
    <row r="100" spans="1:9" ht="14.4" customHeight="1" x14ac:dyDescent="0.3">
      <c r="A100" s="74" t="s">
        <v>25</v>
      </c>
      <c r="B100" s="74" t="s">
        <v>26</v>
      </c>
      <c r="C100" s="74" t="s">
        <v>27</v>
      </c>
      <c r="D100" s="74">
        <v>80</v>
      </c>
      <c r="E100" s="74" t="s">
        <v>28</v>
      </c>
      <c r="F100" s="73" t="s">
        <v>29</v>
      </c>
      <c r="G100" s="74">
        <v>5000</v>
      </c>
      <c r="H100" s="78">
        <v>46157</v>
      </c>
      <c r="I100" s="75">
        <v>270</v>
      </c>
    </row>
    <row r="101" spans="1:9" ht="14.4" customHeight="1" x14ac:dyDescent="0.3">
      <c r="A101" s="74" t="s">
        <v>25</v>
      </c>
      <c r="B101" s="74" t="s">
        <v>26</v>
      </c>
      <c r="C101" s="74" t="s">
        <v>27</v>
      </c>
      <c r="D101" s="74">
        <v>80</v>
      </c>
      <c r="E101" s="74" t="s">
        <v>28</v>
      </c>
      <c r="F101" s="73" t="s">
        <v>29</v>
      </c>
      <c r="G101" s="74">
        <v>5000</v>
      </c>
      <c r="H101" s="78">
        <v>46157</v>
      </c>
      <c r="I101" s="75">
        <v>270</v>
      </c>
    </row>
    <row r="102" spans="1:9" ht="14.4" customHeight="1" x14ac:dyDescent="0.3">
      <c r="A102" s="74" t="s">
        <v>25</v>
      </c>
      <c r="B102" s="74" t="s">
        <v>26</v>
      </c>
      <c r="C102" s="74" t="s">
        <v>27</v>
      </c>
      <c r="D102" s="74">
        <v>80</v>
      </c>
      <c r="E102" s="74" t="s">
        <v>28</v>
      </c>
      <c r="F102" s="73" t="s">
        <v>29</v>
      </c>
      <c r="G102" s="74">
        <v>5000</v>
      </c>
      <c r="H102" s="78">
        <v>46157</v>
      </c>
      <c r="I102" s="75">
        <v>270</v>
      </c>
    </row>
    <row r="103" spans="1:9" ht="14.4" customHeight="1" x14ac:dyDescent="0.3">
      <c r="A103" s="74" t="s">
        <v>25</v>
      </c>
      <c r="B103" s="74" t="s">
        <v>26</v>
      </c>
      <c r="C103" s="74" t="s">
        <v>27</v>
      </c>
      <c r="D103" s="74">
        <v>80</v>
      </c>
      <c r="E103" s="74" t="s">
        <v>28</v>
      </c>
      <c r="F103" s="73" t="s">
        <v>29</v>
      </c>
      <c r="G103" s="74">
        <v>5000</v>
      </c>
      <c r="H103" s="78">
        <v>46164</v>
      </c>
      <c r="I103" s="75">
        <v>270</v>
      </c>
    </row>
    <row r="104" spans="1:9" ht="14.4" customHeight="1" x14ac:dyDescent="0.3">
      <c r="A104" s="74" t="s">
        <v>25</v>
      </c>
      <c r="B104" s="74" t="s">
        <v>26</v>
      </c>
      <c r="C104" s="74" t="s">
        <v>27</v>
      </c>
      <c r="D104" s="74">
        <v>80</v>
      </c>
      <c r="E104" s="74" t="s">
        <v>28</v>
      </c>
      <c r="F104" s="73" t="s">
        <v>29</v>
      </c>
      <c r="G104" s="74">
        <v>5000</v>
      </c>
      <c r="H104" s="78">
        <v>46164</v>
      </c>
      <c r="I104" s="75">
        <v>270</v>
      </c>
    </row>
    <row r="105" spans="1:9" ht="14.4" customHeight="1" x14ac:dyDescent="0.3">
      <c r="A105" s="74" t="s">
        <v>25</v>
      </c>
      <c r="B105" s="74" t="s">
        <v>26</v>
      </c>
      <c r="C105" s="74" t="s">
        <v>27</v>
      </c>
      <c r="D105" s="74">
        <v>80</v>
      </c>
      <c r="E105" s="74" t="s">
        <v>28</v>
      </c>
      <c r="F105" s="73" t="s">
        <v>29</v>
      </c>
      <c r="G105" s="74">
        <v>5000</v>
      </c>
      <c r="H105" s="78">
        <v>46164</v>
      </c>
      <c r="I105" s="75">
        <v>270</v>
      </c>
    </row>
    <row r="106" spans="1:9" ht="14.4" customHeight="1" x14ac:dyDescent="0.3">
      <c r="A106" s="74" t="s">
        <v>25</v>
      </c>
      <c r="B106" s="74" t="s">
        <v>26</v>
      </c>
      <c r="C106" s="74" t="s">
        <v>27</v>
      </c>
      <c r="D106" s="74">
        <v>80</v>
      </c>
      <c r="E106" s="74" t="s">
        <v>28</v>
      </c>
      <c r="F106" s="73" t="s">
        <v>29</v>
      </c>
      <c r="G106" s="74">
        <v>5000</v>
      </c>
      <c r="H106" s="78">
        <v>46164</v>
      </c>
      <c r="I106" s="75">
        <v>270</v>
      </c>
    </row>
    <row r="107" spans="1:9" ht="14.4" customHeight="1" x14ac:dyDescent="0.3">
      <c r="A107" s="74" t="s">
        <v>25</v>
      </c>
      <c r="B107" s="74" t="s">
        <v>26</v>
      </c>
      <c r="C107" s="74" t="s">
        <v>27</v>
      </c>
      <c r="D107" s="74">
        <v>80</v>
      </c>
      <c r="E107" s="74" t="s">
        <v>28</v>
      </c>
      <c r="F107" s="73" t="s">
        <v>29</v>
      </c>
      <c r="G107" s="74">
        <v>5000</v>
      </c>
      <c r="H107" s="78">
        <v>46164</v>
      </c>
      <c r="I107" s="75">
        <v>270</v>
      </c>
    </row>
    <row r="108" spans="1:9" ht="14.4" customHeight="1" x14ac:dyDescent="0.3">
      <c r="A108" s="74" t="s">
        <v>25</v>
      </c>
      <c r="B108" s="74" t="s">
        <v>26</v>
      </c>
      <c r="C108" s="74" t="s">
        <v>27</v>
      </c>
      <c r="D108" s="74">
        <v>80</v>
      </c>
      <c r="E108" s="74" t="s">
        <v>28</v>
      </c>
      <c r="F108" s="73" t="s">
        <v>29</v>
      </c>
      <c r="G108" s="74">
        <v>5000</v>
      </c>
      <c r="H108" s="78">
        <v>46164</v>
      </c>
      <c r="I108" s="75">
        <v>270</v>
      </c>
    </row>
    <row r="109" spans="1:9" ht="14.4" customHeight="1" x14ac:dyDescent="0.3">
      <c r="A109" s="74" t="s">
        <v>25</v>
      </c>
      <c r="B109" s="74" t="s">
        <v>26</v>
      </c>
      <c r="C109" s="74" t="s">
        <v>27</v>
      </c>
      <c r="D109" s="74">
        <v>80</v>
      </c>
      <c r="E109" s="74" t="s">
        <v>28</v>
      </c>
      <c r="F109" s="73" t="s">
        <v>29</v>
      </c>
      <c r="G109" s="74">
        <v>5000</v>
      </c>
      <c r="H109" s="78">
        <v>46164</v>
      </c>
      <c r="I109" s="75">
        <v>270</v>
      </c>
    </row>
    <row r="110" spans="1:9" ht="14.4" customHeight="1" x14ac:dyDescent="0.3">
      <c r="A110" s="74" t="s">
        <v>25</v>
      </c>
      <c r="B110" s="74" t="s">
        <v>26</v>
      </c>
      <c r="C110" s="74" t="s">
        <v>27</v>
      </c>
      <c r="D110" s="74">
        <v>80</v>
      </c>
      <c r="E110" s="74" t="s">
        <v>28</v>
      </c>
      <c r="F110" s="73" t="s">
        <v>29</v>
      </c>
      <c r="G110" s="74">
        <v>5000</v>
      </c>
      <c r="H110" s="78">
        <v>46164</v>
      </c>
      <c r="I110" s="75">
        <v>270</v>
      </c>
    </row>
    <row r="111" spans="1:9" ht="14.4" customHeight="1" x14ac:dyDescent="0.3">
      <c r="A111" s="74" t="s">
        <v>25</v>
      </c>
      <c r="B111" s="74" t="s">
        <v>26</v>
      </c>
      <c r="C111" s="74" t="s">
        <v>27</v>
      </c>
      <c r="D111" s="74">
        <v>80</v>
      </c>
      <c r="E111" s="74" t="s">
        <v>28</v>
      </c>
      <c r="F111" s="73" t="s">
        <v>29</v>
      </c>
      <c r="G111" s="74">
        <v>5000</v>
      </c>
      <c r="H111" s="78">
        <v>46164</v>
      </c>
      <c r="I111" s="75">
        <v>270</v>
      </c>
    </row>
    <row r="112" spans="1:9" ht="14.4" customHeight="1" x14ac:dyDescent="0.3">
      <c r="A112" s="74" t="s">
        <v>25</v>
      </c>
      <c r="B112" s="74" t="s">
        <v>26</v>
      </c>
      <c r="C112" s="74" t="s">
        <v>27</v>
      </c>
      <c r="D112" s="74">
        <v>80</v>
      </c>
      <c r="E112" s="74" t="s">
        <v>28</v>
      </c>
      <c r="F112" s="73" t="s">
        <v>29</v>
      </c>
      <c r="G112" s="74">
        <v>5000</v>
      </c>
      <c r="H112" s="78">
        <v>46164</v>
      </c>
      <c r="I112" s="75">
        <v>270</v>
      </c>
    </row>
    <row r="113" spans="1:9" ht="14.4" customHeight="1" x14ac:dyDescent="0.3">
      <c r="A113" s="74" t="s">
        <v>25</v>
      </c>
      <c r="B113" s="74" t="s">
        <v>26</v>
      </c>
      <c r="C113" s="74" t="s">
        <v>27</v>
      </c>
      <c r="D113" s="74">
        <v>80</v>
      </c>
      <c r="E113" s="74" t="s">
        <v>28</v>
      </c>
      <c r="F113" s="73" t="s">
        <v>29</v>
      </c>
      <c r="G113" s="74">
        <v>5000</v>
      </c>
      <c r="H113" s="78">
        <v>46164</v>
      </c>
      <c r="I113" s="75">
        <v>270</v>
      </c>
    </row>
    <row r="114" spans="1:9" ht="14.4" customHeight="1" x14ac:dyDescent="0.3">
      <c r="A114" s="74" t="s">
        <v>25</v>
      </c>
      <c r="B114" s="74" t="s">
        <v>26</v>
      </c>
      <c r="C114" s="74" t="s">
        <v>27</v>
      </c>
      <c r="D114" s="74">
        <v>80</v>
      </c>
      <c r="E114" s="74" t="s">
        <v>28</v>
      </c>
      <c r="F114" s="73" t="s">
        <v>29</v>
      </c>
      <c r="G114" s="74">
        <v>5000</v>
      </c>
      <c r="H114" s="78">
        <v>46164</v>
      </c>
      <c r="I114" s="75">
        <v>270</v>
      </c>
    </row>
    <row r="115" spans="1:9" ht="14.4" customHeight="1" x14ac:dyDescent="0.3">
      <c r="A115" s="74" t="s">
        <v>25</v>
      </c>
      <c r="B115" s="74" t="s">
        <v>26</v>
      </c>
      <c r="C115" s="74" t="s">
        <v>27</v>
      </c>
      <c r="D115" s="74">
        <v>80</v>
      </c>
      <c r="E115" s="74" t="s">
        <v>28</v>
      </c>
      <c r="F115" s="73" t="s">
        <v>29</v>
      </c>
      <c r="G115" s="74">
        <v>5000</v>
      </c>
      <c r="H115" s="78">
        <v>46164</v>
      </c>
      <c r="I115" s="75">
        <v>270</v>
      </c>
    </row>
    <row r="116" spans="1:9" ht="14.4" customHeight="1" x14ac:dyDescent="0.3">
      <c r="A116" s="74" t="s">
        <v>25</v>
      </c>
      <c r="B116" s="74" t="s">
        <v>26</v>
      </c>
      <c r="C116" s="74" t="s">
        <v>27</v>
      </c>
      <c r="D116" s="74">
        <v>80</v>
      </c>
      <c r="E116" s="74" t="s">
        <v>28</v>
      </c>
      <c r="F116" s="73" t="s">
        <v>29</v>
      </c>
      <c r="G116" s="74">
        <v>5000</v>
      </c>
      <c r="H116" s="78">
        <v>46164</v>
      </c>
      <c r="I116" s="75">
        <v>270</v>
      </c>
    </row>
    <row r="117" spans="1:9" ht="14.4" customHeight="1" x14ac:dyDescent="0.3">
      <c r="A117" s="74" t="s">
        <v>25</v>
      </c>
      <c r="B117" s="74" t="s">
        <v>26</v>
      </c>
      <c r="C117" s="74" t="s">
        <v>27</v>
      </c>
      <c r="D117" s="74">
        <v>80</v>
      </c>
      <c r="E117" s="74" t="s">
        <v>28</v>
      </c>
      <c r="F117" s="73" t="s">
        <v>29</v>
      </c>
      <c r="G117" s="74">
        <v>5000</v>
      </c>
      <c r="H117" s="78">
        <v>46164</v>
      </c>
      <c r="I117" s="75">
        <v>270</v>
      </c>
    </row>
    <row r="118" spans="1:9" ht="14.4" customHeight="1" x14ac:dyDescent="0.3">
      <c r="A118" s="74" t="s">
        <v>25</v>
      </c>
      <c r="B118" s="74" t="s">
        <v>26</v>
      </c>
      <c r="C118" s="74" t="s">
        <v>27</v>
      </c>
      <c r="D118" s="74">
        <v>80</v>
      </c>
      <c r="E118" s="74" t="s">
        <v>28</v>
      </c>
      <c r="F118" s="73" t="s">
        <v>29</v>
      </c>
      <c r="G118" s="74">
        <v>5000</v>
      </c>
      <c r="H118" s="78">
        <v>46164</v>
      </c>
      <c r="I118" s="75">
        <v>270</v>
      </c>
    </row>
    <row r="119" spans="1:9" ht="14.4" customHeight="1" x14ac:dyDescent="0.3">
      <c r="A119" s="74" t="s">
        <v>25</v>
      </c>
      <c r="B119" s="74" t="s">
        <v>26</v>
      </c>
      <c r="C119" s="74" t="s">
        <v>27</v>
      </c>
      <c r="D119" s="74">
        <v>80</v>
      </c>
      <c r="E119" s="74" t="s">
        <v>28</v>
      </c>
      <c r="F119" s="73" t="s">
        <v>29</v>
      </c>
      <c r="G119" s="74">
        <v>5000</v>
      </c>
      <c r="H119" s="78">
        <v>46164</v>
      </c>
      <c r="I119" s="75">
        <v>270</v>
      </c>
    </row>
    <row r="120" spans="1:9" ht="14.4" customHeight="1" x14ac:dyDescent="0.3">
      <c r="A120" s="74" t="s">
        <v>25</v>
      </c>
      <c r="B120" s="74" t="s">
        <v>26</v>
      </c>
      <c r="C120" s="74" t="s">
        <v>27</v>
      </c>
      <c r="D120" s="74">
        <v>80</v>
      </c>
      <c r="E120" s="74" t="s">
        <v>28</v>
      </c>
      <c r="F120" s="73" t="s">
        <v>29</v>
      </c>
      <c r="G120" s="74">
        <v>5000</v>
      </c>
      <c r="H120" s="78">
        <v>46164</v>
      </c>
      <c r="I120" s="75">
        <v>270</v>
      </c>
    </row>
    <row r="121" spans="1:9" ht="14.4" customHeight="1" x14ac:dyDescent="0.3">
      <c r="A121" s="74" t="s">
        <v>25</v>
      </c>
      <c r="B121" s="74" t="s">
        <v>26</v>
      </c>
      <c r="C121" s="74" t="s">
        <v>27</v>
      </c>
      <c r="D121" s="74">
        <v>80</v>
      </c>
      <c r="E121" s="74" t="s">
        <v>28</v>
      </c>
      <c r="F121" s="73" t="s">
        <v>29</v>
      </c>
      <c r="G121" s="74">
        <v>5000</v>
      </c>
      <c r="H121" s="78">
        <v>46164</v>
      </c>
      <c r="I121" s="75">
        <v>270</v>
      </c>
    </row>
    <row r="122" spans="1:9" ht="14.4" customHeight="1" x14ac:dyDescent="0.3">
      <c r="A122" s="74" t="s">
        <v>25</v>
      </c>
      <c r="B122" s="74" t="s">
        <v>26</v>
      </c>
      <c r="C122" s="74" t="s">
        <v>27</v>
      </c>
      <c r="D122" s="74">
        <v>80</v>
      </c>
      <c r="E122" s="74" t="s">
        <v>28</v>
      </c>
      <c r="F122" s="73" t="s">
        <v>29</v>
      </c>
      <c r="G122" s="74">
        <v>5000</v>
      </c>
      <c r="H122" s="78">
        <v>46164</v>
      </c>
      <c r="I122" s="75">
        <v>270</v>
      </c>
    </row>
    <row r="123" spans="1:9" ht="14.4" customHeight="1" x14ac:dyDescent="0.3">
      <c r="A123" s="74" t="s">
        <v>25</v>
      </c>
      <c r="B123" s="74" t="s">
        <v>26</v>
      </c>
      <c r="C123" s="74" t="s">
        <v>27</v>
      </c>
      <c r="D123" s="74">
        <v>80</v>
      </c>
      <c r="E123" s="74" t="s">
        <v>28</v>
      </c>
      <c r="F123" s="73" t="s">
        <v>29</v>
      </c>
      <c r="G123" s="74">
        <v>5000</v>
      </c>
      <c r="H123" s="78">
        <v>46164</v>
      </c>
      <c r="I123" s="75">
        <v>270</v>
      </c>
    </row>
    <row r="124" spans="1:9" ht="14.4" customHeight="1" x14ac:dyDescent="0.3">
      <c r="A124" s="74" t="s">
        <v>25</v>
      </c>
      <c r="B124" s="74" t="s">
        <v>26</v>
      </c>
      <c r="C124" s="74" t="s">
        <v>27</v>
      </c>
      <c r="D124" s="74">
        <v>80</v>
      </c>
      <c r="E124" s="74" t="s">
        <v>28</v>
      </c>
      <c r="F124" s="73" t="s">
        <v>29</v>
      </c>
      <c r="G124" s="74">
        <v>5000</v>
      </c>
      <c r="H124" s="78">
        <v>46164</v>
      </c>
      <c r="I124" s="75">
        <v>270</v>
      </c>
    </row>
    <row r="125" spans="1:9" ht="14.4" customHeight="1" x14ac:dyDescent="0.3">
      <c r="A125" s="74" t="s">
        <v>25</v>
      </c>
      <c r="B125" s="74" t="s">
        <v>26</v>
      </c>
      <c r="C125" s="74" t="s">
        <v>27</v>
      </c>
      <c r="D125" s="74">
        <v>80</v>
      </c>
      <c r="E125" s="74" t="s">
        <v>28</v>
      </c>
      <c r="F125" s="73" t="s">
        <v>29</v>
      </c>
      <c r="G125" s="74">
        <v>5000</v>
      </c>
      <c r="H125" s="78">
        <v>46164</v>
      </c>
      <c r="I125" s="75">
        <v>270</v>
      </c>
    </row>
    <row r="126" spans="1:9" ht="14.4" customHeight="1" x14ac:dyDescent="0.3">
      <c r="A126" s="74" t="s">
        <v>25</v>
      </c>
      <c r="B126" s="74" t="s">
        <v>26</v>
      </c>
      <c r="C126" s="74" t="s">
        <v>27</v>
      </c>
      <c r="D126" s="74">
        <v>80</v>
      </c>
      <c r="E126" s="74" t="s">
        <v>28</v>
      </c>
      <c r="F126" s="73" t="s">
        <v>29</v>
      </c>
      <c r="G126" s="74">
        <v>5000</v>
      </c>
      <c r="H126" s="78">
        <v>46164</v>
      </c>
      <c r="I126" s="75">
        <v>270</v>
      </c>
    </row>
    <row r="127" spans="1:9" ht="14.4" customHeight="1" x14ac:dyDescent="0.3">
      <c r="A127" s="74" t="s">
        <v>25</v>
      </c>
      <c r="B127" s="74" t="s">
        <v>26</v>
      </c>
      <c r="C127" s="74" t="s">
        <v>27</v>
      </c>
      <c r="D127" s="74">
        <v>80</v>
      </c>
      <c r="E127" s="74" t="s">
        <v>28</v>
      </c>
      <c r="F127" s="73" t="s">
        <v>29</v>
      </c>
      <c r="G127" s="74">
        <v>5000</v>
      </c>
      <c r="H127" s="78">
        <v>46164</v>
      </c>
      <c r="I127" s="75">
        <v>270</v>
      </c>
    </row>
    <row r="128" spans="1:9" ht="14.4" customHeight="1" x14ac:dyDescent="0.3">
      <c r="A128" s="74" t="s">
        <v>25</v>
      </c>
      <c r="B128" s="74" t="s">
        <v>26</v>
      </c>
      <c r="C128" s="74" t="s">
        <v>27</v>
      </c>
      <c r="D128" s="74">
        <v>80</v>
      </c>
      <c r="E128" s="74" t="s">
        <v>28</v>
      </c>
      <c r="F128" s="73" t="s">
        <v>29</v>
      </c>
      <c r="G128" s="74">
        <v>5000</v>
      </c>
      <c r="H128" s="78">
        <v>46164</v>
      </c>
      <c r="I128" s="75">
        <v>270</v>
      </c>
    </row>
    <row r="129" spans="1:9" ht="14.4" customHeight="1" x14ac:dyDescent="0.3">
      <c r="A129" s="74" t="s">
        <v>25</v>
      </c>
      <c r="B129" s="74" t="s">
        <v>26</v>
      </c>
      <c r="C129" s="74" t="s">
        <v>27</v>
      </c>
      <c r="D129" s="74">
        <v>80</v>
      </c>
      <c r="E129" s="74" t="s">
        <v>28</v>
      </c>
      <c r="F129" s="73" t="s">
        <v>29</v>
      </c>
      <c r="G129" s="74">
        <v>5000</v>
      </c>
      <c r="H129" s="78">
        <v>46164</v>
      </c>
      <c r="I129" s="75">
        <v>270</v>
      </c>
    </row>
    <row r="130" spans="1:9" ht="14.4" customHeight="1" x14ac:dyDescent="0.3">
      <c r="A130" s="74" t="s">
        <v>25</v>
      </c>
      <c r="B130" s="74" t="s">
        <v>26</v>
      </c>
      <c r="C130" s="74" t="s">
        <v>27</v>
      </c>
      <c r="D130" s="74">
        <v>80</v>
      </c>
      <c r="E130" s="74" t="s">
        <v>28</v>
      </c>
      <c r="F130" s="73" t="s">
        <v>29</v>
      </c>
      <c r="G130" s="74">
        <v>5000</v>
      </c>
      <c r="H130" s="78">
        <v>46164</v>
      </c>
      <c r="I130" s="75">
        <v>270</v>
      </c>
    </row>
    <row r="131" spans="1:9" ht="14.4" customHeight="1" x14ac:dyDescent="0.3">
      <c r="A131" s="74" t="s">
        <v>25</v>
      </c>
      <c r="B131" s="74" t="s">
        <v>26</v>
      </c>
      <c r="C131" s="74" t="s">
        <v>27</v>
      </c>
      <c r="D131" s="74">
        <v>80</v>
      </c>
      <c r="E131" s="74" t="s">
        <v>28</v>
      </c>
      <c r="F131" s="73" t="s">
        <v>29</v>
      </c>
      <c r="G131" s="74">
        <v>5000</v>
      </c>
      <c r="H131" s="78">
        <v>46164</v>
      </c>
      <c r="I131" s="75">
        <v>270</v>
      </c>
    </row>
    <row r="132" spans="1:9" ht="14.4" customHeight="1" x14ac:dyDescent="0.3">
      <c r="A132" s="74" t="s">
        <v>25</v>
      </c>
      <c r="B132" s="74" t="s">
        <v>26</v>
      </c>
      <c r="C132" s="74" t="s">
        <v>27</v>
      </c>
      <c r="D132" s="74">
        <v>80</v>
      </c>
      <c r="E132" s="74" t="s">
        <v>28</v>
      </c>
      <c r="F132" s="73" t="s">
        <v>29</v>
      </c>
      <c r="G132" s="74">
        <v>5000</v>
      </c>
      <c r="H132" s="78">
        <v>46164</v>
      </c>
      <c r="I132" s="75">
        <v>270</v>
      </c>
    </row>
    <row r="133" spans="1:9" ht="14.4" customHeight="1" x14ac:dyDescent="0.3">
      <c r="A133" s="74" t="s">
        <v>25</v>
      </c>
      <c r="B133" s="74" t="s">
        <v>26</v>
      </c>
      <c r="C133" s="74" t="s">
        <v>27</v>
      </c>
      <c r="D133" s="74">
        <v>80</v>
      </c>
      <c r="E133" s="74" t="s">
        <v>28</v>
      </c>
      <c r="F133" s="73" t="s">
        <v>29</v>
      </c>
      <c r="G133" s="74">
        <v>5000</v>
      </c>
      <c r="H133" s="78">
        <v>46164</v>
      </c>
      <c r="I133" s="75">
        <v>270</v>
      </c>
    </row>
    <row r="134" spans="1:9" ht="14.4" customHeight="1" x14ac:dyDescent="0.3">
      <c r="A134" s="74" t="s">
        <v>25</v>
      </c>
      <c r="B134" s="74" t="s">
        <v>26</v>
      </c>
      <c r="C134" s="74" t="s">
        <v>27</v>
      </c>
      <c r="D134" s="74">
        <v>80</v>
      </c>
      <c r="E134" s="74" t="s">
        <v>28</v>
      </c>
      <c r="F134" s="73" t="s">
        <v>29</v>
      </c>
      <c r="G134" s="74">
        <v>5000</v>
      </c>
      <c r="H134" s="78">
        <v>46171</v>
      </c>
      <c r="I134" s="75">
        <v>267</v>
      </c>
    </row>
    <row r="135" spans="1:9" ht="14.4" customHeight="1" x14ac:dyDescent="0.3">
      <c r="A135" s="74" t="s">
        <v>25</v>
      </c>
      <c r="B135" s="74" t="s">
        <v>26</v>
      </c>
      <c r="C135" s="74" t="s">
        <v>27</v>
      </c>
      <c r="D135" s="74">
        <v>80</v>
      </c>
      <c r="E135" s="74" t="s">
        <v>28</v>
      </c>
      <c r="F135" s="73" t="s">
        <v>29</v>
      </c>
      <c r="G135" s="74">
        <v>5000</v>
      </c>
      <c r="H135" s="78">
        <v>46171</v>
      </c>
      <c r="I135" s="75">
        <v>178</v>
      </c>
    </row>
    <row r="136" spans="1:9" ht="14.4" customHeight="1" x14ac:dyDescent="0.3">
      <c r="A136" s="74" t="s">
        <v>25</v>
      </c>
      <c r="B136" s="74" t="s">
        <v>26</v>
      </c>
      <c r="C136" s="74" t="s">
        <v>27</v>
      </c>
      <c r="D136" s="74">
        <v>80</v>
      </c>
      <c r="E136" s="74" t="s">
        <v>28</v>
      </c>
      <c r="F136" s="73" t="s">
        <v>29</v>
      </c>
      <c r="G136" s="74">
        <v>5000</v>
      </c>
      <c r="H136" s="78">
        <v>46171</v>
      </c>
      <c r="I136" s="75">
        <v>270</v>
      </c>
    </row>
    <row r="137" spans="1:9" ht="14.4" customHeight="1" x14ac:dyDescent="0.3">
      <c r="A137" s="74" t="s">
        <v>25</v>
      </c>
      <c r="B137" s="74" t="s">
        <v>26</v>
      </c>
      <c r="C137" s="74" t="s">
        <v>27</v>
      </c>
      <c r="D137" s="74">
        <v>80</v>
      </c>
      <c r="E137" s="74" t="s">
        <v>28</v>
      </c>
      <c r="F137" s="73" t="s">
        <v>29</v>
      </c>
      <c r="G137" s="74">
        <v>5000</v>
      </c>
      <c r="H137" s="78">
        <v>46171</v>
      </c>
      <c r="I137" s="75">
        <v>270</v>
      </c>
    </row>
    <row r="138" spans="1:9" ht="14.4" customHeight="1" x14ac:dyDescent="0.3">
      <c r="A138" s="74" t="s">
        <v>25</v>
      </c>
      <c r="B138" s="74" t="s">
        <v>26</v>
      </c>
      <c r="C138" s="74" t="s">
        <v>27</v>
      </c>
      <c r="D138" s="74">
        <v>80</v>
      </c>
      <c r="E138" s="74" t="s">
        <v>28</v>
      </c>
      <c r="F138" s="73" t="s">
        <v>29</v>
      </c>
      <c r="G138" s="74">
        <v>5000</v>
      </c>
      <c r="H138" s="78">
        <v>46171</v>
      </c>
      <c r="I138" s="75">
        <v>270</v>
      </c>
    </row>
    <row r="139" spans="1:9" ht="14.4" customHeight="1" x14ac:dyDescent="0.3">
      <c r="A139" s="74" t="s">
        <v>25</v>
      </c>
      <c r="B139" s="74" t="s">
        <v>26</v>
      </c>
      <c r="C139" s="74" t="s">
        <v>27</v>
      </c>
      <c r="D139" s="74">
        <v>80</v>
      </c>
      <c r="E139" s="74" t="s">
        <v>28</v>
      </c>
      <c r="F139" s="73" t="s">
        <v>29</v>
      </c>
      <c r="G139" s="74">
        <v>5000</v>
      </c>
      <c r="H139" s="78">
        <v>46171</v>
      </c>
      <c r="I139" s="75">
        <v>270</v>
      </c>
    </row>
    <row r="140" spans="1:9" ht="14.4" customHeight="1" x14ac:dyDescent="0.3">
      <c r="A140" s="74" t="s">
        <v>25</v>
      </c>
      <c r="B140" s="74" t="s">
        <v>26</v>
      </c>
      <c r="C140" s="74" t="s">
        <v>27</v>
      </c>
      <c r="D140" s="74">
        <v>80</v>
      </c>
      <c r="E140" s="74" t="s">
        <v>28</v>
      </c>
      <c r="F140" s="73" t="s">
        <v>29</v>
      </c>
      <c r="G140" s="74">
        <v>5000</v>
      </c>
      <c r="H140" s="78">
        <v>46171</v>
      </c>
      <c r="I140" s="75">
        <v>270</v>
      </c>
    </row>
    <row r="141" spans="1:9" ht="14.4" customHeight="1" x14ac:dyDescent="0.3">
      <c r="A141" s="74" t="s">
        <v>25</v>
      </c>
      <c r="B141" s="74" t="s">
        <v>26</v>
      </c>
      <c r="C141" s="74" t="s">
        <v>27</v>
      </c>
      <c r="D141" s="74">
        <v>80</v>
      </c>
      <c r="E141" s="74" t="s">
        <v>28</v>
      </c>
      <c r="F141" s="73" t="s">
        <v>29</v>
      </c>
      <c r="G141" s="74">
        <v>5000</v>
      </c>
      <c r="H141" s="78">
        <v>46171</v>
      </c>
      <c r="I141" s="75">
        <v>270</v>
      </c>
    </row>
    <row r="142" spans="1:9" ht="14.4" customHeight="1" x14ac:dyDescent="0.3">
      <c r="A142" s="74" t="s">
        <v>25</v>
      </c>
      <c r="B142" s="74" t="s">
        <v>26</v>
      </c>
      <c r="C142" s="74" t="s">
        <v>27</v>
      </c>
      <c r="D142" s="74">
        <v>80</v>
      </c>
      <c r="E142" s="74" t="s">
        <v>28</v>
      </c>
      <c r="F142" s="73" t="s">
        <v>29</v>
      </c>
      <c r="G142" s="74">
        <v>5000</v>
      </c>
      <c r="H142" s="78">
        <v>46171</v>
      </c>
      <c r="I142" s="75">
        <v>162</v>
      </c>
    </row>
    <row r="143" spans="1:9" ht="14.4" customHeight="1" x14ac:dyDescent="0.3">
      <c r="A143" s="74" t="s">
        <v>25</v>
      </c>
      <c r="B143" s="74" t="s">
        <v>26</v>
      </c>
      <c r="C143" s="74" t="s">
        <v>27</v>
      </c>
      <c r="D143" s="74">
        <v>80</v>
      </c>
      <c r="E143" s="74" t="s">
        <v>28</v>
      </c>
      <c r="F143" s="73" t="s">
        <v>29</v>
      </c>
      <c r="G143" s="74">
        <v>5000</v>
      </c>
      <c r="H143" s="78">
        <v>46171</v>
      </c>
      <c r="I143" s="75">
        <v>210</v>
      </c>
    </row>
    <row r="144" spans="1:9" ht="14.4" customHeight="1" x14ac:dyDescent="0.3">
      <c r="A144" s="74" t="s">
        <v>25</v>
      </c>
      <c r="B144" s="74" t="s">
        <v>26</v>
      </c>
      <c r="C144" s="74" t="s">
        <v>27</v>
      </c>
      <c r="D144" s="74">
        <v>80</v>
      </c>
      <c r="E144" s="74" t="s">
        <v>28</v>
      </c>
      <c r="F144" s="73" t="s">
        <v>29</v>
      </c>
      <c r="G144" s="74">
        <v>5000</v>
      </c>
      <c r="H144" s="78">
        <v>46171</v>
      </c>
      <c r="I144" s="75">
        <v>270</v>
      </c>
    </row>
    <row r="145" spans="1:9" ht="14.4" customHeight="1" x14ac:dyDescent="0.3">
      <c r="A145" s="74" t="s">
        <v>25</v>
      </c>
      <c r="B145" s="74" t="s">
        <v>26</v>
      </c>
      <c r="C145" s="74" t="s">
        <v>27</v>
      </c>
      <c r="D145" s="74">
        <v>80</v>
      </c>
      <c r="E145" s="74" t="s">
        <v>28</v>
      </c>
      <c r="F145" s="73" t="s">
        <v>29</v>
      </c>
      <c r="G145" s="74">
        <v>5000</v>
      </c>
      <c r="H145" s="78">
        <v>46171</v>
      </c>
      <c r="I145" s="75">
        <v>270</v>
      </c>
    </row>
    <row r="146" spans="1:9" ht="14.4" customHeight="1" x14ac:dyDescent="0.3">
      <c r="A146" s="74" t="s">
        <v>25</v>
      </c>
      <c r="B146" s="74" t="s">
        <v>26</v>
      </c>
      <c r="C146" s="74" t="s">
        <v>27</v>
      </c>
      <c r="D146" s="74">
        <v>80</v>
      </c>
      <c r="E146" s="74" t="s">
        <v>28</v>
      </c>
      <c r="F146" s="73" t="s">
        <v>29</v>
      </c>
      <c r="G146" s="74">
        <v>5000</v>
      </c>
      <c r="H146" s="78">
        <v>46171</v>
      </c>
      <c r="I146" s="75">
        <v>270</v>
      </c>
    </row>
    <row r="147" spans="1:9" ht="14.4" customHeight="1" x14ac:dyDescent="0.3">
      <c r="A147" s="74" t="s">
        <v>25</v>
      </c>
      <c r="B147" s="74" t="s">
        <v>26</v>
      </c>
      <c r="C147" s="74" t="s">
        <v>27</v>
      </c>
      <c r="D147" s="74">
        <v>80</v>
      </c>
      <c r="E147" s="74" t="s">
        <v>28</v>
      </c>
      <c r="F147" s="73" t="s">
        <v>29</v>
      </c>
      <c r="G147" s="74">
        <v>5000</v>
      </c>
      <c r="H147" s="78">
        <v>46171</v>
      </c>
      <c r="I147" s="75">
        <v>270</v>
      </c>
    </row>
    <row r="148" spans="1:9" ht="14.4" customHeight="1" x14ac:dyDescent="0.3">
      <c r="A148" s="74" t="s">
        <v>25</v>
      </c>
      <c r="B148" s="74" t="s">
        <v>26</v>
      </c>
      <c r="C148" s="74" t="s">
        <v>27</v>
      </c>
      <c r="D148" s="74">
        <v>80</v>
      </c>
      <c r="E148" s="74" t="s">
        <v>28</v>
      </c>
      <c r="F148" s="73" t="s">
        <v>29</v>
      </c>
      <c r="G148" s="74">
        <v>5000</v>
      </c>
      <c r="H148" s="78">
        <v>46171</v>
      </c>
      <c r="I148" s="75">
        <v>270</v>
      </c>
    </row>
    <row r="149" spans="1:9" ht="14.4" customHeight="1" x14ac:dyDescent="0.3">
      <c r="A149" s="74" t="s">
        <v>25</v>
      </c>
      <c r="B149" s="74" t="s">
        <v>26</v>
      </c>
      <c r="C149" s="74" t="s">
        <v>27</v>
      </c>
      <c r="D149" s="74">
        <v>80</v>
      </c>
      <c r="E149" s="74" t="s">
        <v>28</v>
      </c>
      <c r="F149" s="73" t="s">
        <v>29</v>
      </c>
      <c r="G149" s="74">
        <v>5000</v>
      </c>
      <c r="H149" s="78">
        <v>46171</v>
      </c>
      <c r="I149" s="75">
        <v>270</v>
      </c>
    </row>
    <row r="150" spans="1:9" ht="14.4" customHeight="1" x14ac:dyDescent="0.3">
      <c r="A150" s="74" t="s">
        <v>25</v>
      </c>
      <c r="B150" s="74" t="s">
        <v>26</v>
      </c>
      <c r="C150" s="74" t="s">
        <v>27</v>
      </c>
      <c r="D150" s="74">
        <v>80</v>
      </c>
      <c r="E150" s="74" t="s">
        <v>28</v>
      </c>
      <c r="F150" s="73" t="s">
        <v>29</v>
      </c>
      <c r="G150" s="74">
        <v>5000</v>
      </c>
      <c r="H150" s="78">
        <v>46171</v>
      </c>
      <c r="I150" s="75">
        <v>270</v>
      </c>
    </row>
    <row r="151" spans="1:9" ht="14.4" customHeight="1" x14ac:dyDescent="0.3">
      <c r="A151" s="74" t="s">
        <v>25</v>
      </c>
      <c r="B151" s="74" t="s">
        <v>26</v>
      </c>
      <c r="C151" s="74" t="s">
        <v>27</v>
      </c>
      <c r="D151" s="74">
        <v>80</v>
      </c>
      <c r="E151" s="74" t="s">
        <v>28</v>
      </c>
      <c r="F151" s="73" t="s">
        <v>29</v>
      </c>
      <c r="G151" s="74">
        <v>5000</v>
      </c>
      <c r="H151" s="78">
        <v>46171</v>
      </c>
      <c r="I151" s="75">
        <v>270</v>
      </c>
    </row>
    <row r="152" spans="1:9" ht="14.4" customHeight="1" x14ac:dyDescent="0.3">
      <c r="A152" s="74" t="s">
        <v>25</v>
      </c>
      <c r="B152" s="74" t="s">
        <v>26</v>
      </c>
      <c r="C152" s="74" t="s">
        <v>27</v>
      </c>
      <c r="D152" s="74">
        <v>80</v>
      </c>
      <c r="E152" s="74" t="s">
        <v>28</v>
      </c>
      <c r="F152" s="73" t="s">
        <v>29</v>
      </c>
      <c r="G152" s="74">
        <v>5000</v>
      </c>
      <c r="H152" s="78">
        <v>46171</v>
      </c>
      <c r="I152" s="75">
        <v>270</v>
      </c>
    </row>
    <row r="153" spans="1:9" ht="14.4" customHeight="1" x14ac:dyDescent="0.3">
      <c r="A153" s="74" t="s">
        <v>25</v>
      </c>
      <c r="B153" s="74" t="s">
        <v>26</v>
      </c>
      <c r="C153" s="74" t="s">
        <v>27</v>
      </c>
      <c r="D153" s="74">
        <v>80</v>
      </c>
      <c r="E153" s="74" t="s">
        <v>28</v>
      </c>
      <c r="F153" s="73" t="s">
        <v>29</v>
      </c>
      <c r="G153" s="74">
        <v>5000</v>
      </c>
      <c r="H153" s="78">
        <v>46171</v>
      </c>
      <c r="I153" s="75">
        <v>270</v>
      </c>
    </row>
    <row r="154" spans="1:9" ht="14.4" customHeight="1" x14ac:dyDescent="0.3">
      <c r="A154" s="74" t="s">
        <v>25</v>
      </c>
      <c r="B154" s="74" t="s">
        <v>26</v>
      </c>
      <c r="C154" s="74" t="s">
        <v>27</v>
      </c>
      <c r="D154" s="74">
        <v>80</v>
      </c>
      <c r="E154" s="74" t="s">
        <v>28</v>
      </c>
      <c r="F154" s="73" t="s">
        <v>29</v>
      </c>
      <c r="G154" s="74">
        <v>5000</v>
      </c>
      <c r="H154" s="78">
        <v>46171</v>
      </c>
      <c r="I154" s="75">
        <v>270</v>
      </c>
    </row>
    <row r="155" spans="1:9" ht="14.4" customHeight="1" x14ac:dyDescent="0.3">
      <c r="A155" s="74" t="s">
        <v>25</v>
      </c>
      <c r="B155" s="74" t="s">
        <v>26</v>
      </c>
      <c r="C155" s="74" t="s">
        <v>27</v>
      </c>
      <c r="D155" s="74">
        <v>80</v>
      </c>
      <c r="E155" s="74" t="s">
        <v>28</v>
      </c>
      <c r="F155" s="73" t="s">
        <v>29</v>
      </c>
      <c r="G155" s="74">
        <v>5000</v>
      </c>
      <c r="H155" s="78">
        <v>46171</v>
      </c>
      <c r="I155" s="75">
        <v>270</v>
      </c>
    </row>
    <row r="156" spans="1:9" ht="14.4" customHeight="1" x14ac:dyDescent="0.3">
      <c r="A156" s="74" t="s">
        <v>25</v>
      </c>
      <c r="B156" s="74" t="s">
        <v>26</v>
      </c>
      <c r="C156" s="74" t="s">
        <v>27</v>
      </c>
      <c r="D156" s="74">
        <v>80</v>
      </c>
      <c r="E156" s="74" t="s">
        <v>28</v>
      </c>
      <c r="F156" s="73" t="s">
        <v>29</v>
      </c>
      <c r="G156" s="74">
        <v>5000</v>
      </c>
      <c r="H156" s="78">
        <v>46171</v>
      </c>
      <c r="I156" s="75">
        <v>270</v>
      </c>
    </row>
    <row r="157" spans="1:9" ht="14.4" customHeight="1" x14ac:dyDescent="0.3">
      <c r="A157" s="74" t="s">
        <v>25</v>
      </c>
      <c r="B157" s="74" t="s">
        <v>26</v>
      </c>
      <c r="C157" s="74" t="s">
        <v>27</v>
      </c>
      <c r="D157" s="74">
        <v>80</v>
      </c>
      <c r="E157" s="74" t="s">
        <v>28</v>
      </c>
      <c r="F157" s="73" t="s">
        <v>29</v>
      </c>
      <c r="G157" s="74">
        <v>5000</v>
      </c>
      <c r="H157" s="78">
        <v>46171</v>
      </c>
      <c r="I157" s="75">
        <v>270</v>
      </c>
    </row>
    <row r="158" spans="1:9" ht="14.4" customHeight="1" x14ac:dyDescent="0.3">
      <c r="A158" s="74" t="s">
        <v>25</v>
      </c>
      <c r="B158" s="74" t="s">
        <v>26</v>
      </c>
      <c r="C158" s="74" t="s">
        <v>27</v>
      </c>
      <c r="D158" s="74">
        <v>80</v>
      </c>
      <c r="E158" s="74" t="s">
        <v>28</v>
      </c>
      <c r="F158" s="73" t="s">
        <v>29</v>
      </c>
      <c r="G158" s="74">
        <v>5000</v>
      </c>
      <c r="H158" s="78">
        <v>46171</v>
      </c>
      <c r="I158" s="75">
        <v>270</v>
      </c>
    </row>
    <row r="159" spans="1:9" ht="14.4" customHeight="1" x14ac:dyDescent="0.3">
      <c r="A159" s="74" t="s">
        <v>25</v>
      </c>
      <c r="B159" s="74" t="s">
        <v>26</v>
      </c>
      <c r="C159" s="74" t="s">
        <v>27</v>
      </c>
      <c r="D159" s="74">
        <v>80</v>
      </c>
      <c r="E159" s="74" t="s">
        <v>28</v>
      </c>
      <c r="F159" s="73" t="s">
        <v>29</v>
      </c>
      <c r="G159" s="74">
        <v>5000</v>
      </c>
      <c r="H159" s="78">
        <v>46171</v>
      </c>
      <c r="I159" s="75">
        <v>270</v>
      </c>
    </row>
    <row r="160" spans="1:9" ht="14.4" customHeight="1" x14ac:dyDescent="0.3">
      <c r="A160" s="74" t="s">
        <v>25</v>
      </c>
      <c r="B160" s="74" t="s">
        <v>26</v>
      </c>
      <c r="C160" s="74" t="s">
        <v>27</v>
      </c>
      <c r="D160" s="74">
        <v>80</v>
      </c>
      <c r="E160" s="74" t="s">
        <v>28</v>
      </c>
      <c r="F160" s="73" t="s">
        <v>29</v>
      </c>
      <c r="G160" s="74">
        <v>5000</v>
      </c>
      <c r="H160" s="78">
        <v>46171</v>
      </c>
      <c r="I160" s="75">
        <v>270</v>
      </c>
    </row>
    <row r="161" spans="1:9" ht="14.4" customHeight="1" x14ac:dyDescent="0.3">
      <c r="A161" s="74" t="s">
        <v>25</v>
      </c>
      <c r="B161" s="74" t="s">
        <v>26</v>
      </c>
      <c r="C161" s="74" t="s">
        <v>27</v>
      </c>
      <c r="D161" s="74">
        <v>80</v>
      </c>
      <c r="E161" s="74" t="s">
        <v>28</v>
      </c>
      <c r="F161" s="73" t="s">
        <v>29</v>
      </c>
      <c r="G161" s="74">
        <v>5000</v>
      </c>
      <c r="H161" s="78">
        <v>46171</v>
      </c>
      <c r="I161" s="75">
        <v>270</v>
      </c>
    </row>
    <row r="162" spans="1:9" ht="14.4" customHeight="1" x14ac:dyDescent="0.3">
      <c r="A162" s="74" t="s">
        <v>25</v>
      </c>
      <c r="B162" s="74" t="s">
        <v>26</v>
      </c>
      <c r="C162" s="74" t="s">
        <v>27</v>
      </c>
      <c r="D162" s="74">
        <v>80</v>
      </c>
      <c r="E162" s="74" t="s">
        <v>28</v>
      </c>
      <c r="F162" s="73" t="s">
        <v>29</v>
      </c>
      <c r="G162" s="74">
        <v>5000</v>
      </c>
      <c r="H162" s="78">
        <v>46171</v>
      </c>
      <c r="I162" s="75">
        <v>270</v>
      </c>
    </row>
    <row r="163" spans="1:9" ht="14.4" customHeight="1" x14ac:dyDescent="0.3">
      <c r="A163" s="74" t="s">
        <v>25</v>
      </c>
      <c r="B163" s="74" t="s">
        <v>26</v>
      </c>
      <c r="C163" s="74" t="s">
        <v>27</v>
      </c>
      <c r="D163" s="74">
        <v>80</v>
      </c>
      <c r="E163" s="74" t="s">
        <v>28</v>
      </c>
      <c r="F163" s="73" t="s">
        <v>29</v>
      </c>
      <c r="G163" s="74">
        <v>5000</v>
      </c>
      <c r="H163" s="78">
        <v>46171</v>
      </c>
      <c r="I163" s="75">
        <v>270</v>
      </c>
    </row>
    <row r="164" spans="1:9" ht="14.4" customHeight="1" x14ac:dyDescent="0.3">
      <c r="A164" s="74" t="s">
        <v>25</v>
      </c>
      <c r="B164" s="74" t="s">
        <v>26</v>
      </c>
      <c r="C164" s="74" t="s">
        <v>27</v>
      </c>
      <c r="D164" s="74">
        <v>80</v>
      </c>
      <c r="E164" s="74" t="s">
        <v>28</v>
      </c>
      <c r="F164" s="73" t="s">
        <v>29</v>
      </c>
      <c r="G164" s="74">
        <v>5000</v>
      </c>
      <c r="H164" s="78">
        <v>46171</v>
      </c>
      <c r="I164" s="75">
        <v>270</v>
      </c>
    </row>
    <row r="165" spans="1:9" ht="14.4" customHeight="1" x14ac:dyDescent="0.3">
      <c r="A165" s="74" t="s">
        <v>25</v>
      </c>
      <c r="B165" s="74" t="s">
        <v>26</v>
      </c>
      <c r="C165" s="74" t="s">
        <v>27</v>
      </c>
      <c r="D165" s="74">
        <v>80</v>
      </c>
      <c r="E165" s="74" t="s">
        <v>28</v>
      </c>
      <c r="F165" s="73" t="s">
        <v>29</v>
      </c>
      <c r="G165" s="74">
        <v>5000</v>
      </c>
      <c r="H165" s="78">
        <v>46171</v>
      </c>
      <c r="I165" s="75">
        <v>270</v>
      </c>
    </row>
    <row r="166" spans="1:9" ht="14.4" customHeight="1" x14ac:dyDescent="0.3">
      <c r="A166" s="74" t="s">
        <v>25</v>
      </c>
      <c r="B166" s="74" t="s">
        <v>26</v>
      </c>
      <c r="C166" s="74" t="s">
        <v>27</v>
      </c>
      <c r="D166" s="74">
        <v>80</v>
      </c>
      <c r="E166" s="74" t="s">
        <v>28</v>
      </c>
      <c r="F166" s="73" t="s">
        <v>29</v>
      </c>
      <c r="G166" s="74">
        <v>5000</v>
      </c>
      <c r="H166" s="78">
        <v>46171</v>
      </c>
      <c r="I166" s="75">
        <v>270</v>
      </c>
    </row>
    <row r="167" spans="1:9" ht="14.4" customHeight="1" x14ac:dyDescent="0.3">
      <c r="A167" s="74" t="s">
        <v>25</v>
      </c>
      <c r="B167" s="74" t="s">
        <v>26</v>
      </c>
      <c r="C167" s="74" t="s">
        <v>27</v>
      </c>
      <c r="D167" s="74">
        <v>80</v>
      </c>
      <c r="E167" s="74" t="s">
        <v>28</v>
      </c>
      <c r="F167" s="73" t="s">
        <v>29</v>
      </c>
      <c r="G167" s="74">
        <v>5000</v>
      </c>
      <c r="H167" s="78">
        <v>46171</v>
      </c>
      <c r="I167" s="75">
        <v>270</v>
      </c>
    </row>
    <row r="168" spans="1:9" ht="14.4" customHeight="1" x14ac:dyDescent="0.3">
      <c r="A168" s="74" t="s">
        <v>25</v>
      </c>
      <c r="B168" s="74" t="s">
        <v>26</v>
      </c>
      <c r="C168" s="74" t="s">
        <v>27</v>
      </c>
      <c r="D168" s="74">
        <v>80</v>
      </c>
      <c r="E168" s="74" t="s">
        <v>28</v>
      </c>
      <c r="F168" s="73" t="s">
        <v>29</v>
      </c>
      <c r="G168" s="74">
        <v>5000</v>
      </c>
      <c r="H168" s="78">
        <v>46171</v>
      </c>
      <c r="I168" s="75">
        <v>270</v>
      </c>
    </row>
    <row r="169" spans="1:9" ht="14.4" customHeight="1" x14ac:dyDescent="0.3">
      <c r="A169" s="74" t="s">
        <v>25</v>
      </c>
      <c r="B169" s="74" t="s">
        <v>26</v>
      </c>
      <c r="C169" s="74" t="s">
        <v>27</v>
      </c>
      <c r="D169" s="74">
        <v>80</v>
      </c>
      <c r="E169" s="74" t="s">
        <v>28</v>
      </c>
      <c r="F169" s="73" t="s">
        <v>29</v>
      </c>
      <c r="G169" s="74">
        <v>5000</v>
      </c>
      <c r="H169" s="78">
        <v>46171</v>
      </c>
      <c r="I169" s="75">
        <v>270</v>
      </c>
    </row>
    <row r="170" spans="1:9" ht="14.4" customHeight="1" x14ac:dyDescent="0.3">
      <c r="A170" s="74" t="s">
        <v>25</v>
      </c>
      <c r="B170" s="74" t="s">
        <v>26</v>
      </c>
      <c r="C170" s="74" t="s">
        <v>27</v>
      </c>
      <c r="D170" s="74">
        <v>80</v>
      </c>
      <c r="E170" s="74" t="s">
        <v>28</v>
      </c>
      <c r="F170" s="73" t="s">
        <v>29</v>
      </c>
      <c r="G170" s="74">
        <v>5000</v>
      </c>
      <c r="H170" s="78">
        <v>46171</v>
      </c>
      <c r="I170" s="75">
        <v>270</v>
      </c>
    </row>
    <row r="171" spans="1:9" ht="14.4" customHeight="1" x14ac:dyDescent="0.3">
      <c r="A171" s="74" t="s">
        <v>25</v>
      </c>
      <c r="B171" s="74" t="s">
        <v>26</v>
      </c>
      <c r="C171" s="74" t="s">
        <v>27</v>
      </c>
      <c r="D171" s="74">
        <v>80</v>
      </c>
      <c r="E171" s="74" t="s">
        <v>28</v>
      </c>
      <c r="F171" s="73" t="s">
        <v>29</v>
      </c>
      <c r="G171" s="74">
        <v>5000</v>
      </c>
      <c r="H171" s="78">
        <v>46171</v>
      </c>
      <c r="I171" s="75">
        <v>270</v>
      </c>
    </row>
    <row r="172" spans="1:9" ht="14.4" customHeight="1" x14ac:dyDescent="0.3">
      <c r="A172" s="74" t="s">
        <v>25</v>
      </c>
      <c r="B172" s="74" t="s">
        <v>26</v>
      </c>
      <c r="C172" s="74" t="s">
        <v>27</v>
      </c>
      <c r="D172" s="74">
        <v>80</v>
      </c>
      <c r="E172" s="74" t="s">
        <v>28</v>
      </c>
      <c r="F172" s="73" t="s">
        <v>29</v>
      </c>
      <c r="G172" s="74">
        <v>5000</v>
      </c>
      <c r="H172" s="78">
        <v>46171</v>
      </c>
      <c r="I172" s="75">
        <v>263</v>
      </c>
    </row>
    <row r="173" spans="1:9" ht="14.4" customHeight="1" x14ac:dyDescent="0.3">
      <c r="A173" s="74" t="s">
        <v>25</v>
      </c>
      <c r="B173" s="74" t="s">
        <v>26</v>
      </c>
      <c r="C173" s="74" t="s">
        <v>27</v>
      </c>
      <c r="D173" s="74">
        <v>80</v>
      </c>
      <c r="E173" s="74" t="s">
        <v>28</v>
      </c>
      <c r="F173" s="73" t="s">
        <v>29</v>
      </c>
      <c r="G173" s="74">
        <v>5000</v>
      </c>
      <c r="H173" s="78">
        <v>46171</v>
      </c>
      <c r="I173" s="75">
        <v>220</v>
      </c>
    </row>
    <row r="174" spans="1:9" ht="14.4" customHeight="1" x14ac:dyDescent="0.3">
      <c r="A174" s="74" t="s">
        <v>25</v>
      </c>
      <c r="B174" s="74" t="s">
        <v>26</v>
      </c>
      <c r="C174" s="74" t="s">
        <v>27</v>
      </c>
      <c r="D174" s="74">
        <v>80</v>
      </c>
      <c r="E174" s="74" t="s">
        <v>28</v>
      </c>
      <c r="F174" s="73" t="s">
        <v>29</v>
      </c>
      <c r="G174" s="74">
        <v>5000</v>
      </c>
      <c r="H174" s="78">
        <v>46171</v>
      </c>
      <c r="I174" s="75">
        <v>270</v>
      </c>
    </row>
    <row r="175" spans="1:9" ht="14.4" customHeight="1" x14ac:dyDescent="0.3">
      <c r="A175" s="74" t="s">
        <v>25</v>
      </c>
      <c r="B175" s="74" t="s">
        <v>26</v>
      </c>
      <c r="C175" s="74" t="s">
        <v>27</v>
      </c>
      <c r="D175" s="74">
        <v>80</v>
      </c>
      <c r="E175" s="74" t="s">
        <v>28</v>
      </c>
      <c r="F175" s="73" t="s">
        <v>29</v>
      </c>
      <c r="G175" s="74">
        <v>5000</v>
      </c>
      <c r="H175" s="78">
        <v>46171</v>
      </c>
      <c r="I175" s="75">
        <v>270</v>
      </c>
    </row>
    <row r="176" spans="1:9" ht="14.4" customHeight="1" x14ac:dyDescent="0.3">
      <c r="A176" s="74" t="s">
        <v>25</v>
      </c>
      <c r="B176" s="74" t="s">
        <v>26</v>
      </c>
      <c r="C176" s="74" t="s">
        <v>27</v>
      </c>
      <c r="D176" s="74">
        <v>80</v>
      </c>
      <c r="E176" s="74" t="s">
        <v>28</v>
      </c>
      <c r="F176" s="73" t="s">
        <v>29</v>
      </c>
      <c r="G176" s="74">
        <v>5000</v>
      </c>
      <c r="H176" s="78">
        <v>46171</v>
      </c>
      <c r="I176" s="75">
        <v>246</v>
      </c>
    </row>
    <row r="177" spans="1:9" ht="14.4" customHeight="1" x14ac:dyDescent="0.3">
      <c r="A177" s="74" t="s">
        <v>25</v>
      </c>
      <c r="B177" s="74" t="s">
        <v>26</v>
      </c>
      <c r="C177" s="74" t="s">
        <v>27</v>
      </c>
      <c r="D177" s="74">
        <v>80</v>
      </c>
      <c r="E177" s="74" t="s">
        <v>28</v>
      </c>
      <c r="F177" s="73" t="s">
        <v>29</v>
      </c>
      <c r="G177" s="74">
        <v>5000</v>
      </c>
      <c r="H177" s="78">
        <v>46171</v>
      </c>
      <c r="I177" s="75">
        <v>246</v>
      </c>
    </row>
    <row r="178" spans="1:9" ht="14.4" customHeight="1" x14ac:dyDescent="0.3">
      <c r="A178" s="74" t="s">
        <v>25</v>
      </c>
      <c r="B178" s="74" t="s">
        <v>26</v>
      </c>
      <c r="C178" s="74" t="s">
        <v>27</v>
      </c>
      <c r="D178" s="74">
        <v>80</v>
      </c>
      <c r="E178" s="74" t="s">
        <v>28</v>
      </c>
      <c r="F178" s="73" t="s">
        <v>29</v>
      </c>
      <c r="G178" s="74">
        <v>5000</v>
      </c>
      <c r="H178" s="78">
        <v>46171</v>
      </c>
      <c r="I178" s="75">
        <v>270</v>
      </c>
    </row>
    <row r="179" spans="1:9" ht="14.4" hidden="1" customHeight="1" x14ac:dyDescent="0.3">
      <c r="A179" s="74" t="s">
        <v>25</v>
      </c>
      <c r="B179" s="74" t="s">
        <v>26</v>
      </c>
      <c r="C179" s="74" t="s">
        <v>27</v>
      </c>
      <c r="D179" s="74">
        <v>80</v>
      </c>
      <c r="E179" s="74" t="s">
        <v>28</v>
      </c>
      <c r="F179" s="73" t="s">
        <v>29</v>
      </c>
      <c r="G179" s="74">
        <v>5000</v>
      </c>
      <c r="H179" s="78">
        <v>46176</v>
      </c>
      <c r="I179" s="75">
        <v>270</v>
      </c>
    </row>
    <row r="180" spans="1:9" ht="14.4" hidden="1" customHeight="1" x14ac:dyDescent="0.3">
      <c r="A180" s="74" t="s">
        <v>25</v>
      </c>
      <c r="B180" s="74" t="s">
        <v>26</v>
      </c>
      <c r="C180" s="74" t="s">
        <v>27</v>
      </c>
      <c r="D180" s="74">
        <v>80</v>
      </c>
      <c r="E180" s="74" t="s">
        <v>28</v>
      </c>
      <c r="F180" s="73" t="s">
        <v>29</v>
      </c>
      <c r="G180" s="74">
        <v>5000</v>
      </c>
      <c r="H180" s="78">
        <v>46176</v>
      </c>
      <c r="I180" s="75">
        <v>264</v>
      </c>
    </row>
    <row r="181" spans="1:9" ht="14.4" hidden="1" customHeight="1" x14ac:dyDescent="0.3">
      <c r="A181" s="74" t="s">
        <v>25</v>
      </c>
      <c r="B181" s="74" t="s">
        <v>26</v>
      </c>
      <c r="C181" s="74" t="s">
        <v>27</v>
      </c>
      <c r="D181" s="74">
        <v>80</v>
      </c>
      <c r="E181" s="74" t="s">
        <v>28</v>
      </c>
      <c r="F181" s="73" t="s">
        <v>29</v>
      </c>
      <c r="G181" s="74">
        <v>5000</v>
      </c>
      <c r="H181" s="78">
        <v>46178</v>
      </c>
      <c r="I181" s="75">
        <v>270</v>
      </c>
    </row>
    <row r="182" spans="1:9" ht="14.4" hidden="1" customHeight="1" x14ac:dyDescent="0.3">
      <c r="A182" s="74" t="s">
        <v>25</v>
      </c>
      <c r="B182" s="74" t="s">
        <v>26</v>
      </c>
      <c r="C182" s="74" t="s">
        <v>27</v>
      </c>
      <c r="D182" s="74">
        <v>80</v>
      </c>
      <c r="E182" s="74" t="s">
        <v>28</v>
      </c>
      <c r="F182" s="73" t="s">
        <v>29</v>
      </c>
      <c r="G182" s="74">
        <v>5000</v>
      </c>
      <c r="H182" s="78">
        <v>46178</v>
      </c>
      <c r="I182" s="75">
        <v>270</v>
      </c>
    </row>
    <row r="183" spans="1:9" ht="14.4" hidden="1" customHeight="1" x14ac:dyDescent="0.3">
      <c r="A183" s="74" t="s">
        <v>25</v>
      </c>
      <c r="B183" s="74" t="s">
        <v>26</v>
      </c>
      <c r="C183" s="74" t="s">
        <v>27</v>
      </c>
      <c r="D183" s="74">
        <v>80</v>
      </c>
      <c r="E183" s="74" t="s">
        <v>28</v>
      </c>
      <c r="F183" s="73" t="s">
        <v>29</v>
      </c>
      <c r="G183" s="74">
        <v>5000</v>
      </c>
      <c r="H183" s="78">
        <v>46178</v>
      </c>
      <c r="I183" s="75">
        <v>270</v>
      </c>
    </row>
    <row r="184" spans="1:9" ht="14.4" hidden="1" customHeight="1" x14ac:dyDescent="0.3">
      <c r="A184" s="74" t="s">
        <v>25</v>
      </c>
      <c r="B184" s="74" t="s">
        <v>26</v>
      </c>
      <c r="C184" s="74" t="s">
        <v>27</v>
      </c>
      <c r="D184" s="74">
        <v>80</v>
      </c>
      <c r="E184" s="74" t="s">
        <v>28</v>
      </c>
      <c r="F184" s="73" t="s">
        <v>29</v>
      </c>
      <c r="G184" s="74">
        <v>5000</v>
      </c>
      <c r="H184" s="78">
        <v>46178</v>
      </c>
      <c r="I184" s="75">
        <v>270</v>
      </c>
    </row>
    <row r="185" spans="1:9" ht="14.4" hidden="1" customHeight="1" x14ac:dyDescent="0.3">
      <c r="A185" s="74" t="s">
        <v>25</v>
      </c>
      <c r="B185" s="74" t="s">
        <v>26</v>
      </c>
      <c r="C185" s="74" t="s">
        <v>27</v>
      </c>
      <c r="D185" s="74">
        <v>80</v>
      </c>
      <c r="E185" s="74" t="s">
        <v>28</v>
      </c>
      <c r="F185" s="73" t="s">
        <v>29</v>
      </c>
      <c r="G185" s="74">
        <v>5000</v>
      </c>
      <c r="H185" s="78">
        <v>46178</v>
      </c>
      <c r="I185" s="75">
        <v>270</v>
      </c>
    </row>
    <row r="186" spans="1:9" ht="14.4" hidden="1" customHeight="1" x14ac:dyDescent="0.3">
      <c r="A186" s="74" t="s">
        <v>25</v>
      </c>
      <c r="B186" s="74" t="s">
        <v>26</v>
      </c>
      <c r="C186" s="74" t="s">
        <v>27</v>
      </c>
      <c r="D186" s="74">
        <v>80</v>
      </c>
      <c r="E186" s="74" t="s">
        <v>28</v>
      </c>
      <c r="F186" s="73" t="s">
        <v>29</v>
      </c>
      <c r="G186" s="74">
        <v>5000</v>
      </c>
      <c r="H186" s="78">
        <v>46178</v>
      </c>
      <c r="I186" s="75">
        <v>270</v>
      </c>
    </row>
    <row r="187" spans="1:9" ht="14.4" hidden="1" customHeight="1" x14ac:dyDescent="0.3">
      <c r="A187" s="74" t="s">
        <v>25</v>
      </c>
      <c r="B187" s="74" t="s">
        <v>26</v>
      </c>
      <c r="C187" s="74" t="s">
        <v>27</v>
      </c>
      <c r="D187" s="74">
        <v>80</v>
      </c>
      <c r="E187" s="74" t="s">
        <v>28</v>
      </c>
      <c r="F187" s="73" t="s">
        <v>29</v>
      </c>
      <c r="G187" s="74">
        <v>5000</v>
      </c>
      <c r="H187" s="78">
        <v>46178</v>
      </c>
      <c r="I187" s="75">
        <v>270</v>
      </c>
    </row>
    <row r="188" spans="1:9" ht="14.4" hidden="1" customHeight="1" x14ac:dyDescent="0.3">
      <c r="A188" s="74" t="s">
        <v>25</v>
      </c>
      <c r="B188" s="74" t="s">
        <v>26</v>
      </c>
      <c r="C188" s="74" t="s">
        <v>27</v>
      </c>
      <c r="D188" s="74">
        <v>80</v>
      </c>
      <c r="E188" s="74" t="s">
        <v>28</v>
      </c>
      <c r="F188" s="73" t="s">
        <v>29</v>
      </c>
      <c r="G188" s="74">
        <v>5000</v>
      </c>
      <c r="H188" s="78">
        <v>46178</v>
      </c>
      <c r="I188" s="75">
        <v>270</v>
      </c>
    </row>
    <row r="189" spans="1:9" ht="14.4" hidden="1" customHeight="1" x14ac:dyDescent="0.3">
      <c r="A189" s="74" t="s">
        <v>25</v>
      </c>
      <c r="B189" s="74" t="s">
        <v>26</v>
      </c>
      <c r="C189" s="74" t="s">
        <v>27</v>
      </c>
      <c r="D189" s="74">
        <v>80</v>
      </c>
      <c r="E189" s="74" t="s">
        <v>28</v>
      </c>
      <c r="F189" s="73" t="s">
        <v>29</v>
      </c>
      <c r="G189" s="74">
        <v>5000</v>
      </c>
      <c r="H189" s="78">
        <v>46178</v>
      </c>
      <c r="I189" s="75">
        <v>270</v>
      </c>
    </row>
    <row r="190" spans="1:9" ht="14.4" hidden="1" customHeight="1" x14ac:dyDescent="0.3">
      <c r="A190" s="74" t="s">
        <v>25</v>
      </c>
      <c r="B190" s="74" t="s">
        <v>26</v>
      </c>
      <c r="C190" s="74" t="s">
        <v>27</v>
      </c>
      <c r="D190" s="74">
        <v>80</v>
      </c>
      <c r="E190" s="74" t="s">
        <v>28</v>
      </c>
      <c r="F190" s="73" t="s">
        <v>29</v>
      </c>
      <c r="G190" s="74">
        <v>5000</v>
      </c>
      <c r="H190" s="78">
        <v>46178</v>
      </c>
      <c r="I190" s="75">
        <v>270</v>
      </c>
    </row>
    <row r="191" spans="1:9" ht="14.4" hidden="1" customHeight="1" x14ac:dyDescent="0.3">
      <c r="A191" s="74" t="s">
        <v>25</v>
      </c>
      <c r="B191" s="74" t="s">
        <v>26</v>
      </c>
      <c r="C191" s="74" t="s">
        <v>27</v>
      </c>
      <c r="D191" s="74">
        <v>80</v>
      </c>
      <c r="E191" s="74" t="s">
        <v>28</v>
      </c>
      <c r="F191" s="73" t="s">
        <v>29</v>
      </c>
      <c r="G191" s="74">
        <v>5000</v>
      </c>
      <c r="H191" s="78">
        <v>46178</v>
      </c>
      <c r="I191" s="75">
        <v>270</v>
      </c>
    </row>
    <row r="192" spans="1:9" ht="14.4" hidden="1" customHeight="1" x14ac:dyDescent="0.3">
      <c r="A192" s="74" t="s">
        <v>25</v>
      </c>
      <c r="B192" s="74" t="s">
        <v>26</v>
      </c>
      <c r="C192" s="74" t="s">
        <v>27</v>
      </c>
      <c r="D192" s="74">
        <v>80</v>
      </c>
      <c r="E192" s="74" t="s">
        <v>28</v>
      </c>
      <c r="F192" s="73" t="s">
        <v>29</v>
      </c>
      <c r="G192" s="74">
        <v>5000</v>
      </c>
      <c r="H192" s="78">
        <v>46178</v>
      </c>
      <c r="I192" s="75">
        <v>270</v>
      </c>
    </row>
    <row r="193" spans="1:9" ht="14.4" hidden="1" customHeight="1" x14ac:dyDescent="0.3">
      <c r="A193" s="74" t="s">
        <v>25</v>
      </c>
      <c r="B193" s="74" t="s">
        <v>26</v>
      </c>
      <c r="C193" s="74" t="s">
        <v>27</v>
      </c>
      <c r="D193" s="74">
        <v>80</v>
      </c>
      <c r="E193" s="74" t="s">
        <v>28</v>
      </c>
      <c r="F193" s="73" t="s">
        <v>29</v>
      </c>
      <c r="G193" s="74">
        <v>5000</v>
      </c>
      <c r="H193" s="78">
        <v>46178</v>
      </c>
      <c r="I193" s="75">
        <v>270</v>
      </c>
    </row>
    <row r="194" spans="1:9" ht="14.4" hidden="1" customHeight="1" x14ac:dyDescent="0.3">
      <c r="A194" s="74" t="s">
        <v>25</v>
      </c>
      <c r="B194" s="74" t="s">
        <v>26</v>
      </c>
      <c r="C194" s="74" t="s">
        <v>27</v>
      </c>
      <c r="D194" s="74">
        <v>80</v>
      </c>
      <c r="E194" s="74" t="s">
        <v>28</v>
      </c>
      <c r="F194" s="73" t="s">
        <v>29</v>
      </c>
      <c r="G194" s="74">
        <v>5000</v>
      </c>
      <c r="H194" s="78">
        <v>46178</v>
      </c>
      <c r="I194" s="75">
        <v>270</v>
      </c>
    </row>
    <row r="195" spans="1:9" ht="14.4" hidden="1" customHeight="1" x14ac:dyDescent="0.3">
      <c r="A195" s="74" t="s">
        <v>25</v>
      </c>
      <c r="B195" s="74" t="s">
        <v>26</v>
      </c>
      <c r="C195" s="74" t="s">
        <v>27</v>
      </c>
      <c r="D195" s="74">
        <v>80</v>
      </c>
      <c r="E195" s="74" t="s">
        <v>28</v>
      </c>
      <c r="F195" s="73" t="s">
        <v>29</v>
      </c>
      <c r="G195" s="74">
        <v>5000</v>
      </c>
      <c r="H195" s="78">
        <v>46178</v>
      </c>
      <c r="I195" s="75">
        <v>270</v>
      </c>
    </row>
    <row r="196" spans="1:9" ht="14.4" hidden="1" customHeight="1" x14ac:dyDescent="0.3">
      <c r="A196" s="74" t="s">
        <v>25</v>
      </c>
      <c r="B196" s="74" t="s">
        <v>26</v>
      </c>
      <c r="C196" s="74" t="s">
        <v>27</v>
      </c>
      <c r="D196" s="74">
        <v>80</v>
      </c>
      <c r="E196" s="74" t="s">
        <v>28</v>
      </c>
      <c r="F196" s="73" t="s">
        <v>29</v>
      </c>
      <c r="G196" s="74">
        <v>5000</v>
      </c>
      <c r="H196" s="78">
        <v>46178</v>
      </c>
      <c r="I196" s="75">
        <v>270</v>
      </c>
    </row>
    <row r="197" spans="1:9" ht="14.4" hidden="1" customHeight="1" x14ac:dyDescent="0.3">
      <c r="A197" s="74" t="s">
        <v>25</v>
      </c>
      <c r="B197" s="74" t="s">
        <v>26</v>
      </c>
      <c r="C197" s="74" t="s">
        <v>27</v>
      </c>
      <c r="D197" s="74">
        <v>80</v>
      </c>
      <c r="E197" s="74" t="s">
        <v>28</v>
      </c>
      <c r="F197" s="73" t="s">
        <v>29</v>
      </c>
      <c r="G197" s="74">
        <v>5000</v>
      </c>
      <c r="H197" s="78">
        <v>46178</v>
      </c>
      <c r="I197" s="75">
        <v>270</v>
      </c>
    </row>
    <row r="198" spans="1:9" ht="14.4" hidden="1" customHeight="1" x14ac:dyDescent="0.3">
      <c r="A198" s="74" t="s">
        <v>25</v>
      </c>
      <c r="B198" s="74" t="s">
        <v>26</v>
      </c>
      <c r="C198" s="74" t="s">
        <v>27</v>
      </c>
      <c r="D198" s="74">
        <v>80</v>
      </c>
      <c r="E198" s="74" t="s">
        <v>28</v>
      </c>
      <c r="F198" s="73" t="s">
        <v>29</v>
      </c>
      <c r="G198" s="74">
        <v>5000</v>
      </c>
      <c r="H198" s="78">
        <v>46178</v>
      </c>
      <c r="I198" s="75">
        <v>270</v>
      </c>
    </row>
    <row r="199" spans="1:9" ht="14.4" hidden="1" customHeight="1" x14ac:dyDescent="0.3">
      <c r="A199" s="74" t="s">
        <v>25</v>
      </c>
      <c r="B199" s="74" t="s">
        <v>26</v>
      </c>
      <c r="C199" s="74" t="s">
        <v>27</v>
      </c>
      <c r="D199" s="74">
        <v>80</v>
      </c>
      <c r="E199" s="74" t="s">
        <v>28</v>
      </c>
      <c r="F199" s="73" t="s">
        <v>29</v>
      </c>
      <c r="G199" s="74">
        <v>5000</v>
      </c>
      <c r="H199" s="78">
        <v>46178</v>
      </c>
      <c r="I199" s="75">
        <v>270</v>
      </c>
    </row>
    <row r="200" spans="1:9" ht="14.4" hidden="1" customHeight="1" x14ac:dyDescent="0.3">
      <c r="A200" s="74" t="s">
        <v>25</v>
      </c>
      <c r="B200" s="74" t="s">
        <v>26</v>
      </c>
      <c r="C200" s="74" t="s">
        <v>27</v>
      </c>
      <c r="D200" s="74">
        <v>80</v>
      </c>
      <c r="E200" s="74" t="s">
        <v>28</v>
      </c>
      <c r="F200" s="73" t="s">
        <v>29</v>
      </c>
      <c r="G200" s="74">
        <v>5000</v>
      </c>
      <c r="H200" s="78">
        <v>46178</v>
      </c>
      <c r="I200" s="75">
        <v>270</v>
      </c>
    </row>
    <row r="201" spans="1:9" ht="14.4" hidden="1" customHeight="1" x14ac:dyDescent="0.3">
      <c r="A201" s="74" t="s">
        <v>25</v>
      </c>
      <c r="B201" s="74" t="s">
        <v>26</v>
      </c>
      <c r="C201" s="74" t="s">
        <v>27</v>
      </c>
      <c r="D201" s="74">
        <v>80</v>
      </c>
      <c r="E201" s="74" t="s">
        <v>28</v>
      </c>
      <c r="F201" s="73" t="s">
        <v>29</v>
      </c>
      <c r="G201" s="74">
        <v>5000</v>
      </c>
      <c r="H201" s="78">
        <v>46178</v>
      </c>
      <c r="I201" s="75">
        <v>270</v>
      </c>
    </row>
    <row r="202" spans="1:9" ht="14.4" hidden="1" customHeight="1" x14ac:dyDescent="0.3">
      <c r="A202" s="74" t="s">
        <v>25</v>
      </c>
      <c r="B202" s="74" t="s">
        <v>26</v>
      </c>
      <c r="C202" s="74" t="s">
        <v>27</v>
      </c>
      <c r="D202" s="74">
        <v>80</v>
      </c>
      <c r="E202" s="74" t="s">
        <v>28</v>
      </c>
      <c r="F202" s="73" t="s">
        <v>29</v>
      </c>
      <c r="G202" s="74">
        <v>5000</v>
      </c>
      <c r="H202" s="78">
        <v>46178</v>
      </c>
      <c r="I202" s="75">
        <v>270</v>
      </c>
    </row>
    <row r="203" spans="1:9" ht="14.4" hidden="1" customHeight="1" x14ac:dyDescent="0.3">
      <c r="A203" s="74" t="s">
        <v>25</v>
      </c>
      <c r="B203" s="74" t="s">
        <v>26</v>
      </c>
      <c r="C203" s="74" t="s">
        <v>27</v>
      </c>
      <c r="D203" s="74">
        <v>80</v>
      </c>
      <c r="E203" s="74" t="s">
        <v>28</v>
      </c>
      <c r="F203" s="73" t="s">
        <v>29</v>
      </c>
      <c r="G203" s="74">
        <v>5000</v>
      </c>
      <c r="H203" s="78">
        <v>46178</v>
      </c>
      <c r="I203" s="75">
        <v>270</v>
      </c>
    </row>
    <row r="204" spans="1:9" ht="14.4" hidden="1" customHeight="1" x14ac:dyDescent="0.3">
      <c r="A204" s="74" t="s">
        <v>25</v>
      </c>
      <c r="B204" s="74" t="s">
        <v>26</v>
      </c>
      <c r="C204" s="74" t="s">
        <v>27</v>
      </c>
      <c r="D204" s="74">
        <v>80</v>
      </c>
      <c r="E204" s="74" t="s">
        <v>28</v>
      </c>
      <c r="F204" s="73" t="s">
        <v>29</v>
      </c>
      <c r="G204" s="74">
        <v>5000</v>
      </c>
      <c r="H204" s="78">
        <v>46178</v>
      </c>
      <c r="I204" s="75">
        <v>270</v>
      </c>
    </row>
    <row r="205" spans="1:9" ht="14.4" hidden="1" customHeight="1" x14ac:dyDescent="0.3">
      <c r="A205" s="74" t="s">
        <v>25</v>
      </c>
      <c r="B205" s="74" t="s">
        <v>26</v>
      </c>
      <c r="C205" s="74" t="s">
        <v>27</v>
      </c>
      <c r="D205" s="74">
        <v>80</v>
      </c>
      <c r="E205" s="74" t="s">
        <v>28</v>
      </c>
      <c r="F205" s="73" t="s">
        <v>29</v>
      </c>
      <c r="G205" s="74">
        <v>5000</v>
      </c>
      <c r="H205" s="78">
        <v>46178</v>
      </c>
      <c r="I205" s="75">
        <v>270</v>
      </c>
    </row>
    <row r="206" spans="1:9" ht="14.4" hidden="1" customHeight="1" x14ac:dyDescent="0.3">
      <c r="A206" s="74" t="s">
        <v>25</v>
      </c>
      <c r="B206" s="74" t="s">
        <v>26</v>
      </c>
      <c r="C206" s="74" t="s">
        <v>27</v>
      </c>
      <c r="D206" s="74">
        <v>80</v>
      </c>
      <c r="E206" s="74" t="s">
        <v>28</v>
      </c>
      <c r="F206" s="73" t="s">
        <v>29</v>
      </c>
      <c r="G206" s="74">
        <v>5000</v>
      </c>
      <c r="H206" s="78">
        <v>46178</v>
      </c>
      <c r="I206" s="75">
        <v>270</v>
      </c>
    </row>
    <row r="207" spans="1:9" ht="14.4" hidden="1" customHeight="1" x14ac:dyDescent="0.3">
      <c r="A207" s="74" t="s">
        <v>25</v>
      </c>
      <c r="B207" s="74" t="s">
        <v>26</v>
      </c>
      <c r="C207" s="74" t="s">
        <v>27</v>
      </c>
      <c r="D207" s="74">
        <v>80</v>
      </c>
      <c r="E207" s="74" t="s">
        <v>28</v>
      </c>
      <c r="F207" s="73" t="s">
        <v>29</v>
      </c>
      <c r="G207" s="74">
        <v>5000</v>
      </c>
      <c r="H207" s="78">
        <v>46178</v>
      </c>
      <c r="I207" s="75">
        <v>270</v>
      </c>
    </row>
    <row r="208" spans="1:9" ht="14.4" hidden="1" customHeight="1" x14ac:dyDescent="0.3">
      <c r="A208" s="74" t="s">
        <v>25</v>
      </c>
      <c r="B208" s="74" t="s">
        <v>26</v>
      </c>
      <c r="C208" s="74" t="s">
        <v>27</v>
      </c>
      <c r="D208" s="74">
        <v>80</v>
      </c>
      <c r="E208" s="74" t="s">
        <v>28</v>
      </c>
      <c r="F208" s="73" t="s">
        <v>29</v>
      </c>
      <c r="G208" s="74">
        <v>5000</v>
      </c>
      <c r="H208" s="78">
        <v>46178</v>
      </c>
      <c r="I208" s="75">
        <v>270</v>
      </c>
    </row>
    <row r="209" spans="1:9" ht="14.4" hidden="1" customHeight="1" x14ac:dyDescent="0.3">
      <c r="A209" s="74" t="s">
        <v>25</v>
      </c>
      <c r="B209" s="74" t="s">
        <v>26</v>
      </c>
      <c r="C209" s="74" t="s">
        <v>27</v>
      </c>
      <c r="D209" s="74">
        <v>80</v>
      </c>
      <c r="E209" s="74" t="s">
        <v>28</v>
      </c>
      <c r="F209" s="73" t="s">
        <v>29</v>
      </c>
      <c r="G209" s="74">
        <v>5000</v>
      </c>
      <c r="H209" s="78">
        <v>46178</v>
      </c>
      <c r="I209" s="75">
        <v>270</v>
      </c>
    </row>
    <row r="210" spans="1:9" ht="14.4" hidden="1" customHeight="1" x14ac:dyDescent="0.3">
      <c r="A210" s="74" t="s">
        <v>25</v>
      </c>
      <c r="B210" s="74" t="s">
        <v>26</v>
      </c>
      <c r="C210" s="74" t="s">
        <v>27</v>
      </c>
      <c r="D210" s="74">
        <v>80</v>
      </c>
      <c r="E210" s="74" t="s">
        <v>28</v>
      </c>
      <c r="F210" s="73" t="s">
        <v>29</v>
      </c>
      <c r="G210" s="74">
        <v>5000</v>
      </c>
      <c r="H210" s="78">
        <v>46178</v>
      </c>
      <c r="I210" s="75">
        <v>270</v>
      </c>
    </row>
    <row r="211" spans="1:9" ht="14.4" hidden="1" customHeight="1" x14ac:dyDescent="0.3">
      <c r="A211" s="74" t="s">
        <v>25</v>
      </c>
      <c r="B211" s="74" t="s">
        <v>26</v>
      </c>
      <c r="C211" s="74" t="s">
        <v>27</v>
      </c>
      <c r="D211" s="74">
        <v>80</v>
      </c>
      <c r="E211" s="74" t="s">
        <v>28</v>
      </c>
      <c r="F211" s="73" t="s">
        <v>29</v>
      </c>
      <c r="G211" s="74">
        <v>5000</v>
      </c>
      <c r="H211" s="78">
        <v>46178</v>
      </c>
      <c r="I211" s="75">
        <v>270</v>
      </c>
    </row>
    <row r="212" spans="1:9" ht="14.4" hidden="1" customHeight="1" x14ac:dyDescent="0.3">
      <c r="A212" s="74" t="s">
        <v>25</v>
      </c>
      <c r="B212" s="74" t="s">
        <v>26</v>
      </c>
      <c r="C212" s="74" t="s">
        <v>27</v>
      </c>
      <c r="D212" s="74">
        <v>80</v>
      </c>
      <c r="E212" s="74" t="s">
        <v>28</v>
      </c>
      <c r="F212" s="73" t="s">
        <v>29</v>
      </c>
      <c r="G212" s="74">
        <v>5000</v>
      </c>
      <c r="H212" s="78">
        <v>46178</v>
      </c>
      <c r="I212" s="75">
        <v>270</v>
      </c>
    </row>
    <row r="213" spans="1:9" ht="14.4" hidden="1" customHeight="1" x14ac:dyDescent="0.3">
      <c r="A213" s="74" t="s">
        <v>25</v>
      </c>
      <c r="B213" s="74" t="s">
        <v>26</v>
      </c>
      <c r="C213" s="74" t="s">
        <v>27</v>
      </c>
      <c r="D213" s="74">
        <v>80</v>
      </c>
      <c r="E213" s="74" t="s">
        <v>28</v>
      </c>
      <c r="F213" s="73" t="s">
        <v>29</v>
      </c>
      <c r="G213" s="74">
        <v>5000</v>
      </c>
      <c r="H213" s="78">
        <v>46178</v>
      </c>
      <c r="I213" s="75">
        <v>270</v>
      </c>
    </row>
    <row r="214" spans="1:9" ht="14.4" hidden="1" customHeight="1" x14ac:dyDescent="0.3">
      <c r="A214" s="74" t="s">
        <v>25</v>
      </c>
      <c r="B214" s="74" t="s">
        <v>26</v>
      </c>
      <c r="C214" s="74" t="s">
        <v>27</v>
      </c>
      <c r="D214" s="74">
        <v>80</v>
      </c>
      <c r="E214" s="74" t="s">
        <v>28</v>
      </c>
      <c r="F214" s="73" t="s">
        <v>29</v>
      </c>
      <c r="G214" s="74">
        <v>5000</v>
      </c>
      <c r="H214" s="78">
        <v>46178</v>
      </c>
      <c r="I214" s="75">
        <v>270</v>
      </c>
    </row>
    <row r="215" spans="1:9" ht="14.4" hidden="1" customHeight="1" x14ac:dyDescent="0.3">
      <c r="A215" s="74" t="s">
        <v>25</v>
      </c>
      <c r="B215" s="74" t="s">
        <v>26</v>
      </c>
      <c r="C215" s="74" t="s">
        <v>27</v>
      </c>
      <c r="D215" s="74">
        <v>80</v>
      </c>
      <c r="E215" s="74" t="s">
        <v>28</v>
      </c>
      <c r="F215" s="73" t="s">
        <v>29</v>
      </c>
      <c r="G215" s="74">
        <v>5000</v>
      </c>
      <c r="H215" s="78">
        <v>46178</v>
      </c>
      <c r="I215" s="75">
        <v>270</v>
      </c>
    </row>
    <row r="216" spans="1:9" ht="14.4" hidden="1" customHeight="1" x14ac:dyDescent="0.3">
      <c r="A216" s="74" t="s">
        <v>25</v>
      </c>
      <c r="B216" s="74" t="s">
        <v>26</v>
      </c>
      <c r="C216" s="74" t="s">
        <v>27</v>
      </c>
      <c r="D216" s="74">
        <v>80</v>
      </c>
      <c r="E216" s="74" t="s">
        <v>28</v>
      </c>
      <c r="F216" s="73" t="s">
        <v>29</v>
      </c>
      <c r="G216" s="74">
        <v>5000</v>
      </c>
      <c r="H216" s="78">
        <v>46178</v>
      </c>
      <c r="I216" s="75">
        <v>270</v>
      </c>
    </row>
    <row r="217" spans="1:9" ht="14.4" hidden="1" customHeight="1" x14ac:dyDescent="0.3">
      <c r="A217" s="74" t="s">
        <v>25</v>
      </c>
      <c r="B217" s="74" t="s">
        <v>26</v>
      </c>
      <c r="C217" s="74" t="s">
        <v>27</v>
      </c>
      <c r="D217" s="74">
        <v>80</v>
      </c>
      <c r="E217" s="74" t="s">
        <v>28</v>
      </c>
      <c r="F217" s="73" t="s">
        <v>29</v>
      </c>
      <c r="G217" s="74">
        <v>5000</v>
      </c>
      <c r="H217" s="78">
        <v>46178</v>
      </c>
      <c r="I217" s="75">
        <v>270</v>
      </c>
    </row>
    <row r="218" spans="1:9" ht="14.4" hidden="1" customHeight="1" x14ac:dyDescent="0.3">
      <c r="A218" s="74" t="s">
        <v>25</v>
      </c>
      <c r="B218" s="74" t="s">
        <v>26</v>
      </c>
      <c r="C218" s="74" t="s">
        <v>27</v>
      </c>
      <c r="D218" s="74">
        <v>80</v>
      </c>
      <c r="E218" s="74" t="s">
        <v>28</v>
      </c>
      <c r="F218" s="73" t="s">
        <v>29</v>
      </c>
      <c r="G218" s="74">
        <v>5000</v>
      </c>
      <c r="H218" s="78">
        <v>46183</v>
      </c>
      <c r="I218" s="75">
        <v>270</v>
      </c>
    </row>
    <row r="219" spans="1:9" ht="14.4" hidden="1" customHeight="1" x14ac:dyDescent="0.3">
      <c r="A219" s="74" t="s">
        <v>25</v>
      </c>
      <c r="B219" s="74" t="s">
        <v>26</v>
      </c>
      <c r="C219" s="74" t="s">
        <v>27</v>
      </c>
      <c r="D219" s="74">
        <v>80</v>
      </c>
      <c r="E219" s="74" t="s">
        <v>28</v>
      </c>
      <c r="F219" s="73" t="s">
        <v>29</v>
      </c>
      <c r="G219" s="74">
        <v>5000</v>
      </c>
      <c r="H219" s="78">
        <v>46183</v>
      </c>
      <c r="I219" s="75">
        <v>270</v>
      </c>
    </row>
    <row r="220" spans="1:9" ht="14.4" hidden="1" customHeight="1" x14ac:dyDescent="0.3">
      <c r="A220" s="74" t="s">
        <v>25</v>
      </c>
      <c r="B220" s="74" t="s">
        <v>26</v>
      </c>
      <c r="C220" s="74" t="s">
        <v>27</v>
      </c>
      <c r="D220" s="74">
        <v>80</v>
      </c>
      <c r="E220" s="74" t="s">
        <v>28</v>
      </c>
      <c r="F220" s="73" t="s">
        <v>29</v>
      </c>
      <c r="G220" s="74">
        <v>5000</v>
      </c>
      <c r="H220" s="78">
        <v>46183</v>
      </c>
      <c r="I220" s="75">
        <v>270</v>
      </c>
    </row>
    <row r="221" spans="1:9" ht="14.4" hidden="1" customHeight="1" x14ac:dyDescent="0.3">
      <c r="A221" s="74" t="s">
        <v>25</v>
      </c>
      <c r="B221" s="74" t="s">
        <v>26</v>
      </c>
      <c r="C221" s="74" t="s">
        <v>27</v>
      </c>
      <c r="D221" s="74">
        <v>80</v>
      </c>
      <c r="E221" s="74" t="s">
        <v>28</v>
      </c>
      <c r="F221" s="73" t="s">
        <v>29</v>
      </c>
      <c r="G221" s="74">
        <v>5000</v>
      </c>
      <c r="H221" s="78">
        <v>46183</v>
      </c>
      <c r="I221" s="75">
        <v>270</v>
      </c>
    </row>
    <row r="222" spans="1:9" ht="14.4" hidden="1" customHeight="1" x14ac:dyDescent="0.3">
      <c r="A222" s="74" t="s">
        <v>25</v>
      </c>
      <c r="B222" s="74" t="s">
        <v>26</v>
      </c>
      <c r="C222" s="74" t="s">
        <v>27</v>
      </c>
      <c r="D222" s="74">
        <v>80</v>
      </c>
      <c r="E222" s="74" t="s">
        <v>28</v>
      </c>
      <c r="F222" s="73" t="s">
        <v>29</v>
      </c>
      <c r="G222" s="74">
        <v>5000</v>
      </c>
      <c r="H222" s="78">
        <v>46186</v>
      </c>
      <c r="I222" s="75">
        <v>270</v>
      </c>
    </row>
    <row r="223" spans="1:9" ht="14.4" hidden="1" customHeight="1" x14ac:dyDescent="0.3">
      <c r="A223" s="74" t="s">
        <v>25</v>
      </c>
      <c r="B223" s="74" t="s">
        <v>26</v>
      </c>
      <c r="C223" s="74" t="s">
        <v>27</v>
      </c>
      <c r="D223" s="74">
        <v>80</v>
      </c>
      <c r="E223" s="74" t="s">
        <v>28</v>
      </c>
      <c r="F223" s="73" t="s">
        <v>29</v>
      </c>
      <c r="G223" s="74">
        <v>5000</v>
      </c>
      <c r="H223" s="78">
        <v>46186</v>
      </c>
      <c r="I223" s="75">
        <v>270</v>
      </c>
    </row>
    <row r="224" spans="1:9" ht="14.4" hidden="1" customHeight="1" x14ac:dyDescent="0.3">
      <c r="A224" s="74" t="s">
        <v>25</v>
      </c>
      <c r="B224" s="74" t="s">
        <v>26</v>
      </c>
      <c r="C224" s="74" t="s">
        <v>27</v>
      </c>
      <c r="D224" s="74">
        <v>80</v>
      </c>
      <c r="E224" s="74" t="s">
        <v>28</v>
      </c>
      <c r="F224" s="73" t="s">
        <v>29</v>
      </c>
      <c r="G224" s="74">
        <v>5000</v>
      </c>
      <c r="H224" s="78">
        <v>46186</v>
      </c>
      <c r="I224" s="75">
        <v>270</v>
      </c>
    </row>
    <row r="225" spans="1:9" ht="14.4" hidden="1" customHeight="1" x14ac:dyDescent="0.3">
      <c r="A225" s="74" t="s">
        <v>25</v>
      </c>
      <c r="B225" s="74" t="s">
        <v>26</v>
      </c>
      <c r="C225" s="74" t="s">
        <v>27</v>
      </c>
      <c r="D225" s="74">
        <v>80</v>
      </c>
      <c r="E225" s="74" t="s">
        <v>28</v>
      </c>
      <c r="F225" s="73" t="s">
        <v>29</v>
      </c>
      <c r="G225" s="74">
        <v>5000</v>
      </c>
      <c r="H225" s="78">
        <v>46186</v>
      </c>
      <c r="I225" s="75">
        <v>270</v>
      </c>
    </row>
    <row r="226" spans="1:9" ht="14.4" hidden="1" customHeight="1" x14ac:dyDescent="0.3">
      <c r="A226" s="74" t="s">
        <v>25</v>
      </c>
      <c r="B226" s="74" t="s">
        <v>26</v>
      </c>
      <c r="C226" s="74" t="s">
        <v>27</v>
      </c>
      <c r="D226" s="74">
        <v>80</v>
      </c>
      <c r="E226" s="74" t="s">
        <v>28</v>
      </c>
      <c r="F226" s="73" t="s">
        <v>29</v>
      </c>
      <c r="G226" s="74">
        <v>5000</v>
      </c>
      <c r="H226" s="78">
        <v>46186</v>
      </c>
      <c r="I226" s="75">
        <v>270</v>
      </c>
    </row>
    <row r="227" spans="1:9" ht="14.4" hidden="1" customHeight="1" x14ac:dyDescent="0.3">
      <c r="A227" s="74" t="s">
        <v>25</v>
      </c>
      <c r="B227" s="74" t="s">
        <v>26</v>
      </c>
      <c r="C227" s="74" t="s">
        <v>27</v>
      </c>
      <c r="D227" s="74">
        <v>80</v>
      </c>
      <c r="E227" s="74" t="s">
        <v>28</v>
      </c>
      <c r="F227" s="73" t="s">
        <v>29</v>
      </c>
      <c r="G227" s="74">
        <v>5000</v>
      </c>
      <c r="H227" s="78">
        <v>46186</v>
      </c>
      <c r="I227" s="75">
        <v>270</v>
      </c>
    </row>
    <row r="228" spans="1:9" ht="14.4" hidden="1" customHeight="1" x14ac:dyDescent="0.3">
      <c r="A228" s="74" t="s">
        <v>25</v>
      </c>
      <c r="B228" s="74" t="s">
        <v>26</v>
      </c>
      <c r="C228" s="74" t="s">
        <v>27</v>
      </c>
      <c r="D228" s="74">
        <v>80</v>
      </c>
      <c r="E228" s="74" t="s">
        <v>28</v>
      </c>
      <c r="F228" s="73" t="s">
        <v>29</v>
      </c>
      <c r="G228" s="74">
        <v>5000</v>
      </c>
      <c r="H228" s="78">
        <v>46186</v>
      </c>
      <c r="I228" s="75">
        <v>270</v>
      </c>
    </row>
    <row r="229" spans="1:9" ht="14.4" hidden="1" customHeight="1" x14ac:dyDescent="0.3">
      <c r="A229" s="74" t="s">
        <v>25</v>
      </c>
      <c r="B229" s="74" t="s">
        <v>26</v>
      </c>
      <c r="C229" s="74" t="s">
        <v>27</v>
      </c>
      <c r="D229" s="74">
        <v>80</v>
      </c>
      <c r="E229" s="74" t="s">
        <v>28</v>
      </c>
      <c r="F229" s="73" t="s">
        <v>29</v>
      </c>
      <c r="G229" s="74">
        <v>5000</v>
      </c>
      <c r="H229" s="78">
        <v>46186</v>
      </c>
      <c r="I229" s="75">
        <v>270</v>
      </c>
    </row>
    <row r="230" spans="1:9" ht="14.4" hidden="1" customHeight="1" x14ac:dyDescent="0.3">
      <c r="A230" s="74" t="s">
        <v>25</v>
      </c>
      <c r="B230" s="74" t="s">
        <v>26</v>
      </c>
      <c r="C230" s="74" t="s">
        <v>27</v>
      </c>
      <c r="D230" s="74">
        <v>80</v>
      </c>
      <c r="E230" s="74" t="s">
        <v>28</v>
      </c>
      <c r="F230" s="73" t="s">
        <v>29</v>
      </c>
      <c r="G230" s="74">
        <v>5000</v>
      </c>
      <c r="H230" s="78">
        <v>46190</v>
      </c>
      <c r="I230" s="75">
        <v>270</v>
      </c>
    </row>
    <row r="231" spans="1:9" ht="14.4" hidden="1" customHeight="1" x14ac:dyDescent="0.3">
      <c r="A231" s="74" t="s">
        <v>25</v>
      </c>
      <c r="B231" s="74" t="s">
        <v>26</v>
      </c>
      <c r="C231" s="74" t="s">
        <v>27</v>
      </c>
      <c r="D231" s="74">
        <v>80</v>
      </c>
      <c r="E231" s="74" t="s">
        <v>28</v>
      </c>
      <c r="F231" s="73" t="s">
        <v>29</v>
      </c>
      <c r="G231" s="74">
        <v>5000</v>
      </c>
      <c r="H231" s="78">
        <v>46190</v>
      </c>
      <c r="I231" s="75">
        <v>270</v>
      </c>
    </row>
    <row r="232" spans="1:9" ht="14.4" hidden="1" customHeight="1" x14ac:dyDescent="0.3">
      <c r="A232" s="74" t="s">
        <v>25</v>
      </c>
      <c r="B232" s="74" t="s">
        <v>26</v>
      </c>
      <c r="C232" s="74" t="s">
        <v>27</v>
      </c>
      <c r="D232" s="74">
        <v>80</v>
      </c>
      <c r="E232" s="74" t="s">
        <v>28</v>
      </c>
      <c r="F232" s="73" t="s">
        <v>29</v>
      </c>
      <c r="G232" s="74">
        <v>5000</v>
      </c>
      <c r="H232" s="78">
        <v>46190</v>
      </c>
      <c r="I232" s="75">
        <v>270</v>
      </c>
    </row>
    <row r="233" spans="1:9" ht="14.4" hidden="1" customHeight="1" x14ac:dyDescent="0.3">
      <c r="A233" s="74" t="s">
        <v>25</v>
      </c>
      <c r="B233" s="74" t="s">
        <v>26</v>
      </c>
      <c r="C233" s="74" t="s">
        <v>27</v>
      </c>
      <c r="D233" s="74">
        <v>80</v>
      </c>
      <c r="E233" s="74" t="s">
        <v>28</v>
      </c>
      <c r="F233" s="73" t="s">
        <v>29</v>
      </c>
      <c r="G233" s="74">
        <v>5000</v>
      </c>
      <c r="H233" s="78">
        <v>46190</v>
      </c>
      <c r="I233" s="75">
        <v>270</v>
      </c>
    </row>
    <row r="234" spans="1:9" ht="14.4" hidden="1" customHeight="1" x14ac:dyDescent="0.3">
      <c r="A234" s="74" t="s">
        <v>25</v>
      </c>
      <c r="B234" s="74" t="s">
        <v>26</v>
      </c>
      <c r="C234" s="74" t="s">
        <v>27</v>
      </c>
      <c r="D234" s="74">
        <v>80</v>
      </c>
      <c r="E234" s="74" t="s">
        <v>28</v>
      </c>
      <c r="F234" s="73" t="s">
        <v>29</v>
      </c>
      <c r="G234" s="74">
        <v>5000</v>
      </c>
      <c r="H234" s="78">
        <v>46190</v>
      </c>
      <c r="I234" s="75">
        <v>270</v>
      </c>
    </row>
    <row r="235" spans="1:9" ht="14.4" hidden="1" customHeight="1" x14ac:dyDescent="0.3">
      <c r="A235" s="74" t="s">
        <v>25</v>
      </c>
      <c r="B235" s="74" t="s">
        <v>26</v>
      </c>
      <c r="C235" s="74" t="s">
        <v>27</v>
      </c>
      <c r="D235" s="74">
        <v>80</v>
      </c>
      <c r="E235" s="74" t="s">
        <v>28</v>
      </c>
      <c r="F235" s="73" t="s">
        <v>29</v>
      </c>
      <c r="G235" s="74">
        <v>5000</v>
      </c>
      <c r="H235" s="78">
        <v>46190</v>
      </c>
      <c r="I235" s="75">
        <v>270</v>
      </c>
    </row>
    <row r="236" spans="1:9" ht="14.4" hidden="1" customHeight="1" x14ac:dyDescent="0.3">
      <c r="A236" s="74" t="s">
        <v>25</v>
      </c>
      <c r="B236" s="74" t="s">
        <v>26</v>
      </c>
      <c r="C236" s="74" t="s">
        <v>27</v>
      </c>
      <c r="D236" s="74">
        <v>80</v>
      </c>
      <c r="E236" s="74" t="s">
        <v>28</v>
      </c>
      <c r="F236" s="73" t="s">
        <v>29</v>
      </c>
      <c r="G236" s="74">
        <v>5000</v>
      </c>
      <c r="H236" s="78">
        <v>46190</v>
      </c>
      <c r="I236" s="75">
        <v>270</v>
      </c>
    </row>
    <row r="237" spans="1:9" ht="14.4" hidden="1" customHeight="1" x14ac:dyDescent="0.3">
      <c r="A237" s="74" t="s">
        <v>25</v>
      </c>
      <c r="B237" s="74" t="s">
        <v>26</v>
      </c>
      <c r="C237" s="74" t="s">
        <v>27</v>
      </c>
      <c r="D237" s="74">
        <v>80</v>
      </c>
      <c r="E237" s="74" t="s">
        <v>28</v>
      </c>
      <c r="F237" s="73" t="s">
        <v>29</v>
      </c>
      <c r="G237" s="74">
        <v>5000</v>
      </c>
      <c r="H237" s="78">
        <v>46190</v>
      </c>
      <c r="I237" s="75">
        <v>270</v>
      </c>
    </row>
    <row r="238" spans="1:9" ht="14.4" hidden="1" customHeight="1" x14ac:dyDescent="0.3">
      <c r="A238" s="74" t="s">
        <v>25</v>
      </c>
      <c r="B238" s="74" t="s">
        <v>26</v>
      </c>
      <c r="C238" s="74" t="s">
        <v>27</v>
      </c>
      <c r="D238" s="74">
        <v>80</v>
      </c>
      <c r="E238" s="74" t="s">
        <v>28</v>
      </c>
      <c r="F238" s="73" t="s">
        <v>29</v>
      </c>
      <c r="G238" s="74">
        <v>5000</v>
      </c>
      <c r="H238" s="78">
        <v>46190</v>
      </c>
      <c r="I238" s="75">
        <v>270</v>
      </c>
    </row>
    <row r="239" spans="1:9" ht="14.4" hidden="1" customHeight="1" x14ac:dyDescent="0.3">
      <c r="A239" s="74" t="s">
        <v>25</v>
      </c>
      <c r="B239" s="74" t="s">
        <v>26</v>
      </c>
      <c r="C239" s="74" t="s">
        <v>27</v>
      </c>
      <c r="D239" s="74">
        <v>80</v>
      </c>
      <c r="E239" s="74" t="s">
        <v>28</v>
      </c>
      <c r="F239" s="73" t="s">
        <v>29</v>
      </c>
      <c r="G239" s="74">
        <v>5000</v>
      </c>
      <c r="H239" s="78">
        <v>46190</v>
      </c>
      <c r="I239" s="75">
        <v>270</v>
      </c>
    </row>
    <row r="240" spans="1:9" ht="14.4" hidden="1" customHeight="1" x14ac:dyDescent="0.3">
      <c r="A240" s="74" t="s">
        <v>25</v>
      </c>
      <c r="B240" s="74" t="s">
        <v>26</v>
      </c>
      <c r="C240" s="74" t="s">
        <v>27</v>
      </c>
      <c r="D240" s="74">
        <v>80</v>
      </c>
      <c r="E240" s="74" t="s">
        <v>28</v>
      </c>
      <c r="F240" s="73" t="s">
        <v>29</v>
      </c>
      <c r="G240" s="74">
        <v>5000</v>
      </c>
      <c r="H240" s="78">
        <v>46192</v>
      </c>
      <c r="I240" s="75">
        <v>3202</v>
      </c>
    </row>
    <row r="241" spans="1:9" ht="14.4" hidden="1" customHeight="1" x14ac:dyDescent="0.3">
      <c r="A241" s="74" t="s">
        <v>25</v>
      </c>
      <c r="B241" s="74" t="s">
        <v>26</v>
      </c>
      <c r="C241" s="74" t="s">
        <v>27</v>
      </c>
      <c r="D241" s="74">
        <v>80</v>
      </c>
      <c r="E241" s="74" t="s">
        <v>28</v>
      </c>
      <c r="F241" s="73" t="s">
        <v>29</v>
      </c>
      <c r="G241" s="74">
        <v>5000</v>
      </c>
      <c r="H241" s="78">
        <v>46192</v>
      </c>
      <c r="I241" s="75">
        <v>540</v>
      </c>
    </row>
    <row r="242" spans="1:9" ht="14.4" hidden="1" customHeight="1" x14ac:dyDescent="0.3">
      <c r="A242" s="74" t="s">
        <v>25</v>
      </c>
      <c r="B242" s="74" t="s">
        <v>26</v>
      </c>
      <c r="C242" s="74" t="s">
        <v>27</v>
      </c>
      <c r="D242" s="74">
        <v>80</v>
      </c>
      <c r="E242" s="74" t="s">
        <v>28</v>
      </c>
      <c r="F242" s="73" t="s">
        <v>29</v>
      </c>
      <c r="G242" s="74">
        <v>5000</v>
      </c>
      <c r="H242" s="78">
        <v>46197</v>
      </c>
      <c r="I242" s="75">
        <v>270</v>
      </c>
    </row>
    <row r="243" spans="1:9" ht="14.4" hidden="1" customHeight="1" x14ac:dyDescent="0.3">
      <c r="A243" s="74" t="s">
        <v>25</v>
      </c>
      <c r="B243" s="74" t="s">
        <v>26</v>
      </c>
      <c r="C243" s="74" t="s">
        <v>27</v>
      </c>
      <c r="D243" s="74">
        <v>80</v>
      </c>
      <c r="E243" s="74" t="s">
        <v>28</v>
      </c>
      <c r="F243" s="73" t="s">
        <v>29</v>
      </c>
      <c r="G243" s="74">
        <v>5000</v>
      </c>
      <c r="H243" s="78">
        <v>46197</v>
      </c>
      <c r="I243" s="75">
        <v>270</v>
      </c>
    </row>
    <row r="244" spans="1:9" ht="14.4" hidden="1" customHeight="1" x14ac:dyDescent="0.3">
      <c r="A244" s="74" t="s">
        <v>25</v>
      </c>
      <c r="B244" s="74" t="s">
        <v>26</v>
      </c>
      <c r="C244" s="74" t="s">
        <v>27</v>
      </c>
      <c r="D244" s="74">
        <v>80</v>
      </c>
      <c r="E244" s="74" t="s">
        <v>28</v>
      </c>
      <c r="F244" s="73" t="s">
        <v>29</v>
      </c>
      <c r="G244" s="74">
        <v>5000</v>
      </c>
      <c r="H244" s="78">
        <v>46197</v>
      </c>
      <c r="I244" s="75">
        <v>270</v>
      </c>
    </row>
    <row r="245" spans="1:9" ht="14.4" hidden="1" customHeight="1" x14ac:dyDescent="0.3">
      <c r="A245" s="74" t="s">
        <v>25</v>
      </c>
      <c r="B245" s="74" t="s">
        <v>26</v>
      </c>
      <c r="C245" s="74" t="s">
        <v>27</v>
      </c>
      <c r="D245" s="74">
        <v>80</v>
      </c>
      <c r="E245" s="74" t="s">
        <v>28</v>
      </c>
      <c r="F245" s="73" t="s">
        <v>29</v>
      </c>
      <c r="G245" s="74">
        <v>5000</v>
      </c>
      <c r="H245" s="78">
        <v>46197</v>
      </c>
      <c r="I245" s="75">
        <v>270</v>
      </c>
    </row>
    <row r="246" spans="1:9" ht="14.4" hidden="1" customHeight="1" x14ac:dyDescent="0.3">
      <c r="A246" s="74" t="s">
        <v>25</v>
      </c>
      <c r="B246" s="74" t="s">
        <v>26</v>
      </c>
      <c r="C246" s="74" t="s">
        <v>27</v>
      </c>
      <c r="D246" s="74">
        <v>80</v>
      </c>
      <c r="E246" s="74" t="s">
        <v>28</v>
      </c>
      <c r="F246" s="73" t="s">
        <v>29</v>
      </c>
      <c r="G246" s="74">
        <v>5000</v>
      </c>
      <c r="H246" s="78">
        <v>46197</v>
      </c>
      <c r="I246" s="75">
        <v>270</v>
      </c>
    </row>
    <row r="247" spans="1:9" ht="14.4" hidden="1" customHeight="1" x14ac:dyDescent="0.3">
      <c r="A247" s="74" t="s">
        <v>25</v>
      </c>
      <c r="B247" s="74" t="s">
        <v>26</v>
      </c>
      <c r="C247" s="74" t="s">
        <v>27</v>
      </c>
      <c r="D247" s="74">
        <v>80</v>
      </c>
      <c r="E247" s="74" t="s">
        <v>28</v>
      </c>
      <c r="F247" s="73" t="s">
        <v>29</v>
      </c>
      <c r="G247" s="74">
        <v>5000</v>
      </c>
      <c r="H247" s="78">
        <v>46197</v>
      </c>
      <c r="I247" s="75">
        <v>270</v>
      </c>
    </row>
    <row r="248" spans="1:9" ht="14.4" hidden="1" customHeight="1" x14ac:dyDescent="0.3">
      <c r="A248" s="74" t="s">
        <v>25</v>
      </c>
      <c r="B248" s="74" t="s">
        <v>26</v>
      </c>
      <c r="C248" s="74" t="s">
        <v>27</v>
      </c>
      <c r="D248" s="74">
        <v>80</v>
      </c>
      <c r="E248" s="74" t="s">
        <v>28</v>
      </c>
      <c r="F248" s="73" t="s">
        <v>29</v>
      </c>
      <c r="G248" s="74">
        <v>5000</v>
      </c>
      <c r="H248" s="78">
        <v>46197</v>
      </c>
      <c r="I248" s="75">
        <v>228</v>
      </c>
    </row>
    <row r="249" spans="1:9" ht="14.4" hidden="1" customHeight="1" x14ac:dyDescent="0.3">
      <c r="A249" s="74" t="s">
        <v>25</v>
      </c>
      <c r="B249" s="74" t="s">
        <v>26</v>
      </c>
      <c r="C249" s="74" t="s">
        <v>27</v>
      </c>
      <c r="D249" s="74">
        <v>80</v>
      </c>
      <c r="E249" s="74" t="s">
        <v>28</v>
      </c>
      <c r="F249" s="73" t="s">
        <v>29</v>
      </c>
      <c r="G249" s="74">
        <v>5000</v>
      </c>
      <c r="H249" s="78">
        <v>46197</v>
      </c>
      <c r="I249" s="75">
        <v>170</v>
      </c>
    </row>
    <row r="250" spans="1:9" ht="14.4" hidden="1" customHeight="1" x14ac:dyDescent="0.3">
      <c r="A250" s="74" t="s">
        <v>25</v>
      </c>
      <c r="B250" s="74" t="s">
        <v>26</v>
      </c>
      <c r="C250" s="74" t="s">
        <v>27</v>
      </c>
      <c r="D250" s="74">
        <v>80</v>
      </c>
      <c r="E250" s="74" t="s">
        <v>28</v>
      </c>
      <c r="F250" s="73" t="s">
        <v>29</v>
      </c>
      <c r="G250" s="74">
        <v>5000</v>
      </c>
      <c r="H250" s="78">
        <v>46197</v>
      </c>
      <c r="I250" s="75">
        <v>270</v>
      </c>
    </row>
    <row r="251" spans="1:9" ht="14.4" hidden="1" customHeight="1" x14ac:dyDescent="0.3">
      <c r="A251" s="74" t="s">
        <v>25</v>
      </c>
      <c r="B251" s="74" t="s">
        <v>26</v>
      </c>
      <c r="C251" s="74" t="s">
        <v>27</v>
      </c>
      <c r="D251" s="74">
        <v>80</v>
      </c>
      <c r="E251" s="74" t="s">
        <v>28</v>
      </c>
      <c r="F251" s="73" t="s">
        <v>29</v>
      </c>
      <c r="G251" s="74">
        <v>5000</v>
      </c>
      <c r="H251" s="78">
        <v>46197</v>
      </c>
      <c r="I251" s="75">
        <v>270</v>
      </c>
    </row>
    <row r="252" spans="1:9" ht="14.4" hidden="1" customHeight="1" x14ac:dyDescent="0.3">
      <c r="A252" s="74" t="s">
        <v>25</v>
      </c>
      <c r="B252" s="74" t="s">
        <v>26</v>
      </c>
      <c r="C252" s="74" t="s">
        <v>27</v>
      </c>
      <c r="D252" s="74">
        <v>80</v>
      </c>
      <c r="E252" s="74" t="s">
        <v>28</v>
      </c>
      <c r="F252" s="73" t="s">
        <v>29</v>
      </c>
      <c r="G252" s="74">
        <v>5000</v>
      </c>
      <c r="H252" s="78">
        <v>46197</v>
      </c>
      <c r="I252" s="75">
        <v>270</v>
      </c>
    </row>
    <row r="253" spans="1:9" ht="14.4" hidden="1" customHeight="1" x14ac:dyDescent="0.3">
      <c r="A253" s="74" t="s">
        <v>25</v>
      </c>
      <c r="B253" s="74" t="s">
        <v>26</v>
      </c>
      <c r="C253" s="74" t="s">
        <v>27</v>
      </c>
      <c r="D253" s="74">
        <v>80</v>
      </c>
      <c r="E253" s="74" t="s">
        <v>28</v>
      </c>
      <c r="F253" s="73" t="s">
        <v>29</v>
      </c>
      <c r="G253" s="74">
        <v>5000</v>
      </c>
      <c r="H253" s="78">
        <v>46197</v>
      </c>
      <c r="I253" s="75">
        <v>270</v>
      </c>
    </row>
    <row r="254" spans="1:9" ht="14.4" hidden="1" customHeight="1" x14ac:dyDescent="0.3">
      <c r="A254" s="74" t="s">
        <v>25</v>
      </c>
      <c r="B254" s="74" t="s">
        <v>26</v>
      </c>
      <c r="C254" s="74" t="s">
        <v>27</v>
      </c>
      <c r="D254" s="74">
        <v>80</v>
      </c>
      <c r="E254" s="74" t="s">
        <v>28</v>
      </c>
      <c r="F254" s="73" t="s">
        <v>29</v>
      </c>
      <c r="G254" s="74">
        <v>5000</v>
      </c>
      <c r="H254" s="78">
        <v>46199</v>
      </c>
      <c r="I254" s="75">
        <v>5704</v>
      </c>
    </row>
    <row r="255" spans="1:9" ht="14.4" hidden="1" customHeight="1" x14ac:dyDescent="0.3">
      <c r="A255" s="74" t="s">
        <v>25</v>
      </c>
      <c r="B255" s="74" t="s">
        <v>26</v>
      </c>
      <c r="C255" s="74" t="s">
        <v>27</v>
      </c>
      <c r="D255" s="74">
        <v>80</v>
      </c>
      <c r="E255" s="74" t="s">
        <v>28</v>
      </c>
      <c r="F255" s="73" t="s">
        <v>29</v>
      </c>
      <c r="G255" s="74">
        <v>5000</v>
      </c>
      <c r="H255" s="78">
        <v>46206</v>
      </c>
      <c r="I255" s="75">
        <v>2500</v>
      </c>
    </row>
    <row r="256" spans="1:9" ht="14.4" hidden="1" customHeight="1" x14ac:dyDescent="0.3">
      <c r="A256" s="74" t="s">
        <v>25</v>
      </c>
      <c r="B256" s="74" t="s">
        <v>26</v>
      </c>
      <c r="C256" s="74" t="s">
        <v>27</v>
      </c>
      <c r="D256" s="74">
        <v>80</v>
      </c>
      <c r="E256" s="74" t="s">
        <v>28</v>
      </c>
      <c r="F256" s="73" t="s">
        <v>29</v>
      </c>
      <c r="G256" s="74">
        <v>5000</v>
      </c>
      <c r="H256" s="78">
        <v>46206</v>
      </c>
      <c r="I256" s="75">
        <v>4655</v>
      </c>
    </row>
    <row r="257" spans="1:9" ht="14.4" hidden="1" customHeight="1" x14ac:dyDescent="0.3">
      <c r="A257" s="74" t="s">
        <v>25</v>
      </c>
      <c r="B257" s="74" t="s">
        <v>26</v>
      </c>
      <c r="C257" s="74" t="s">
        <v>27</v>
      </c>
      <c r="D257" s="74">
        <v>80</v>
      </c>
      <c r="E257" s="74" t="s">
        <v>28</v>
      </c>
      <c r="F257" s="73" t="s">
        <v>29</v>
      </c>
      <c r="G257" s="74">
        <v>5000</v>
      </c>
      <c r="H257" s="78">
        <v>46206</v>
      </c>
      <c r="I257" s="75">
        <v>540</v>
      </c>
    </row>
    <row r="258" spans="1:9" ht="14.4" hidden="1" customHeight="1" x14ac:dyDescent="0.3">
      <c r="A258" s="74" t="s">
        <v>25</v>
      </c>
      <c r="B258" s="74" t="s">
        <v>26</v>
      </c>
      <c r="C258" s="74" t="s">
        <v>27</v>
      </c>
      <c r="D258" s="74">
        <v>80</v>
      </c>
      <c r="E258" s="74" t="s">
        <v>28</v>
      </c>
      <c r="F258" s="73" t="s">
        <v>29</v>
      </c>
      <c r="G258" s="74">
        <v>5000</v>
      </c>
      <c r="H258" s="78">
        <v>46213</v>
      </c>
      <c r="I258" s="75">
        <v>2500</v>
      </c>
    </row>
    <row r="259" spans="1:9" ht="14.4" hidden="1" customHeight="1" x14ac:dyDescent="0.3">
      <c r="A259" s="74" t="s">
        <v>25</v>
      </c>
      <c r="B259" s="74" t="s">
        <v>26</v>
      </c>
      <c r="C259" s="74" t="s">
        <v>27</v>
      </c>
      <c r="D259" s="74">
        <v>80</v>
      </c>
      <c r="E259" s="74" t="s">
        <v>28</v>
      </c>
      <c r="F259" s="73" t="s">
        <v>29</v>
      </c>
      <c r="G259" s="74">
        <v>5000</v>
      </c>
      <c r="H259" s="78">
        <v>46220</v>
      </c>
      <c r="I259" s="75">
        <v>2500</v>
      </c>
    </row>
    <row r="260" spans="1:9" ht="14.4" hidden="1" customHeight="1" x14ac:dyDescent="0.3">
      <c r="A260" s="74" t="s">
        <v>25</v>
      </c>
      <c r="B260" s="74" t="s">
        <v>26</v>
      </c>
      <c r="C260" s="74" t="s">
        <v>27</v>
      </c>
      <c r="D260" s="74">
        <v>80</v>
      </c>
      <c r="E260" s="74" t="s">
        <v>28</v>
      </c>
      <c r="F260" s="73" t="s">
        <v>29</v>
      </c>
      <c r="G260" s="74">
        <v>5000</v>
      </c>
      <c r="H260" s="78">
        <v>46227</v>
      </c>
      <c r="I260" s="75">
        <v>2500</v>
      </c>
    </row>
    <row r="261" spans="1:9" ht="14.4" hidden="1" customHeight="1" x14ac:dyDescent="0.3">
      <c r="A261" s="74" t="s">
        <v>25</v>
      </c>
      <c r="B261" s="74" t="s">
        <v>26</v>
      </c>
      <c r="C261" s="74" t="s">
        <v>27</v>
      </c>
      <c r="D261" s="74">
        <v>80</v>
      </c>
      <c r="E261" s="74" t="s">
        <v>28</v>
      </c>
      <c r="F261" s="73" t="s">
        <v>29</v>
      </c>
      <c r="G261" s="74">
        <v>5000</v>
      </c>
      <c r="H261" s="78">
        <v>46234</v>
      </c>
      <c r="I261" s="75">
        <v>1000</v>
      </c>
    </row>
    <row r="262" spans="1:9" ht="14.4" hidden="1" customHeight="1" x14ac:dyDescent="0.3">
      <c r="A262" s="74" t="s">
        <v>25</v>
      </c>
      <c r="B262" s="74" t="s">
        <v>26</v>
      </c>
      <c r="C262" s="74" t="s">
        <v>27</v>
      </c>
      <c r="D262" s="74">
        <v>80</v>
      </c>
      <c r="E262" s="74" t="s">
        <v>28</v>
      </c>
      <c r="F262" s="73" t="s">
        <v>29</v>
      </c>
      <c r="G262" s="74">
        <v>5000</v>
      </c>
      <c r="H262" s="78">
        <v>46241</v>
      </c>
      <c r="I262" s="75">
        <v>1000</v>
      </c>
    </row>
    <row r="263" spans="1:9" ht="14.4" hidden="1" customHeight="1" x14ac:dyDescent="0.3">
      <c r="A263" s="74" t="s">
        <v>25</v>
      </c>
      <c r="B263" s="74" t="s">
        <v>26</v>
      </c>
      <c r="C263" s="74" t="s">
        <v>27</v>
      </c>
      <c r="D263" s="74">
        <v>80</v>
      </c>
      <c r="E263" s="74" t="s">
        <v>28</v>
      </c>
      <c r="F263" s="73" t="s">
        <v>29</v>
      </c>
      <c r="G263" s="74">
        <v>5000</v>
      </c>
      <c r="H263" s="78">
        <v>46248</v>
      </c>
      <c r="I263" s="75">
        <v>1000</v>
      </c>
    </row>
    <row r="264" spans="1:9" ht="14.4" hidden="1" customHeight="1" x14ac:dyDescent="0.3">
      <c r="A264" s="74" t="s">
        <v>25</v>
      </c>
      <c r="B264" s="74" t="s">
        <v>26</v>
      </c>
      <c r="C264" s="74" t="s">
        <v>27</v>
      </c>
      <c r="D264" s="74">
        <v>80</v>
      </c>
      <c r="E264" s="74" t="s">
        <v>28</v>
      </c>
      <c r="F264" s="73" t="s">
        <v>29</v>
      </c>
      <c r="G264" s="74">
        <v>5000</v>
      </c>
      <c r="H264" s="78">
        <v>46255</v>
      </c>
      <c r="I264" s="75">
        <v>1000</v>
      </c>
    </row>
    <row r="265" spans="1:9" ht="14.4" hidden="1" customHeight="1" x14ac:dyDescent="0.3">
      <c r="A265" s="74" t="s">
        <v>25</v>
      </c>
      <c r="B265" s="74" t="s">
        <v>26</v>
      </c>
      <c r="C265" s="74" t="s">
        <v>27</v>
      </c>
      <c r="D265" s="74">
        <v>80</v>
      </c>
      <c r="E265" s="74" t="s">
        <v>28</v>
      </c>
      <c r="F265" s="73" t="s">
        <v>29</v>
      </c>
      <c r="G265" s="74">
        <v>5000</v>
      </c>
      <c r="H265" s="78">
        <v>46262</v>
      </c>
      <c r="I265" s="75">
        <v>1000</v>
      </c>
    </row>
    <row r="266" spans="1:9" ht="14.4" hidden="1" customHeight="1" x14ac:dyDescent="0.3">
      <c r="A266" s="74" t="s">
        <v>25</v>
      </c>
      <c r="B266" s="74" t="s">
        <v>26</v>
      </c>
      <c r="C266" s="74" t="s">
        <v>27</v>
      </c>
      <c r="D266" s="74">
        <v>80</v>
      </c>
      <c r="E266" s="74" t="s">
        <v>28</v>
      </c>
      <c r="F266" s="73" t="s">
        <v>29</v>
      </c>
      <c r="G266" s="74">
        <v>5000</v>
      </c>
      <c r="H266" s="78">
        <v>46269</v>
      </c>
      <c r="I266" s="75">
        <v>750</v>
      </c>
    </row>
    <row r="267" spans="1:9" ht="14.4" hidden="1" customHeight="1" x14ac:dyDescent="0.3">
      <c r="A267" s="74" t="s">
        <v>25</v>
      </c>
      <c r="B267" s="74" t="s">
        <v>26</v>
      </c>
      <c r="C267" s="74" t="s">
        <v>27</v>
      </c>
      <c r="D267" s="74">
        <v>80</v>
      </c>
      <c r="E267" s="74" t="s">
        <v>28</v>
      </c>
      <c r="F267" s="73" t="s">
        <v>29</v>
      </c>
      <c r="G267" s="74">
        <v>5000</v>
      </c>
      <c r="H267" s="78">
        <v>46276</v>
      </c>
      <c r="I267" s="75">
        <v>750</v>
      </c>
    </row>
    <row r="268" spans="1:9" ht="14.4" hidden="1" customHeight="1" x14ac:dyDescent="0.3">
      <c r="A268" s="74" t="s">
        <v>25</v>
      </c>
      <c r="B268" s="74" t="s">
        <v>26</v>
      </c>
      <c r="C268" s="74" t="s">
        <v>27</v>
      </c>
      <c r="D268" s="74">
        <v>80</v>
      </c>
      <c r="E268" s="74" t="s">
        <v>28</v>
      </c>
      <c r="F268" s="73" t="s">
        <v>29</v>
      </c>
      <c r="G268" s="74">
        <v>5000</v>
      </c>
      <c r="H268" s="78">
        <v>46283</v>
      </c>
      <c r="I268" s="75">
        <v>750</v>
      </c>
    </row>
    <row r="269" spans="1:9" ht="14.4" hidden="1" customHeight="1" x14ac:dyDescent="0.3">
      <c r="A269" s="74" t="s">
        <v>25</v>
      </c>
      <c r="B269" s="74" t="s">
        <v>26</v>
      </c>
      <c r="C269" s="74" t="s">
        <v>27</v>
      </c>
      <c r="D269" s="74">
        <v>80</v>
      </c>
      <c r="E269" s="74" t="s">
        <v>28</v>
      </c>
      <c r="F269" s="73" t="s">
        <v>29</v>
      </c>
      <c r="G269" s="74">
        <v>5000</v>
      </c>
      <c r="H269" s="78">
        <v>46290</v>
      </c>
      <c r="I269" s="75">
        <v>750</v>
      </c>
    </row>
    <row r="270" spans="1:9" ht="14.4" hidden="1" customHeight="1" x14ac:dyDescent="0.3">
      <c r="A270" s="74" t="s">
        <v>25</v>
      </c>
      <c r="B270" s="74" t="s">
        <v>26</v>
      </c>
      <c r="C270" s="74" t="s">
        <v>27</v>
      </c>
      <c r="D270" s="74">
        <v>80</v>
      </c>
      <c r="E270" s="74" t="s">
        <v>28</v>
      </c>
      <c r="F270" s="73" t="s">
        <v>29</v>
      </c>
      <c r="G270" s="74">
        <v>5000</v>
      </c>
      <c r="H270" s="78">
        <v>46297</v>
      </c>
      <c r="I270" s="75">
        <v>600</v>
      </c>
    </row>
    <row r="271" spans="1:9" ht="14.4" hidden="1" customHeight="1" x14ac:dyDescent="0.3">
      <c r="A271" s="74" t="s">
        <v>25</v>
      </c>
      <c r="B271" s="74" t="s">
        <v>26</v>
      </c>
      <c r="C271" s="74" t="s">
        <v>27</v>
      </c>
      <c r="D271" s="74">
        <v>80</v>
      </c>
      <c r="E271" s="74" t="s">
        <v>28</v>
      </c>
      <c r="F271" s="73" t="s">
        <v>29</v>
      </c>
      <c r="G271" s="74">
        <v>5000</v>
      </c>
      <c r="H271" s="78">
        <v>46304</v>
      </c>
      <c r="I271" s="75">
        <v>600</v>
      </c>
    </row>
    <row r="272" spans="1:9" ht="14.4" hidden="1" customHeight="1" x14ac:dyDescent="0.3">
      <c r="A272" s="74" t="s">
        <v>25</v>
      </c>
      <c r="B272" s="74" t="s">
        <v>26</v>
      </c>
      <c r="C272" s="74" t="s">
        <v>27</v>
      </c>
      <c r="D272" s="74">
        <v>80</v>
      </c>
      <c r="E272" s="74" t="s">
        <v>28</v>
      </c>
      <c r="F272" s="73" t="s">
        <v>29</v>
      </c>
      <c r="G272" s="74">
        <v>5000</v>
      </c>
      <c r="H272" s="78">
        <v>46311</v>
      </c>
      <c r="I272" s="75">
        <v>600</v>
      </c>
    </row>
    <row r="273" spans="1:9" ht="14.4" hidden="1" customHeight="1" x14ac:dyDescent="0.3">
      <c r="A273" s="74" t="s">
        <v>25</v>
      </c>
      <c r="B273" s="74" t="s">
        <v>26</v>
      </c>
      <c r="C273" s="74" t="s">
        <v>27</v>
      </c>
      <c r="D273" s="74">
        <v>80</v>
      </c>
      <c r="E273" s="74" t="s">
        <v>28</v>
      </c>
      <c r="F273" s="73" t="s">
        <v>29</v>
      </c>
      <c r="G273" s="74">
        <v>5000</v>
      </c>
      <c r="H273" s="78">
        <v>46318</v>
      </c>
      <c r="I273" s="75">
        <v>600</v>
      </c>
    </row>
    <row r="274" spans="1:9" ht="14.4" hidden="1" customHeight="1" x14ac:dyDescent="0.3">
      <c r="A274" s="74" t="s">
        <v>25</v>
      </c>
      <c r="B274" s="74" t="s">
        <v>26</v>
      </c>
      <c r="C274" s="74" t="s">
        <v>27</v>
      </c>
      <c r="D274" s="74">
        <v>80</v>
      </c>
      <c r="E274" s="74" t="s">
        <v>28</v>
      </c>
      <c r="F274" s="73" t="s">
        <v>29</v>
      </c>
      <c r="G274" s="74">
        <v>5000</v>
      </c>
      <c r="H274" s="78">
        <v>46325</v>
      </c>
      <c r="I274" s="75">
        <v>600</v>
      </c>
    </row>
    <row r="275" spans="1:9" ht="14.4" hidden="1" customHeight="1" x14ac:dyDescent="0.3">
      <c r="A275" s="74" t="s">
        <v>25</v>
      </c>
      <c r="B275" s="74" t="s">
        <v>26</v>
      </c>
      <c r="C275" s="74" t="s">
        <v>27</v>
      </c>
      <c r="D275" s="74">
        <v>80</v>
      </c>
      <c r="E275" s="74" t="s">
        <v>28</v>
      </c>
      <c r="F275" s="73" t="s">
        <v>29</v>
      </c>
      <c r="G275" s="74">
        <v>5000</v>
      </c>
      <c r="H275" s="78">
        <v>46332</v>
      </c>
      <c r="I275" s="75">
        <v>500</v>
      </c>
    </row>
    <row r="276" spans="1:9" ht="14.4" hidden="1" customHeight="1" x14ac:dyDescent="0.3">
      <c r="A276" s="74" t="s">
        <v>25</v>
      </c>
      <c r="B276" s="74" t="s">
        <v>26</v>
      </c>
      <c r="C276" s="74" t="s">
        <v>27</v>
      </c>
      <c r="D276" s="74">
        <v>80</v>
      </c>
      <c r="E276" s="74" t="s">
        <v>28</v>
      </c>
      <c r="F276" s="73" t="s">
        <v>29</v>
      </c>
      <c r="G276" s="74">
        <v>5000</v>
      </c>
      <c r="H276" s="78">
        <v>46339</v>
      </c>
      <c r="I276" s="75">
        <v>500</v>
      </c>
    </row>
    <row r="277" spans="1:9" ht="14.4" hidden="1" customHeight="1" x14ac:dyDescent="0.3">
      <c r="A277" s="74" t="s">
        <v>25</v>
      </c>
      <c r="B277" s="74" t="s">
        <v>26</v>
      </c>
      <c r="C277" s="74" t="s">
        <v>27</v>
      </c>
      <c r="D277" s="74">
        <v>80</v>
      </c>
      <c r="E277" s="74" t="s">
        <v>28</v>
      </c>
      <c r="F277" s="73" t="s">
        <v>29</v>
      </c>
      <c r="G277" s="74">
        <v>5000</v>
      </c>
      <c r="H277" s="78">
        <v>46346</v>
      </c>
      <c r="I277" s="75">
        <v>500</v>
      </c>
    </row>
    <row r="278" spans="1:9" ht="14.4" hidden="1" customHeight="1" x14ac:dyDescent="0.3">
      <c r="A278" s="74" t="s">
        <v>25</v>
      </c>
      <c r="B278" s="74" t="s">
        <v>26</v>
      </c>
      <c r="C278" s="74" t="s">
        <v>27</v>
      </c>
      <c r="D278" s="74">
        <v>80</v>
      </c>
      <c r="E278" s="74" t="s">
        <v>28</v>
      </c>
      <c r="F278" s="73" t="s">
        <v>29</v>
      </c>
      <c r="G278" s="74">
        <v>5000</v>
      </c>
      <c r="H278" s="78">
        <v>46353</v>
      </c>
      <c r="I278" s="75">
        <v>500</v>
      </c>
    </row>
    <row r="279" spans="1:9" ht="14.4" hidden="1" customHeight="1" x14ac:dyDescent="0.3">
      <c r="A279" s="74" t="s">
        <v>25</v>
      </c>
      <c r="B279" s="74" t="s">
        <v>26</v>
      </c>
      <c r="C279" s="74" t="s">
        <v>27</v>
      </c>
      <c r="D279" s="74">
        <v>80</v>
      </c>
      <c r="E279" s="74" t="s">
        <v>28</v>
      </c>
      <c r="F279" s="73" t="s">
        <v>29</v>
      </c>
      <c r="G279" s="74">
        <v>5000</v>
      </c>
      <c r="H279" s="78">
        <v>46360</v>
      </c>
      <c r="I279" s="75">
        <v>3000</v>
      </c>
    </row>
    <row r="280" spans="1:9" ht="14.4" hidden="1" customHeight="1" x14ac:dyDescent="0.3">
      <c r="A280" s="74" t="s">
        <v>25</v>
      </c>
      <c r="B280" s="74" t="s">
        <v>26</v>
      </c>
      <c r="C280" s="74" t="s">
        <v>27</v>
      </c>
      <c r="D280" s="74">
        <v>80</v>
      </c>
      <c r="E280" s="74" t="s">
        <v>28</v>
      </c>
      <c r="F280" s="73" t="s">
        <v>29</v>
      </c>
      <c r="G280" s="74">
        <v>5000</v>
      </c>
      <c r="H280" s="78">
        <v>46367</v>
      </c>
      <c r="I280" s="75">
        <v>3000</v>
      </c>
    </row>
    <row r="281" spans="1:9" ht="14.4" hidden="1" customHeight="1" x14ac:dyDescent="0.3">
      <c r="A281" s="74" t="s">
        <v>25</v>
      </c>
      <c r="B281" s="74" t="s">
        <v>26</v>
      </c>
      <c r="C281" s="74" t="s">
        <v>27</v>
      </c>
      <c r="D281" s="74">
        <v>80</v>
      </c>
      <c r="E281" s="74" t="s">
        <v>28</v>
      </c>
      <c r="F281" s="73" t="s">
        <v>29</v>
      </c>
      <c r="G281" s="74">
        <v>5000</v>
      </c>
      <c r="H281" s="78">
        <v>46374</v>
      </c>
      <c r="I281" s="75">
        <v>3000</v>
      </c>
    </row>
    <row r="282" spans="1:9" ht="14.4" hidden="1" customHeight="1" x14ac:dyDescent="0.3">
      <c r="A282" s="74" t="s">
        <v>25</v>
      </c>
      <c r="B282" s="74" t="s">
        <v>26</v>
      </c>
      <c r="C282" s="74" t="s">
        <v>27</v>
      </c>
      <c r="D282" s="74">
        <v>80</v>
      </c>
      <c r="E282" s="74" t="s">
        <v>28</v>
      </c>
      <c r="F282" s="73" t="s">
        <v>29</v>
      </c>
      <c r="G282" s="74">
        <v>5000</v>
      </c>
      <c r="H282" s="78">
        <v>46381</v>
      </c>
      <c r="I282" s="75">
        <v>3000</v>
      </c>
    </row>
    <row r="283" spans="1:9" ht="14.4" customHeight="1" x14ac:dyDescent="0.3">
      <c r="A283" s="74" t="s">
        <v>30</v>
      </c>
      <c r="B283" s="74" t="s">
        <v>31</v>
      </c>
      <c r="C283" s="74" t="s">
        <v>27</v>
      </c>
      <c r="D283" s="74">
        <v>40</v>
      </c>
      <c r="E283" s="74" t="s">
        <v>32</v>
      </c>
      <c r="F283" s="73" t="s">
        <v>29</v>
      </c>
      <c r="G283" s="74">
        <v>5000</v>
      </c>
      <c r="H283" s="78">
        <v>46157</v>
      </c>
      <c r="I283" s="75">
        <v>270</v>
      </c>
    </row>
    <row r="284" spans="1:9" ht="14.4" customHeight="1" x14ac:dyDescent="0.3">
      <c r="A284" s="74" t="s">
        <v>30</v>
      </c>
      <c r="B284" s="74" t="s">
        <v>31</v>
      </c>
      <c r="C284" s="74" t="s">
        <v>27</v>
      </c>
      <c r="D284" s="74">
        <v>40</v>
      </c>
      <c r="E284" s="74" t="s">
        <v>32</v>
      </c>
      <c r="F284" s="73" t="s">
        <v>29</v>
      </c>
      <c r="G284" s="74">
        <v>5000</v>
      </c>
      <c r="H284" s="78">
        <v>46157</v>
      </c>
      <c r="I284" s="75">
        <v>270</v>
      </c>
    </row>
    <row r="285" spans="1:9" ht="14.4" customHeight="1" x14ac:dyDescent="0.3">
      <c r="A285" s="74" t="s">
        <v>30</v>
      </c>
      <c r="B285" s="74" t="s">
        <v>31</v>
      </c>
      <c r="C285" s="74" t="s">
        <v>27</v>
      </c>
      <c r="D285" s="74">
        <v>40</v>
      </c>
      <c r="E285" s="74" t="s">
        <v>32</v>
      </c>
      <c r="F285" s="73" t="s">
        <v>29</v>
      </c>
      <c r="G285" s="74">
        <v>5000</v>
      </c>
      <c r="H285" s="78">
        <v>46157</v>
      </c>
      <c r="I285" s="75">
        <v>270</v>
      </c>
    </row>
    <row r="286" spans="1:9" ht="14.4" customHeight="1" x14ac:dyDescent="0.3">
      <c r="A286" s="74" t="s">
        <v>30</v>
      </c>
      <c r="B286" s="74" t="s">
        <v>31</v>
      </c>
      <c r="C286" s="74" t="s">
        <v>27</v>
      </c>
      <c r="D286" s="74">
        <v>40</v>
      </c>
      <c r="E286" s="74" t="s">
        <v>32</v>
      </c>
      <c r="F286" s="73" t="s">
        <v>29</v>
      </c>
      <c r="G286" s="74">
        <v>5000</v>
      </c>
      <c r="H286" s="78">
        <v>46157</v>
      </c>
      <c r="I286" s="75">
        <v>270</v>
      </c>
    </row>
    <row r="287" spans="1:9" ht="14.4" customHeight="1" x14ac:dyDescent="0.3">
      <c r="A287" s="74" t="s">
        <v>30</v>
      </c>
      <c r="B287" s="74" t="s">
        <v>31</v>
      </c>
      <c r="C287" s="74" t="s">
        <v>27</v>
      </c>
      <c r="D287" s="74">
        <v>40</v>
      </c>
      <c r="E287" s="74" t="s">
        <v>32</v>
      </c>
      <c r="F287" s="73" t="s">
        <v>29</v>
      </c>
      <c r="G287" s="74">
        <v>5000</v>
      </c>
      <c r="H287" s="78">
        <v>46157</v>
      </c>
      <c r="I287" s="75">
        <v>270</v>
      </c>
    </row>
    <row r="288" spans="1:9" ht="14.4" customHeight="1" x14ac:dyDescent="0.3">
      <c r="A288" s="74" t="s">
        <v>30</v>
      </c>
      <c r="B288" s="74" t="s">
        <v>31</v>
      </c>
      <c r="C288" s="74" t="s">
        <v>27</v>
      </c>
      <c r="D288" s="74">
        <v>40</v>
      </c>
      <c r="E288" s="74" t="s">
        <v>32</v>
      </c>
      <c r="F288" s="73" t="s">
        <v>29</v>
      </c>
      <c r="G288" s="74">
        <v>5000</v>
      </c>
      <c r="H288" s="78">
        <v>46157</v>
      </c>
      <c r="I288" s="75">
        <v>270</v>
      </c>
    </row>
    <row r="289" spans="1:9" ht="14.4" customHeight="1" x14ac:dyDescent="0.3">
      <c r="A289" s="74" t="s">
        <v>30</v>
      </c>
      <c r="B289" s="74" t="s">
        <v>31</v>
      </c>
      <c r="C289" s="74" t="s">
        <v>27</v>
      </c>
      <c r="D289" s="74">
        <v>40</v>
      </c>
      <c r="E289" s="74" t="s">
        <v>32</v>
      </c>
      <c r="F289" s="73" t="s">
        <v>29</v>
      </c>
      <c r="G289" s="74">
        <v>5000</v>
      </c>
      <c r="H289" s="78">
        <v>46157</v>
      </c>
      <c r="I289" s="75">
        <v>270</v>
      </c>
    </row>
    <row r="290" spans="1:9" ht="14.4" customHeight="1" x14ac:dyDescent="0.3">
      <c r="A290" s="74" t="s">
        <v>30</v>
      </c>
      <c r="B290" s="74" t="s">
        <v>31</v>
      </c>
      <c r="C290" s="74" t="s">
        <v>27</v>
      </c>
      <c r="D290" s="74">
        <v>40</v>
      </c>
      <c r="E290" s="74" t="s">
        <v>32</v>
      </c>
      <c r="F290" s="73" t="s">
        <v>29</v>
      </c>
      <c r="G290" s="74">
        <v>5000</v>
      </c>
      <c r="H290" s="78">
        <v>46157</v>
      </c>
      <c r="I290" s="75">
        <v>270</v>
      </c>
    </row>
    <row r="291" spans="1:9" ht="14.4" customHeight="1" x14ac:dyDescent="0.3">
      <c r="A291" s="74" t="s">
        <v>30</v>
      </c>
      <c r="B291" s="74" t="s">
        <v>31</v>
      </c>
      <c r="C291" s="74" t="s">
        <v>27</v>
      </c>
      <c r="D291" s="74">
        <v>40</v>
      </c>
      <c r="E291" s="74" t="s">
        <v>32</v>
      </c>
      <c r="F291" s="73" t="s">
        <v>29</v>
      </c>
      <c r="G291" s="74">
        <v>5000</v>
      </c>
      <c r="H291" s="78">
        <v>46157</v>
      </c>
      <c r="I291" s="75">
        <v>270</v>
      </c>
    </row>
    <row r="292" spans="1:9" ht="14.4" customHeight="1" x14ac:dyDescent="0.3">
      <c r="A292" s="74" t="s">
        <v>30</v>
      </c>
      <c r="B292" s="74" t="s">
        <v>31</v>
      </c>
      <c r="C292" s="74" t="s">
        <v>27</v>
      </c>
      <c r="D292" s="74">
        <v>40</v>
      </c>
      <c r="E292" s="74" t="s">
        <v>32</v>
      </c>
      <c r="F292" s="73" t="s">
        <v>29</v>
      </c>
      <c r="G292" s="74">
        <v>5000</v>
      </c>
      <c r="H292" s="78">
        <v>46164</v>
      </c>
      <c r="I292" s="75">
        <v>270</v>
      </c>
    </row>
    <row r="293" spans="1:9" ht="14.4" customHeight="1" x14ac:dyDescent="0.3">
      <c r="A293" s="74" t="s">
        <v>30</v>
      </c>
      <c r="B293" s="74" t="s">
        <v>31</v>
      </c>
      <c r="C293" s="74" t="s">
        <v>27</v>
      </c>
      <c r="D293" s="74">
        <v>40</v>
      </c>
      <c r="E293" s="74" t="s">
        <v>32</v>
      </c>
      <c r="F293" s="73" t="s">
        <v>29</v>
      </c>
      <c r="G293" s="74">
        <v>5000</v>
      </c>
      <c r="H293" s="78">
        <v>46164</v>
      </c>
      <c r="I293" s="75">
        <v>270</v>
      </c>
    </row>
    <row r="294" spans="1:9" ht="14.4" customHeight="1" x14ac:dyDescent="0.3">
      <c r="A294" s="74" t="s">
        <v>30</v>
      </c>
      <c r="B294" s="74" t="s">
        <v>31</v>
      </c>
      <c r="C294" s="74" t="s">
        <v>27</v>
      </c>
      <c r="D294" s="74">
        <v>40</v>
      </c>
      <c r="E294" s="74" t="s">
        <v>32</v>
      </c>
      <c r="F294" s="73" t="s">
        <v>29</v>
      </c>
      <c r="G294" s="74">
        <v>5000</v>
      </c>
      <c r="H294" s="78">
        <v>46164</v>
      </c>
      <c r="I294" s="75">
        <v>270</v>
      </c>
    </row>
    <row r="295" spans="1:9" ht="14.4" customHeight="1" x14ac:dyDescent="0.3">
      <c r="A295" s="74" t="s">
        <v>30</v>
      </c>
      <c r="B295" s="74" t="s">
        <v>31</v>
      </c>
      <c r="C295" s="74" t="s">
        <v>27</v>
      </c>
      <c r="D295" s="74">
        <v>40</v>
      </c>
      <c r="E295" s="74" t="s">
        <v>32</v>
      </c>
      <c r="F295" s="73" t="s">
        <v>29</v>
      </c>
      <c r="G295" s="74">
        <v>5000</v>
      </c>
      <c r="H295" s="78">
        <v>46164</v>
      </c>
      <c r="I295" s="75">
        <v>270</v>
      </c>
    </row>
    <row r="296" spans="1:9" ht="14.4" customHeight="1" x14ac:dyDescent="0.3">
      <c r="A296" s="74" t="s">
        <v>30</v>
      </c>
      <c r="B296" s="74" t="s">
        <v>31</v>
      </c>
      <c r="C296" s="74" t="s">
        <v>27</v>
      </c>
      <c r="D296" s="74">
        <v>40</v>
      </c>
      <c r="E296" s="74" t="s">
        <v>32</v>
      </c>
      <c r="F296" s="73" t="s">
        <v>29</v>
      </c>
      <c r="G296" s="74">
        <v>5000</v>
      </c>
      <c r="H296" s="78">
        <v>46164</v>
      </c>
      <c r="I296" s="75">
        <v>270</v>
      </c>
    </row>
    <row r="297" spans="1:9" ht="14.4" customHeight="1" x14ac:dyDescent="0.3">
      <c r="A297" s="74" t="s">
        <v>30</v>
      </c>
      <c r="B297" s="74" t="s">
        <v>31</v>
      </c>
      <c r="C297" s="74" t="s">
        <v>27</v>
      </c>
      <c r="D297" s="74">
        <v>40</v>
      </c>
      <c r="E297" s="74" t="s">
        <v>32</v>
      </c>
      <c r="F297" s="73" t="s">
        <v>29</v>
      </c>
      <c r="G297" s="74">
        <v>5000</v>
      </c>
      <c r="H297" s="78">
        <v>46164</v>
      </c>
      <c r="I297" s="75">
        <v>270</v>
      </c>
    </row>
    <row r="298" spans="1:9" ht="14.4" customHeight="1" x14ac:dyDescent="0.3">
      <c r="A298" s="74" t="s">
        <v>30</v>
      </c>
      <c r="B298" s="74" t="s">
        <v>31</v>
      </c>
      <c r="C298" s="74" t="s">
        <v>27</v>
      </c>
      <c r="D298" s="74">
        <v>40</v>
      </c>
      <c r="E298" s="74" t="s">
        <v>32</v>
      </c>
      <c r="F298" s="73" t="s">
        <v>29</v>
      </c>
      <c r="G298" s="74">
        <v>5000</v>
      </c>
      <c r="H298" s="78">
        <v>46164</v>
      </c>
      <c r="I298" s="75">
        <v>270</v>
      </c>
    </row>
    <row r="299" spans="1:9" ht="14.4" customHeight="1" x14ac:dyDescent="0.3">
      <c r="A299" s="74" t="s">
        <v>30</v>
      </c>
      <c r="B299" s="74" t="s">
        <v>31</v>
      </c>
      <c r="C299" s="74" t="s">
        <v>27</v>
      </c>
      <c r="D299" s="74">
        <v>40</v>
      </c>
      <c r="E299" s="74" t="s">
        <v>32</v>
      </c>
      <c r="F299" s="73" t="s">
        <v>29</v>
      </c>
      <c r="G299" s="74">
        <v>5000</v>
      </c>
      <c r="H299" s="78">
        <v>46164</v>
      </c>
      <c r="I299" s="75">
        <v>270</v>
      </c>
    </row>
    <row r="300" spans="1:9" ht="14.4" customHeight="1" x14ac:dyDescent="0.3">
      <c r="A300" s="74" t="s">
        <v>30</v>
      </c>
      <c r="B300" s="74" t="s">
        <v>31</v>
      </c>
      <c r="C300" s="74" t="s">
        <v>27</v>
      </c>
      <c r="D300" s="74">
        <v>40</v>
      </c>
      <c r="E300" s="74" t="s">
        <v>32</v>
      </c>
      <c r="F300" s="73" t="s">
        <v>29</v>
      </c>
      <c r="G300" s="74">
        <v>5000</v>
      </c>
      <c r="H300" s="78">
        <v>46164</v>
      </c>
      <c r="I300" s="75">
        <v>270</v>
      </c>
    </row>
    <row r="301" spans="1:9" ht="14.4" customHeight="1" x14ac:dyDescent="0.3">
      <c r="A301" s="74" t="s">
        <v>30</v>
      </c>
      <c r="B301" s="74" t="s">
        <v>31</v>
      </c>
      <c r="C301" s="74" t="s">
        <v>27</v>
      </c>
      <c r="D301" s="74">
        <v>40</v>
      </c>
      <c r="E301" s="74" t="s">
        <v>32</v>
      </c>
      <c r="F301" s="73" t="s">
        <v>29</v>
      </c>
      <c r="G301" s="74">
        <v>5000</v>
      </c>
      <c r="H301" s="78">
        <v>46164</v>
      </c>
      <c r="I301" s="75">
        <v>270</v>
      </c>
    </row>
    <row r="302" spans="1:9" ht="14.4" customHeight="1" x14ac:dyDescent="0.3">
      <c r="A302" s="74" t="s">
        <v>30</v>
      </c>
      <c r="B302" s="74" t="s">
        <v>31</v>
      </c>
      <c r="C302" s="74" t="s">
        <v>27</v>
      </c>
      <c r="D302" s="74">
        <v>40</v>
      </c>
      <c r="E302" s="74" t="s">
        <v>32</v>
      </c>
      <c r="F302" s="73" t="s">
        <v>29</v>
      </c>
      <c r="G302" s="74">
        <v>5000</v>
      </c>
      <c r="H302" s="78">
        <v>46164</v>
      </c>
      <c r="I302" s="75">
        <v>270</v>
      </c>
    </row>
    <row r="303" spans="1:9" ht="14.4" customHeight="1" x14ac:dyDescent="0.3">
      <c r="A303" s="74" t="s">
        <v>30</v>
      </c>
      <c r="B303" s="74" t="s">
        <v>31</v>
      </c>
      <c r="C303" s="74" t="s">
        <v>27</v>
      </c>
      <c r="D303" s="74">
        <v>40</v>
      </c>
      <c r="E303" s="74" t="s">
        <v>32</v>
      </c>
      <c r="F303" s="73" t="s">
        <v>29</v>
      </c>
      <c r="G303" s="74">
        <v>5000</v>
      </c>
      <c r="H303" s="78">
        <v>46164</v>
      </c>
      <c r="I303" s="75">
        <v>270</v>
      </c>
    </row>
    <row r="304" spans="1:9" ht="14.4" customHeight="1" x14ac:dyDescent="0.3">
      <c r="A304" s="74" t="s">
        <v>30</v>
      </c>
      <c r="B304" s="74" t="s">
        <v>31</v>
      </c>
      <c r="C304" s="74" t="s">
        <v>27</v>
      </c>
      <c r="D304" s="74">
        <v>40</v>
      </c>
      <c r="E304" s="74" t="s">
        <v>32</v>
      </c>
      <c r="F304" s="73" t="s">
        <v>29</v>
      </c>
      <c r="G304" s="74">
        <v>5000</v>
      </c>
      <c r="H304" s="78">
        <v>46164</v>
      </c>
      <c r="I304" s="75">
        <v>270</v>
      </c>
    </row>
    <row r="305" spans="1:9" ht="14.4" customHeight="1" x14ac:dyDescent="0.3">
      <c r="A305" s="74" t="s">
        <v>30</v>
      </c>
      <c r="B305" s="74" t="s">
        <v>31</v>
      </c>
      <c r="C305" s="74" t="s">
        <v>27</v>
      </c>
      <c r="D305" s="74">
        <v>40</v>
      </c>
      <c r="E305" s="74" t="s">
        <v>32</v>
      </c>
      <c r="F305" s="73" t="s">
        <v>29</v>
      </c>
      <c r="G305" s="74">
        <v>5000</v>
      </c>
      <c r="H305" s="78">
        <v>46164</v>
      </c>
      <c r="I305" s="75">
        <v>270</v>
      </c>
    </row>
    <row r="306" spans="1:9" ht="14.4" customHeight="1" x14ac:dyDescent="0.3">
      <c r="A306" s="74" t="s">
        <v>30</v>
      </c>
      <c r="B306" s="74" t="s">
        <v>31</v>
      </c>
      <c r="C306" s="74" t="s">
        <v>27</v>
      </c>
      <c r="D306" s="74">
        <v>40</v>
      </c>
      <c r="E306" s="74" t="s">
        <v>32</v>
      </c>
      <c r="F306" s="73" t="s">
        <v>29</v>
      </c>
      <c r="G306" s="74">
        <v>5000</v>
      </c>
      <c r="H306" s="78">
        <v>46164</v>
      </c>
      <c r="I306" s="75">
        <v>270</v>
      </c>
    </row>
    <row r="307" spans="1:9" ht="14.4" customHeight="1" x14ac:dyDescent="0.3">
      <c r="A307" s="74" t="s">
        <v>30</v>
      </c>
      <c r="B307" s="74" t="s">
        <v>31</v>
      </c>
      <c r="C307" s="74" t="s">
        <v>27</v>
      </c>
      <c r="D307" s="74">
        <v>40</v>
      </c>
      <c r="E307" s="74" t="s">
        <v>32</v>
      </c>
      <c r="F307" s="73" t="s">
        <v>29</v>
      </c>
      <c r="G307" s="74">
        <v>5000</v>
      </c>
      <c r="H307" s="78">
        <v>46164</v>
      </c>
      <c r="I307" s="75">
        <v>270</v>
      </c>
    </row>
    <row r="308" spans="1:9" ht="14.4" customHeight="1" x14ac:dyDescent="0.3">
      <c r="A308" s="74" t="s">
        <v>30</v>
      </c>
      <c r="B308" s="74" t="s">
        <v>31</v>
      </c>
      <c r="C308" s="74" t="s">
        <v>27</v>
      </c>
      <c r="D308" s="74">
        <v>40</v>
      </c>
      <c r="E308" s="74" t="s">
        <v>32</v>
      </c>
      <c r="F308" s="73" t="s">
        <v>29</v>
      </c>
      <c r="G308" s="74">
        <v>5000</v>
      </c>
      <c r="H308" s="78">
        <v>46164</v>
      </c>
      <c r="I308" s="75">
        <v>270</v>
      </c>
    </row>
    <row r="309" spans="1:9" ht="14.4" customHeight="1" x14ac:dyDescent="0.3">
      <c r="A309" s="74" t="s">
        <v>30</v>
      </c>
      <c r="B309" s="74" t="s">
        <v>31</v>
      </c>
      <c r="C309" s="74" t="s">
        <v>27</v>
      </c>
      <c r="D309" s="74">
        <v>40</v>
      </c>
      <c r="E309" s="74" t="s">
        <v>32</v>
      </c>
      <c r="F309" s="73" t="s">
        <v>29</v>
      </c>
      <c r="G309" s="74">
        <v>5000</v>
      </c>
      <c r="H309" s="78">
        <v>46164</v>
      </c>
      <c r="I309" s="75">
        <v>270</v>
      </c>
    </row>
    <row r="310" spans="1:9" ht="14.4" customHeight="1" x14ac:dyDescent="0.3">
      <c r="A310" s="74" t="s">
        <v>30</v>
      </c>
      <c r="B310" s="74" t="s">
        <v>31</v>
      </c>
      <c r="C310" s="74" t="s">
        <v>27</v>
      </c>
      <c r="D310" s="74">
        <v>40</v>
      </c>
      <c r="E310" s="74" t="s">
        <v>32</v>
      </c>
      <c r="F310" s="73" t="s">
        <v>29</v>
      </c>
      <c r="G310" s="74">
        <v>5000</v>
      </c>
      <c r="H310" s="78">
        <v>46164</v>
      </c>
      <c r="I310" s="75">
        <v>270</v>
      </c>
    </row>
    <row r="311" spans="1:9" ht="14.4" customHeight="1" x14ac:dyDescent="0.3">
      <c r="A311" s="74" t="s">
        <v>30</v>
      </c>
      <c r="B311" s="74" t="s">
        <v>31</v>
      </c>
      <c r="C311" s="74" t="s">
        <v>27</v>
      </c>
      <c r="D311" s="74">
        <v>40</v>
      </c>
      <c r="E311" s="74" t="s">
        <v>32</v>
      </c>
      <c r="F311" s="73" t="s">
        <v>29</v>
      </c>
      <c r="G311" s="74">
        <v>5000</v>
      </c>
      <c r="H311" s="78">
        <v>46164</v>
      </c>
      <c r="I311" s="75">
        <v>270</v>
      </c>
    </row>
    <row r="312" spans="1:9" ht="14.4" customHeight="1" x14ac:dyDescent="0.3">
      <c r="A312" s="74" t="s">
        <v>30</v>
      </c>
      <c r="B312" s="74" t="s">
        <v>31</v>
      </c>
      <c r="C312" s="74" t="s">
        <v>27</v>
      </c>
      <c r="D312" s="74">
        <v>40</v>
      </c>
      <c r="E312" s="74" t="s">
        <v>32</v>
      </c>
      <c r="F312" s="73" t="s">
        <v>29</v>
      </c>
      <c r="G312" s="74">
        <v>5000</v>
      </c>
      <c r="H312" s="78">
        <v>46164</v>
      </c>
      <c r="I312" s="75">
        <v>270</v>
      </c>
    </row>
    <row r="313" spans="1:9" ht="14.4" customHeight="1" x14ac:dyDescent="0.3">
      <c r="A313" s="74" t="s">
        <v>30</v>
      </c>
      <c r="B313" s="74" t="s">
        <v>31</v>
      </c>
      <c r="C313" s="74" t="s">
        <v>27</v>
      </c>
      <c r="D313" s="74">
        <v>40</v>
      </c>
      <c r="E313" s="74" t="s">
        <v>32</v>
      </c>
      <c r="F313" s="73" t="s">
        <v>29</v>
      </c>
      <c r="G313" s="74">
        <v>5000</v>
      </c>
      <c r="H313" s="78">
        <v>46164</v>
      </c>
      <c r="I313" s="75">
        <v>270</v>
      </c>
    </row>
    <row r="314" spans="1:9" ht="14.4" customHeight="1" x14ac:dyDescent="0.3">
      <c r="A314" s="74" t="s">
        <v>30</v>
      </c>
      <c r="B314" s="74" t="s">
        <v>31</v>
      </c>
      <c r="C314" s="74" t="s">
        <v>27</v>
      </c>
      <c r="D314" s="74">
        <v>40</v>
      </c>
      <c r="E314" s="74" t="s">
        <v>32</v>
      </c>
      <c r="F314" s="73" t="s">
        <v>29</v>
      </c>
      <c r="G314" s="74">
        <v>5000</v>
      </c>
      <c r="H314" s="78">
        <v>46164</v>
      </c>
      <c r="I314" s="75">
        <v>270</v>
      </c>
    </row>
    <row r="315" spans="1:9" ht="14.4" customHeight="1" x14ac:dyDescent="0.3">
      <c r="A315" s="74" t="s">
        <v>30</v>
      </c>
      <c r="B315" s="74" t="s">
        <v>31</v>
      </c>
      <c r="C315" s="74" t="s">
        <v>27</v>
      </c>
      <c r="D315" s="74">
        <v>40</v>
      </c>
      <c r="E315" s="74" t="s">
        <v>32</v>
      </c>
      <c r="F315" s="73" t="s">
        <v>29</v>
      </c>
      <c r="G315" s="74">
        <v>5000</v>
      </c>
      <c r="H315" s="78">
        <v>46164</v>
      </c>
      <c r="I315" s="75">
        <v>270</v>
      </c>
    </row>
    <row r="316" spans="1:9" ht="14.4" customHeight="1" x14ac:dyDescent="0.3">
      <c r="A316" s="74" t="s">
        <v>30</v>
      </c>
      <c r="B316" s="74" t="s">
        <v>31</v>
      </c>
      <c r="C316" s="74" t="s">
        <v>27</v>
      </c>
      <c r="D316" s="74">
        <v>40</v>
      </c>
      <c r="E316" s="74" t="s">
        <v>32</v>
      </c>
      <c r="F316" s="73" t="s">
        <v>29</v>
      </c>
      <c r="G316" s="74">
        <v>5000</v>
      </c>
      <c r="H316" s="78">
        <v>46164</v>
      </c>
      <c r="I316" s="75">
        <v>270</v>
      </c>
    </row>
    <row r="317" spans="1:9" ht="14.4" customHeight="1" x14ac:dyDescent="0.3">
      <c r="A317" s="74" t="s">
        <v>30</v>
      </c>
      <c r="B317" s="74" t="s">
        <v>31</v>
      </c>
      <c r="C317" s="74" t="s">
        <v>27</v>
      </c>
      <c r="D317" s="74">
        <v>40</v>
      </c>
      <c r="E317" s="74" t="s">
        <v>32</v>
      </c>
      <c r="F317" s="73" t="s">
        <v>29</v>
      </c>
      <c r="G317" s="74">
        <v>5000</v>
      </c>
      <c r="H317" s="78">
        <v>46164</v>
      </c>
      <c r="I317" s="75">
        <v>270</v>
      </c>
    </row>
    <row r="318" spans="1:9" ht="14.4" customHeight="1" x14ac:dyDescent="0.3">
      <c r="A318" s="74" t="s">
        <v>30</v>
      </c>
      <c r="B318" s="74" t="s">
        <v>31</v>
      </c>
      <c r="C318" s="74" t="s">
        <v>27</v>
      </c>
      <c r="D318" s="74">
        <v>40</v>
      </c>
      <c r="E318" s="74" t="s">
        <v>32</v>
      </c>
      <c r="F318" s="73" t="s">
        <v>29</v>
      </c>
      <c r="G318" s="74">
        <v>5000</v>
      </c>
      <c r="H318" s="78">
        <v>46164</v>
      </c>
      <c r="I318" s="75">
        <v>270</v>
      </c>
    </row>
    <row r="319" spans="1:9" ht="14.4" customHeight="1" x14ac:dyDescent="0.3">
      <c r="A319" s="74" t="s">
        <v>30</v>
      </c>
      <c r="B319" s="74" t="s">
        <v>31</v>
      </c>
      <c r="C319" s="74" t="s">
        <v>27</v>
      </c>
      <c r="D319" s="74">
        <v>40</v>
      </c>
      <c r="E319" s="74" t="s">
        <v>32</v>
      </c>
      <c r="F319" s="73" t="s">
        <v>29</v>
      </c>
      <c r="G319" s="74">
        <v>5000</v>
      </c>
      <c r="H319" s="78">
        <v>46164</v>
      </c>
      <c r="I319" s="75">
        <v>270</v>
      </c>
    </row>
    <row r="320" spans="1:9" ht="14.4" customHeight="1" x14ac:dyDescent="0.3">
      <c r="A320" s="74" t="s">
        <v>30</v>
      </c>
      <c r="B320" s="74" t="s">
        <v>31</v>
      </c>
      <c r="C320" s="74" t="s">
        <v>27</v>
      </c>
      <c r="D320" s="74">
        <v>40</v>
      </c>
      <c r="E320" s="74" t="s">
        <v>32</v>
      </c>
      <c r="F320" s="73" t="s">
        <v>29</v>
      </c>
      <c r="G320" s="74">
        <v>5000</v>
      </c>
      <c r="H320" s="78">
        <v>46164</v>
      </c>
      <c r="I320" s="75">
        <v>270</v>
      </c>
    </row>
    <row r="321" spans="1:9" ht="14.4" customHeight="1" x14ac:dyDescent="0.3">
      <c r="A321" s="74" t="s">
        <v>30</v>
      </c>
      <c r="B321" s="74" t="s">
        <v>31</v>
      </c>
      <c r="C321" s="74" t="s">
        <v>27</v>
      </c>
      <c r="D321" s="74">
        <v>40</v>
      </c>
      <c r="E321" s="74" t="s">
        <v>32</v>
      </c>
      <c r="F321" s="73" t="s">
        <v>29</v>
      </c>
      <c r="G321" s="74">
        <v>5000</v>
      </c>
      <c r="H321" s="78">
        <v>46164</v>
      </c>
      <c r="I321" s="75">
        <v>270</v>
      </c>
    </row>
    <row r="322" spans="1:9" ht="14.4" customHeight="1" x14ac:dyDescent="0.3">
      <c r="A322" s="74" t="s">
        <v>30</v>
      </c>
      <c r="B322" s="74" t="s">
        <v>31</v>
      </c>
      <c r="C322" s="74" t="s">
        <v>27</v>
      </c>
      <c r="D322" s="74">
        <v>40</v>
      </c>
      <c r="E322" s="74" t="s">
        <v>32</v>
      </c>
      <c r="F322" s="73" t="s">
        <v>29</v>
      </c>
      <c r="G322" s="74">
        <v>5000</v>
      </c>
      <c r="H322" s="78">
        <v>46164</v>
      </c>
      <c r="I322" s="75">
        <v>270</v>
      </c>
    </row>
    <row r="323" spans="1:9" ht="14.4" customHeight="1" x14ac:dyDescent="0.3">
      <c r="A323" s="74" t="s">
        <v>30</v>
      </c>
      <c r="B323" s="74" t="s">
        <v>31</v>
      </c>
      <c r="C323" s="74" t="s">
        <v>27</v>
      </c>
      <c r="D323" s="74">
        <v>40</v>
      </c>
      <c r="E323" s="74" t="s">
        <v>32</v>
      </c>
      <c r="F323" s="73" t="s">
        <v>29</v>
      </c>
      <c r="G323" s="74">
        <v>5000</v>
      </c>
      <c r="H323" s="78">
        <v>46164</v>
      </c>
      <c r="I323" s="75">
        <v>270</v>
      </c>
    </row>
    <row r="324" spans="1:9" ht="14.4" customHeight="1" x14ac:dyDescent="0.3">
      <c r="A324" s="74" t="s">
        <v>30</v>
      </c>
      <c r="B324" s="74" t="s">
        <v>31</v>
      </c>
      <c r="C324" s="74" t="s">
        <v>27</v>
      </c>
      <c r="D324" s="74">
        <v>40</v>
      </c>
      <c r="E324" s="74" t="s">
        <v>32</v>
      </c>
      <c r="F324" s="73" t="s">
        <v>29</v>
      </c>
      <c r="G324" s="74">
        <v>5000</v>
      </c>
      <c r="H324" s="78">
        <v>46164</v>
      </c>
      <c r="I324" s="75">
        <v>270</v>
      </c>
    </row>
    <row r="325" spans="1:9" ht="14.4" customHeight="1" x14ac:dyDescent="0.3">
      <c r="A325" s="74" t="s">
        <v>30</v>
      </c>
      <c r="B325" s="74" t="s">
        <v>31</v>
      </c>
      <c r="C325" s="74" t="s">
        <v>27</v>
      </c>
      <c r="D325" s="74">
        <v>40</v>
      </c>
      <c r="E325" s="74" t="s">
        <v>32</v>
      </c>
      <c r="F325" s="73" t="s">
        <v>29</v>
      </c>
      <c r="G325" s="74">
        <v>5000</v>
      </c>
      <c r="H325" s="78">
        <v>46164</v>
      </c>
      <c r="I325" s="75">
        <v>270</v>
      </c>
    </row>
    <row r="326" spans="1:9" ht="14.4" customHeight="1" x14ac:dyDescent="0.3">
      <c r="A326" s="74" t="s">
        <v>30</v>
      </c>
      <c r="B326" s="74" t="s">
        <v>31</v>
      </c>
      <c r="C326" s="74" t="s">
        <v>27</v>
      </c>
      <c r="D326" s="74">
        <v>40</v>
      </c>
      <c r="E326" s="74" t="s">
        <v>32</v>
      </c>
      <c r="F326" s="73" t="s">
        <v>29</v>
      </c>
      <c r="G326" s="74">
        <v>5000</v>
      </c>
      <c r="H326" s="78">
        <v>46164</v>
      </c>
      <c r="I326" s="75">
        <v>270</v>
      </c>
    </row>
    <row r="327" spans="1:9" ht="14.4" customHeight="1" x14ac:dyDescent="0.3">
      <c r="A327" s="74" t="s">
        <v>30</v>
      </c>
      <c r="B327" s="74" t="s">
        <v>31</v>
      </c>
      <c r="C327" s="74" t="s">
        <v>27</v>
      </c>
      <c r="D327" s="74">
        <v>40</v>
      </c>
      <c r="E327" s="74" t="s">
        <v>32</v>
      </c>
      <c r="F327" s="73" t="s">
        <v>29</v>
      </c>
      <c r="G327" s="74">
        <v>5000</v>
      </c>
      <c r="H327" s="78">
        <v>46164</v>
      </c>
      <c r="I327" s="75">
        <v>270</v>
      </c>
    </row>
    <row r="328" spans="1:9" ht="14.4" customHeight="1" x14ac:dyDescent="0.3">
      <c r="A328" s="74" t="s">
        <v>30</v>
      </c>
      <c r="B328" s="74" t="s">
        <v>31</v>
      </c>
      <c r="C328" s="74" t="s">
        <v>27</v>
      </c>
      <c r="D328" s="74">
        <v>40</v>
      </c>
      <c r="E328" s="74" t="s">
        <v>32</v>
      </c>
      <c r="F328" s="73" t="s">
        <v>29</v>
      </c>
      <c r="G328" s="74">
        <v>5000</v>
      </c>
      <c r="H328" s="78">
        <v>46164</v>
      </c>
      <c r="I328" s="75">
        <v>270</v>
      </c>
    </row>
    <row r="329" spans="1:9" ht="14.4" customHeight="1" x14ac:dyDescent="0.3">
      <c r="A329" s="74" t="s">
        <v>30</v>
      </c>
      <c r="B329" s="74" t="s">
        <v>31</v>
      </c>
      <c r="C329" s="74" t="s">
        <v>27</v>
      </c>
      <c r="D329" s="74">
        <v>40</v>
      </c>
      <c r="E329" s="74" t="s">
        <v>32</v>
      </c>
      <c r="F329" s="73" t="s">
        <v>29</v>
      </c>
      <c r="G329" s="74">
        <v>5000</v>
      </c>
      <c r="H329" s="78">
        <v>46171</v>
      </c>
      <c r="I329" s="75">
        <v>222</v>
      </c>
    </row>
    <row r="330" spans="1:9" ht="14.4" customHeight="1" x14ac:dyDescent="0.3">
      <c r="A330" s="74" t="s">
        <v>30</v>
      </c>
      <c r="B330" s="74" t="s">
        <v>31</v>
      </c>
      <c r="C330" s="74" t="s">
        <v>27</v>
      </c>
      <c r="D330" s="74">
        <v>40</v>
      </c>
      <c r="E330" s="74" t="s">
        <v>32</v>
      </c>
      <c r="F330" s="73" t="s">
        <v>29</v>
      </c>
      <c r="G330" s="74">
        <v>5000</v>
      </c>
      <c r="H330" s="78">
        <v>46171</v>
      </c>
      <c r="I330" s="75">
        <v>171</v>
      </c>
    </row>
    <row r="331" spans="1:9" ht="14.4" customHeight="1" x14ac:dyDescent="0.3">
      <c r="A331" s="74" t="s">
        <v>30</v>
      </c>
      <c r="B331" s="74" t="s">
        <v>31</v>
      </c>
      <c r="C331" s="74" t="s">
        <v>27</v>
      </c>
      <c r="D331" s="74">
        <v>40</v>
      </c>
      <c r="E331" s="74" t="s">
        <v>32</v>
      </c>
      <c r="F331" s="73" t="s">
        <v>29</v>
      </c>
      <c r="G331" s="74">
        <v>5000</v>
      </c>
      <c r="H331" s="78">
        <v>46171</v>
      </c>
      <c r="I331" s="75">
        <v>270</v>
      </c>
    </row>
    <row r="332" spans="1:9" ht="14.4" customHeight="1" x14ac:dyDescent="0.3">
      <c r="A332" s="74" t="s">
        <v>30</v>
      </c>
      <c r="B332" s="74" t="s">
        <v>31</v>
      </c>
      <c r="C332" s="74" t="s">
        <v>27</v>
      </c>
      <c r="D332" s="74">
        <v>40</v>
      </c>
      <c r="E332" s="74" t="s">
        <v>32</v>
      </c>
      <c r="F332" s="73" t="s">
        <v>29</v>
      </c>
      <c r="G332" s="74">
        <v>5000</v>
      </c>
      <c r="H332" s="78">
        <v>46171</v>
      </c>
      <c r="I332" s="75">
        <v>270</v>
      </c>
    </row>
    <row r="333" spans="1:9" ht="14.4" customHeight="1" x14ac:dyDescent="0.3">
      <c r="A333" s="74" t="s">
        <v>30</v>
      </c>
      <c r="B333" s="74" t="s">
        <v>31</v>
      </c>
      <c r="C333" s="74" t="s">
        <v>27</v>
      </c>
      <c r="D333" s="74">
        <v>40</v>
      </c>
      <c r="E333" s="74" t="s">
        <v>32</v>
      </c>
      <c r="F333" s="73" t="s">
        <v>29</v>
      </c>
      <c r="G333" s="74">
        <v>5000</v>
      </c>
      <c r="H333" s="78">
        <v>46171</v>
      </c>
      <c r="I333" s="75">
        <v>270</v>
      </c>
    </row>
    <row r="334" spans="1:9" ht="14.4" customHeight="1" x14ac:dyDescent="0.3">
      <c r="A334" s="74" t="s">
        <v>30</v>
      </c>
      <c r="B334" s="74" t="s">
        <v>31</v>
      </c>
      <c r="C334" s="74" t="s">
        <v>27</v>
      </c>
      <c r="D334" s="74">
        <v>40</v>
      </c>
      <c r="E334" s="74" t="s">
        <v>32</v>
      </c>
      <c r="F334" s="73" t="s">
        <v>29</v>
      </c>
      <c r="G334" s="74">
        <v>5000</v>
      </c>
      <c r="H334" s="78">
        <v>46171</v>
      </c>
      <c r="I334" s="75">
        <v>270</v>
      </c>
    </row>
    <row r="335" spans="1:9" ht="14.4" customHeight="1" x14ac:dyDescent="0.3">
      <c r="A335" s="74" t="s">
        <v>30</v>
      </c>
      <c r="B335" s="74" t="s">
        <v>31</v>
      </c>
      <c r="C335" s="74" t="s">
        <v>27</v>
      </c>
      <c r="D335" s="74">
        <v>40</v>
      </c>
      <c r="E335" s="74" t="s">
        <v>32</v>
      </c>
      <c r="F335" s="73" t="s">
        <v>29</v>
      </c>
      <c r="G335" s="74">
        <v>5000</v>
      </c>
      <c r="H335" s="78">
        <v>46171</v>
      </c>
      <c r="I335" s="75">
        <v>270</v>
      </c>
    </row>
    <row r="336" spans="1:9" ht="14.4" customHeight="1" x14ac:dyDescent="0.3">
      <c r="A336" s="74" t="s">
        <v>30</v>
      </c>
      <c r="B336" s="74" t="s">
        <v>31</v>
      </c>
      <c r="C336" s="74" t="s">
        <v>27</v>
      </c>
      <c r="D336" s="74">
        <v>40</v>
      </c>
      <c r="E336" s="74" t="s">
        <v>32</v>
      </c>
      <c r="F336" s="73" t="s">
        <v>29</v>
      </c>
      <c r="G336" s="74">
        <v>5000</v>
      </c>
      <c r="H336" s="78">
        <v>46171</v>
      </c>
      <c r="I336" s="75">
        <v>270</v>
      </c>
    </row>
    <row r="337" spans="1:9" ht="14.4" customHeight="1" x14ac:dyDescent="0.3">
      <c r="A337" s="74" t="s">
        <v>30</v>
      </c>
      <c r="B337" s="74" t="s">
        <v>31</v>
      </c>
      <c r="C337" s="74" t="s">
        <v>27</v>
      </c>
      <c r="D337" s="74">
        <v>40</v>
      </c>
      <c r="E337" s="74" t="s">
        <v>32</v>
      </c>
      <c r="F337" s="73" t="s">
        <v>29</v>
      </c>
      <c r="G337" s="74">
        <v>5000</v>
      </c>
      <c r="H337" s="78">
        <v>46171</v>
      </c>
      <c r="I337" s="75">
        <v>269</v>
      </c>
    </row>
    <row r="338" spans="1:9" ht="14.4" customHeight="1" x14ac:dyDescent="0.3">
      <c r="A338" s="74" t="s">
        <v>30</v>
      </c>
      <c r="B338" s="74" t="s">
        <v>31</v>
      </c>
      <c r="C338" s="74" t="s">
        <v>27</v>
      </c>
      <c r="D338" s="74">
        <v>40</v>
      </c>
      <c r="E338" s="74" t="s">
        <v>32</v>
      </c>
      <c r="F338" s="73" t="s">
        <v>29</v>
      </c>
      <c r="G338" s="74">
        <v>5000</v>
      </c>
      <c r="H338" s="78">
        <v>46171</v>
      </c>
      <c r="I338" s="75">
        <v>270</v>
      </c>
    </row>
    <row r="339" spans="1:9" ht="14.4" customHeight="1" x14ac:dyDescent="0.3">
      <c r="A339" s="74" t="s">
        <v>30</v>
      </c>
      <c r="B339" s="74" t="s">
        <v>31</v>
      </c>
      <c r="C339" s="74" t="s">
        <v>27</v>
      </c>
      <c r="D339" s="74">
        <v>40</v>
      </c>
      <c r="E339" s="74" t="s">
        <v>32</v>
      </c>
      <c r="F339" s="73" t="s">
        <v>29</v>
      </c>
      <c r="G339" s="74">
        <v>5000</v>
      </c>
      <c r="H339" s="78">
        <v>46171</v>
      </c>
      <c r="I339" s="75">
        <v>270</v>
      </c>
    </row>
    <row r="340" spans="1:9" ht="14.4" customHeight="1" x14ac:dyDescent="0.3">
      <c r="A340" s="74" t="s">
        <v>30</v>
      </c>
      <c r="B340" s="74" t="s">
        <v>31</v>
      </c>
      <c r="C340" s="74" t="s">
        <v>27</v>
      </c>
      <c r="D340" s="74">
        <v>40</v>
      </c>
      <c r="E340" s="74" t="s">
        <v>32</v>
      </c>
      <c r="F340" s="73" t="s">
        <v>29</v>
      </c>
      <c r="G340" s="74">
        <v>5000</v>
      </c>
      <c r="H340" s="78">
        <v>46171</v>
      </c>
      <c r="I340" s="75">
        <v>227</v>
      </c>
    </row>
    <row r="341" spans="1:9" ht="14.4" customHeight="1" x14ac:dyDescent="0.3">
      <c r="A341" s="74" t="s">
        <v>30</v>
      </c>
      <c r="B341" s="74" t="s">
        <v>31</v>
      </c>
      <c r="C341" s="74" t="s">
        <v>27</v>
      </c>
      <c r="D341" s="74">
        <v>40</v>
      </c>
      <c r="E341" s="74" t="s">
        <v>32</v>
      </c>
      <c r="F341" s="73" t="s">
        <v>29</v>
      </c>
      <c r="G341" s="74">
        <v>5000</v>
      </c>
      <c r="H341" s="78">
        <v>46171</v>
      </c>
      <c r="I341" s="75">
        <v>264</v>
      </c>
    </row>
    <row r="342" spans="1:9" ht="14.4" customHeight="1" x14ac:dyDescent="0.3">
      <c r="A342" s="74" t="s">
        <v>30</v>
      </c>
      <c r="B342" s="74" t="s">
        <v>31</v>
      </c>
      <c r="C342" s="74" t="s">
        <v>27</v>
      </c>
      <c r="D342" s="74">
        <v>40</v>
      </c>
      <c r="E342" s="74" t="s">
        <v>32</v>
      </c>
      <c r="F342" s="73" t="s">
        <v>29</v>
      </c>
      <c r="G342" s="74">
        <v>5000</v>
      </c>
      <c r="H342" s="78">
        <v>46171</v>
      </c>
      <c r="I342" s="75">
        <v>270</v>
      </c>
    </row>
    <row r="343" spans="1:9" ht="14.4" customHeight="1" x14ac:dyDescent="0.3">
      <c r="A343" s="74" t="s">
        <v>30</v>
      </c>
      <c r="B343" s="74" t="s">
        <v>31</v>
      </c>
      <c r="C343" s="74" t="s">
        <v>27</v>
      </c>
      <c r="D343" s="74">
        <v>40</v>
      </c>
      <c r="E343" s="74" t="s">
        <v>32</v>
      </c>
      <c r="F343" s="73" t="s">
        <v>29</v>
      </c>
      <c r="G343" s="74">
        <v>5000</v>
      </c>
      <c r="H343" s="78">
        <v>46171</v>
      </c>
      <c r="I343" s="75">
        <v>270</v>
      </c>
    </row>
    <row r="344" spans="1:9" ht="14.4" customHeight="1" x14ac:dyDescent="0.3">
      <c r="A344" s="74" t="s">
        <v>30</v>
      </c>
      <c r="B344" s="74" t="s">
        <v>31</v>
      </c>
      <c r="C344" s="74" t="s">
        <v>27</v>
      </c>
      <c r="D344" s="74">
        <v>40</v>
      </c>
      <c r="E344" s="74" t="s">
        <v>32</v>
      </c>
      <c r="F344" s="73" t="s">
        <v>29</v>
      </c>
      <c r="G344" s="74">
        <v>5000</v>
      </c>
      <c r="H344" s="78">
        <v>46171</v>
      </c>
      <c r="I344" s="75">
        <v>270</v>
      </c>
    </row>
    <row r="345" spans="1:9" ht="14.4" customHeight="1" x14ac:dyDescent="0.3">
      <c r="A345" s="74" t="s">
        <v>30</v>
      </c>
      <c r="B345" s="74" t="s">
        <v>31</v>
      </c>
      <c r="C345" s="74" t="s">
        <v>27</v>
      </c>
      <c r="D345" s="74">
        <v>40</v>
      </c>
      <c r="E345" s="74" t="s">
        <v>32</v>
      </c>
      <c r="F345" s="73" t="s">
        <v>29</v>
      </c>
      <c r="G345" s="74">
        <v>5000</v>
      </c>
      <c r="H345" s="78">
        <v>46171</v>
      </c>
      <c r="I345" s="75">
        <v>270</v>
      </c>
    </row>
    <row r="346" spans="1:9" ht="14.4" customHeight="1" x14ac:dyDescent="0.3">
      <c r="A346" s="74" t="s">
        <v>30</v>
      </c>
      <c r="B346" s="74" t="s">
        <v>31</v>
      </c>
      <c r="C346" s="74" t="s">
        <v>27</v>
      </c>
      <c r="D346" s="74">
        <v>40</v>
      </c>
      <c r="E346" s="74" t="s">
        <v>32</v>
      </c>
      <c r="F346" s="73" t="s">
        <v>29</v>
      </c>
      <c r="G346" s="74">
        <v>5000</v>
      </c>
      <c r="H346" s="78">
        <v>46171</v>
      </c>
      <c r="I346" s="75">
        <v>270</v>
      </c>
    </row>
    <row r="347" spans="1:9" ht="14.4" customHeight="1" x14ac:dyDescent="0.3">
      <c r="A347" s="74" t="s">
        <v>30</v>
      </c>
      <c r="B347" s="74" t="s">
        <v>31</v>
      </c>
      <c r="C347" s="74" t="s">
        <v>27</v>
      </c>
      <c r="D347" s="74">
        <v>40</v>
      </c>
      <c r="E347" s="74" t="s">
        <v>32</v>
      </c>
      <c r="F347" s="73" t="s">
        <v>29</v>
      </c>
      <c r="G347" s="74">
        <v>5000</v>
      </c>
      <c r="H347" s="78">
        <v>46171</v>
      </c>
      <c r="I347" s="75">
        <v>207</v>
      </c>
    </row>
    <row r="348" spans="1:9" ht="14.4" customHeight="1" x14ac:dyDescent="0.3">
      <c r="A348" s="74" t="s">
        <v>30</v>
      </c>
      <c r="B348" s="74" t="s">
        <v>31</v>
      </c>
      <c r="C348" s="74" t="s">
        <v>27</v>
      </c>
      <c r="D348" s="74">
        <v>40</v>
      </c>
      <c r="E348" s="74" t="s">
        <v>32</v>
      </c>
      <c r="F348" s="73" t="s">
        <v>29</v>
      </c>
      <c r="G348" s="74">
        <v>5000</v>
      </c>
      <c r="H348" s="78">
        <v>46171</v>
      </c>
      <c r="I348" s="75">
        <v>270</v>
      </c>
    </row>
    <row r="349" spans="1:9" ht="14.4" customHeight="1" x14ac:dyDescent="0.3">
      <c r="A349" s="74" t="s">
        <v>30</v>
      </c>
      <c r="B349" s="74" t="s">
        <v>31</v>
      </c>
      <c r="C349" s="74" t="s">
        <v>27</v>
      </c>
      <c r="D349" s="74">
        <v>40</v>
      </c>
      <c r="E349" s="74" t="s">
        <v>32</v>
      </c>
      <c r="F349" s="73" t="s">
        <v>29</v>
      </c>
      <c r="G349" s="74">
        <v>5000</v>
      </c>
      <c r="H349" s="78">
        <v>46171</v>
      </c>
      <c r="I349" s="75">
        <v>160</v>
      </c>
    </row>
    <row r="350" spans="1:9" ht="14.4" customHeight="1" x14ac:dyDescent="0.3">
      <c r="A350" s="74" t="s">
        <v>30</v>
      </c>
      <c r="B350" s="74" t="s">
        <v>31</v>
      </c>
      <c r="C350" s="74" t="s">
        <v>27</v>
      </c>
      <c r="D350" s="74">
        <v>40</v>
      </c>
      <c r="E350" s="74" t="s">
        <v>32</v>
      </c>
      <c r="F350" s="73" t="s">
        <v>29</v>
      </c>
      <c r="G350" s="74">
        <v>5000</v>
      </c>
      <c r="H350" s="78">
        <v>46171</v>
      </c>
      <c r="I350" s="75">
        <v>270</v>
      </c>
    </row>
    <row r="351" spans="1:9" ht="14.4" customHeight="1" x14ac:dyDescent="0.3">
      <c r="A351" s="74" t="s">
        <v>30</v>
      </c>
      <c r="B351" s="74" t="s">
        <v>31</v>
      </c>
      <c r="C351" s="74" t="s">
        <v>27</v>
      </c>
      <c r="D351" s="74">
        <v>40</v>
      </c>
      <c r="E351" s="74" t="s">
        <v>32</v>
      </c>
      <c r="F351" s="73" t="s">
        <v>29</v>
      </c>
      <c r="G351" s="74">
        <v>5000</v>
      </c>
      <c r="H351" s="78">
        <v>46171</v>
      </c>
      <c r="I351" s="75">
        <v>270</v>
      </c>
    </row>
    <row r="352" spans="1:9" ht="14.4" hidden="1" customHeight="1" x14ac:dyDescent="0.3">
      <c r="A352" s="74" t="s">
        <v>30</v>
      </c>
      <c r="B352" s="74" t="s">
        <v>31</v>
      </c>
      <c r="C352" s="74" t="s">
        <v>27</v>
      </c>
      <c r="D352" s="74">
        <v>40</v>
      </c>
      <c r="E352" s="74" t="s">
        <v>32</v>
      </c>
      <c r="F352" s="73" t="s">
        <v>29</v>
      </c>
      <c r="G352" s="74">
        <v>5000</v>
      </c>
      <c r="H352" s="78">
        <v>46175</v>
      </c>
      <c r="I352" s="75">
        <v>270</v>
      </c>
    </row>
    <row r="353" spans="1:9" ht="14.4" hidden="1" customHeight="1" x14ac:dyDescent="0.3">
      <c r="A353" s="74" t="s">
        <v>30</v>
      </c>
      <c r="B353" s="74" t="s">
        <v>31</v>
      </c>
      <c r="C353" s="74" t="s">
        <v>27</v>
      </c>
      <c r="D353" s="74">
        <v>40</v>
      </c>
      <c r="E353" s="74" t="s">
        <v>32</v>
      </c>
      <c r="F353" s="73" t="s">
        <v>29</v>
      </c>
      <c r="G353" s="74">
        <v>5000</v>
      </c>
      <c r="H353" s="78">
        <v>46175</v>
      </c>
      <c r="I353" s="75">
        <v>270</v>
      </c>
    </row>
    <row r="354" spans="1:9" ht="14.4" hidden="1" customHeight="1" x14ac:dyDescent="0.3">
      <c r="A354" s="74" t="s">
        <v>30</v>
      </c>
      <c r="B354" s="74" t="s">
        <v>31</v>
      </c>
      <c r="C354" s="74" t="s">
        <v>27</v>
      </c>
      <c r="D354" s="74">
        <v>40</v>
      </c>
      <c r="E354" s="74" t="s">
        <v>32</v>
      </c>
      <c r="F354" s="73" t="s">
        <v>29</v>
      </c>
      <c r="G354" s="74">
        <v>5000</v>
      </c>
      <c r="H354" s="78">
        <v>46175</v>
      </c>
      <c r="I354" s="75">
        <v>270</v>
      </c>
    </row>
    <row r="355" spans="1:9" ht="14.4" hidden="1" customHeight="1" x14ac:dyDescent="0.3">
      <c r="A355" s="74" t="s">
        <v>30</v>
      </c>
      <c r="B355" s="74" t="s">
        <v>31</v>
      </c>
      <c r="C355" s="74" t="s">
        <v>27</v>
      </c>
      <c r="D355" s="74">
        <v>40</v>
      </c>
      <c r="E355" s="74" t="s">
        <v>32</v>
      </c>
      <c r="F355" s="73" t="s">
        <v>29</v>
      </c>
      <c r="G355" s="74">
        <v>5000</v>
      </c>
      <c r="H355" s="78">
        <v>46175</v>
      </c>
      <c r="I355" s="75">
        <v>270</v>
      </c>
    </row>
    <row r="356" spans="1:9" ht="14.4" hidden="1" customHeight="1" x14ac:dyDescent="0.3">
      <c r="A356" s="74" t="s">
        <v>30</v>
      </c>
      <c r="B356" s="74" t="s">
        <v>31</v>
      </c>
      <c r="C356" s="74" t="s">
        <v>27</v>
      </c>
      <c r="D356" s="74">
        <v>40</v>
      </c>
      <c r="E356" s="74" t="s">
        <v>32</v>
      </c>
      <c r="F356" s="73" t="s">
        <v>29</v>
      </c>
      <c r="G356" s="74">
        <v>5000</v>
      </c>
      <c r="H356" s="78">
        <v>46175</v>
      </c>
      <c r="I356" s="75">
        <v>270</v>
      </c>
    </row>
    <row r="357" spans="1:9" ht="14.4" hidden="1" customHeight="1" x14ac:dyDescent="0.3">
      <c r="A357" s="74" t="s">
        <v>30</v>
      </c>
      <c r="B357" s="74" t="s">
        <v>31</v>
      </c>
      <c r="C357" s="74" t="s">
        <v>27</v>
      </c>
      <c r="D357" s="74">
        <v>40</v>
      </c>
      <c r="E357" s="74" t="s">
        <v>32</v>
      </c>
      <c r="F357" s="73" t="s">
        <v>29</v>
      </c>
      <c r="G357" s="74">
        <v>5000</v>
      </c>
      <c r="H357" s="78">
        <v>46175</v>
      </c>
      <c r="I357" s="75">
        <v>270</v>
      </c>
    </row>
    <row r="358" spans="1:9" ht="14.4" hidden="1" customHeight="1" x14ac:dyDescent="0.3">
      <c r="A358" s="74" t="s">
        <v>30</v>
      </c>
      <c r="B358" s="74" t="s">
        <v>31</v>
      </c>
      <c r="C358" s="74" t="s">
        <v>27</v>
      </c>
      <c r="D358" s="74">
        <v>40</v>
      </c>
      <c r="E358" s="74" t="s">
        <v>32</v>
      </c>
      <c r="F358" s="73" t="s">
        <v>29</v>
      </c>
      <c r="G358" s="74">
        <v>5000</v>
      </c>
      <c r="H358" s="78">
        <v>46175</v>
      </c>
      <c r="I358" s="75">
        <v>270</v>
      </c>
    </row>
    <row r="359" spans="1:9" ht="14.4" hidden="1" customHeight="1" x14ac:dyDescent="0.3">
      <c r="A359" s="74" t="s">
        <v>30</v>
      </c>
      <c r="B359" s="74" t="s">
        <v>31</v>
      </c>
      <c r="C359" s="74" t="s">
        <v>27</v>
      </c>
      <c r="D359" s="74">
        <v>40</v>
      </c>
      <c r="E359" s="74" t="s">
        <v>32</v>
      </c>
      <c r="F359" s="73" t="s">
        <v>29</v>
      </c>
      <c r="G359" s="74">
        <v>5000</v>
      </c>
      <c r="H359" s="78">
        <v>46175</v>
      </c>
      <c r="I359" s="75">
        <v>270</v>
      </c>
    </row>
    <row r="360" spans="1:9" ht="14.4" hidden="1" customHeight="1" x14ac:dyDescent="0.3">
      <c r="A360" s="74" t="s">
        <v>30</v>
      </c>
      <c r="B360" s="74" t="s">
        <v>31</v>
      </c>
      <c r="C360" s="74" t="s">
        <v>27</v>
      </c>
      <c r="D360" s="74">
        <v>40</v>
      </c>
      <c r="E360" s="74" t="s">
        <v>32</v>
      </c>
      <c r="F360" s="73" t="s">
        <v>29</v>
      </c>
      <c r="G360" s="74">
        <v>5000</v>
      </c>
      <c r="H360" s="78">
        <v>46175</v>
      </c>
      <c r="I360" s="75">
        <v>270</v>
      </c>
    </row>
    <row r="361" spans="1:9" ht="14.4" hidden="1" customHeight="1" x14ac:dyDescent="0.3">
      <c r="A361" s="74" t="s">
        <v>30</v>
      </c>
      <c r="B361" s="74" t="s">
        <v>31</v>
      </c>
      <c r="C361" s="74" t="s">
        <v>27</v>
      </c>
      <c r="D361" s="74">
        <v>40</v>
      </c>
      <c r="E361" s="74" t="s">
        <v>32</v>
      </c>
      <c r="F361" s="73" t="s">
        <v>29</v>
      </c>
      <c r="G361" s="74">
        <v>5000</v>
      </c>
      <c r="H361" s="78">
        <v>46175</v>
      </c>
      <c r="I361" s="75">
        <v>270</v>
      </c>
    </row>
    <row r="362" spans="1:9" ht="14.4" hidden="1" customHeight="1" x14ac:dyDescent="0.3">
      <c r="A362" s="74" t="s">
        <v>30</v>
      </c>
      <c r="B362" s="74" t="s">
        <v>31</v>
      </c>
      <c r="C362" s="74" t="s">
        <v>27</v>
      </c>
      <c r="D362" s="74">
        <v>40</v>
      </c>
      <c r="E362" s="74" t="s">
        <v>32</v>
      </c>
      <c r="F362" s="73" t="s">
        <v>29</v>
      </c>
      <c r="G362" s="74">
        <v>5000</v>
      </c>
      <c r="H362" s="78">
        <v>46175</v>
      </c>
      <c r="I362" s="75">
        <v>270</v>
      </c>
    </row>
    <row r="363" spans="1:9" ht="14.4" hidden="1" customHeight="1" x14ac:dyDescent="0.3">
      <c r="A363" s="74" t="s">
        <v>30</v>
      </c>
      <c r="B363" s="74" t="s">
        <v>31</v>
      </c>
      <c r="C363" s="74" t="s">
        <v>27</v>
      </c>
      <c r="D363" s="74">
        <v>40</v>
      </c>
      <c r="E363" s="74" t="s">
        <v>32</v>
      </c>
      <c r="F363" s="73" t="s">
        <v>29</v>
      </c>
      <c r="G363" s="74">
        <v>5000</v>
      </c>
      <c r="H363" s="78">
        <v>46175</v>
      </c>
      <c r="I363" s="75">
        <v>270</v>
      </c>
    </row>
    <row r="364" spans="1:9" ht="14.4" hidden="1" customHeight="1" x14ac:dyDescent="0.3">
      <c r="A364" s="74" t="s">
        <v>30</v>
      </c>
      <c r="B364" s="74" t="s">
        <v>31</v>
      </c>
      <c r="C364" s="74" t="s">
        <v>27</v>
      </c>
      <c r="D364" s="74">
        <v>40</v>
      </c>
      <c r="E364" s="74" t="s">
        <v>32</v>
      </c>
      <c r="F364" s="73" t="s">
        <v>29</v>
      </c>
      <c r="G364" s="74">
        <v>5000</v>
      </c>
      <c r="H364" s="78">
        <v>46175</v>
      </c>
      <c r="I364" s="75">
        <v>270</v>
      </c>
    </row>
    <row r="365" spans="1:9" ht="14.4" hidden="1" customHeight="1" x14ac:dyDescent="0.3">
      <c r="A365" s="74" t="s">
        <v>30</v>
      </c>
      <c r="B365" s="74" t="s">
        <v>31</v>
      </c>
      <c r="C365" s="74" t="s">
        <v>27</v>
      </c>
      <c r="D365" s="74">
        <v>40</v>
      </c>
      <c r="E365" s="74" t="s">
        <v>32</v>
      </c>
      <c r="F365" s="73" t="s">
        <v>29</v>
      </c>
      <c r="G365" s="74">
        <v>5000</v>
      </c>
      <c r="H365" s="78">
        <v>46175</v>
      </c>
      <c r="I365" s="75">
        <v>270</v>
      </c>
    </row>
    <row r="366" spans="1:9" ht="14.4" hidden="1" customHeight="1" x14ac:dyDescent="0.3">
      <c r="A366" s="74" t="s">
        <v>30</v>
      </c>
      <c r="B366" s="74" t="s">
        <v>31</v>
      </c>
      <c r="C366" s="74" t="s">
        <v>27</v>
      </c>
      <c r="D366" s="74">
        <v>40</v>
      </c>
      <c r="E366" s="74" t="s">
        <v>32</v>
      </c>
      <c r="F366" s="73" t="s">
        <v>29</v>
      </c>
      <c r="G366" s="74">
        <v>5000</v>
      </c>
      <c r="H366" s="78">
        <v>46175</v>
      </c>
      <c r="I366" s="75">
        <v>270</v>
      </c>
    </row>
    <row r="367" spans="1:9" ht="14.4" hidden="1" customHeight="1" x14ac:dyDescent="0.3">
      <c r="A367" s="74" t="s">
        <v>30</v>
      </c>
      <c r="B367" s="74" t="s">
        <v>31</v>
      </c>
      <c r="C367" s="74" t="s">
        <v>27</v>
      </c>
      <c r="D367" s="74">
        <v>40</v>
      </c>
      <c r="E367" s="74" t="s">
        <v>32</v>
      </c>
      <c r="F367" s="73" t="s">
        <v>29</v>
      </c>
      <c r="G367" s="74">
        <v>5000</v>
      </c>
      <c r="H367" s="78">
        <v>46175</v>
      </c>
      <c r="I367" s="75">
        <v>270</v>
      </c>
    </row>
    <row r="368" spans="1:9" ht="14.4" hidden="1" customHeight="1" x14ac:dyDescent="0.3">
      <c r="A368" s="74" t="s">
        <v>30</v>
      </c>
      <c r="B368" s="74" t="s">
        <v>31</v>
      </c>
      <c r="C368" s="74" t="s">
        <v>27</v>
      </c>
      <c r="D368" s="74">
        <v>40</v>
      </c>
      <c r="E368" s="74" t="s">
        <v>32</v>
      </c>
      <c r="F368" s="73" t="s">
        <v>29</v>
      </c>
      <c r="G368" s="74">
        <v>5000</v>
      </c>
      <c r="H368" s="78">
        <v>46175</v>
      </c>
      <c r="I368" s="75">
        <v>270</v>
      </c>
    </row>
    <row r="369" spans="1:9" ht="14.4" hidden="1" customHeight="1" x14ac:dyDescent="0.3">
      <c r="A369" s="74" t="s">
        <v>30</v>
      </c>
      <c r="B369" s="74" t="s">
        <v>31</v>
      </c>
      <c r="C369" s="74" t="s">
        <v>27</v>
      </c>
      <c r="D369" s="74">
        <v>40</v>
      </c>
      <c r="E369" s="74" t="s">
        <v>32</v>
      </c>
      <c r="F369" s="73" t="s">
        <v>29</v>
      </c>
      <c r="G369" s="74">
        <v>5000</v>
      </c>
      <c r="H369" s="78">
        <v>46175</v>
      </c>
      <c r="I369" s="75">
        <v>270</v>
      </c>
    </row>
    <row r="370" spans="1:9" ht="14.4" hidden="1" customHeight="1" x14ac:dyDescent="0.3">
      <c r="A370" s="74" t="s">
        <v>30</v>
      </c>
      <c r="B370" s="74" t="s">
        <v>31</v>
      </c>
      <c r="C370" s="74" t="s">
        <v>27</v>
      </c>
      <c r="D370" s="74">
        <v>40</v>
      </c>
      <c r="E370" s="74" t="s">
        <v>32</v>
      </c>
      <c r="F370" s="73" t="s">
        <v>29</v>
      </c>
      <c r="G370" s="74">
        <v>5000</v>
      </c>
      <c r="H370" s="78">
        <v>46175</v>
      </c>
      <c r="I370" s="75">
        <v>270</v>
      </c>
    </row>
    <row r="371" spans="1:9" ht="14.4" hidden="1" customHeight="1" x14ac:dyDescent="0.3">
      <c r="A371" s="74" t="s">
        <v>30</v>
      </c>
      <c r="B371" s="74" t="s">
        <v>31</v>
      </c>
      <c r="C371" s="74" t="s">
        <v>27</v>
      </c>
      <c r="D371" s="74">
        <v>40</v>
      </c>
      <c r="E371" s="74" t="s">
        <v>32</v>
      </c>
      <c r="F371" s="73" t="s">
        <v>29</v>
      </c>
      <c r="G371" s="74">
        <v>5000</v>
      </c>
      <c r="H371" s="78">
        <v>46175</v>
      </c>
      <c r="I371" s="75">
        <v>270</v>
      </c>
    </row>
    <row r="372" spans="1:9" ht="14.4" hidden="1" customHeight="1" x14ac:dyDescent="0.3">
      <c r="A372" s="74" t="s">
        <v>30</v>
      </c>
      <c r="B372" s="74" t="s">
        <v>31</v>
      </c>
      <c r="C372" s="74" t="s">
        <v>27</v>
      </c>
      <c r="D372" s="74">
        <v>40</v>
      </c>
      <c r="E372" s="74" t="s">
        <v>32</v>
      </c>
      <c r="F372" s="73" t="s">
        <v>29</v>
      </c>
      <c r="G372" s="74">
        <v>5000</v>
      </c>
      <c r="H372" s="78">
        <v>46175</v>
      </c>
      <c r="I372" s="75">
        <v>270</v>
      </c>
    </row>
    <row r="373" spans="1:9" ht="14.4" hidden="1" customHeight="1" x14ac:dyDescent="0.3">
      <c r="A373" s="74" t="s">
        <v>30</v>
      </c>
      <c r="B373" s="74" t="s">
        <v>31</v>
      </c>
      <c r="C373" s="74" t="s">
        <v>27</v>
      </c>
      <c r="D373" s="74">
        <v>40</v>
      </c>
      <c r="E373" s="74" t="s">
        <v>32</v>
      </c>
      <c r="F373" s="73" t="s">
        <v>29</v>
      </c>
      <c r="G373" s="74">
        <v>5000</v>
      </c>
      <c r="H373" s="78">
        <v>46175</v>
      </c>
      <c r="I373" s="75">
        <v>270</v>
      </c>
    </row>
    <row r="374" spans="1:9" ht="14.4" hidden="1" customHeight="1" x14ac:dyDescent="0.3">
      <c r="A374" s="74" t="s">
        <v>30</v>
      </c>
      <c r="B374" s="74" t="s">
        <v>31</v>
      </c>
      <c r="C374" s="74" t="s">
        <v>27</v>
      </c>
      <c r="D374" s="74">
        <v>40</v>
      </c>
      <c r="E374" s="74" t="s">
        <v>32</v>
      </c>
      <c r="F374" s="73" t="s">
        <v>29</v>
      </c>
      <c r="G374" s="74">
        <v>5000</v>
      </c>
      <c r="H374" s="78">
        <v>46175</v>
      </c>
      <c r="I374" s="75">
        <v>270</v>
      </c>
    </row>
    <row r="375" spans="1:9" ht="14.4" hidden="1" customHeight="1" x14ac:dyDescent="0.3">
      <c r="A375" s="74" t="s">
        <v>30</v>
      </c>
      <c r="B375" s="74" t="s">
        <v>31</v>
      </c>
      <c r="C375" s="74" t="s">
        <v>27</v>
      </c>
      <c r="D375" s="74">
        <v>40</v>
      </c>
      <c r="E375" s="74" t="s">
        <v>32</v>
      </c>
      <c r="F375" s="73" t="s">
        <v>29</v>
      </c>
      <c r="G375" s="74">
        <v>5000</v>
      </c>
      <c r="H375" s="78">
        <v>46175</v>
      </c>
      <c r="I375" s="75">
        <v>270</v>
      </c>
    </row>
    <row r="376" spans="1:9" ht="14.4" hidden="1" customHeight="1" x14ac:dyDescent="0.3">
      <c r="A376" s="74" t="s">
        <v>30</v>
      </c>
      <c r="B376" s="74" t="s">
        <v>31</v>
      </c>
      <c r="C376" s="74" t="s">
        <v>27</v>
      </c>
      <c r="D376" s="74">
        <v>40</v>
      </c>
      <c r="E376" s="74" t="s">
        <v>32</v>
      </c>
      <c r="F376" s="73" t="s">
        <v>29</v>
      </c>
      <c r="G376" s="74">
        <v>5000</v>
      </c>
      <c r="H376" s="78">
        <v>46175</v>
      </c>
      <c r="I376" s="75">
        <v>270</v>
      </c>
    </row>
    <row r="377" spans="1:9" ht="14.4" hidden="1" customHeight="1" x14ac:dyDescent="0.3">
      <c r="A377" s="74" t="s">
        <v>30</v>
      </c>
      <c r="B377" s="74" t="s">
        <v>31</v>
      </c>
      <c r="C377" s="74" t="s">
        <v>27</v>
      </c>
      <c r="D377" s="74">
        <v>40</v>
      </c>
      <c r="E377" s="74" t="s">
        <v>32</v>
      </c>
      <c r="F377" s="73" t="s">
        <v>29</v>
      </c>
      <c r="G377" s="74">
        <v>5000</v>
      </c>
      <c r="H377" s="78">
        <v>46175</v>
      </c>
      <c r="I377" s="75">
        <v>270</v>
      </c>
    </row>
    <row r="378" spans="1:9" ht="14.4" hidden="1" customHeight="1" x14ac:dyDescent="0.3">
      <c r="A378" s="74" t="s">
        <v>30</v>
      </c>
      <c r="B378" s="74" t="s">
        <v>31</v>
      </c>
      <c r="C378" s="74" t="s">
        <v>27</v>
      </c>
      <c r="D378" s="74">
        <v>40</v>
      </c>
      <c r="E378" s="74" t="s">
        <v>32</v>
      </c>
      <c r="F378" s="73" t="s">
        <v>29</v>
      </c>
      <c r="G378" s="74">
        <v>5000</v>
      </c>
      <c r="H378" s="78">
        <v>46175</v>
      </c>
      <c r="I378" s="75">
        <v>270</v>
      </c>
    </row>
    <row r="379" spans="1:9" ht="14.4" hidden="1" customHeight="1" x14ac:dyDescent="0.3">
      <c r="A379" s="74" t="s">
        <v>30</v>
      </c>
      <c r="B379" s="74" t="s">
        <v>31</v>
      </c>
      <c r="C379" s="74" t="s">
        <v>27</v>
      </c>
      <c r="D379" s="74">
        <v>40</v>
      </c>
      <c r="E379" s="74" t="s">
        <v>32</v>
      </c>
      <c r="F379" s="73" t="s">
        <v>29</v>
      </c>
      <c r="G379" s="74">
        <v>5000</v>
      </c>
      <c r="H379" s="78">
        <v>46175</v>
      </c>
      <c r="I379" s="75">
        <v>270</v>
      </c>
    </row>
    <row r="380" spans="1:9" ht="14.4" hidden="1" customHeight="1" x14ac:dyDescent="0.3">
      <c r="A380" s="74" t="s">
        <v>30</v>
      </c>
      <c r="B380" s="74" t="s">
        <v>31</v>
      </c>
      <c r="C380" s="74" t="s">
        <v>27</v>
      </c>
      <c r="D380" s="74">
        <v>40</v>
      </c>
      <c r="E380" s="74" t="s">
        <v>32</v>
      </c>
      <c r="F380" s="73" t="s">
        <v>29</v>
      </c>
      <c r="G380" s="74">
        <v>5000</v>
      </c>
      <c r="H380" s="78">
        <v>46175</v>
      </c>
      <c r="I380" s="75">
        <v>270</v>
      </c>
    </row>
    <row r="381" spans="1:9" ht="14.4" hidden="1" customHeight="1" x14ac:dyDescent="0.3">
      <c r="A381" s="74" t="s">
        <v>30</v>
      </c>
      <c r="B381" s="74" t="s">
        <v>31</v>
      </c>
      <c r="C381" s="74" t="s">
        <v>27</v>
      </c>
      <c r="D381" s="74">
        <v>40</v>
      </c>
      <c r="E381" s="74" t="s">
        <v>32</v>
      </c>
      <c r="F381" s="73" t="s">
        <v>29</v>
      </c>
      <c r="G381" s="74">
        <v>5000</v>
      </c>
      <c r="H381" s="78">
        <v>46175</v>
      </c>
      <c r="I381" s="75">
        <v>270</v>
      </c>
    </row>
    <row r="382" spans="1:9" ht="14.4" hidden="1" customHeight="1" x14ac:dyDescent="0.3">
      <c r="A382" s="74" t="s">
        <v>30</v>
      </c>
      <c r="B382" s="74" t="s">
        <v>31</v>
      </c>
      <c r="C382" s="74" t="s">
        <v>27</v>
      </c>
      <c r="D382" s="74">
        <v>40</v>
      </c>
      <c r="E382" s="74" t="s">
        <v>32</v>
      </c>
      <c r="F382" s="73" t="s">
        <v>29</v>
      </c>
      <c r="G382" s="74">
        <v>5000</v>
      </c>
      <c r="H382" s="78">
        <v>46183</v>
      </c>
      <c r="I382" s="75">
        <v>228</v>
      </c>
    </row>
    <row r="383" spans="1:9" ht="14.4" hidden="1" customHeight="1" x14ac:dyDescent="0.3">
      <c r="A383" s="74" t="s">
        <v>30</v>
      </c>
      <c r="B383" s="74" t="s">
        <v>31</v>
      </c>
      <c r="C383" s="74" t="s">
        <v>27</v>
      </c>
      <c r="D383" s="74">
        <v>40</v>
      </c>
      <c r="E383" s="74" t="s">
        <v>32</v>
      </c>
      <c r="F383" s="73" t="s">
        <v>29</v>
      </c>
      <c r="G383" s="74">
        <v>5000</v>
      </c>
      <c r="H383" s="78">
        <v>46183</v>
      </c>
      <c r="I383" s="75">
        <v>270</v>
      </c>
    </row>
    <row r="384" spans="1:9" ht="14.4" hidden="1" customHeight="1" x14ac:dyDescent="0.3">
      <c r="A384" s="74" t="s">
        <v>30</v>
      </c>
      <c r="B384" s="74" t="s">
        <v>31</v>
      </c>
      <c r="C384" s="74" t="s">
        <v>27</v>
      </c>
      <c r="D384" s="74">
        <v>40</v>
      </c>
      <c r="E384" s="74" t="s">
        <v>32</v>
      </c>
      <c r="F384" s="73" t="s">
        <v>29</v>
      </c>
      <c r="G384" s="74">
        <v>5000</v>
      </c>
      <c r="H384" s="78">
        <v>46183</v>
      </c>
      <c r="I384" s="75">
        <v>270</v>
      </c>
    </row>
    <row r="385" spans="1:9" ht="14.4" hidden="1" customHeight="1" x14ac:dyDescent="0.3">
      <c r="A385" s="74" t="s">
        <v>30</v>
      </c>
      <c r="B385" s="74" t="s">
        <v>31</v>
      </c>
      <c r="C385" s="74" t="s">
        <v>27</v>
      </c>
      <c r="D385" s="74">
        <v>40</v>
      </c>
      <c r="E385" s="74" t="s">
        <v>32</v>
      </c>
      <c r="F385" s="73" t="s">
        <v>29</v>
      </c>
      <c r="G385" s="74">
        <v>5000</v>
      </c>
      <c r="H385" s="78">
        <v>46183</v>
      </c>
      <c r="I385" s="75">
        <v>233</v>
      </c>
    </row>
    <row r="386" spans="1:9" ht="14.4" hidden="1" customHeight="1" x14ac:dyDescent="0.3">
      <c r="A386" s="74" t="s">
        <v>30</v>
      </c>
      <c r="B386" s="74" t="s">
        <v>31</v>
      </c>
      <c r="C386" s="74" t="s">
        <v>27</v>
      </c>
      <c r="D386" s="74">
        <v>40</v>
      </c>
      <c r="E386" s="74" t="s">
        <v>32</v>
      </c>
      <c r="F386" s="73" t="s">
        <v>29</v>
      </c>
      <c r="G386" s="74">
        <v>5000</v>
      </c>
      <c r="H386" s="78">
        <v>46190</v>
      </c>
      <c r="I386" s="75">
        <v>270</v>
      </c>
    </row>
    <row r="387" spans="1:9" ht="14.4" hidden="1" customHeight="1" x14ac:dyDescent="0.3">
      <c r="A387" s="74" t="s">
        <v>30</v>
      </c>
      <c r="B387" s="74" t="s">
        <v>31</v>
      </c>
      <c r="C387" s="74" t="s">
        <v>27</v>
      </c>
      <c r="D387" s="74">
        <v>40</v>
      </c>
      <c r="E387" s="74" t="s">
        <v>32</v>
      </c>
      <c r="F387" s="73" t="s">
        <v>29</v>
      </c>
      <c r="G387" s="74">
        <v>5000</v>
      </c>
      <c r="H387" s="78">
        <v>46190</v>
      </c>
      <c r="I387" s="75">
        <v>192</v>
      </c>
    </row>
    <row r="388" spans="1:9" ht="14.4" hidden="1" customHeight="1" x14ac:dyDescent="0.3">
      <c r="A388" s="74" t="s">
        <v>30</v>
      </c>
      <c r="B388" s="74" t="s">
        <v>31</v>
      </c>
      <c r="C388" s="74" t="s">
        <v>27</v>
      </c>
      <c r="D388" s="74">
        <v>40</v>
      </c>
      <c r="E388" s="74" t="s">
        <v>32</v>
      </c>
      <c r="F388" s="73" t="s">
        <v>29</v>
      </c>
      <c r="G388" s="74">
        <v>5000</v>
      </c>
      <c r="H388" s="78">
        <v>46190</v>
      </c>
      <c r="I388" s="75">
        <v>204</v>
      </c>
    </row>
    <row r="389" spans="1:9" ht="14.4" hidden="1" customHeight="1" x14ac:dyDescent="0.3">
      <c r="A389" s="74" t="s">
        <v>30</v>
      </c>
      <c r="B389" s="74" t="s">
        <v>31</v>
      </c>
      <c r="C389" s="74" t="s">
        <v>27</v>
      </c>
      <c r="D389" s="74">
        <v>40</v>
      </c>
      <c r="E389" s="74" t="s">
        <v>32</v>
      </c>
      <c r="F389" s="73" t="s">
        <v>29</v>
      </c>
      <c r="G389" s="74">
        <v>5000</v>
      </c>
      <c r="H389" s="78">
        <v>46190</v>
      </c>
      <c r="I389" s="75">
        <v>270</v>
      </c>
    </row>
    <row r="390" spans="1:9" ht="14.4" hidden="1" customHeight="1" x14ac:dyDescent="0.3">
      <c r="A390" s="74" t="s">
        <v>30</v>
      </c>
      <c r="B390" s="74" t="s">
        <v>31</v>
      </c>
      <c r="C390" s="74" t="s">
        <v>27</v>
      </c>
      <c r="D390" s="74">
        <v>40</v>
      </c>
      <c r="E390" s="74" t="s">
        <v>32</v>
      </c>
      <c r="F390" s="73" t="s">
        <v>29</v>
      </c>
      <c r="G390" s="74">
        <v>5000</v>
      </c>
      <c r="H390" s="78">
        <v>46190</v>
      </c>
      <c r="I390" s="75">
        <v>234</v>
      </c>
    </row>
    <row r="391" spans="1:9" ht="14.4" hidden="1" customHeight="1" x14ac:dyDescent="0.3">
      <c r="A391" s="74" t="s">
        <v>30</v>
      </c>
      <c r="B391" s="74" t="s">
        <v>31</v>
      </c>
      <c r="C391" s="74" t="s">
        <v>27</v>
      </c>
      <c r="D391" s="74">
        <v>40</v>
      </c>
      <c r="E391" s="74" t="s">
        <v>32</v>
      </c>
      <c r="F391" s="73" t="s">
        <v>29</v>
      </c>
      <c r="G391" s="74">
        <v>5000</v>
      </c>
      <c r="H391" s="78">
        <v>46190</v>
      </c>
      <c r="I391" s="75">
        <v>270</v>
      </c>
    </row>
    <row r="392" spans="1:9" ht="14.4" hidden="1" customHeight="1" x14ac:dyDescent="0.3">
      <c r="A392" s="74" t="s">
        <v>30</v>
      </c>
      <c r="B392" s="74" t="s">
        <v>31</v>
      </c>
      <c r="C392" s="74" t="s">
        <v>27</v>
      </c>
      <c r="D392" s="74">
        <v>40</v>
      </c>
      <c r="E392" s="74" t="s">
        <v>32</v>
      </c>
      <c r="F392" s="73" t="s">
        <v>29</v>
      </c>
      <c r="G392" s="74">
        <v>5000</v>
      </c>
      <c r="H392" s="78">
        <v>46190</v>
      </c>
      <c r="I392" s="75">
        <v>179</v>
      </c>
    </row>
    <row r="393" spans="1:9" ht="14.4" hidden="1" customHeight="1" x14ac:dyDescent="0.3">
      <c r="A393" s="74" t="s">
        <v>30</v>
      </c>
      <c r="B393" s="74" t="s">
        <v>31</v>
      </c>
      <c r="C393" s="74" t="s">
        <v>27</v>
      </c>
      <c r="D393" s="74">
        <v>40</v>
      </c>
      <c r="E393" s="74" t="s">
        <v>32</v>
      </c>
      <c r="F393" s="73" t="s">
        <v>29</v>
      </c>
      <c r="G393" s="74">
        <v>5000</v>
      </c>
      <c r="H393" s="78">
        <v>46190</v>
      </c>
      <c r="I393" s="75">
        <v>270</v>
      </c>
    </row>
    <row r="394" spans="1:9" ht="14.4" hidden="1" customHeight="1" x14ac:dyDescent="0.3">
      <c r="A394" s="74" t="s">
        <v>30</v>
      </c>
      <c r="B394" s="74" t="s">
        <v>31</v>
      </c>
      <c r="C394" s="74" t="s">
        <v>27</v>
      </c>
      <c r="D394" s="74">
        <v>40</v>
      </c>
      <c r="E394" s="74" t="s">
        <v>32</v>
      </c>
      <c r="F394" s="73" t="s">
        <v>29</v>
      </c>
      <c r="G394" s="74">
        <v>5000</v>
      </c>
      <c r="H394" s="78">
        <v>46192</v>
      </c>
      <c r="I394" s="75">
        <v>582</v>
      </c>
    </row>
    <row r="395" spans="1:9" ht="14.4" hidden="1" customHeight="1" x14ac:dyDescent="0.3">
      <c r="A395" s="74" t="s">
        <v>30</v>
      </c>
      <c r="B395" s="74" t="s">
        <v>31</v>
      </c>
      <c r="C395" s="74" t="s">
        <v>27</v>
      </c>
      <c r="D395" s="74">
        <v>40</v>
      </c>
      <c r="E395" s="74" t="s">
        <v>32</v>
      </c>
      <c r="F395" s="73" t="s">
        <v>29</v>
      </c>
      <c r="G395" s="74">
        <v>5000</v>
      </c>
      <c r="H395" s="78">
        <v>46197</v>
      </c>
      <c r="I395" s="75">
        <v>228</v>
      </c>
    </row>
    <row r="396" spans="1:9" ht="14.4" hidden="1" customHeight="1" x14ac:dyDescent="0.3">
      <c r="A396" s="74" t="s">
        <v>30</v>
      </c>
      <c r="B396" s="74" t="s">
        <v>31</v>
      </c>
      <c r="C396" s="74" t="s">
        <v>27</v>
      </c>
      <c r="D396" s="74">
        <v>40</v>
      </c>
      <c r="E396" s="74" t="s">
        <v>32</v>
      </c>
      <c r="F396" s="73" t="s">
        <v>29</v>
      </c>
      <c r="G396" s="74">
        <v>5000</v>
      </c>
      <c r="H396" s="78">
        <v>46197</v>
      </c>
      <c r="I396" s="75">
        <v>234</v>
      </c>
    </row>
    <row r="397" spans="1:9" ht="14.4" hidden="1" customHeight="1" x14ac:dyDescent="0.3">
      <c r="A397" s="74" t="s">
        <v>30</v>
      </c>
      <c r="B397" s="74" t="s">
        <v>31</v>
      </c>
      <c r="C397" s="74" t="s">
        <v>27</v>
      </c>
      <c r="D397" s="74">
        <v>40</v>
      </c>
      <c r="E397" s="74" t="s">
        <v>32</v>
      </c>
      <c r="F397" s="73" t="s">
        <v>29</v>
      </c>
      <c r="G397" s="74">
        <v>5000</v>
      </c>
      <c r="H397" s="78">
        <v>46197</v>
      </c>
      <c r="I397" s="75">
        <v>228</v>
      </c>
    </row>
    <row r="398" spans="1:9" ht="14.4" hidden="1" customHeight="1" x14ac:dyDescent="0.3">
      <c r="A398" s="74" t="s">
        <v>30</v>
      </c>
      <c r="B398" s="74" t="s">
        <v>31</v>
      </c>
      <c r="C398" s="74" t="s">
        <v>27</v>
      </c>
      <c r="D398" s="74">
        <v>40</v>
      </c>
      <c r="E398" s="74" t="s">
        <v>32</v>
      </c>
      <c r="F398" s="73" t="s">
        <v>29</v>
      </c>
      <c r="G398" s="74">
        <v>5000</v>
      </c>
      <c r="H398" s="78">
        <v>46197</v>
      </c>
      <c r="I398" s="75">
        <v>228</v>
      </c>
    </row>
    <row r="399" spans="1:9" ht="14.4" hidden="1" customHeight="1" x14ac:dyDescent="0.3">
      <c r="A399" s="74" t="s">
        <v>30</v>
      </c>
      <c r="B399" s="74" t="s">
        <v>31</v>
      </c>
      <c r="C399" s="74" t="s">
        <v>27</v>
      </c>
      <c r="D399" s="74">
        <v>40</v>
      </c>
      <c r="E399" s="74" t="s">
        <v>32</v>
      </c>
      <c r="F399" s="73" t="s">
        <v>29</v>
      </c>
      <c r="G399" s="74">
        <v>5000</v>
      </c>
      <c r="H399" s="78">
        <v>46199</v>
      </c>
      <c r="I399" s="75">
        <v>2540</v>
      </c>
    </row>
    <row r="400" spans="1:9" ht="14.4" hidden="1" customHeight="1" x14ac:dyDescent="0.3">
      <c r="A400" s="74" t="s">
        <v>30</v>
      </c>
      <c r="B400" s="74" t="s">
        <v>31</v>
      </c>
      <c r="C400" s="74" t="s">
        <v>27</v>
      </c>
      <c r="D400" s="74">
        <v>40</v>
      </c>
      <c r="E400" s="74" t="s">
        <v>32</v>
      </c>
      <c r="F400" s="73" t="s">
        <v>29</v>
      </c>
      <c r="G400" s="74">
        <v>5000</v>
      </c>
      <c r="H400" s="78">
        <v>46206</v>
      </c>
      <c r="I400" s="75">
        <v>500</v>
      </c>
    </row>
    <row r="401" spans="1:9" ht="14.4" hidden="1" customHeight="1" x14ac:dyDescent="0.3">
      <c r="A401" s="74" t="s">
        <v>30</v>
      </c>
      <c r="B401" s="74" t="s">
        <v>31</v>
      </c>
      <c r="C401" s="74" t="s">
        <v>27</v>
      </c>
      <c r="D401" s="74">
        <v>40</v>
      </c>
      <c r="E401" s="74" t="s">
        <v>32</v>
      </c>
      <c r="F401" s="73" t="s">
        <v>29</v>
      </c>
      <c r="G401" s="74">
        <v>5000</v>
      </c>
      <c r="H401" s="78">
        <v>46213</v>
      </c>
      <c r="I401" s="75">
        <v>500</v>
      </c>
    </row>
    <row r="402" spans="1:9" ht="14.4" hidden="1" customHeight="1" x14ac:dyDescent="0.3">
      <c r="A402" s="74" t="s">
        <v>30</v>
      </c>
      <c r="B402" s="74" t="s">
        <v>31</v>
      </c>
      <c r="C402" s="74" t="s">
        <v>27</v>
      </c>
      <c r="D402" s="74">
        <v>40</v>
      </c>
      <c r="E402" s="74" t="s">
        <v>32</v>
      </c>
      <c r="F402" s="73" t="s">
        <v>29</v>
      </c>
      <c r="G402" s="74">
        <v>5000</v>
      </c>
      <c r="H402" s="78">
        <v>46220</v>
      </c>
      <c r="I402" s="75">
        <v>500</v>
      </c>
    </row>
    <row r="403" spans="1:9" ht="14.4" hidden="1" customHeight="1" x14ac:dyDescent="0.3">
      <c r="A403" s="74" t="s">
        <v>30</v>
      </c>
      <c r="B403" s="74" t="s">
        <v>31</v>
      </c>
      <c r="C403" s="74" t="s">
        <v>27</v>
      </c>
      <c r="D403" s="74">
        <v>40</v>
      </c>
      <c r="E403" s="74" t="s">
        <v>32</v>
      </c>
      <c r="F403" s="73" t="s">
        <v>29</v>
      </c>
      <c r="G403" s="74">
        <v>5000</v>
      </c>
      <c r="H403" s="78">
        <v>46227</v>
      </c>
      <c r="I403" s="75">
        <v>500</v>
      </c>
    </row>
    <row r="404" spans="1:9" ht="14.4" hidden="1" customHeight="1" x14ac:dyDescent="0.3">
      <c r="A404" s="74" t="s">
        <v>30</v>
      </c>
      <c r="B404" s="74" t="s">
        <v>31</v>
      </c>
      <c r="C404" s="74" t="s">
        <v>27</v>
      </c>
      <c r="D404" s="74">
        <v>40</v>
      </c>
      <c r="E404" s="74" t="s">
        <v>32</v>
      </c>
      <c r="F404" s="73" t="s">
        <v>29</v>
      </c>
      <c r="G404" s="74">
        <v>5000</v>
      </c>
      <c r="H404" s="78">
        <v>46248</v>
      </c>
      <c r="I404" s="75">
        <v>400</v>
      </c>
    </row>
    <row r="405" spans="1:9" ht="14.4" hidden="1" customHeight="1" x14ac:dyDescent="0.3">
      <c r="A405" s="74" t="s">
        <v>30</v>
      </c>
      <c r="B405" s="74" t="s">
        <v>31</v>
      </c>
      <c r="C405" s="74" t="s">
        <v>27</v>
      </c>
      <c r="D405" s="74">
        <v>40</v>
      </c>
      <c r="E405" s="74" t="s">
        <v>32</v>
      </c>
      <c r="F405" s="73" t="s">
        <v>29</v>
      </c>
      <c r="G405" s="74">
        <v>5000</v>
      </c>
      <c r="H405" s="78">
        <v>46269</v>
      </c>
      <c r="I405" s="75">
        <v>400</v>
      </c>
    </row>
    <row r="406" spans="1:9" ht="14.4" hidden="1" customHeight="1" x14ac:dyDescent="0.3">
      <c r="A406" s="74" t="s">
        <v>30</v>
      </c>
      <c r="B406" s="74" t="s">
        <v>31</v>
      </c>
      <c r="C406" s="74" t="s">
        <v>27</v>
      </c>
      <c r="D406" s="74">
        <v>40</v>
      </c>
      <c r="E406" s="74" t="s">
        <v>32</v>
      </c>
      <c r="F406" s="73" t="s">
        <v>29</v>
      </c>
      <c r="G406" s="74">
        <v>5000</v>
      </c>
      <c r="H406" s="78">
        <v>46283</v>
      </c>
      <c r="I406" s="75">
        <v>400</v>
      </c>
    </row>
    <row r="407" spans="1:9" ht="14.4" hidden="1" customHeight="1" x14ac:dyDescent="0.3">
      <c r="A407" s="74" t="s">
        <v>30</v>
      </c>
      <c r="B407" s="74" t="s">
        <v>31</v>
      </c>
      <c r="C407" s="74" t="s">
        <v>27</v>
      </c>
      <c r="D407" s="74">
        <v>40</v>
      </c>
      <c r="E407" s="74" t="s">
        <v>32</v>
      </c>
      <c r="F407" s="73" t="s">
        <v>29</v>
      </c>
      <c r="G407" s="74">
        <v>5000</v>
      </c>
      <c r="H407" s="78">
        <v>46297</v>
      </c>
      <c r="I407" s="75">
        <v>360</v>
      </c>
    </row>
    <row r="408" spans="1:9" ht="14.4" hidden="1" customHeight="1" x14ac:dyDescent="0.3">
      <c r="A408" s="74" t="s">
        <v>30</v>
      </c>
      <c r="B408" s="74" t="s">
        <v>31</v>
      </c>
      <c r="C408" s="74" t="s">
        <v>27</v>
      </c>
      <c r="D408" s="74">
        <v>40</v>
      </c>
      <c r="E408" s="74" t="s">
        <v>32</v>
      </c>
      <c r="F408" s="73" t="s">
        <v>29</v>
      </c>
      <c r="G408" s="74">
        <v>5000</v>
      </c>
      <c r="H408" s="78">
        <v>46304</v>
      </c>
      <c r="I408" s="75">
        <v>360</v>
      </c>
    </row>
    <row r="409" spans="1:9" ht="14.4" hidden="1" customHeight="1" x14ac:dyDescent="0.3">
      <c r="A409" s="74" t="s">
        <v>30</v>
      </c>
      <c r="B409" s="74" t="s">
        <v>31</v>
      </c>
      <c r="C409" s="74" t="s">
        <v>27</v>
      </c>
      <c r="D409" s="74">
        <v>40</v>
      </c>
      <c r="E409" s="74" t="s">
        <v>32</v>
      </c>
      <c r="F409" s="73" t="s">
        <v>29</v>
      </c>
      <c r="G409" s="74">
        <v>5000</v>
      </c>
      <c r="H409" s="78">
        <v>46311</v>
      </c>
      <c r="I409" s="75">
        <v>360</v>
      </c>
    </row>
    <row r="410" spans="1:9" ht="14.4" hidden="1" customHeight="1" x14ac:dyDescent="0.3">
      <c r="A410" s="74" t="s">
        <v>30</v>
      </c>
      <c r="B410" s="74" t="s">
        <v>31</v>
      </c>
      <c r="C410" s="74" t="s">
        <v>27</v>
      </c>
      <c r="D410" s="74">
        <v>40</v>
      </c>
      <c r="E410" s="74" t="s">
        <v>32</v>
      </c>
      <c r="F410" s="73" t="s">
        <v>29</v>
      </c>
      <c r="G410" s="74">
        <v>5000</v>
      </c>
      <c r="H410" s="78">
        <v>46318</v>
      </c>
      <c r="I410" s="75">
        <v>360</v>
      </c>
    </row>
    <row r="411" spans="1:9" ht="14.4" hidden="1" customHeight="1" x14ac:dyDescent="0.3">
      <c r="A411" s="74" t="s">
        <v>30</v>
      </c>
      <c r="B411" s="74" t="s">
        <v>31</v>
      </c>
      <c r="C411" s="74" t="s">
        <v>27</v>
      </c>
      <c r="D411" s="74">
        <v>40</v>
      </c>
      <c r="E411" s="74" t="s">
        <v>32</v>
      </c>
      <c r="F411" s="73" t="s">
        <v>29</v>
      </c>
      <c r="G411" s="74">
        <v>5000</v>
      </c>
      <c r="H411" s="78">
        <v>46325</v>
      </c>
      <c r="I411" s="75">
        <v>360</v>
      </c>
    </row>
    <row r="412" spans="1:9" ht="14.4" hidden="1" customHeight="1" x14ac:dyDescent="0.3">
      <c r="A412" s="74" t="s">
        <v>30</v>
      </c>
      <c r="B412" s="74" t="s">
        <v>31</v>
      </c>
      <c r="C412" s="74" t="s">
        <v>27</v>
      </c>
      <c r="D412" s="74">
        <v>40</v>
      </c>
      <c r="E412" s="74" t="s">
        <v>32</v>
      </c>
      <c r="F412" s="73" t="s">
        <v>29</v>
      </c>
      <c r="G412" s="74">
        <v>5000</v>
      </c>
      <c r="H412" s="78">
        <v>46332</v>
      </c>
      <c r="I412" s="75">
        <v>1000</v>
      </c>
    </row>
    <row r="413" spans="1:9" ht="14.4" hidden="1" customHeight="1" x14ac:dyDescent="0.3">
      <c r="A413" s="74" t="s">
        <v>30</v>
      </c>
      <c r="B413" s="74" t="s">
        <v>31</v>
      </c>
      <c r="C413" s="74" t="s">
        <v>27</v>
      </c>
      <c r="D413" s="74">
        <v>40</v>
      </c>
      <c r="E413" s="74" t="s">
        <v>32</v>
      </c>
      <c r="F413" s="73" t="s">
        <v>29</v>
      </c>
      <c r="G413" s="74">
        <v>5000</v>
      </c>
      <c r="H413" s="78">
        <v>46339</v>
      </c>
      <c r="I413" s="75">
        <v>1000</v>
      </c>
    </row>
    <row r="414" spans="1:9" ht="14.4" hidden="1" customHeight="1" x14ac:dyDescent="0.3">
      <c r="A414" s="74" t="s">
        <v>30</v>
      </c>
      <c r="B414" s="74" t="s">
        <v>31</v>
      </c>
      <c r="C414" s="74" t="s">
        <v>27</v>
      </c>
      <c r="D414" s="74">
        <v>40</v>
      </c>
      <c r="E414" s="74" t="s">
        <v>32</v>
      </c>
      <c r="F414" s="73" t="s">
        <v>29</v>
      </c>
      <c r="G414" s="74">
        <v>5000</v>
      </c>
      <c r="H414" s="78">
        <v>46346</v>
      </c>
      <c r="I414" s="75">
        <v>1000</v>
      </c>
    </row>
    <row r="415" spans="1:9" ht="14.4" hidden="1" customHeight="1" x14ac:dyDescent="0.3">
      <c r="A415" s="74" t="s">
        <v>30</v>
      </c>
      <c r="B415" s="74" t="s">
        <v>31</v>
      </c>
      <c r="C415" s="74" t="s">
        <v>27</v>
      </c>
      <c r="D415" s="74">
        <v>40</v>
      </c>
      <c r="E415" s="74" t="s">
        <v>32</v>
      </c>
      <c r="F415" s="73" t="s">
        <v>29</v>
      </c>
      <c r="G415" s="74">
        <v>5000</v>
      </c>
      <c r="H415" s="78">
        <v>46353</v>
      </c>
      <c r="I415" s="75">
        <v>1000</v>
      </c>
    </row>
    <row r="416" spans="1:9" ht="14.4" hidden="1" customHeight="1" x14ac:dyDescent="0.3">
      <c r="A416" s="74" t="s">
        <v>30</v>
      </c>
      <c r="B416" s="74" t="s">
        <v>31</v>
      </c>
      <c r="C416" s="74" t="s">
        <v>27</v>
      </c>
      <c r="D416" s="74">
        <v>40</v>
      </c>
      <c r="E416" s="74" t="s">
        <v>32</v>
      </c>
      <c r="F416" s="73" t="s">
        <v>29</v>
      </c>
      <c r="G416" s="74">
        <v>5000</v>
      </c>
      <c r="H416" s="78">
        <v>46360</v>
      </c>
      <c r="I416" s="75">
        <v>1250</v>
      </c>
    </row>
    <row r="417" spans="1:9" ht="14.4" hidden="1" customHeight="1" x14ac:dyDescent="0.3">
      <c r="A417" s="74" t="s">
        <v>30</v>
      </c>
      <c r="B417" s="74" t="s">
        <v>31</v>
      </c>
      <c r="C417" s="74" t="s">
        <v>27</v>
      </c>
      <c r="D417" s="74">
        <v>40</v>
      </c>
      <c r="E417" s="74" t="s">
        <v>32</v>
      </c>
      <c r="F417" s="73" t="s">
        <v>29</v>
      </c>
      <c r="G417" s="74">
        <v>5000</v>
      </c>
      <c r="H417" s="78">
        <v>46367</v>
      </c>
      <c r="I417" s="75">
        <v>1250</v>
      </c>
    </row>
    <row r="418" spans="1:9" ht="14.4" hidden="1" customHeight="1" x14ac:dyDescent="0.3">
      <c r="A418" s="74" t="s">
        <v>30</v>
      </c>
      <c r="B418" s="74" t="s">
        <v>31</v>
      </c>
      <c r="C418" s="74" t="s">
        <v>27</v>
      </c>
      <c r="D418" s="74">
        <v>40</v>
      </c>
      <c r="E418" s="74" t="s">
        <v>32</v>
      </c>
      <c r="F418" s="73" t="s">
        <v>29</v>
      </c>
      <c r="G418" s="74">
        <v>5000</v>
      </c>
      <c r="H418" s="78">
        <v>46374</v>
      </c>
      <c r="I418" s="75">
        <v>1250</v>
      </c>
    </row>
    <row r="419" spans="1:9" ht="14.4" hidden="1" customHeight="1" x14ac:dyDescent="0.3">
      <c r="A419" s="74" t="s">
        <v>30</v>
      </c>
      <c r="B419" s="74" t="s">
        <v>31</v>
      </c>
      <c r="C419" s="74" t="s">
        <v>27</v>
      </c>
      <c r="D419" s="74">
        <v>40</v>
      </c>
      <c r="E419" s="74" t="s">
        <v>32</v>
      </c>
      <c r="F419" s="73" t="s">
        <v>29</v>
      </c>
      <c r="G419" s="74">
        <v>5000</v>
      </c>
      <c r="H419" s="78">
        <v>46381</v>
      </c>
      <c r="I419" s="75">
        <v>1250</v>
      </c>
    </row>
    <row r="420" spans="1:9" ht="14.4" customHeight="1" x14ac:dyDescent="0.3">
      <c r="A420" s="74" t="s">
        <v>18</v>
      </c>
      <c r="B420" s="74" t="s">
        <v>19</v>
      </c>
      <c r="C420" s="74" t="s">
        <v>20</v>
      </c>
      <c r="D420" s="74">
        <v>30</v>
      </c>
      <c r="E420" s="74" t="s">
        <v>21</v>
      </c>
      <c r="F420" s="73" t="s">
        <v>13</v>
      </c>
      <c r="G420" s="74">
        <v>3000</v>
      </c>
      <c r="H420" s="78">
        <v>46150</v>
      </c>
      <c r="I420" s="75">
        <v>472</v>
      </c>
    </row>
    <row r="421" spans="1:9" ht="14.4" customHeight="1" x14ac:dyDescent="0.3">
      <c r="A421" s="74" t="s">
        <v>18</v>
      </c>
      <c r="B421" s="74" t="s">
        <v>19</v>
      </c>
      <c r="C421" s="74" t="s">
        <v>20</v>
      </c>
      <c r="D421" s="74">
        <v>30</v>
      </c>
      <c r="E421" s="74" t="s">
        <v>21</v>
      </c>
      <c r="F421" s="73" t="s">
        <v>13</v>
      </c>
      <c r="G421" s="74">
        <v>3000</v>
      </c>
      <c r="H421" s="78">
        <v>46157</v>
      </c>
      <c r="I421" s="75">
        <v>300</v>
      </c>
    </row>
    <row r="422" spans="1:9" ht="14.4" customHeight="1" x14ac:dyDescent="0.3">
      <c r="A422" s="74" t="s">
        <v>18</v>
      </c>
      <c r="B422" s="74" t="s">
        <v>19</v>
      </c>
      <c r="C422" s="74" t="s">
        <v>20</v>
      </c>
      <c r="D422" s="74">
        <v>30</v>
      </c>
      <c r="E422" s="74" t="s">
        <v>21</v>
      </c>
      <c r="F422" s="73" t="s">
        <v>13</v>
      </c>
      <c r="G422" s="74">
        <v>3000</v>
      </c>
      <c r="H422" s="78">
        <v>46164</v>
      </c>
      <c r="I422" s="75">
        <v>698</v>
      </c>
    </row>
    <row r="423" spans="1:9" ht="14.4" hidden="1" customHeight="1" x14ac:dyDescent="0.3">
      <c r="A423" s="74" t="s">
        <v>18</v>
      </c>
      <c r="B423" s="74" t="s">
        <v>19</v>
      </c>
      <c r="C423" s="74" t="s">
        <v>20</v>
      </c>
      <c r="D423" s="74">
        <v>30</v>
      </c>
      <c r="E423" s="74" t="s">
        <v>21</v>
      </c>
      <c r="F423" s="73" t="s">
        <v>13</v>
      </c>
      <c r="G423" s="74">
        <v>3000</v>
      </c>
      <c r="H423" s="78">
        <v>46199</v>
      </c>
      <c r="I423" s="75">
        <v>300</v>
      </c>
    </row>
    <row r="424" spans="1:9" ht="14.4" hidden="1" customHeight="1" x14ac:dyDescent="0.3">
      <c r="A424" s="74" t="s">
        <v>18</v>
      </c>
      <c r="B424" s="74" t="s">
        <v>19</v>
      </c>
      <c r="C424" s="74" t="s">
        <v>20</v>
      </c>
      <c r="D424" s="74">
        <v>30</v>
      </c>
      <c r="E424" s="74" t="s">
        <v>21</v>
      </c>
      <c r="F424" s="73" t="s">
        <v>13</v>
      </c>
      <c r="G424" s="74">
        <v>3000</v>
      </c>
      <c r="H424" s="78">
        <v>46213</v>
      </c>
      <c r="I424" s="75">
        <v>700</v>
      </c>
    </row>
    <row r="425" spans="1:9" ht="14.4" hidden="1" customHeight="1" x14ac:dyDescent="0.3">
      <c r="A425" s="74" t="s">
        <v>18</v>
      </c>
      <c r="B425" s="74" t="s">
        <v>19</v>
      </c>
      <c r="C425" s="74" t="s">
        <v>20</v>
      </c>
      <c r="D425" s="74">
        <v>30</v>
      </c>
      <c r="E425" s="74" t="s">
        <v>21</v>
      </c>
      <c r="F425" s="73" t="s">
        <v>13</v>
      </c>
      <c r="G425" s="74">
        <v>3000</v>
      </c>
      <c r="H425" s="78">
        <v>46227</v>
      </c>
      <c r="I425" s="75">
        <v>300</v>
      </c>
    </row>
    <row r="426" spans="1:9" ht="14.4" hidden="1" customHeight="1" x14ac:dyDescent="0.3">
      <c r="A426" s="74" t="s">
        <v>18</v>
      </c>
      <c r="B426" s="74" t="s">
        <v>19</v>
      </c>
      <c r="C426" s="74" t="s">
        <v>20</v>
      </c>
      <c r="D426" s="74">
        <v>30</v>
      </c>
      <c r="E426" s="74" t="s">
        <v>21</v>
      </c>
      <c r="F426" s="73" t="s">
        <v>13</v>
      </c>
      <c r="G426" s="74">
        <v>3000</v>
      </c>
      <c r="H426" s="78">
        <v>46304</v>
      </c>
      <c r="I426" s="75">
        <v>300</v>
      </c>
    </row>
    <row r="427" spans="1:9" ht="14.4" hidden="1" customHeight="1" x14ac:dyDescent="0.3">
      <c r="A427" s="74" t="s">
        <v>18</v>
      </c>
      <c r="B427" s="74" t="s">
        <v>19</v>
      </c>
      <c r="C427" s="74" t="s">
        <v>20</v>
      </c>
      <c r="D427" s="74">
        <v>30</v>
      </c>
      <c r="E427" s="74" t="s">
        <v>21</v>
      </c>
      <c r="F427" s="73" t="s">
        <v>13</v>
      </c>
      <c r="G427" s="74">
        <v>3000</v>
      </c>
      <c r="H427" s="78">
        <v>46367</v>
      </c>
      <c r="I427" s="75">
        <v>300</v>
      </c>
    </row>
    <row r="428" spans="1:9" ht="14.4" hidden="1" customHeight="1" x14ac:dyDescent="0.3">
      <c r="A428" s="74" t="s">
        <v>18</v>
      </c>
      <c r="B428" s="74" t="s">
        <v>19</v>
      </c>
      <c r="C428" s="74" t="s">
        <v>20</v>
      </c>
      <c r="D428" s="74">
        <v>30</v>
      </c>
      <c r="E428" s="74" t="s">
        <v>21</v>
      </c>
      <c r="F428" s="73" t="s">
        <v>13</v>
      </c>
      <c r="G428" s="74">
        <v>3000</v>
      </c>
      <c r="H428" s="78">
        <v>46234</v>
      </c>
      <c r="I428" s="75">
        <v>300</v>
      </c>
    </row>
    <row r="429" spans="1:9" ht="14.4" hidden="1" customHeight="1" x14ac:dyDescent="0.3">
      <c r="A429" s="74" t="s">
        <v>18</v>
      </c>
      <c r="B429" s="74" t="s">
        <v>19</v>
      </c>
      <c r="C429" s="74" t="s">
        <v>20</v>
      </c>
      <c r="D429" s="74">
        <v>30</v>
      </c>
      <c r="E429" s="74" t="s">
        <v>21</v>
      </c>
      <c r="F429" s="73" t="s">
        <v>13</v>
      </c>
      <c r="G429" s="74">
        <v>3000</v>
      </c>
      <c r="H429" s="78">
        <v>46276</v>
      </c>
      <c r="I429" s="75">
        <v>300</v>
      </c>
    </row>
    <row r="430" spans="1:9" ht="14.4" hidden="1" customHeight="1" x14ac:dyDescent="0.3">
      <c r="A430" s="74" t="s">
        <v>18</v>
      </c>
      <c r="B430" s="74" t="s">
        <v>19</v>
      </c>
      <c r="C430" s="74" t="s">
        <v>20</v>
      </c>
      <c r="D430" s="74">
        <v>30</v>
      </c>
      <c r="E430" s="74" t="s">
        <v>21</v>
      </c>
      <c r="F430" s="73" t="s">
        <v>13</v>
      </c>
      <c r="G430" s="74">
        <v>3000</v>
      </c>
      <c r="H430" s="78">
        <v>46339</v>
      </c>
      <c r="I430" s="75">
        <v>300</v>
      </c>
    </row>
    <row r="431" spans="1:9" ht="14.4" hidden="1" customHeight="1" x14ac:dyDescent="0.3">
      <c r="A431" s="74" t="s">
        <v>18</v>
      </c>
      <c r="B431" s="74" t="s">
        <v>19</v>
      </c>
      <c r="C431" s="74" t="s">
        <v>20</v>
      </c>
      <c r="D431" s="74">
        <v>30</v>
      </c>
      <c r="E431" s="74" t="s">
        <v>21</v>
      </c>
      <c r="F431" s="73" t="s">
        <v>13</v>
      </c>
      <c r="G431" s="74">
        <v>3000</v>
      </c>
      <c r="H431" s="78">
        <v>46178</v>
      </c>
      <c r="I431" s="75">
        <v>300</v>
      </c>
    </row>
    <row r="432" spans="1:9" ht="14.4" hidden="1" customHeight="1" x14ac:dyDescent="0.3">
      <c r="A432" s="74" t="s">
        <v>18</v>
      </c>
      <c r="B432" s="74" t="s">
        <v>19</v>
      </c>
      <c r="C432" s="74" t="s">
        <v>20</v>
      </c>
      <c r="D432" s="74">
        <v>30</v>
      </c>
      <c r="E432" s="74" t="s">
        <v>21</v>
      </c>
      <c r="F432" s="73" t="s">
        <v>13</v>
      </c>
      <c r="G432" s="74">
        <v>3000</v>
      </c>
      <c r="H432" s="78">
        <v>46255</v>
      </c>
      <c r="I432" s="75">
        <v>300</v>
      </c>
    </row>
    <row r="433" spans="1:9" ht="14.4" hidden="1" customHeight="1" x14ac:dyDescent="0.3">
      <c r="A433" s="74" t="s">
        <v>18</v>
      </c>
      <c r="B433" s="74" t="s">
        <v>19</v>
      </c>
      <c r="C433" s="74" t="s">
        <v>20</v>
      </c>
      <c r="D433" s="74">
        <v>30</v>
      </c>
      <c r="E433" s="74" t="s">
        <v>21</v>
      </c>
      <c r="F433" s="73" t="s">
        <v>13</v>
      </c>
      <c r="G433" s="74">
        <v>3000</v>
      </c>
      <c r="H433" s="78">
        <v>46220</v>
      </c>
      <c r="I433" s="75">
        <v>300</v>
      </c>
    </row>
    <row r="434" spans="1:9" ht="14.4" hidden="1" customHeight="1" x14ac:dyDescent="0.3">
      <c r="A434" s="74" t="s">
        <v>9</v>
      </c>
      <c r="B434" s="74" t="s">
        <v>10</v>
      </c>
      <c r="C434" s="74" t="s">
        <v>11</v>
      </c>
      <c r="D434" s="74">
        <v>90</v>
      </c>
      <c r="E434" s="74" t="s">
        <v>12</v>
      </c>
      <c r="F434" s="73" t="s">
        <v>13</v>
      </c>
      <c r="G434" s="74">
        <v>3000</v>
      </c>
      <c r="H434" s="78">
        <v>46367</v>
      </c>
      <c r="I434" s="75">
        <v>1928</v>
      </c>
    </row>
    <row r="435" spans="1:9" ht="14.4" hidden="1" customHeight="1" x14ac:dyDescent="0.3">
      <c r="A435" s="74" t="s">
        <v>9</v>
      </c>
      <c r="B435" s="74" t="s">
        <v>10</v>
      </c>
      <c r="C435" s="74" t="s">
        <v>11</v>
      </c>
      <c r="D435" s="74">
        <v>90</v>
      </c>
      <c r="E435" s="74" t="s">
        <v>12</v>
      </c>
      <c r="F435" s="73" t="s">
        <v>13</v>
      </c>
      <c r="G435" s="74">
        <v>3000</v>
      </c>
      <c r="H435" s="78">
        <v>46381</v>
      </c>
      <c r="I435" s="75">
        <v>1928</v>
      </c>
    </row>
    <row r="436" spans="1:9" ht="14.4" hidden="1" customHeight="1" x14ac:dyDescent="0.3">
      <c r="A436" s="74" t="s">
        <v>9</v>
      </c>
      <c r="B436" s="74" t="s">
        <v>10</v>
      </c>
      <c r="C436" s="74" t="s">
        <v>11</v>
      </c>
      <c r="D436" s="74">
        <v>90</v>
      </c>
      <c r="E436" s="74" t="s">
        <v>12</v>
      </c>
      <c r="F436" s="73" t="s">
        <v>13</v>
      </c>
      <c r="G436" s="74">
        <v>3000</v>
      </c>
      <c r="H436" s="78">
        <v>46185</v>
      </c>
      <c r="I436" s="75">
        <v>4500</v>
      </c>
    </row>
    <row r="437" spans="1:9" ht="14.4" hidden="1" customHeight="1" x14ac:dyDescent="0.3">
      <c r="A437" s="74" t="s">
        <v>9</v>
      </c>
      <c r="B437" s="74" t="s">
        <v>10</v>
      </c>
      <c r="C437" s="74" t="s">
        <v>11</v>
      </c>
      <c r="D437" s="74">
        <v>90</v>
      </c>
      <c r="E437" s="74" t="s">
        <v>12</v>
      </c>
      <c r="F437" s="73" t="s">
        <v>13</v>
      </c>
      <c r="G437" s="74">
        <v>3000</v>
      </c>
      <c r="H437" s="78">
        <v>46262</v>
      </c>
      <c r="I437" s="75">
        <v>1298</v>
      </c>
    </row>
    <row r="438" spans="1:9" ht="14.4" hidden="1" customHeight="1" x14ac:dyDescent="0.3">
      <c r="A438" s="74" t="s">
        <v>9</v>
      </c>
      <c r="B438" s="74" t="s">
        <v>10</v>
      </c>
      <c r="C438" s="74" t="s">
        <v>11</v>
      </c>
      <c r="D438" s="74">
        <v>90</v>
      </c>
      <c r="E438" s="74" t="s">
        <v>12</v>
      </c>
      <c r="F438" s="73" t="s">
        <v>13</v>
      </c>
      <c r="G438" s="74">
        <v>3000</v>
      </c>
      <c r="H438" s="78">
        <v>46227</v>
      </c>
      <c r="I438" s="75">
        <v>900</v>
      </c>
    </row>
    <row r="439" spans="1:9" ht="14.4" hidden="1" customHeight="1" x14ac:dyDescent="0.3">
      <c r="A439" s="74" t="s">
        <v>9</v>
      </c>
      <c r="B439" s="74" t="s">
        <v>10</v>
      </c>
      <c r="C439" s="74" t="s">
        <v>11</v>
      </c>
      <c r="D439" s="74">
        <v>90</v>
      </c>
      <c r="E439" s="74" t="s">
        <v>12</v>
      </c>
      <c r="F439" s="73" t="s">
        <v>13</v>
      </c>
      <c r="G439" s="74">
        <v>3000</v>
      </c>
      <c r="H439" s="78">
        <v>46353</v>
      </c>
      <c r="I439" s="75">
        <v>1756</v>
      </c>
    </row>
    <row r="440" spans="1:9" ht="14.4" customHeight="1" x14ac:dyDescent="0.3">
      <c r="A440" s="74" t="s">
        <v>9</v>
      </c>
      <c r="B440" s="74" t="s">
        <v>10</v>
      </c>
      <c r="C440" s="74" t="s">
        <v>11</v>
      </c>
      <c r="D440" s="74">
        <v>90</v>
      </c>
      <c r="E440" s="74" t="s">
        <v>12</v>
      </c>
      <c r="F440" s="73" t="s">
        <v>13</v>
      </c>
      <c r="G440" s="74">
        <v>3000</v>
      </c>
      <c r="H440" s="78">
        <v>46143</v>
      </c>
      <c r="I440" s="75">
        <v>588</v>
      </c>
    </row>
    <row r="441" spans="1:9" ht="14.4" customHeight="1" x14ac:dyDescent="0.3">
      <c r="A441" s="74" t="s">
        <v>9</v>
      </c>
      <c r="B441" s="74" t="s">
        <v>10</v>
      </c>
      <c r="C441" s="74" t="s">
        <v>11</v>
      </c>
      <c r="D441" s="74">
        <v>90</v>
      </c>
      <c r="E441" s="74" t="s">
        <v>12</v>
      </c>
      <c r="F441" s="73" t="s">
        <v>13</v>
      </c>
      <c r="G441" s="74">
        <v>3000</v>
      </c>
      <c r="H441" s="78">
        <v>46150</v>
      </c>
      <c r="I441" s="75">
        <v>4028</v>
      </c>
    </row>
    <row r="442" spans="1:9" ht="14.4" customHeight="1" x14ac:dyDescent="0.3">
      <c r="A442" s="74" t="s">
        <v>9</v>
      </c>
      <c r="B442" s="74" t="s">
        <v>10</v>
      </c>
      <c r="C442" s="74" t="s">
        <v>11</v>
      </c>
      <c r="D442" s="74">
        <v>90</v>
      </c>
      <c r="E442" s="74" t="s">
        <v>12</v>
      </c>
      <c r="F442" s="73" t="s">
        <v>13</v>
      </c>
      <c r="G442" s="74">
        <v>3000</v>
      </c>
      <c r="H442" s="78">
        <v>46157</v>
      </c>
      <c r="I442" s="75">
        <v>4200</v>
      </c>
    </row>
    <row r="443" spans="1:9" ht="14.4" customHeight="1" x14ac:dyDescent="0.3">
      <c r="A443" s="74" t="s">
        <v>9</v>
      </c>
      <c r="B443" s="74" t="s">
        <v>10</v>
      </c>
      <c r="C443" s="74" t="s">
        <v>11</v>
      </c>
      <c r="D443" s="74">
        <v>90</v>
      </c>
      <c r="E443" s="74" t="s">
        <v>12</v>
      </c>
      <c r="F443" s="73" t="s">
        <v>13</v>
      </c>
      <c r="G443" s="74">
        <v>3000</v>
      </c>
      <c r="H443" s="78">
        <v>46164</v>
      </c>
      <c r="I443" s="75">
        <v>3802</v>
      </c>
    </row>
    <row r="444" spans="1:9" ht="14.4" customHeight="1" x14ac:dyDescent="0.3">
      <c r="A444" s="74" t="s">
        <v>9</v>
      </c>
      <c r="B444" s="74" t="s">
        <v>10</v>
      </c>
      <c r="C444" s="74" t="s">
        <v>11</v>
      </c>
      <c r="D444" s="74">
        <v>90</v>
      </c>
      <c r="E444" s="74" t="s">
        <v>12</v>
      </c>
      <c r="F444" s="73" t="s">
        <v>13</v>
      </c>
      <c r="G444" s="74">
        <v>3000</v>
      </c>
      <c r="H444" s="78">
        <v>46171</v>
      </c>
      <c r="I444" s="75">
        <v>4500</v>
      </c>
    </row>
    <row r="445" spans="1:9" ht="14.4" hidden="1" customHeight="1" x14ac:dyDescent="0.3">
      <c r="A445" s="74" t="s">
        <v>9</v>
      </c>
      <c r="B445" s="74" t="s">
        <v>10</v>
      </c>
      <c r="C445" s="74" t="s">
        <v>11</v>
      </c>
      <c r="D445" s="74">
        <v>90</v>
      </c>
      <c r="E445" s="74" t="s">
        <v>12</v>
      </c>
      <c r="F445" s="73" t="s">
        <v>13</v>
      </c>
      <c r="G445" s="74">
        <v>3000</v>
      </c>
      <c r="H445" s="78">
        <v>46178</v>
      </c>
      <c r="I445" s="75">
        <v>4200</v>
      </c>
    </row>
    <row r="446" spans="1:9" ht="14.4" hidden="1" customHeight="1" x14ac:dyDescent="0.3">
      <c r="A446" s="74" t="s">
        <v>9</v>
      </c>
      <c r="B446" s="74" t="s">
        <v>10</v>
      </c>
      <c r="C446" s="74" t="s">
        <v>11</v>
      </c>
      <c r="D446" s="74">
        <v>90</v>
      </c>
      <c r="E446" s="74" t="s">
        <v>12</v>
      </c>
      <c r="F446" s="73" t="s">
        <v>13</v>
      </c>
      <c r="G446" s="74">
        <v>3000</v>
      </c>
      <c r="H446" s="78">
        <v>46192</v>
      </c>
      <c r="I446" s="75">
        <v>4500</v>
      </c>
    </row>
    <row r="447" spans="1:9" ht="14.4" hidden="1" customHeight="1" x14ac:dyDescent="0.3">
      <c r="A447" s="74" t="s">
        <v>9</v>
      </c>
      <c r="B447" s="74" t="s">
        <v>10</v>
      </c>
      <c r="C447" s="74" t="s">
        <v>11</v>
      </c>
      <c r="D447" s="74">
        <v>90</v>
      </c>
      <c r="E447" s="74" t="s">
        <v>12</v>
      </c>
      <c r="F447" s="73" t="s">
        <v>13</v>
      </c>
      <c r="G447" s="74">
        <v>3000</v>
      </c>
      <c r="H447" s="78">
        <v>46199</v>
      </c>
      <c r="I447" s="75">
        <v>2200</v>
      </c>
    </row>
    <row r="448" spans="1:9" ht="14.4" hidden="1" customHeight="1" x14ac:dyDescent="0.3">
      <c r="A448" s="74" t="s">
        <v>9</v>
      </c>
      <c r="B448" s="74" t="s">
        <v>10</v>
      </c>
      <c r="C448" s="74" t="s">
        <v>11</v>
      </c>
      <c r="D448" s="74">
        <v>90</v>
      </c>
      <c r="E448" s="74" t="s">
        <v>12</v>
      </c>
      <c r="F448" s="73" t="s">
        <v>13</v>
      </c>
      <c r="G448" s="74">
        <v>3000</v>
      </c>
      <c r="H448" s="78">
        <v>46206</v>
      </c>
      <c r="I448" s="75">
        <v>5000</v>
      </c>
    </row>
    <row r="449" spans="1:9" ht="14.4" hidden="1" customHeight="1" x14ac:dyDescent="0.3">
      <c r="A449" s="74" t="s">
        <v>9</v>
      </c>
      <c r="B449" s="74" t="s">
        <v>10</v>
      </c>
      <c r="C449" s="74" t="s">
        <v>11</v>
      </c>
      <c r="D449" s="74">
        <v>90</v>
      </c>
      <c r="E449" s="74" t="s">
        <v>12</v>
      </c>
      <c r="F449" s="73" t="s">
        <v>13</v>
      </c>
      <c r="G449" s="74">
        <v>3000</v>
      </c>
      <c r="H449" s="78">
        <v>46213</v>
      </c>
      <c r="I449" s="75">
        <v>4300</v>
      </c>
    </row>
    <row r="450" spans="1:9" ht="14.4" hidden="1" customHeight="1" x14ac:dyDescent="0.3">
      <c r="A450" s="74" t="s">
        <v>9</v>
      </c>
      <c r="B450" s="74" t="s">
        <v>10</v>
      </c>
      <c r="C450" s="74" t="s">
        <v>11</v>
      </c>
      <c r="D450" s="74">
        <v>90</v>
      </c>
      <c r="E450" s="74" t="s">
        <v>12</v>
      </c>
      <c r="F450" s="73" t="s">
        <v>13</v>
      </c>
      <c r="G450" s="74">
        <v>3000</v>
      </c>
      <c r="H450" s="78">
        <v>46227</v>
      </c>
      <c r="I450" s="75">
        <v>3846</v>
      </c>
    </row>
    <row r="451" spans="1:9" ht="14.4" hidden="1" customHeight="1" x14ac:dyDescent="0.3">
      <c r="A451" s="74" t="s">
        <v>9</v>
      </c>
      <c r="B451" s="74" t="s">
        <v>10</v>
      </c>
      <c r="C451" s="74" t="s">
        <v>11</v>
      </c>
      <c r="D451" s="74">
        <v>90</v>
      </c>
      <c r="E451" s="74" t="s">
        <v>12</v>
      </c>
      <c r="F451" s="73" t="s">
        <v>13</v>
      </c>
      <c r="G451" s="74">
        <v>3000</v>
      </c>
      <c r="H451" s="78">
        <v>46234</v>
      </c>
      <c r="I451" s="75">
        <v>4300</v>
      </c>
    </row>
    <row r="452" spans="1:9" ht="14.4" hidden="1" customHeight="1" x14ac:dyDescent="0.3">
      <c r="A452" s="74" t="s">
        <v>9</v>
      </c>
      <c r="B452" s="74" t="s">
        <v>10</v>
      </c>
      <c r="C452" s="74" t="s">
        <v>11</v>
      </c>
      <c r="D452" s="74">
        <v>90</v>
      </c>
      <c r="E452" s="74" t="s">
        <v>12</v>
      </c>
      <c r="F452" s="73" t="s">
        <v>13</v>
      </c>
      <c r="G452" s="74">
        <v>3000</v>
      </c>
      <c r="H452" s="78">
        <v>46248</v>
      </c>
      <c r="I452" s="75">
        <v>1298</v>
      </c>
    </row>
    <row r="453" spans="1:9" ht="14.4" hidden="1" customHeight="1" x14ac:dyDescent="0.3">
      <c r="A453" s="74" t="s">
        <v>9</v>
      </c>
      <c r="B453" s="74" t="s">
        <v>10</v>
      </c>
      <c r="C453" s="74" t="s">
        <v>11</v>
      </c>
      <c r="D453" s="74">
        <v>90</v>
      </c>
      <c r="E453" s="74" t="s">
        <v>12</v>
      </c>
      <c r="F453" s="73" t="s">
        <v>13</v>
      </c>
      <c r="G453" s="74">
        <v>3000</v>
      </c>
      <c r="H453" s="78">
        <v>46276</v>
      </c>
      <c r="I453" s="75">
        <v>1506</v>
      </c>
    </row>
    <row r="454" spans="1:9" ht="14.4" hidden="1" customHeight="1" x14ac:dyDescent="0.3">
      <c r="A454" s="74" t="s">
        <v>9</v>
      </c>
      <c r="B454" s="74" t="s">
        <v>10</v>
      </c>
      <c r="C454" s="74" t="s">
        <v>11</v>
      </c>
      <c r="D454" s="74">
        <v>90</v>
      </c>
      <c r="E454" s="74" t="s">
        <v>12</v>
      </c>
      <c r="F454" s="73" t="s">
        <v>13</v>
      </c>
      <c r="G454" s="74">
        <v>3000</v>
      </c>
      <c r="H454" s="78">
        <v>46283</v>
      </c>
      <c r="I454" s="75">
        <v>1506</v>
      </c>
    </row>
    <row r="455" spans="1:9" ht="14.4" hidden="1" customHeight="1" x14ac:dyDescent="0.3">
      <c r="A455" s="74" t="s">
        <v>9</v>
      </c>
      <c r="B455" s="74" t="s">
        <v>10</v>
      </c>
      <c r="C455" s="74" t="s">
        <v>11</v>
      </c>
      <c r="D455" s="74">
        <v>90</v>
      </c>
      <c r="E455" s="74" t="s">
        <v>12</v>
      </c>
      <c r="F455" s="73" t="s">
        <v>13</v>
      </c>
      <c r="G455" s="74">
        <v>3000</v>
      </c>
      <c r="H455" s="78">
        <v>46290</v>
      </c>
      <c r="I455" s="75">
        <v>1506</v>
      </c>
    </row>
    <row r="456" spans="1:9" ht="14.4" hidden="1" customHeight="1" x14ac:dyDescent="0.3">
      <c r="A456" s="74" t="s">
        <v>9</v>
      </c>
      <c r="B456" s="74" t="s">
        <v>10</v>
      </c>
      <c r="C456" s="74" t="s">
        <v>11</v>
      </c>
      <c r="D456" s="74">
        <v>90</v>
      </c>
      <c r="E456" s="74" t="s">
        <v>12</v>
      </c>
      <c r="F456" s="73" t="s">
        <v>13</v>
      </c>
      <c r="G456" s="74">
        <v>3000</v>
      </c>
      <c r="H456" s="78">
        <v>46297</v>
      </c>
      <c r="I456" s="75">
        <v>1446</v>
      </c>
    </row>
    <row r="457" spans="1:9" ht="14.4" hidden="1" customHeight="1" x14ac:dyDescent="0.3">
      <c r="A457" s="74" t="s">
        <v>9</v>
      </c>
      <c r="B457" s="74" t="s">
        <v>10</v>
      </c>
      <c r="C457" s="74" t="s">
        <v>11</v>
      </c>
      <c r="D457" s="74">
        <v>90</v>
      </c>
      <c r="E457" s="74" t="s">
        <v>12</v>
      </c>
      <c r="F457" s="73" t="s">
        <v>13</v>
      </c>
      <c r="G457" s="74">
        <v>3000</v>
      </c>
      <c r="H457" s="78">
        <v>46318</v>
      </c>
      <c r="I457" s="75">
        <v>1448</v>
      </c>
    </row>
    <row r="458" spans="1:9" ht="14.4" hidden="1" customHeight="1" x14ac:dyDescent="0.3">
      <c r="A458" s="74" t="s">
        <v>9</v>
      </c>
      <c r="B458" s="74" t="s">
        <v>10</v>
      </c>
      <c r="C458" s="74" t="s">
        <v>11</v>
      </c>
      <c r="D458" s="74">
        <v>90</v>
      </c>
      <c r="E458" s="74" t="s">
        <v>12</v>
      </c>
      <c r="F458" s="73" t="s">
        <v>13</v>
      </c>
      <c r="G458" s="74">
        <v>3000</v>
      </c>
      <c r="H458" s="78">
        <v>46325</v>
      </c>
      <c r="I458" s="75">
        <v>1448</v>
      </c>
    </row>
    <row r="459" spans="1:9" ht="14.4" hidden="1" customHeight="1" x14ac:dyDescent="0.3">
      <c r="A459" s="74" t="s">
        <v>9</v>
      </c>
      <c r="B459" s="74" t="s">
        <v>10</v>
      </c>
      <c r="C459" s="74" t="s">
        <v>11</v>
      </c>
      <c r="D459" s="74">
        <v>90</v>
      </c>
      <c r="E459" s="74" t="s">
        <v>12</v>
      </c>
      <c r="F459" s="73" t="s">
        <v>13</v>
      </c>
      <c r="G459" s="74">
        <v>3000</v>
      </c>
      <c r="H459" s="78">
        <v>46332</v>
      </c>
      <c r="I459" s="75">
        <v>1448</v>
      </c>
    </row>
    <row r="460" spans="1:9" ht="14.4" hidden="1" customHeight="1" x14ac:dyDescent="0.3">
      <c r="A460" s="74" t="s">
        <v>9</v>
      </c>
      <c r="B460" s="74" t="s">
        <v>10</v>
      </c>
      <c r="C460" s="74" t="s">
        <v>11</v>
      </c>
      <c r="D460" s="74">
        <v>90</v>
      </c>
      <c r="E460" s="74" t="s">
        <v>12</v>
      </c>
      <c r="F460" s="73" t="s">
        <v>13</v>
      </c>
      <c r="G460" s="74">
        <v>3000</v>
      </c>
      <c r="H460" s="78">
        <v>46346</v>
      </c>
      <c r="I460" s="75">
        <v>1756</v>
      </c>
    </row>
    <row r="461" spans="1:9" ht="14.4" hidden="1" customHeight="1" x14ac:dyDescent="0.3">
      <c r="A461" s="74" t="s">
        <v>9</v>
      </c>
      <c r="B461" s="74" t="s">
        <v>10</v>
      </c>
      <c r="C461" s="74" t="s">
        <v>11</v>
      </c>
      <c r="D461" s="74">
        <v>90</v>
      </c>
      <c r="E461" s="74" t="s">
        <v>12</v>
      </c>
      <c r="F461" s="73" t="s">
        <v>13</v>
      </c>
      <c r="G461" s="74">
        <v>3000</v>
      </c>
      <c r="H461" s="78">
        <v>46360</v>
      </c>
      <c r="I461" s="75">
        <v>1756</v>
      </c>
    </row>
    <row r="462" spans="1:9" ht="14.4" hidden="1" customHeight="1" x14ac:dyDescent="0.3">
      <c r="A462" s="74" t="s">
        <v>9</v>
      </c>
      <c r="B462" s="74" t="s">
        <v>10</v>
      </c>
      <c r="C462" s="74" t="s">
        <v>11</v>
      </c>
      <c r="D462" s="74">
        <v>90</v>
      </c>
      <c r="E462" s="74" t="s">
        <v>12</v>
      </c>
      <c r="F462" s="73" t="s">
        <v>13</v>
      </c>
      <c r="G462" s="74">
        <v>3000</v>
      </c>
      <c r="H462" s="78">
        <v>46374</v>
      </c>
      <c r="I462" s="75">
        <v>1930</v>
      </c>
    </row>
    <row r="463" spans="1:9" ht="14.4" hidden="1" customHeight="1" x14ac:dyDescent="0.3">
      <c r="A463" s="74" t="s">
        <v>9</v>
      </c>
      <c r="B463" s="74" t="s">
        <v>10</v>
      </c>
      <c r="C463" s="74" t="s">
        <v>11</v>
      </c>
      <c r="D463" s="74">
        <v>90</v>
      </c>
      <c r="E463" s="74" t="s">
        <v>12</v>
      </c>
      <c r="F463" s="73" t="s">
        <v>13</v>
      </c>
      <c r="G463" s="74">
        <v>3000</v>
      </c>
      <c r="H463" s="78">
        <v>46220</v>
      </c>
      <c r="I463" s="75">
        <v>4700</v>
      </c>
    </row>
    <row r="464" spans="1:9" ht="14.4" hidden="1" customHeight="1" x14ac:dyDescent="0.3">
      <c r="A464" s="74" t="s">
        <v>9</v>
      </c>
      <c r="B464" s="74" t="s">
        <v>10</v>
      </c>
      <c r="C464" s="74" t="s">
        <v>11</v>
      </c>
      <c r="D464" s="74">
        <v>90</v>
      </c>
      <c r="E464" s="74" t="s">
        <v>12</v>
      </c>
      <c r="F464" s="73" t="s">
        <v>13</v>
      </c>
      <c r="G464" s="74">
        <v>3000</v>
      </c>
      <c r="H464" s="78">
        <v>46241</v>
      </c>
      <c r="I464" s="75">
        <v>476</v>
      </c>
    </row>
    <row r="465" spans="1:9" ht="14.4" hidden="1" customHeight="1" x14ac:dyDescent="0.3">
      <c r="A465" s="74" t="s">
        <v>9</v>
      </c>
      <c r="B465" s="74" t="s">
        <v>10</v>
      </c>
      <c r="C465" s="74" t="s">
        <v>11</v>
      </c>
      <c r="D465" s="74">
        <v>90</v>
      </c>
      <c r="E465" s="74" t="s">
        <v>12</v>
      </c>
      <c r="F465" s="73" t="s">
        <v>13</v>
      </c>
      <c r="G465" s="74">
        <v>3000</v>
      </c>
      <c r="H465" s="78">
        <v>46255</v>
      </c>
      <c r="I465" s="75">
        <v>1300</v>
      </c>
    </row>
    <row r="466" spans="1:9" ht="14.4" hidden="1" customHeight="1" x14ac:dyDescent="0.3">
      <c r="A466" s="74" t="s">
        <v>9</v>
      </c>
      <c r="B466" s="74" t="s">
        <v>10</v>
      </c>
      <c r="C466" s="74" t="s">
        <v>11</v>
      </c>
      <c r="D466" s="74">
        <v>90</v>
      </c>
      <c r="E466" s="74" t="s">
        <v>12</v>
      </c>
      <c r="F466" s="73" t="s">
        <v>13</v>
      </c>
      <c r="G466" s="74">
        <v>3000</v>
      </c>
      <c r="H466" s="78">
        <v>46269</v>
      </c>
      <c r="I466" s="75">
        <v>1506</v>
      </c>
    </row>
    <row r="467" spans="1:9" ht="14.4" hidden="1" customHeight="1" x14ac:dyDescent="0.3">
      <c r="A467" s="74" t="s">
        <v>9</v>
      </c>
      <c r="B467" s="74" t="s">
        <v>10</v>
      </c>
      <c r="C467" s="74" t="s">
        <v>11</v>
      </c>
      <c r="D467" s="74">
        <v>90</v>
      </c>
      <c r="E467" s="74" t="s">
        <v>12</v>
      </c>
      <c r="F467" s="73" t="s">
        <v>13</v>
      </c>
      <c r="G467" s="74">
        <v>3000</v>
      </c>
      <c r="H467" s="79">
        <v>46339</v>
      </c>
      <c r="I467" s="80">
        <v>1754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Overall Case Study</vt:lpstr>
      <vt:lpstr>Sheet1</vt:lpstr>
      <vt:lpstr>Demand</vt:lpstr>
      <vt:lpstr>weekly_demand</vt:lpstr>
      <vt:lpstr>MPS</vt:lpstr>
      <vt:lpstr>BOM_demand</vt:lpstr>
      <vt:lpstr>MRP</vt:lpstr>
      <vt:lpstr>BOM &amp; Inventory</vt:lpstr>
      <vt:lpstr>FGs &amp; Log information </vt:lpstr>
      <vt:lpstr>Production Plan</vt:lpstr>
      <vt:lpstr>Demand for Production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Tran Huu Thong (VN.OP-PMC)</dc:creator>
  <cp:lastModifiedBy>Đức Trí Phạm</cp:lastModifiedBy>
  <dcterms:created xsi:type="dcterms:W3CDTF">2026-04-02T02:37:40Z</dcterms:created>
  <dcterms:modified xsi:type="dcterms:W3CDTF">2026-04-14T13:43:15Z</dcterms:modified>
</cp:coreProperties>
</file>